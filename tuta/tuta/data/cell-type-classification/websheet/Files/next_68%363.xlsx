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drawings/drawing10.xml" ContentType="application/vnd.openxmlformats-officedocument.drawing+xml"/>
  <Override PartName="/xl/drawings/drawing11.xml" ContentType="application/vnd.openxmlformats-officedocument.drawing+xml"/>
  <Override PartName="/xl/charts/chart2.xml" ContentType="application/vnd.openxmlformats-officedocument.drawingml.chart+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harts/chart3.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harts/chart4.xml" ContentType="application/vnd.openxmlformats-officedocument.drawingml.chart+xml"/>
  <Override PartName="/xl/drawings/drawing21.xml" ContentType="application/vnd.openxmlformats-officedocument.drawing+xml"/>
  <Override PartName="/xl/drawings/drawing22.xml" ContentType="application/vnd.openxmlformats-officedocument.drawing+xml"/>
  <Override PartName="/xl/charts/chart5.xml" ContentType="application/vnd.openxmlformats-officedocument.drawingml.chart+xml"/>
  <Override PartName="/xl/drawings/drawing23.xml" ContentType="application/vnd.openxmlformats-officedocument.drawing+xml"/>
  <Override PartName="/xl/drawings/drawing24.xml" ContentType="application/vnd.openxmlformats-officedocument.drawing+xml"/>
  <Override PartName="/xl/charts/chart6.xml" ContentType="application/vnd.openxmlformats-officedocument.drawingml.chart+xml"/>
  <Override PartName="/xl/drawings/drawing25.xml" ContentType="application/vnd.openxmlformats-officedocument.drawing+xml"/>
  <Override PartName="/xl/drawings/drawing26.xml" ContentType="application/vnd.openxmlformats-officedocument.drawing+xml"/>
  <Override PartName="/xl/charts/chart7.xml" ContentType="application/vnd.openxmlformats-officedocument.drawingml.chart+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codeName="ThisWorkbook" defaultThemeVersion="124226"/>
  <mc:AlternateContent xmlns:mc="http://schemas.openxmlformats.org/markup-compatibility/2006">
    <mc:Choice Requires="x15">
      <x15ac:absPath xmlns:x15ac="http://schemas.microsoft.com/office/spreadsheetml/2010/11/ac" url="C:\Users\xlParse\AppData\Local\Temp\2\"/>
    </mc:Choice>
  </mc:AlternateContent>
  <bookViews>
    <workbookView xWindow="-15" yWindow="-15" windowWidth="8805" windowHeight="11640" tabRatio="902"/>
  </bookViews>
  <sheets>
    <sheet name="Cover Sheet" sheetId="56" r:id="rId1"/>
    <sheet name="1. Portfolio Information" sheetId="70" r:id="rId2"/>
    <sheet name="2. Reserve Accounts" sheetId="57" r:id="rId3"/>
    <sheet name="3. Delinquency Data" sheetId="82" r:id="rId4"/>
    <sheet name="4. Default Data" sheetId="83" r:id="rId5"/>
    <sheet name="4.1 Default Data per Quarter" sheetId="96" r:id="rId6"/>
    <sheet name="5. Outstanding Notes" sheetId="60" r:id="rId7"/>
    <sheet name="6. Original Principal Balance" sheetId="37" r:id="rId8"/>
    <sheet name="6.1 Original PB (Graph)" sheetId="61" r:id="rId9"/>
    <sheet name="7. Current Principal Balance" sheetId="40" r:id="rId10"/>
    <sheet name="7.1 Current PB (Graph)" sheetId="62" r:id="rId11"/>
    <sheet name="8. Borrower Concentration" sheetId="41" r:id="rId12"/>
    <sheet name="9. Geographical Distribution" sheetId="42" r:id="rId13"/>
    <sheet name="9.1 Geographical (Graph)" sheetId="63" r:id="rId14"/>
    <sheet name="10. Object Type" sheetId="43" r:id="rId15"/>
    <sheet name="11. Insurances" sheetId="44" r:id="rId16"/>
    <sheet name="12. Type of Contract" sheetId="45" r:id="rId17"/>
    <sheet name="13. Payment Methods" sheetId="46" r:id="rId18"/>
    <sheet name="14. Customer Yield" sheetId="47" r:id="rId19"/>
    <sheet name="14.1 Customer Yield (Graph)" sheetId="64" r:id="rId20"/>
    <sheet name="15. Seasoning" sheetId="48" r:id="rId21"/>
    <sheet name="15.1 Seasoning (Graph)" sheetId="65" r:id="rId22"/>
    <sheet name="16. Remaining Term" sheetId="49" r:id="rId23"/>
    <sheet name="16.1 Remaining Term (Graph)" sheetId="66" r:id="rId24"/>
    <sheet name="17. Original Term" sheetId="50" r:id="rId25"/>
    <sheet name="17.1 Original Term (Graph)" sheetId="67" r:id="rId26"/>
    <sheet name="18. Manufacturer" sheetId="69" r:id="rId27"/>
    <sheet name="19. PoP + Transaction Costs" sheetId="92" r:id="rId28"/>
    <sheet name="20. Swap Counterparty Data" sheetId="93" r:id="rId29"/>
    <sheet name="21. Counterparties" sheetId="94" r:id="rId30"/>
    <sheet name="22. Issuer Information" sheetId="95" r:id="rId31"/>
    <sheet name="23. Santander Consumer Bank" sheetId="80" r:id="rId32"/>
    <sheet name="24. Disclaimer" sheetId="81" r:id="rId33"/>
  </sheets>
  <externalReferences>
    <externalReference r:id="rId34"/>
  </externalReferences>
  <definedNames>
    <definedName name="current_period">[1]Schedule!$F$3</definedName>
    <definedName name="_xlnm.Print_Area" localSheetId="1">'1. Portfolio Information'!$A$1:$K$47</definedName>
    <definedName name="_xlnm.Print_Area" localSheetId="14">'10. Object Type'!$A$1:$K$42</definedName>
    <definedName name="_xlnm.Print_Area" localSheetId="15">'11. Insurances'!$A$1:$K$47</definedName>
    <definedName name="_xlnm.Print_Area" localSheetId="16">'12. Type of Contract'!$A$1:$K$41</definedName>
    <definedName name="_xlnm.Print_Area" localSheetId="17">'13. Payment Methods'!$A$1:$K$47</definedName>
    <definedName name="_xlnm.Print_Area" localSheetId="18">'14. Customer Yield'!$A$1:$K$46</definedName>
    <definedName name="_xlnm.Print_Area" localSheetId="19">'14.1 Customer Yield (Graph)'!$A$1:$K$47</definedName>
    <definedName name="_xlnm.Print_Area" localSheetId="20">'15. Seasoning'!$A$1:$K$45</definedName>
    <definedName name="_xlnm.Print_Area" localSheetId="21">'15.1 Seasoning (Graph)'!$A$1:$K$47</definedName>
    <definedName name="_xlnm.Print_Area" localSheetId="22">'16. Remaining Term'!$A$1:$K$44</definedName>
    <definedName name="_xlnm.Print_Area" localSheetId="23">'16.1 Remaining Term (Graph)'!$A$1:$K$47</definedName>
    <definedName name="_xlnm.Print_Area" localSheetId="24">'17. Original Term'!$A$1:$K$45</definedName>
    <definedName name="_xlnm.Print_Area" localSheetId="25">'17.1 Original Term (Graph)'!$A$1:$K$47</definedName>
    <definedName name="_xlnm.Print_Area" localSheetId="26">'18. Manufacturer'!$A$1:$K$47</definedName>
    <definedName name="_xlnm.Print_Area" localSheetId="27">'19. PoP + Transaction Costs'!$A$1:$K$46</definedName>
    <definedName name="_xlnm.Print_Area" localSheetId="2">'2. Reserve Accounts'!$A$1:$K$47</definedName>
    <definedName name="_xlnm.Print_Area" localSheetId="28">'20. Swap Counterparty Data'!$A$1:$N$38</definedName>
    <definedName name="_xlnm.Print_Area" localSheetId="29">'21. Counterparties'!$A$1:$O$57</definedName>
    <definedName name="_xlnm.Print_Area" localSheetId="30">'22. Issuer Information'!$A$1:$K$41</definedName>
    <definedName name="_xlnm.Print_Area" localSheetId="31">'23. Santander Consumer Bank'!$A$1:$M$35</definedName>
    <definedName name="_xlnm.Print_Area" localSheetId="3">'3. Delinquency Data'!$A$1:$L$50</definedName>
    <definedName name="_xlnm.Print_Area" localSheetId="4">'4. Default Data'!$A$1:$L$47</definedName>
    <definedName name="_xlnm.Print_Area" localSheetId="5">'4.1 Default Data per Quarter'!$A$1:$P$32</definedName>
    <definedName name="_xlnm.Print_Area" localSheetId="6">'5. Outstanding Notes'!$A$1:$K$59</definedName>
    <definedName name="_xlnm.Print_Area" localSheetId="7">'6. Original Principal Balance'!$A$1:$K$57</definedName>
    <definedName name="_xlnm.Print_Area" localSheetId="8">'6.1 Original PB (Graph)'!$A$1:$K$47</definedName>
    <definedName name="_xlnm.Print_Area" localSheetId="9">'7. Current Principal Balance'!$A$1:$K$56</definedName>
    <definedName name="_xlnm.Print_Area" localSheetId="10">'7.1 Current PB (Graph)'!$A$1:$K$47</definedName>
    <definedName name="_xlnm.Print_Area" localSheetId="11">'8. Borrower Concentration'!$A$1:$K$47</definedName>
    <definedName name="_xlnm.Print_Area" localSheetId="12">'9. Geographical Distribution'!$A$1:$K$47</definedName>
    <definedName name="_xlnm.Print_Area" localSheetId="13">'9.1 Geographical (Graph)'!$A$1:$K$47</definedName>
    <definedName name="_xlnm.Print_Area" localSheetId="0">'Cover Sheet'!$A$1:$K$49</definedName>
  </definedNames>
  <calcPr calcId="125725"/>
</workbook>
</file>

<file path=xl/calcChain.xml><?xml version="1.0" encoding="utf-8"?>
<calcChain xmlns="http://schemas.openxmlformats.org/spreadsheetml/2006/main">
  <c r="F31" i="42" l="1"/>
  <c r="H31" i="42"/>
  <c r="D41" i="57"/>
  <c r="F7" i="56"/>
  <c r="F7" i="50"/>
  <c r="D29" i="92"/>
  <c r="F43" i="60"/>
  <c r="D43" i="60"/>
  <c r="C22" i="57"/>
  <c r="F32" i="60"/>
  <c r="C32" i="60"/>
  <c r="F33" i="60"/>
  <c r="D50" i="60"/>
  <c r="F50" i="60"/>
  <c r="H6" i="95"/>
  <c r="D7" i="95"/>
  <c r="D6" i="95"/>
  <c r="F6" i="95"/>
  <c r="F5" i="95"/>
  <c r="F4" i="95"/>
  <c r="F3" i="95"/>
  <c r="F2" i="95"/>
  <c r="B3" i="95"/>
  <c r="H6" i="94"/>
  <c r="H5" i="94"/>
  <c r="H4" i="94"/>
  <c r="H3" i="94"/>
  <c r="H2" i="94"/>
  <c r="E7" i="94"/>
  <c r="E6" i="94"/>
  <c r="B3" i="94"/>
  <c r="B3" i="93"/>
  <c r="B2" i="93"/>
  <c r="B2" i="92"/>
  <c r="B3" i="92"/>
  <c r="I6" i="93"/>
  <c r="G6" i="93"/>
  <c r="G5" i="93"/>
  <c r="G4" i="93"/>
  <c r="G3" i="93"/>
  <c r="G2" i="93"/>
  <c r="D6" i="93"/>
  <c r="D7" i="93"/>
  <c r="D7" i="92"/>
  <c r="D6" i="92"/>
  <c r="F6" i="92"/>
  <c r="F5" i="92"/>
  <c r="F4" i="92"/>
  <c r="F3" i="92"/>
  <c r="F2" i="92"/>
  <c r="B2" i="96"/>
  <c r="F2" i="96"/>
  <c r="B3" i="96"/>
  <c r="F3" i="96"/>
  <c r="F4" i="96"/>
  <c r="F5" i="96"/>
  <c r="F6" i="96"/>
  <c r="H6" i="56"/>
  <c r="J6" i="56"/>
  <c r="H6" i="92"/>
  <c r="H6" i="96"/>
  <c r="H7" i="56"/>
  <c r="J7" i="80"/>
  <c r="J7" i="94"/>
  <c r="L30" i="93"/>
  <c r="L31" i="93"/>
  <c r="C35" i="92"/>
  <c r="C36" i="92"/>
  <c r="C37" i="92"/>
  <c r="C38" i="92"/>
  <c r="C43" i="92"/>
  <c r="C44" i="92"/>
  <c r="H22" i="44"/>
  <c r="G22" i="44"/>
  <c r="F22" i="44"/>
  <c r="E22" i="44"/>
  <c r="B2" i="83"/>
  <c r="B3" i="83"/>
  <c r="B2" i="82"/>
  <c r="B3" i="82"/>
  <c r="F28" i="83"/>
  <c r="F22" i="83"/>
  <c r="H7" i="83"/>
  <c r="H6" i="83"/>
  <c r="F3" i="83"/>
  <c r="F4" i="83"/>
  <c r="F5" i="83"/>
  <c r="F6" i="83"/>
  <c r="F2" i="83"/>
  <c r="H6" i="82"/>
  <c r="F3" i="82"/>
  <c r="F4" i="82"/>
  <c r="F5" i="82"/>
  <c r="F6" i="82"/>
  <c r="F2" i="82"/>
  <c r="D15" i="83"/>
  <c r="D14" i="83"/>
  <c r="D35" i="83"/>
  <c r="D32" i="83"/>
  <c r="D15" i="82"/>
  <c r="D14" i="82"/>
  <c r="D48" i="82"/>
  <c r="H18" i="45"/>
  <c r="G18" i="45"/>
  <c r="C29" i="57"/>
  <c r="C36" i="57"/>
  <c r="E7" i="80"/>
  <c r="E6" i="80"/>
  <c r="I6" i="80"/>
  <c r="H3" i="80"/>
  <c r="H4" i="80"/>
  <c r="H5" i="80"/>
  <c r="H6" i="80"/>
  <c r="H2" i="80"/>
  <c r="B3" i="81"/>
  <c r="B3" i="80"/>
  <c r="G2" i="81"/>
  <c r="G3" i="81"/>
  <c r="G4" i="81"/>
  <c r="G5" i="81"/>
  <c r="E6" i="81"/>
  <c r="G6" i="81"/>
  <c r="J6" i="81"/>
  <c r="E7" i="81"/>
  <c r="I7" i="81"/>
  <c r="D7" i="69"/>
  <c r="F6" i="69"/>
  <c r="D6" i="69"/>
  <c r="F5" i="69"/>
  <c r="F4" i="69"/>
  <c r="F3" i="69"/>
  <c r="F2" i="69"/>
  <c r="D7" i="67"/>
  <c r="F6" i="67"/>
  <c r="D6" i="67"/>
  <c r="F5" i="67"/>
  <c r="F4" i="67"/>
  <c r="F3" i="67"/>
  <c r="F2" i="67"/>
  <c r="D7" i="50"/>
  <c r="F6" i="50"/>
  <c r="D6" i="50"/>
  <c r="F5" i="50"/>
  <c r="F4" i="50"/>
  <c r="F3" i="50"/>
  <c r="F2" i="50"/>
  <c r="D7" i="66"/>
  <c r="F6" i="66"/>
  <c r="D6" i="66"/>
  <c r="F5" i="66"/>
  <c r="F4" i="66"/>
  <c r="F3" i="66"/>
  <c r="F2" i="66"/>
  <c r="D7" i="49"/>
  <c r="F6" i="49"/>
  <c r="D6" i="49"/>
  <c r="F5" i="49"/>
  <c r="F4" i="49"/>
  <c r="F3" i="49"/>
  <c r="F2" i="49"/>
  <c r="D7" i="65"/>
  <c r="F6" i="65"/>
  <c r="D6" i="65"/>
  <c r="F5" i="65"/>
  <c r="F4" i="65"/>
  <c r="F3" i="65"/>
  <c r="F2" i="65"/>
  <c r="D7" i="48"/>
  <c r="F6" i="48"/>
  <c r="D6" i="48"/>
  <c r="F5" i="48"/>
  <c r="F4" i="48"/>
  <c r="F3" i="48"/>
  <c r="F2" i="48"/>
  <c r="D7" i="64"/>
  <c r="F6" i="64"/>
  <c r="D6" i="64"/>
  <c r="F5" i="64"/>
  <c r="F4" i="64"/>
  <c r="F3" i="64"/>
  <c r="F2" i="64"/>
  <c r="D7" i="47"/>
  <c r="F6" i="47"/>
  <c r="D6" i="47"/>
  <c r="F5" i="47"/>
  <c r="F4" i="47"/>
  <c r="F3" i="47"/>
  <c r="F2" i="47"/>
  <c r="D7" i="46"/>
  <c r="F6" i="46"/>
  <c r="D6" i="46"/>
  <c r="F5" i="46"/>
  <c r="F4" i="46"/>
  <c r="F3" i="46"/>
  <c r="F2" i="46"/>
  <c r="D7" i="45"/>
  <c r="F6" i="45"/>
  <c r="D6" i="45"/>
  <c r="F5" i="45"/>
  <c r="F4" i="45"/>
  <c r="F3" i="45"/>
  <c r="F2" i="45"/>
  <c r="D7" i="44"/>
  <c r="F6" i="44"/>
  <c r="D6" i="44"/>
  <c r="F5" i="44"/>
  <c r="F4" i="44"/>
  <c r="F3" i="44"/>
  <c r="F2" i="44"/>
  <c r="D7" i="43"/>
  <c r="F6" i="43"/>
  <c r="D6" i="43"/>
  <c r="F5" i="43"/>
  <c r="F4" i="43"/>
  <c r="F3" i="43"/>
  <c r="F2" i="43"/>
  <c r="D7" i="63"/>
  <c r="F6" i="63"/>
  <c r="D6" i="63"/>
  <c r="F5" i="63"/>
  <c r="F4" i="63"/>
  <c r="F3" i="63"/>
  <c r="F2" i="63"/>
  <c r="D7" i="42"/>
  <c r="F6" i="42"/>
  <c r="D6" i="42"/>
  <c r="F5" i="42"/>
  <c r="F4" i="42"/>
  <c r="F3" i="42"/>
  <c r="F2" i="42"/>
  <c r="D7" i="41"/>
  <c r="F6" i="41"/>
  <c r="D6" i="41"/>
  <c r="F5" i="41"/>
  <c r="F4" i="41"/>
  <c r="F3" i="41"/>
  <c r="F2" i="41"/>
  <c r="D7" i="62"/>
  <c r="F6" i="62"/>
  <c r="D6" i="62"/>
  <c r="F5" i="62"/>
  <c r="F4" i="62"/>
  <c r="F3" i="62"/>
  <c r="F2" i="62"/>
  <c r="D7" i="40"/>
  <c r="D6" i="40"/>
  <c r="H7" i="61"/>
  <c r="D7" i="61"/>
  <c r="D6" i="61"/>
  <c r="D7" i="37"/>
  <c r="D6" i="37"/>
  <c r="D7" i="60"/>
  <c r="D6" i="60"/>
  <c r="H7" i="57"/>
  <c r="D7" i="57"/>
  <c r="D6" i="57"/>
  <c r="H7" i="70"/>
  <c r="D7" i="70"/>
  <c r="D6" i="70"/>
  <c r="B2" i="69"/>
  <c r="B2" i="67"/>
  <c r="B2" i="50"/>
  <c r="B2" i="66"/>
  <c r="B2" i="49"/>
  <c r="B2" i="65"/>
  <c r="B2" i="48"/>
  <c r="B2" i="64"/>
  <c r="B2" i="47"/>
  <c r="B2" i="46"/>
  <c r="B2" i="45"/>
  <c r="B2" i="44"/>
  <c r="B2" i="43"/>
  <c r="B2" i="63"/>
  <c r="B2" i="42"/>
  <c r="B3" i="42"/>
  <c r="B2" i="41"/>
  <c r="B2" i="62"/>
  <c r="B2" i="40"/>
  <c r="B2" i="61"/>
  <c r="B2" i="37"/>
  <c r="B2" i="60"/>
  <c r="B2" i="57"/>
  <c r="B2" i="70"/>
  <c r="H27" i="47"/>
  <c r="F27" i="47"/>
  <c r="F5" i="70"/>
  <c r="B3" i="70"/>
  <c r="H6" i="70"/>
  <c r="F6" i="70"/>
  <c r="F4" i="70"/>
  <c r="F3" i="70"/>
  <c r="F2" i="70"/>
  <c r="G16" i="43"/>
  <c r="C26" i="70"/>
  <c r="D40" i="57"/>
  <c r="F30" i="70"/>
  <c r="C23" i="57"/>
  <c r="C19" i="57"/>
  <c r="F23" i="60"/>
  <c r="F24" i="60"/>
  <c r="F40" i="60"/>
  <c r="F42" i="60"/>
  <c r="F31" i="60"/>
  <c r="F41" i="60"/>
  <c r="D24" i="60"/>
  <c r="D31" i="60"/>
  <c r="D41" i="60"/>
  <c r="G39" i="41"/>
  <c r="F25" i="43"/>
  <c r="G29" i="45"/>
  <c r="F37" i="46"/>
  <c r="H29" i="69"/>
  <c r="G29" i="69"/>
  <c r="F29" i="69"/>
  <c r="E29" i="69"/>
  <c r="D15" i="69"/>
  <c r="D16" i="69"/>
  <c r="D17" i="69"/>
  <c r="D18" i="69"/>
  <c r="D19" i="69"/>
  <c r="D20" i="69"/>
  <c r="D21" i="69"/>
  <c r="D22" i="69"/>
  <c r="D23" i="69"/>
  <c r="D24" i="69"/>
  <c r="D25" i="69"/>
  <c r="D26" i="69"/>
  <c r="D27" i="69"/>
  <c r="D28" i="69"/>
  <c r="B3" i="69"/>
  <c r="D40" i="60"/>
  <c r="D42" i="60"/>
  <c r="D32" i="60"/>
  <c r="D33" i="60"/>
  <c r="B3" i="67"/>
  <c r="B3" i="50"/>
  <c r="B3" i="66"/>
  <c r="B3" i="49"/>
  <c r="B3" i="65"/>
  <c r="B3" i="48"/>
  <c r="B3" i="64"/>
  <c r="B3" i="47"/>
  <c r="B3" i="46"/>
  <c r="B3" i="45"/>
  <c r="B3" i="44"/>
  <c r="B3" i="43"/>
  <c r="B3" i="63"/>
  <c r="B3" i="41"/>
  <c r="B3" i="62"/>
  <c r="B3" i="40"/>
  <c r="B3" i="61"/>
  <c r="B3" i="37"/>
  <c r="B3" i="60"/>
  <c r="B3" i="57"/>
  <c r="H6" i="40"/>
  <c r="F6" i="40"/>
  <c r="F5" i="40"/>
  <c r="F4" i="40"/>
  <c r="F3" i="40"/>
  <c r="F2" i="40"/>
  <c r="H6" i="61"/>
  <c r="F6" i="61"/>
  <c r="F5" i="61"/>
  <c r="F4" i="61"/>
  <c r="F3" i="61"/>
  <c r="F2" i="61"/>
  <c r="F6" i="37"/>
  <c r="F5" i="37"/>
  <c r="F4" i="37"/>
  <c r="F3" i="37"/>
  <c r="F2" i="37"/>
  <c r="H6" i="60"/>
  <c r="F6" i="60"/>
  <c r="F5" i="60"/>
  <c r="F4" i="60"/>
  <c r="F3" i="60"/>
  <c r="F2" i="60"/>
  <c r="H6" i="57"/>
  <c r="F6" i="57"/>
  <c r="F5" i="57"/>
  <c r="F4" i="57"/>
  <c r="F3" i="57"/>
  <c r="F2" i="57"/>
  <c r="F49" i="60"/>
  <c r="C26" i="57"/>
  <c r="C33" i="57"/>
  <c r="H40" i="45"/>
  <c r="G40" i="45"/>
  <c r="F40" i="45"/>
  <c r="E40" i="45"/>
  <c r="H29" i="45"/>
  <c r="F29" i="45"/>
  <c r="E29" i="45"/>
  <c r="E16" i="45"/>
  <c r="F16" i="45"/>
  <c r="F17" i="45"/>
  <c r="E17" i="45"/>
  <c r="G50" i="40"/>
  <c r="E50" i="40"/>
  <c r="E20" i="50"/>
  <c r="F20" i="50"/>
  <c r="G20" i="50"/>
  <c r="H20" i="50"/>
  <c r="E25" i="49"/>
  <c r="F25" i="49"/>
  <c r="G25" i="49"/>
  <c r="H25" i="49"/>
  <c r="E33" i="48"/>
  <c r="F33" i="48"/>
  <c r="G33" i="48"/>
  <c r="H33" i="48"/>
  <c r="E27" i="47"/>
  <c r="G27" i="47"/>
  <c r="E16" i="46"/>
  <c r="F16" i="46"/>
  <c r="G16" i="46"/>
  <c r="H16" i="46"/>
  <c r="E23" i="46"/>
  <c r="F23" i="46"/>
  <c r="G23" i="46"/>
  <c r="H23" i="46"/>
  <c r="E30" i="46"/>
  <c r="F30" i="46"/>
  <c r="G30" i="46"/>
  <c r="H30" i="46"/>
  <c r="E37" i="46"/>
  <c r="E18" i="45"/>
  <c r="F18" i="45"/>
  <c r="E16" i="44"/>
  <c r="F16" i="44"/>
  <c r="G16" i="44"/>
  <c r="H16" i="44"/>
  <c r="E16" i="43"/>
  <c r="F16" i="43"/>
  <c r="H16" i="43"/>
  <c r="E25" i="43"/>
  <c r="G25" i="43"/>
  <c r="H25" i="43"/>
  <c r="D15" i="41"/>
  <c r="D16" i="41"/>
  <c r="D17" i="41"/>
  <c r="D18" i="41"/>
  <c r="D19" i="41"/>
  <c r="D20" i="41"/>
  <c r="D21" i="41"/>
  <c r="D22" i="41"/>
  <c r="D23" i="41"/>
  <c r="D24" i="41"/>
  <c r="D25" i="41"/>
  <c r="D26" i="41"/>
  <c r="D27" i="41"/>
  <c r="D28" i="41"/>
  <c r="D29" i="41"/>
  <c r="D30" i="41"/>
  <c r="D31" i="41"/>
  <c r="D32" i="41"/>
  <c r="D33" i="41"/>
  <c r="D34" i="41"/>
  <c r="D35" i="41"/>
  <c r="D36" i="41"/>
  <c r="D37" i="41"/>
  <c r="D38" i="41"/>
  <c r="E39" i="41"/>
  <c r="F39" i="41"/>
  <c r="F50" i="40"/>
  <c r="H50" i="40"/>
  <c r="E51" i="37"/>
  <c r="F51" i="37"/>
  <c r="G51" i="37"/>
  <c r="H51" i="37"/>
  <c r="F7" i="37"/>
  <c r="H6" i="62"/>
  <c r="H6" i="43"/>
  <c r="H6" i="47"/>
  <c r="H6" i="49"/>
  <c r="F7" i="67"/>
  <c r="H6" i="69"/>
  <c r="J6" i="80"/>
  <c r="D34" i="60"/>
  <c r="F7" i="41"/>
  <c r="H6" i="42"/>
  <c r="H6" i="45"/>
  <c r="H6" i="48"/>
  <c r="H6" i="50"/>
  <c r="G7" i="81"/>
  <c r="I6" i="81"/>
  <c r="F7" i="45"/>
  <c r="H6" i="41"/>
  <c r="H6" i="44"/>
  <c r="H6" i="64"/>
  <c r="F7" i="49"/>
  <c r="H6" i="66"/>
  <c r="D20" i="82"/>
  <c r="D30" i="82"/>
  <c r="D23" i="82"/>
  <c r="D33" i="82"/>
  <c r="D43" i="82"/>
  <c r="D35" i="82"/>
  <c r="D45" i="82"/>
  <c r="D28" i="82"/>
  <c r="H6" i="37"/>
  <c r="H6" i="46"/>
  <c r="H6" i="67"/>
  <c r="F34" i="60"/>
  <c r="H6" i="63"/>
  <c r="H6" i="65"/>
  <c r="D51" i="60"/>
  <c r="F51" i="60"/>
  <c r="H7" i="62"/>
  <c r="H7" i="41"/>
  <c r="F7" i="96"/>
  <c r="J6" i="94"/>
  <c r="F7" i="95"/>
  <c r="H7" i="44"/>
  <c r="H7" i="45"/>
  <c r="H7" i="64"/>
  <c r="H7" i="48"/>
  <c r="F7" i="92"/>
  <c r="H7" i="37"/>
  <c r="H7" i="50"/>
  <c r="H7" i="67"/>
  <c r="H7" i="82"/>
  <c r="H7" i="96"/>
  <c r="J6" i="83"/>
  <c r="J6" i="82"/>
  <c r="J6" i="37"/>
  <c r="J6" i="66"/>
  <c r="J6" i="62"/>
  <c r="J6" i="95"/>
  <c r="J6" i="64"/>
  <c r="L6" i="80"/>
  <c r="J6" i="61"/>
  <c r="J6" i="65"/>
  <c r="J6" i="40"/>
  <c r="J6" i="60"/>
  <c r="J6" i="44"/>
  <c r="J6" i="46"/>
  <c r="J6" i="42"/>
  <c r="J6" i="69"/>
  <c r="K6" i="93"/>
  <c r="J6" i="43"/>
  <c r="J6" i="67"/>
  <c r="J6" i="48"/>
  <c r="J6" i="96"/>
  <c r="J6" i="45"/>
  <c r="J6" i="47"/>
  <c r="J6" i="92"/>
  <c r="J6" i="49"/>
  <c r="J6" i="70"/>
  <c r="J6" i="41"/>
  <c r="K6" i="81"/>
  <c r="J6" i="63"/>
  <c r="J6" i="50"/>
  <c r="L6" i="94"/>
  <c r="J6" i="57"/>
  <c r="H7" i="80"/>
  <c r="H7" i="66"/>
  <c r="F7" i="83"/>
  <c r="H7" i="47"/>
  <c r="H7" i="43"/>
  <c r="I7" i="93"/>
  <c r="H7" i="63"/>
  <c r="H7" i="40"/>
  <c r="F7" i="43"/>
  <c r="F7" i="57"/>
  <c r="F7" i="70"/>
  <c r="F7" i="64"/>
  <c r="F7" i="61"/>
  <c r="F7" i="46"/>
  <c r="F7" i="60"/>
  <c r="F7" i="62"/>
  <c r="F7" i="44"/>
  <c r="F7" i="63"/>
  <c r="G7" i="93"/>
  <c r="H7" i="69"/>
  <c r="H7" i="49"/>
  <c r="H7" i="65"/>
  <c r="H7" i="46"/>
  <c r="H7" i="95"/>
  <c r="H7" i="92"/>
  <c r="H7" i="42"/>
  <c r="F7" i="47"/>
  <c r="F7" i="48"/>
  <c r="F7" i="66"/>
  <c r="F7" i="65"/>
  <c r="H7" i="60"/>
  <c r="H7" i="94"/>
  <c r="F7" i="82"/>
  <c r="F7" i="69"/>
  <c r="F7" i="42"/>
  <c r="F7" i="40"/>
  <c r="D38" i="82"/>
  <c r="D25" i="82"/>
  <c r="D40" i="82"/>
</calcChain>
</file>

<file path=xl/sharedStrings.xml><?xml version="1.0" encoding="utf-8"?>
<sst xmlns="http://schemas.openxmlformats.org/spreadsheetml/2006/main" count="1234" uniqueCount="589">
  <si>
    <t>Disclaimer:</t>
  </si>
  <si>
    <t xml:space="preserve">The on page 4 "Outstanding Notes" mentioned indicators should be considered as valuations.They were determined on the basis of the following assumptions:
- data relating to the market used for such determination is that of the immediately preceding business day;
- the prices may contain terms of issue which were prevalent during the time of issue of the Notes and consequently may differ from current prevalent terms;
- the prices do not or only partially reflect any illiquidity which may be predominant in the market;
- the prices take into account the increased premiums relating to liquidity of the underlying assets (collateral).
</t>
  </si>
  <si>
    <t>Monthly Investor Report</t>
  </si>
  <si>
    <t>Monthly Period</t>
  </si>
  <si>
    <t>Payment Date</t>
  </si>
  <si>
    <t>Period  No</t>
  </si>
  <si>
    <t>to</t>
  </si>
  <si>
    <t>Note Balance</t>
  </si>
  <si>
    <t>Class A</t>
  </si>
  <si>
    <t>Class B</t>
  </si>
  <si>
    <t>All notes</t>
  </si>
  <si>
    <t>in %</t>
  </si>
  <si>
    <t>Current Prepayment Rate (annualised)</t>
  </si>
  <si>
    <t>Commingling Reserve</t>
  </si>
  <si>
    <t>Reserve Accounts</t>
  </si>
  <si>
    <t>Beginning of Period</t>
  </si>
  <si>
    <t>End of Period</t>
  </si>
  <si>
    <t>* 3-MRA stands for three months rolling average</t>
  </si>
  <si>
    <t>=</t>
  </si>
  <si>
    <t>General Note Information</t>
  </si>
  <si>
    <t xml:space="preserve">    ISIN Code</t>
  </si>
  <si>
    <t xml:space="preserve">    Initial Tranching</t>
  </si>
  <si>
    <t xml:space="preserve">    Initial Nominal per Note</t>
  </si>
  <si>
    <t xml:space="preserve">    Initial Number of Notes per Class</t>
  </si>
  <si>
    <t>Current Note Information</t>
  </si>
  <si>
    <t xml:space="preserve">    Redemption per Note</t>
  </si>
  <si>
    <t xml:space="preserve">    Redemption per Class</t>
  </si>
  <si>
    <t xml:space="preserve">    Current Tranching</t>
  </si>
  <si>
    <t>1. Note Balance</t>
  </si>
  <si>
    <t>2. Payments to Investors per Note</t>
  </si>
  <si>
    <t xml:space="preserve">    Current Pool Factor</t>
  </si>
  <si>
    <t xml:space="preserve">    Interest Rate Basis: 1-M Euribor  / Spread</t>
  </si>
  <si>
    <t xml:space="preserve">    Principal Outstanding per Note Beginning of Period</t>
  </si>
  <si>
    <t xml:space="preserve">    Principal Outstanding per Note End of Period</t>
  </si>
  <si>
    <t>&gt; Principal Repayment per Note</t>
  </si>
  <si>
    <t>3. Credit Enhancements</t>
  </si>
  <si>
    <t xml:space="preserve"> 1. Portfolio Information</t>
  </si>
  <si>
    <t xml:space="preserve"> Cover Sheet Monthly Investor Report</t>
  </si>
  <si>
    <t>from</t>
  </si>
  <si>
    <t>-</t>
  </si>
  <si>
    <t>Total</t>
  </si>
  <si>
    <t xml:space="preserve">  Scheduled Principal Payments</t>
  </si>
  <si>
    <t xml:space="preserve">  Prepayment Principal</t>
  </si>
  <si>
    <t>Total Principal Collections</t>
  </si>
  <si>
    <t>Total Interest Collections</t>
  </si>
  <si>
    <t>Defaults</t>
  </si>
  <si>
    <t>Trigger Event y/n</t>
  </si>
  <si>
    <t>no</t>
  </si>
  <si>
    <t xml:space="preserve"> 2. Reserve Accounts</t>
  </si>
  <si>
    <t xml:space="preserve">    Initial Notes Aggregate Principal Outstanding Balance</t>
  </si>
  <si>
    <t xml:space="preserve">    Class Principal Outstanding Balance Beginning of Period</t>
  </si>
  <si>
    <t xml:space="preserve">    Class Principal Outstanding Balance End of Period</t>
  </si>
  <si>
    <t xml:space="preserve">  1. Portfolio Information</t>
  </si>
  <si>
    <t xml:space="preserve">  2. Reserve Accounts</t>
  </si>
  <si>
    <t>Reporting Date</t>
  </si>
  <si>
    <t>Interest Period</t>
  </si>
  <si>
    <t>Index</t>
  </si>
  <si>
    <t>Outstanding Receivables</t>
  </si>
  <si>
    <t>Set-Off Reserve</t>
  </si>
  <si>
    <t>Annualised Loss Ratio period before previous period</t>
  </si>
  <si>
    <t>Annualised Loss Ratio previous period</t>
  </si>
  <si>
    <t>Annualised Loss Ratio current period</t>
  </si>
  <si>
    <t>Initial total CE (Subordination, Reserve)</t>
  </si>
  <si>
    <t>EUR</t>
  </si>
  <si>
    <t>act/360</t>
  </si>
  <si>
    <t xml:space="preserve">    Currency</t>
  </si>
  <si>
    <t xml:space="preserve">    DayCount Convention</t>
  </si>
  <si>
    <t>Page</t>
  </si>
  <si>
    <t>in EUR</t>
  </si>
  <si>
    <t>Average Amount</t>
  </si>
  <si>
    <t>Percentage of Balance</t>
  </si>
  <si>
    <t>Number of Loans</t>
  </si>
  <si>
    <t>Percentage of Loans</t>
  </si>
  <si>
    <t>No</t>
  </si>
  <si>
    <t>State</t>
  </si>
  <si>
    <t>Object Type</t>
  </si>
  <si>
    <t>Yes</t>
  </si>
  <si>
    <t>Contracts w/Balloon Payments</t>
  </si>
  <si>
    <t>-   of which ballon rates</t>
  </si>
  <si>
    <t>All contracts</t>
  </si>
  <si>
    <t>Contracts with initial downpayment</t>
  </si>
  <si>
    <t>Weighted average downpayment</t>
  </si>
  <si>
    <t>Average purchase price</t>
  </si>
  <si>
    <t>WA Interest</t>
  </si>
  <si>
    <t>WA Remaining Term</t>
  </si>
  <si>
    <t>WA Original Term</t>
  </si>
  <si>
    <t>Reserve Account</t>
  </si>
  <si>
    <t>Original Principal Balance (Ranges in EUR)</t>
  </si>
  <si>
    <t>Original Principal Balance in EUR</t>
  </si>
  <si>
    <t>Statistics</t>
  </si>
  <si>
    <t>Current Principal Balance (Ranges in EUR)</t>
  </si>
  <si>
    <t>Current Principal Balance in EUR</t>
  </si>
  <si>
    <t>n/a</t>
  </si>
  <si>
    <t>Payment Method</t>
  </si>
  <si>
    <t>Cycle of Payment</t>
  </si>
  <si>
    <t>WA Seasoning</t>
  </si>
  <si>
    <t>Remaining Term in Months</t>
  </si>
  <si>
    <t>Seasoning in Months</t>
  </si>
  <si>
    <t>Original Term in Months</t>
  </si>
  <si>
    <t xml:space="preserve">    Notional Amount</t>
  </si>
  <si>
    <t xml:space="preserve">    Swap Type</t>
  </si>
  <si>
    <t xml:space="preserve">    Fixed Rate</t>
  </si>
  <si>
    <t xml:space="preserve">    Net Swap Payments</t>
  </si>
  <si>
    <t>Priority of Payments</t>
  </si>
  <si>
    <t>Baden-Württemberg</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</si>
  <si>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</si>
  <si>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</si>
  <si>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</si>
  <si>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</si>
  <si>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</si>
  <si>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</si>
  <si>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</si>
  <si>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</si>
  <si>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</si>
  <si>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</si>
  <si>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</si>
  <si>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</si>
  <si>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</si>
  <si>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</si>
  <si>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Thüringen</t>
  </si>
  <si>
    <t xml:space="preserve">    Available Distribution Amount</t>
  </si>
  <si>
    <t xml:space="preserve">    Senior Expenses</t>
  </si>
  <si>
    <t xml:space="preserve">    Interest Notes Class A</t>
  </si>
  <si>
    <t xml:space="preserve">    Interest Notes Class B</t>
  </si>
  <si>
    <t xml:space="preserve">    Principal Payments Class A</t>
  </si>
  <si>
    <t xml:space="preserve">    Principal Payments Class B</t>
  </si>
  <si>
    <t xml:space="preserve">    Payments to Reserve Fund</t>
  </si>
  <si>
    <t xml:space="preserve">    Payments to Commingling Reserve Ledger</t>
  </si>
  <si>
    <t xml:space="preserve">    Payments to Set-Off Reserve Ledger</t>
  </si>
  <si>
    <t xml:space="preserve">    Swap Termination Payments</t>
  </si>
  <si>
    <t xml:space="preserve">    Interest Subordinated Loan</t>
  </si>
  <si>
    <t xml:space="preserve">    Principal Payments Subordinated Loan</t>
  </si>
  <si>
    <t xml:space="preserve">    Payments to Seller</t>
  </si>
  <si>
    <t>Cash Outflow</t>
  </si>
  <si>
    <t>Cash Inflow</t>
  </si>
  <si>
    <t>Required Reserve Fund</t>
  </si>
  <si>
    <t>Required Commingling Reserve Fund</t>
  </si>
  <si>
    <t>Required Set-Off Reserve Fund</t>
  </si>
  <si>
    <t>Current Period Recoveries</t>
  </si>
  <si>
    <t>Cumulative Recoveries</t>
  </si>
  <si>
    <t>&gt; Interest accrued for the period</t>
  </si>
  <si>
    <t xml:space="preserve">    Interest Payment per Note</t>
  </si>
  <si>
    <t>Transaction Costs</t>
  </si>
  <si>
    <t xml:space="preserve">    Interest accrued for the Period</t>
  </si>
  <si>
    <t xml:space="preserve">    Cumulative Interest accrued</t>
  </si>
  <si>
    <t xml:space="preserve">    Interest Payments</t>
  </si>
  <si>
    <t xml:space="preserve">    Cumulative Interest Payments</t>
  </si>
  <si>
    <t xml:space="preserve">    Interest accrued on Subordinated Loan for the Period</t>
  </si>
  <si>
    <t xml:space="preserve">    Cumulative Interest accrued on Subordinated Loan</t>
  </si>
  <si>
    <t xml:space="preserve">    Interest Payments on Subordinated Loan</t>
  </si>
  <si>
    <t xml:space="preserve">    Cumulative Interest Payments on Subordinated Loan</t>
  </si>
  <si>
    <t xml:space="preserve">    Unpaid Interest for the Period</t>
  </si>
  <si>
    <t xml:space="preserve">    Cumulative Unpaid Interest</t>
  </si>
  <si>
    <t xml:space="preserve">  Others</t>
  </si>
  <si>
    <t xml:space="preserve">    Interest Payment </t>
  </si>
  <si>
    <t xml:space="preserve">    Interest Days</t>
  </si>
  <si>
    <t xml:space="preserve">Current Principal Balance in EUR </t>
  </si>
  <si>
    <t>-   of which regular installments</t>
  </si>
  <si>
    <t>Downpayment in %</t>
  </si>
  <si>
    <t>Manufacturer</t>
  </si>
  <si>
    <t>Downpayment and                    Purchase Price in EUR</t>
  </si>
  <si>
    <t>3-MRA* 31- 60 days past due</t>
  </si>
  <si>
    <t>3-MRA* 61-90 days past due</t>
  </si>
  <si>
    <t>61- 90 days past due period before previous period</t>
  </si>
  <si>
    <t>61- 90 days past due previous period</t>
  </si>
  <si>
    <t>61- 90 days past due current period</t>
  </si>
  <si>
    <t>31- 60 days past due period before previous period</t>
  </si>
  <si>
    <t>31- 60 days past due previous period</t>
  </si>
  <si>
    <t>31- 60 days past due current period</t>
  </si>
  <si>
    <t>Santander Consumer Bank AG</t>
  </si>
  <si>
    <t>Heidemarie Gillaux</t>
  </si>
  <si>
    <t>Fixed Floating Interest Rate Swap</t>
  </si>
  <si>
    <t xml:space="preserve">    Floating Rate (Euribor)</t>
  </si>
  <si>
    <t>Current CE (incl. Excess Spread)</t>
  </si>
  <si>
    <t>Current CE (excl. Excess Spread)</t>
  </si>
  <si>
    <t xml:space="preserve">    Amortisation</t>
  </si>
  <si>
    <t>current period</t>
  </si>
  <si>
    <t>previous period</t>
  </si>
  <si>
    <t>Aggregate Outstanding Principal Amount</t>
  </si>
  <si>
    <r>
      <t>Yield Range</t>
    </r>
    <r>
      <rPr>
        <i/>
        <vertAlign val="superscript"/>
        <sz val="11"/>
        <color indexed="8"/>
        <rFont val="CompatilFact LT Regular"/>
      </rPr>
      <t>*</t>
    </r>
  </si>
  <si>
    <r>
      <t>*</t>
    </r>
    <r>
      <rPr>
        <sz val="10"/>
        <rFont val="CompatilFact LT Regular"/>
      </rPr>
      <t>runs from .00 to .99</t>
    </r>
  </si>
  <si>
    <t>+49-2161-690-5207</t>
  </si>
  <si>
    <t xml:space="preserve">    Payment due to rounding differences</t>
  </si>
  <si>
    <t xml:space="preserve">    Swap Rating Trigger Breach</t>
  </si>
  <si>
    <t>Accounting &amp; Taxes</t>
  </si>
  <si>
    <t xml:space="preserve">Principal Deficiency </t>
  </si>
  <si>
    <t>Principal Deficiency period before previous period</t>
  </si>
  <si>
    <t>Principal Deficiency previous period</t>
  </si>
  <si>
    <t>Principal Deficiency current period</t>
  </si>
  <si>
    <t>Michael Schuh</t>
  </si>
  <si>
    <t>+49-2161-690-5877</t>
  </si>
  <si>
    <t>michael.schuh@santander.de</t>
  </si>
  <si>
    <t>Bastian Menges</t>
  </si>
  <si>
    <t>+49-2161-690-7085</t>
  </si>
  <si>
    <t>bastian.menges@santander.de</t>
  </si>
  <si>
    <t>No. of
Contracts</t>
  </si>
  <si>
    <t>Ralph Cüppers</t>
  </si>
  <si>
    <t>+49-2161-690-7569</t>
  </si>
  <si>
    <t>SC Germany Auto 10-1</t>
  </si>
  <si>
    <t xml:space="preserve">    Original Rating (Fitch / Moody's / S&amp;P)</t>
  </si>
  <si>
    <t>AAA/Aaa/AAA</t>
  </si>
  <si>
    <t xml:space="preserve">    Current Rating (Fitch / Moody's / S&amp;P)*</t>
  </si>
  <si>
    <t>SC Germany Auto 2010-1</t>
  </si>
  <si>
    <t>Deal Name:</t>
  </si>
  <si>
    <t>Issuer:</t>
  </si>
  <si>
    <t>SC Germany Auto 2010-1 UG (haftungsbeschränkt)</t>
  </si>
  <si>
    <t>The Managing Directors</t>
  </si>
  <si>
    <t>Steinweg 3-5</t>
  </si>
  <si>
    <t>60313 Frankfurt am Main</t>
  </si>
  <si>
    <t>Germany</t>
  </si>
  <si>
    <t>fax +49 (0) 69 2992 5387</t>
  </si>
  <si>
    <t>Seller of the Receivables:</t>
  </si>
  <si>
    <t>Servicer Name:</t>
  </si>
  <si>
    <t>Reporting Entity:</t>
  </si>
  <si>
    <t>Santander-Platz 1</t>
  </si>
  <si>
    <t>41061 Mönchengladbach</t>
  </si>
  <si>
    <t>fax +49 (0) 2161 690 7077</t>
  </si>
  <si>
    <t>abs_ger@santander.de</t>
  </si>
  <si>
    <t>Wilmington Trust SP Services (Frankfurt) GmbH</t>
  </si>
  <si>
    <t>Moody's</t>
  </si>
  <si>
    <t>Fitch</t>
  </si>
  <si>
    <t>S &amp; P</t>
  </si>
  <si>
    <t>Long
Term</t>
  </si>
  <si>
    <t>Short
Term</t>
  </si>
  <si>
    <t>Outlook</t>
  </si>
  <si>
    <t>Natixis</t>
  </si>
  <si>
    <t>Rating Agencies:</t>
  </si>
  <si>
    <t>Moody's Deutschland GmbH</t>
  </si>
  <si>
    <t>Fitch Ratings Limited</t>
  </si>
  <si>
    <t>Standard &amp; Poor's Ratings Services</t>
  </si>
  <si>
    <t>Current Set-Off Amount</t>
  </si>
  <si>
    <t>Joint Lead Managers:</t>
  </si>
  <si>
    <t>Paying Agent:</t>
  </si>
  <si>
    <t>A3</t>
  </si>
  <si>
    <t>Herzogstraße 15</t>
  </si>
  <si>
    <t>40217 Düsseldorf</t>
  </si>
  <si>
    <t>Stable</t>
  </si>
  <si>
    <t>A+</t>
  </si>
  <si>
    <t>F1+</t>
  </si>
  <si>
    <t>A1</t>
  </si>
  <si>
    <t>France</t>
  </si>
  <si>
    <t>Bank of New York Mellon</t>
  </si>
  <si>
    <t>One Canada Square</t>
  </si>
  <si>
    <t>London E14 5AL</t>
  </si>
  <si>
    <t>England</t>
  </si>
  <si>
    <t>Transaction Security Trustee:</t>
  </si>
  <si>
    <t>United Kingdom</t>
  </si>
  <si>
    <t>Data Trustee:</t>
  </si>
  <si>
    <t>Strutured Finance Monitoring</t>
  </si>
  <si>
    <t>An der Welle 5</t>
  </si>
  <si>
    <t>60322 Frankfurt am Main</t>
  </si>
  <si>
    <t xml:space="preserve">20 Canada Square </t>
  </si>
  <si>
    <t>E14 5LH London</t>
  </si>
  <si>
    <t>Banco Santander S.A.</t>
  </si>
  <si>
    <t>Negative</t>
  </si>
  <si>
    <t>Santander Consumer Finance S.A.</t>
  </si>
  <si>
    <t>A2</t>
  </si>
  <si>
    <t>A-</t>
  </si>
  <si>
    <t>F1</t>
  </si>
  <si>
    <t>Transaction Account:</t>
  </si>
  <si>
    <t>Collection Period</t>
  </si>
  <si>
    <t>XS0525278304</t>
  </si>
  <si>
    <t>XS0525278486</t>
  </si>
  <si>
    <t xml:space="preserve">    Expected Maturity</t>
  </si>
  <si>
    <t xml:space="preserve">    Legal Maturity</t>
  </si>
  <si>
    <t>A/A3/A</t>
  </si>
  <si>
    <t>3-MRA* 91-120 days past due</t>
  </si>
  <si>
    <t>91- 120 days past due period before previous period</t>
  </si>
  <si>
    <t>91- 120 days past due previous period</t>
  </si>
  <si>
    <t>91- 120 days past due current period</t>
  </si>
  <si>
    <t>Structured Finance</t>
  </si>
  <si>
    <t>Contact Details</t>
  </si>
  <si>
    <t>Ratings Santander</t>
  </si>
  <si>
    <t>4. Valuation Prices</t>
  </si>
  <si>
    <t>** Please see disclaimer on page 25.</t>
  </si>
  <si>
    <t>Initial Indicative Valuation Price</t>
  </si>
  <si>
    <t>P-1</t>
  </si>
  <si>
    <t>A-1+</t>
  </si>
  <si>
    <t>P-2</t>
  </si>
  <si>
    <t>Ralf Schüring</t>
  </si>
  <si>
    <t>+49-2161-690-5464</t>
  </si>
  <si>
    <t>ralf.schuering@santander.de</t>
  </si>
  <si>
    <t>* Last rating action as of 20.04.2011</t>
  </si>
  <si>
    <t>A+/A3/A</t>
  </si>
  <si>
    <t>AA-</t>
  </si>
  <si>
    <t>Balloon Loans - Original Term in months</t>
  </si>
  <si>
    <t>Balloon Loans - Remaining Term in months</t>
  </si>
  <si>
    <t>Balloon Loans
in %</t>
  </si>
  <si>
    <t>Balloon Amounts
in EUR</t>
  </si>
  <si>
    <t>Balloon Amounts
in %</t>
  </si>
  <si>
    <t>Payment Protection Insurance</t>
  </si>
  <si>
    <t>Number of Balloon Loans</t>
  </si>
  <si>
    <t>Tobias Daners</t>
  </si>
  <si>
    <t>+49-2161-690-7410</t>
  </si>
  <si>
    <t>tobias.daners@santander.de</t>
  </si>
  <si>
    <t>A-1</t>
  </si>
  <si>
    <t>ralph.cueppers@santander.gesban.de</t>
  </si>
  <si>
    <t>heidemarie.gillaux@santander.gesban.de</t>
  </si>
  <si>
    <t>Peter Rene Müller</t>
  </si>
  <si>
    <t>+49-2161-690-7337</t>
  </si>
  <si>
    <t>peterrene.mueller@santander.de</t>
  </si>
  <si>
    <t>Capital Markets</t>
  </si>
  <si>
    <t>Downpayment</t>
  </si>
  <si>
    <t>A</t>
  </si>
  <si>
    <t xml:space="preserve"> 3. Delinquency Data</t>
  </si>
  <si>
    <t>Delinquency Data and Ratios</t>
  </si>
  <si>
    <r>
      <t xml:space="preserve">3-MRA* /
</t>
    </r>
    <r>
      <rPr>
        <sz val="10"/>
        <rFont val="Frutiger 57Cn"/>
      </rPr>
      <t>current ratio</t>
    </r>
  </si>
  <si>
    <t>Amount at risk</t>
  </si>
  <si>
    <t>Overdue amount</t>
  </si>
  <si>
    <t>Number of 
Loans</t>
  </si>
  <si>
    <t>3-MRA* 1- 30 days past due</t>
  </si>
  <si>
    <t>1- 30 days past due period before previous period</t>
  </si>
  <si>
    <t>1- 30 days past due previous period</t>
  </si>
  <si>
    <t>1- 30 days past due current period</t>
  </si>
  <si>
    <t>3-MRA* 121-150 days past due</t>
  </si>
  <si>
    <t>121- 150 days past due period before previous period</t>
  </si>
  <si>
    <t>121- 150 days past due previous period</t>
  </si>
  <si>
    <t>121- 150 days past due current period</t>
  </si>
  <si>
    <t>3-MRA* 151-180 days past due</t>
  </si>
  <si>
    <t>151- 180 days past due period before previous period</t>
  </si>
  <si>
    <t>151- 180 days past due previous period</t>
  </si>
  <si>
    <t>151- 180 days past due current period</t>
  </si>
  <si>
    <t xml:space="preserve"> 4. Default Data</t>
  </si>
  <si>
    <t>Default Data and Ratios</t>
  </si>
  <si>
    <t>Amount</t>
  </si>
  <si>
    <t>Current Default</t>
  </si>
  <si>
    <t>Current Period Gross Default</t>
  </si>
  <si>
    <t>Current Period Net Default</t>
  </si>
  <si>
    <t>New Number of Defaulted Contracts</t>
  </si>
  <si>
    <t>Cumulative Default</t>
  </si>
  <si>
    <t>Cumulative Gross Default</t>
  </si>
  <si>
    <t>Cumulative Net Default</t>
  </si>
  <si>
    <t>Total Number of Defaulted Contracts</t>
  </si>
  <si>
    <t>Ratio</t>
  </si>
  <si>
    <t>3-MRA* Annualised Net Default Ratio (New Default)</t>
  </si>
  <si>
    <t>PDL Trigger</t>
  </si>
  <si>
    <t>Repurchased Assets</t>
  </si>
  <si>
    <t>Current Repurchased Asset Amount through breach of warranty or voluntary buyback</t>
  </si>
  <si>
    <t>Cumulative Repurchased Asset Amount through breach of warranty or voluntary buyback</t>
  </si>
  <si>
    <t>Gap Insurance</t>
  </si>
  <si>
    <t>Swap Counterparty</t>
  </si>
  <si>
    <t xml:space="preserve">    Swap Counterparty </t>
  </si>
  <si>
    <t>Rating Trigger &amp; Current Ratings</t>
  </si>
  <si>
    <t>Consequenses</t>
  </si>
  <si>
    <t>Trigger breach</t>
  </si>
  <si>
    <t xml:space="preserve">   1st Rating Trigger</t>
  </si>
  <si>
    <t>Collateral, Guarantee
or Replacement</t>
  </si>
  <si>
    <t>---</t>
  </si>
  <si>
    <t xml:space="preserve">   2nd Rating Trigger</t>
  </si>
  <si>
    <t>Guarantee or Replacement</t>
  </si>
  <si>
    <t>BBB+</t>
  </si>
  <si>
    <t>F2</t>
  </si>
  <si>
    <t xml:space="preserve">   3rd Rating Trigger</t>
  </si>
  <si>
    <t>BBB-</t>
  </si>
  <si>
    <t>F3</t>
  </si>
  <si>
    <t>Current Counterparty Ratings</t>
  </si>
  <si>
    <t>Current Swap Data</t>
  </si>
  <si>
    <t>Swap Counterparty Details</t>
  </si>
  <si>
    <t>Counterparty Replacement</t>
  </si>
  <si>
    <t xml:space="preserve">   Old Counterparty</t>
  </si>
  <si>
    <t xml:space="preserve">   Current Counterparty</t>
  </si>
  <si>
    <t xml:space="preserve">   France</t>
  </si>
  <si>
    <t>Counterparty status</t>
  </si>
  <si>
    <t>Asset Based Finance</t>
  </si>
  <si>
    <t>A-2</t>
  </si>
  <si>
    <t>performing</t>
  </si>
  <si>
    <t>Phone: +49 211 826 01</t>
  </si>
  <si>
    <t xml:space="preserve">Corporate Trust Administration </t>
  </si>
  <si>
    <t>eMail: BNYM.Structured.Finance.Team.8@bnymellon.com</t>
  </si>
  <si>
    <t xml:space="preserve">Fax: +44 20 7964 4637 </t>
  </si>
  <si>
    <t xml:space="preserve">Messe Turm </t>
  </si>
  <si>
    <t xml:space="preserve">Friedrich-Ebert-Anlage 49 </t>
  </si>
  <si>
    <t xml:space="preserve">eMail: tsampikos.trigenis@bnymellon.com </t>
  </si>
  <si>
    <t xml:space="preserve">60327 Frankfurt am Main </t>
  </si>
  <si>
    <t xml:space="preserve">Fax: +49 69 12014 1687 </t>
  </si>
  <si>
    <t xml:space="preserve">Germany </t>
  </si>
  <si>
    <t>eMail fradirectors@wilmingtontrust.com</t>
  </si>
  <si>
    <t>SPV-Administrator:</t>
  </si>
  <si>
    <t xml:space="preserve">  3. Delinquency Data</t>
  </si>
  <si>
    <t xml:space="preserve">  4. Default Data</t>
  </si>
  <si>
    <t>TOP 15 manufacturer brands in alphabetical order:</t>
  </si>
  <si>
    <t xml:space="preserve"> 4.1 Default Data per Quarter</t>
  </si>
  <si>
    <t xml:space="preserve">  4.1 Default Data per Quarter</t>
  </si>
  <si>
    <t xml:space="preserve"> 7.1 Current PB (Graph)</t>
  </si>
  <si>
    <t xml:space="preserve"> 7. Current Principal Balance</t>
  </si>
  <si>
    <t xml:space="preserve"> 6.1 Original PB (Graph)</t>
  </si>
  <si>
    <t xml:space="preserve"> 6. Original Principal Balance</t>
  </si>
  <si>
    <t xml:space="preserve"> 5. Outstanding Notes</t>
  </si>
  <si>
    <t xml:space="preserve"> 8. Borrower Concentration</t>
  </si>
  <si>
    <t xml:space="preserve"> 9. Geographical Distribution</t>
  </si>
  <si>
    <t xml:space="preserve"> 9.1 Geographical Distribution (Graph)</t>
  </si>
  <si>
    <t xml:space="preserve"> 10. Object Type</t>
  </si>
  <si>
    <t xml:space="preserve"> 11. Insurances</t>
  </si>
  <si>
    <t xml:space="preserve"> 12. Type of Contract</t>
  </si>
  <si>
    <t xml:space="preserve"> 13. Payment Methods</t>
  </si>
  <si>
    <t xml:space="preserve"> 14. Customer Yield</t>
  </si>
  <si>
    <t xml:space="preserve"> 14.1 Customer Yield (Graph)</t>
  </si>
  <si>
    <t xml:space="preserve"> 15. Seasoning</t>
  </si>
  <si>
    <t xml:space="preserve"> 15.1 Seasoning (Graph)</t>
  </si>
  <si>
    <t xml:space="preserve"> 16. Remaining Term</t>
  </si>
  <si>
    <t xml:space="preserve"> 16.1 Remaining Term (Graph)</t>
  </si>
  <si>
    <t xml:space="preserve"> 17. Original Term</t>
  </si>
  <si>
    <t xml:space="preserve"> 17.1 Original Term (Graph)</t>
  </si>
  <si>
    <t xml:space="preserve"> 18. Manufacturer</t>
  </si>
  <si>
    <t xml:space="preserve"> 19. Priority of Payments + Transaction Costs</t>
  </si>
  <si>
    <t xml:space="preserve"> 20. Swap Counterparty</t>
  </si>
  <si>
    <t xml:space="preserve"> 21. Counterparties</t>
  </si>
  <si>
    <t xml:space="preserve"> 22. Issuer Information</t>
  </si>
  <si>
    <t xml:space="preserve"> 23. Santander Consumer Bank</t>
  </si>
  <si>
    <t xml:space="preserve"> 24. Disclaimer</t>
  </si>
  <si>
    <t xml:space="preserve">  5. Outstanding Notes</t>
  </si>
  <si>
    <t xml:space="preserve">  6. Original Principal Balance</t>
  </si>
  <si>
    <t xml:space="preserve">  6.1 Original PB (Graph)</t>
  </si>
  <si>
    <t xml:space="preserve">  7. Current Principal Balance</t>
  </si>
  <si>
    <t xml:space="preserve">  7.1 Current PB (Graph)</t>
  </si>
  <si>
    <t xml:space="preserve">  8. Borrower Concentration</t>
  </si>
  <si>
    <t xml:space="preserve">  9. Geographical Distribution</t>
  </si>
  <si>
    <t xml:space="preserve">  9.1  Geographical (Graph)</t>
  </si>
  <si>
    <t xml:space="preserve">  10. Object Type</t>
  </si>
  <si>
    <t xml:space="preserve">  12. Contract Type</t>
  </si>
  <si>
    <t xml:space="preserve">  13. Payment Methods </t>
  </si>
  <si>
    <t xml:space="preserve">  14. Customer Yield</t>
  </si>
  <si>
    <t xml:space="preserve">  14.1 Customer Yield (Graph)</t>
  </si>
  <si>
    <t xml:space="preserve">  15. Seasoning </t>
  </si>
  <si>
    <t xml:space="preserve">  15.1 Seasoning (Graph)</t>
  </si>
  <si>
    <t xml:space="preserve">  16. Remaining Term</t>
  </si>
  <si>
    <t xml:space="preserve">  16.1 Remaining Term (Graph)</t>
  </si>
  <si>
    <t xml:space="preserve">  17. Original Term</t>
  </si>
  <si>
    <t xml:space="preserve">  17.1 Original Term (Graph)</t>
  </si>
  <si>
    <t xml:space="preserve">  18. Manufacturer</t>
  </si>
  <si>
    <t xml:space="preserve">  19. Priority of Payments + Transaction Costs</t>
  </si>
  <si>
    <t xml:space="preserve">  20. Swap Counterparty Data </t>
  </si>
  <si>
    <t xml:space="preserve">  21. Counterparties</t>
  </si>
  <si>
    <t xml:space="preserve">  22. Issuer Information</t>
  </si>
  <si>
    <t xml:space="preserve">  23. Santander Consumer Bank</t>
  </si>
  <si>
    <t xml:space="preserve">  24. Disclaimer</t>
  </si>
  <si>
    <t>Recoveries</t>
  </si>
  <si>
    <t>New Defaults</t>
  </si>
  <si>
    <t>Q3 2010</t>
  </si>
  <si>
    <t>Q4 2010</t>
  </si>
  <si>
    <t>Q1 2011</t>
  </si>
  <si>
    <t>Q2 2011</t>
  </si>
  <si>
    <t>Q3 2011</t>
  </si>
  <si>
    <t>Q4 2011</t>
  </si>
  <si>
    <t>Q1 2012</t>
  </si>
  <si>
    <t>Periods</t>
  </si>
  <si>
    <t>1-3</t>
  </si>
  <si>
    <t>4-6</t>
  </si>
  <si>
    <t>7-9</t>
  </si>
  <si>
    <t>10-12</t>
  </si>
  <si>
    <t>13-15</t>
  </si>
  <si>
    <t>16-18</t>
  </si>
  <si>
    <t>Quarter of Default</t>
  </si>
  <si>
    <t>Recoveries in Quarter</t>
  </si>
  <si>
    <t>Set-Off Amount (per Loan)</t>
  </si>
  <si>
    <t>Set-Off Amount (in % of Outstanding Balance)</t>
  </si>
  <si>
    <t>30 North Colonnade, Canary Wharf</t>
  </si>
  <si>
    <t>London E14 5GN</t>
  </si>
  <si>
    <t>Car Type</t>
  </si>
  <si>
    <t xml:space="preserve">  11. Insurances</t>
  </si>
  <si>
    <t xml:space="preserve">   Natixis - OTC Collateral Management</t>
  </si>
  <si>
    <t xml:space="preserve">   90 Avenue de Terroirs de France</t>
  </si>
  <si>
    <t xml:space="preserve">   75012 Paris</t>
  </si>
  <si>
    <t xml:space="preserve">   eMail: collateral-management@natixis.com</t>
  </si>
  <si>
    <t xml:space="preserve">   Phone: +33 158 55 99 48</t>
  </si>
  <si>
    <t>BP 4</t>
  </si>
  <si>
    <t>eMail: legal.bonds@natixis.com</t>
  </si>
  <si>
    <t>75060 Paris Cedex 02</t>
  </si>
  <si>
    <t>Phone: +33 158 55 99 48</t>
  </si>
  <si>
    <t>Aa1</t>
  </si>
  <si>
    <t>Baa2</t>
  </si>
  <si>
    <t>eMail: abs@portigon.com</t>
  </si>
  <si>
    <t>Portigon AG (ex WestLB AG)</t>
  </si>
  <si>
    <t xml:space="preserve">The valuation prices (Bewertungskurse) mentioned on page 4 ”Outstanding Notes” reflect Portigon AG (ex WestLB AG) and NATIXIS's assessment of market conditions as of the on page4 "Outstanding Notes" mentioned date of determination. The valuation prices were determined using recognised methods and on the basis of publicly available data relating to the market, however, such data is subject to continuous adjustments. </t>
  </si>
  <si>
    <t>The valuation prices are non-binding and are provided to investors solely for information purposes. These are not to be considered as an offer on the part of Portigon AG (ex WestLB AG) or NATIXIS to amend or terminate the concluded transaction(s) or to conclude any transactions. The presented valuation prices do not necessarily reflect to the internal valuation approach of Portigon AG (ex WestLB AG)'s or NATIXIS's risk management, accounting department or any other (based upon a theoretical model) valuations of Portigon AG (ex WestLB AG) or of NATIXIS.</t>
  </si>
  <si>
    <t>Numerous factors may influence the valuation of the listed position(s). The valuation of these positions may vary if one takes into account different sources, different valuation factors or special circumstances in a specific case (e.g. illiquidity of the market, if the valued transaction is included in a complex transaction between investors and Portigon AG (ex WestLB AG) or NATIXIS, respectively, etc). Any trade with financial instruments always involves risks, so that no conclusions at all can be drawn from the past performance of investor’s investments with respect to their future performance. Neither Portigon AG (ex WestLB AG) nor NATIXIS will inform investors about any changes relating to the principles of valuations and the valuation prices which became known only in retrospect or which become known in the future, nor is either Portigon AG (ex WestLB AG) or NATIXIS obliged to do so.</t>
  </si>
  <si>
    <t>Despite careful computation, none of Portigon AG (ex WestLB AG), NATIXIS or Santander Consumer Bank AG will guarantee the correctness, the completeness or the most up-to-date status of the determined valuation prices. None of Portigon AG (ex WestLB AG), NATIXIS or Santander Consumer Bank AG will assume any liability for the consequences arising from the use of the valuation prices provided by it. In addition, none of Portigon AG (ex WestLB AG), NATIXIS or Santander Consumer Bank AG will guarantee that the valuation prices could in fact have been attained or that these can be attained in the future with appropriate market conditions.</t>
  </si>
  <si>
    <t xml:space="preserve">    0:  999</t>
  </si>
  <si>
    <t xml:space="preserve"> 1000: 1999</t>
  </si>
  <si>
    <t xml:space="preserve"> 2000: 2999</t>
  </si>
  <si>
    <t xml:space="preserve"> 3000: 3999</t>
  </si>
  <si>
    <t xml:space="preserve"> 4000: 4999</t>
  </si>
  <si>
    <t xml:space="preserve"> 5000: 5999</t>
  </si>
  <si>
    <t xml:space="preserve"> 6000: 6999</t>
  </si>
  <si>
    <t xml:space="preserve"> 7000: 7999</t>
  </si>
  <si>
    <t xml:space="preserve"> 8000: 8999</t>
  </si>
  <si>
    <t xml:space="preserve"> 9000: 9999</t>
  </si>
  <si>
    <t>10000:10999</t>
  </si>
  <si>
    <t>11000:11999</t>
  </si>
  <si>
    <t>12000:12999</t>
  </si>
  <si>
    <t>13000:13999</t>
  </si>
  <si>
    <t>14000:14999</t>
  </si>
  <si>
    <t>15000:15999</t>
  </si>
  <si>
    <t>16000:16999</t>
  </si>
  <si>
    <t>17000:17999</t>
  </si>
  <si>
    <t>18000:18999</t>
  </si>
  <si>
    <t>19000:19999</t>
  </si>
  <si>
    <t>20000:20999</t>
  </si>
  <si>
    <t>21000:21999</t>
  </si>
  <si>
    <t>22000:22999</t>
  </si>
  <si>
    <t>23000:23999</t>
  </si>
  <si>
    <t>24000:24999</t>
  </si>
  <si>
    <t>25000:25999</t>
  </si>
  <si>
    <t>26000:26999</t>
  </si>
  <si>
    <t>27000:27999</t>
  </si>
  <si>
    <t>28000:28999</t>
  </si>
  <si>
    <t>29000:29999</t>
  </si>
  <si>
    <t>30000:30999</t>
  </si>
  <si>
    <t>31000:31999</t>
  </si>
  <si>
    <t>32000:32999</t>
  </si>
  <si>
    <t>33000:33999</t>
  </si>
  <si>
    <t>34000:34999</t>
  </si>
  <si>
    <t xml:space="preserve">35001:     </t>
  </si>
  <si>
    <t xml:space="preserve"> 1: 1</t>
  </si>
  <si>
    <t xml:space="preserve"> 4: 4</t>
  </si>
  <si>
    <t xml:space="preserve"> 5: 5</t>
  </si>
  <si>
    <t xml:space="preserve"> 6: 6</t>
  </si>
  <si>
    <t xml:space="preserve"> 7: 7</t>
  </si>
  <si>
    <t xml:space="preserve"> 8: 8</t>
  </si>
  <si>
    <t xml:space="preserve"> 9: 9</t>
  </si>
  <si>
    <t>10:10</t>
  </si>
  <si>
    <t>11:11</t>
  </si>
  <si>
    <t>12:12</t>
  </si>
  <si>
    <t>13:13</t>
  </si>
  <si>
    <t>14:14</t>
  </si>
  <si>
    <t>15:15</t>
  </si>
  <si>
    <t>27:29</t>
  </si>
  <si>
    <t>30:32</t>
  </si>
  <si>
    <t>33:35</t>
  </si>
  <si>
    <t>36:38</t>
  </si>
  <si>
    <t>39:41</t>
  </si>
  <si>
    <t>42:44</t>
  </si>
  <si>
    <t>45:47</t>
  </si>
  <si>
    <t>48:50</t>
  </si>
  <si>
    <t>51:53</t>
  </si>
  <si>
    <t>54:56</t>
  </si>
  <si>
    <t>57:59</t>
  </si>
  <si>
    <t>60:62</t>
  </si>
  <si>
    <t>63:65</t>
  </si>
  <si>
    <t>66:68</t>
  </si>
  <si>
    <t>69:71</t>
  </si>
  <si>
    <t>72:74</t>
  </si>
  <si>
    <t>75:77</t>
  </si>
  <si>
    <t>78:80</t>
  </si>
  <si>
    <t xml:space="preserve">81:  </t>
  </si>
  <si>
    <t>Direct Debit</t>
  </si>
  <si>
    <t>Other</t>
  </si>
  <si>
    <t>with initial downpayment</t>
  </si>
  <si>
    <t>without initial downpayment</t>
  </si>
  <si>
    <t>15th of month</t>
  </si>
  <si>
    <t>1st of month</t>
  </si>
  <si>
    <t xml:space="preserve"> 0: 6</t>
  </si>
  <si>
    <t xml:space="preserve"> 7:13</t>
  </si>
  <si>
    <t>14:20</t>
  </si>
  <si>
    <t>21:27</t>
  </si>
  <si>
    <t>28:34</t>
  </si>
  <si>
    <t>35:41</t>
  </si>
  <si>
    <t>42:48</t>
  </si>
  <si>
    <t>49:55</t>
  </si>
  <si>
    <t>56:62</t>
  </si>
  <si>
    <t>63:69</t>
  </si>
  <si>
    <t>77:83</t>
  </si>
  <si>
    <t>13:25</t>
  </si>
  <si>
    <t>26:38</t>
  </si>
  <si>
    <t>39:51</t>
  </si>
  <si>
    <t>52:64</t>
  </si>
  <si>
    <t>65:77</t>
  </si>
  <si>
    <t xml:space="preserve">78:  </t>
  </si>
  <si>
    <t>35000:35000</t>
  </si>
  <si>
    <t>New Vehicle</t>
  </si>
  <si>
    <t>Used Vehicle</t>
  </si>
  <si>
    <t>Car</t>
  </si>
  <si>
    <t>Motorbike</t>
  </si>
  <si>
    <t>Trailer</t>
  </si>
  <si>
    <t>65:72</t>
  </si>
  <si>
    <t xml:space="preserve">73:  </t>
  </si>
  <si>
    <t xml:space="preserve"> 0:12</t>
  </si>
  <si>
    <t>yes</t>
  </si>
  <si>
    <t>Audi, BMW, Citroen, Ford, Honda, Hyundai, Kia, Mazda, Mercedes, Nissan, Opel, Peugeot, Renault, Suzuki, VW</t>
  </si>
  <si>
    <t>NR</t>
  </si>
  <si>
    <t>19-21</t>
  </si>
  <si>
    <t>Q2 2012</t>
  </si>
  <si>
    <t>22-24</t>
  </si>
  <si>
    <t>Q3 2012</t>
  </si>
  <si>
    <t>25-27</t>
  </si>
  <si>
    <t>Ratings as of 30.09.2012</t>
  </si>
  <si>
    <t>Retained</t>
  </si>
  <si>
    <t>100,76 / 100,74</t>
  </si>
  <si>
    <t>Current Indicative Valuation Price (Portigon / Natixis)**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</si>
</sst>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166" formatCode="#,##0.00\ &quot;€&quot;;\-#,##0.00\ &quot;€&quot;"/>
    <numFmt numFmtId="170" formatCode="_-* #,##0.00\ &quot;€&quot;_-;\-* #,##0.00\ &quot;€&quot;_-;_-* &quot;-&quot;??\ &quot;€&quot;_-;_-@_-"/>
    <numFmt numFmtId="171" formatCode="_-* #,##0.00\ _€_-;\-* #,##0.00\ _€_-;_-* &quot;-&quot;??\ _€_-;_-@_-"/>
    <numFmt numFmtId="172" formatCode="#,##0.00\ &quot;€&quot;"/>
    <numFmt numFmtId="173" formatCode="0.0%"/>
    <numFmt numFmtId="174" formatCode="0.0000%"/>
    <numFmt numFmtId="175" formatCode="&quot;+&quot;#\ &quot;bps&quot;"/>
    <numFmt numFmtId="176" formatCode="0.00000%"/>
    <numFmt numFmtId="177" formatCode="#\ &quot;days&quot;"/>
    <numFmt numFmtId="178" formatCode="0.0000000000000000%"/>
    <numFmt numFmtId="179" formatCode="0.000%"/>
    <numFmt numFmtId="180" formatCode="mmm\ yyyy"/>
    <numFmt numFmtId="181" formatCode="[$-407]mmmm\ yy;@"/>
    <numFmt numFmtId="182" formatCode="#,##0\ &quot;€&quot;"/>
    <numFmt numFmtId="183" formatCode="&quot;+&quot;#.000000\ &quot;bps&quot;"/>
    <numFmt numFmtId="184" formatCode="[$-407]mmm/\ yy;@"/>
  </numFmts>
  <fonts count="56">
    <font>
      <sz val="10"/>
      <name val="Arial"/>
    </font>
    <font>
      <sz val="10"/>
      <name val="Arial"/>
    </font>
    <font>
      <sz val="8"/>
      <name val="Arial"/>
      <family val="2"/>
    </font>
    <font>
      <u/>
      <sz val="8.5"/>
      <color indexed="12"/>
      <name val="Arial"/>
      <family val="2"/>
    </font>
    <font>
      <sz val="10"/>
      <name val="Frutiger 57Cn"/>
    </font>
    <font>
      <b/>
      <sz val="14"/>
      <color indexed="18"/>
      <name val="Frutiger 57Cn"/>
    </font>
    <font>
      <b/>
      <sz val="14"/>
      <name val="Frutiger 57Cn"/>
    </font>
    <font>
      <sz val="10"/>
      <color indexed="18"/>
      <name val="Frutiger 57Cn"/>
    </font>
    <font>
      <b/>
      <sz val="10"/>
      <name val="Frutiger 57Cn"/>
    </font>
    <font>
      <b/>
      <u/>
      <sz val="14"/>
      <color indexed="18"/>
      <name val="Frutiger 57Cn"/>
    </font>
    <font>
      <b/>
      <u/>
      <sz val="14"/>
      <name val="Frutiger 57Cn"/>
    </font>
    <font>
      <b/>
      <u/>
      <sz val="14"/>
      <color indexed="12"/>
      <name val="Frutiger 57Cn"/>
    </font>
    <font>
      <sz val="10"/>
      <color indexed="12"/>
      <name val="Frutiger 57Cn"/>
    </font>
    <font>
      <sz val="8"/>
      <name val="Frutiger 57Cn"/>
    </font>
    <font>
      <b/>
      <sz val="10"/>
      <color indexed="10"/>
      <name val="Frutiger 57Cn"/>
    </font>
    <font>
      <sz val="14"/>
      <name val="Frutiger 57Cn"/>
    </font>
    <font>
      <sz val="10"/>
      <color indexed="8"/>
      <name val="MS Sans Serif"/>
      <family val="2"/>
    </font>
    <font>
      <sz val="10"/>
      <color indexed="8"/>
      <name val="Arial"/>
      <family val="2"/>
    </font>
    <font>
      <sz val="10"/>
      <color indexed="8"/>
      <name val="CompatilFact LT Regular"/>
    </font>
    <font>
      <sz val="10"/>
      <name val="CompatilFact LT Regular"/>
    </font>
    <font>
      <sz val="11"/>
      <color indexed="8"/>
      <name val="CompatilFact LT Regular"/>
    </font>
    <font>
      <sz val="11"/>
      <name val="CompatilFact LT Regular"/>
    </font>
    <font>
      <b/>
      <sz val="10"/>
      <color indexed="8"/>
      <name val="CompatilFact LT Regular"/>
    </font>
    <font>
      <b/>
      <sz val="10"/>
      <name val="Arial"/>
      <family val="2"/>
    </font>
    <font>
      <b/>
      <u/>
      <sz val="14"/>
      <name val="CompatilFact LT Regular"/>
    </font>
    <font>
      <sz val="10"/>
      <color indexed="10"/>
      <name val="Frutiger 57Cn"/>
    </font>
    <font>
      <b/>
      <sz val="10"/>
      <color indexed="9"/>
      <name val="Frutiger 57Cn"/>
    </font>
    <font>
      <i/>
      <sz val="11"/>
      <color indexed="8"/>
      <name val="CompatilFact LT Regular"/>
    </font>
    <font>
      <b/>
      <sz val="10"/>
      <name val="CompatilFact LT Regular"/>
    </font>
    <font>
      <b/>
      <sz val="10"/>
      <name val="Arial"/>
      <family val="2"/>
    </font>
    <font>
      <b/>
      <sz val="8"/>
      <name val="Arial"/>
      <family val="2"/>
    </font>
    <font>
      <b/>
      <sz val="14"/>
      <name val="Arial"/>
      <family val="2"/>
    </font>
    <font>
      <sz val="10"/>
      <name val="Arial"/>
      <family val="2"/>
    </font>
    <font>
      <b/>
      <u/>
      <sz val="10"/>
      <name val="Arial"/>
      <family val="2"/>
    </font>
    <font>
      <b/>
      <u/>
      <sz val="14"/>
      <name val="Arial"/>
      <family val="2"/>
    </font>
    <font>
      <sz val="10"/>
      <color indexed="8"/>
      <name val="Arial"/>
      <family val="2"/>
    </font>
    <font>
      <sz val="10"/>
      <name val="Agency FB"/>
      <family val="2"/>
    </font>
    <font>
      <b/>
      <sz val="10"/>
      <name val="Agency FB"/>
      <family val="2"/>
    </font>
    <font>
      <b/>
      <sz val="10"/>
      <color indexed="8"/>
      <name val="Agency FB"/>
      <family val="2"/>
    </font>
    <font>
      <u/>
      <sz val="8.5"/>
      <color indexed="12"/>
      <name val="CompatilFact LT Regular"/>
    </font>
    <font>
      <i/>
      <vertAlign val="superscript"/>
      <sz val="11"/>
      <color indexed="8"/>
      <name val="CompatilFact LT Regular"/>
    </font>
    <font>
      <vertAlign val="superscript"/>
      <sz val="10"/>
      <name val="CompatilFact LT Regular"/>
    </font>
    <font>
      <b/>
      <sz val="12"/>
      <name val="Arial"/>
      <family val="2"/>
    </font>
    <font>
      <sz val="12"/>
      <color indexed="8"/>
      <name val="Arial"/>
      <family val="2"/>
    </font>
    <font>
      <sz val="12"/>
      <color indexed="8"/>
      <name val="CompatilFact LT Regular"/>
    </font>
    <font>
      <sz val="12"/>
      <name val="Arial"/>
      <family val="2"/>
    </font>
    <font>
      <i/>
      <sz val="12"/>
      <color indexed="8"/>
      <name val="CompatilFact LT Regular"/>
    </font>
    <font>
      <u/>
      <sz val="12"/>
      <color indexed="12"/>
      <name val="CompatilFact LT Regular"/>
    </font>
    <font>
      <u/>
      <sz val="12"/>
      <color indexed="12"/>
      <name val="Arial"/>
      <family val="2"/>
    </font>
    <font>
      <b/>
      <sz val="10"/>
      <color indexed="8"/>
      <name val="Arial"/>
      <family val="2"/>
    </font>
    <font>
      <b/>
      <sz val="12"/>
      <name val="CompatilFact LT Regular"/>
    </font>
    <font>
      <sz val="12"/>
      <name val="Frutiger 57Cn"/>
    </font>
    <font>
      <sz val="12"/>
      <name val="CompatilFact LT Regular"/>
    </font>
    <font>
      <sz val="8"/>
      <name val="Arial"/>
      <family val="2"/>
    </font>
    <font>
      <b/>
      <sz val="10"/>
      <name val="Arial"/>
      <family val="2"/>
    </font>
    <font>
      <sz val="10"/>
      <color indexed="8"/>
      <name val="Arial"/>
      <family val="2"/>
    </font>
  </fonts>
  <fills count="3">
    <fill>
      <patternFill patternType="none"/>
    </fill>
    <fill>
      <patternFill patternType="gray125"/>
    </fill>
    <fill>
      <patternFill patternType="solid">
        <fgColor indexed="22"/>
        <bgColor indexed="64"/>
      </patternFill>
    </fill>
  </fills>
  <borders count="5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double">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style="medium">
        <color indexed="64"/>
      </left>
      <right/>
      <top/>
      <bottom style="double">
        <color indexed="64"/>
      </bottom>
      <diagonal/>
    </border>
    <border>
      <left/>
      <right style="medium">
        <color indexed="64"/>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thin">
        <color indexed="64"/>
      </left>
      <right style="medium">
        <color indexed="64"/>
      </right>
      <top style="double">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double">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style="double">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right/>
      <top style="medium">
        <color indexed="64"/>
      </top>
      <bottom/>
      <diagonal/>
    </border>
    <border>
      <left style="thin">
        <color indexed="64"/>
      </left>
      <right style="thin">
        <color indexed="64"/>
      </right>
      <top style="thin">
        <color indexed="22"/>
      </top>
      <bottom style="thin">
        <color indexed="22"/>
      </bottom>
      <diagonal/>
    </border>
    <border>
      <left/>
      <right/>
      <top/>
      <bottom style="medium">
        <color indexed="64"/>
      </bottom>
      <diagonal/>
    </border>
    <border>
      <left style="medium">
        <color indexed="64"/>
      </left>
      <right style="thin">
        <color indexed="64"/>
      </right>
      <top style="thin">
        <color indexed="22"/>
      </top>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s>
  <cellStyleXfs count="29">
    <xf numFmtId="0" fontId="0" fillId="0" borderId="0"/>
    <xf numFmtId="171" fontId="1" fillId="0" borderId="0" applyFont="0" applyFill="0" applyBorder="0" applyAlignment="0" applyProtection="0"/>
    <xf numFmtId="170" fontId="1" fillId="0" borderId="0" applyFont="0" applyFill="0" applyBorder="0" applyAlignment="0" applyProtection="0"/>
    <xf numFmtId="170" fontId="32" fillId="0" borderId="0" applyFont="0" applyFill="0" applyBorder="0" applyAlignment="0" applyProtection="0"/>
    <xf numFmtId="0" fontId="3" fillId="0" borderId="0" applyNumberFormat="0" applyFill="0" applyBorder="0" applyAlignment="0" applyProtection="0">
      <alignment vertical="top"/>
      <protection locked="0"/>
    </xf>
    <xf numFmtId="171" fontId="32" fillId="0" borderId="0" applyFont="0" applyFill="0" applyBorder="0" applyAlignment="0" applyProtection="0"/>
    <xf numFmtId="0" fontId="17" fillId="0" borderId="0"/>
    <xf numFmtId="0" fontId="17" fillId="0" borderId="0"/>
    <xf numFmtId="0" fontId="17" fillId="0" borderId="0"/>
    <xf numFmtId="0" fontId="16" fillId="0" borderId="0"/>
    <xf numFmtId="0" fontId="16" fillId="0" borderId="0"/>
    <xf numFmtId="0" fontId="17" fillId="0" borderId="0"/>
    <xf numFmtId="0" fontId="17" fillId="0" borderId="0"/>
    <xf numFmtId="0" fontId="16" fillId="0" borderId="0"/>
    <xf numFmtId="0" fontId="17" fillId="0" borderId="0"/>
    <xf numFmtId="0" fontId="17" fillId="0" borderId="0"/>
    <xf numFmtId="0" fontId="17" fillId="0" borderId="0"/>
    <xf numFmtId="0" fontId="16" fillId="0" borderId="0"/>
    <xf numFmtId="0" fontId="16" fillId="0" borderId="0"/>
    <xf numFmtId="0" fontId="17" fillId="0" borderId="0"/>
    <xf numFmtId="9" fontId="1" fillId="0" borderId="0" applyFont="0" applyFill="0" applyBorder="0" applyAlignment="0" applyProtection="0"/>
    <xf numFmtId="9" fontId="32" fillId="0" borderId="0" applyFont="0" applyFill="0" applyBorder="0" applyAlignment="0" applyProtection="0"/>
    <xf numFmtId="0" fontId="32" fillId="0" borderId="0"/>
    <xf numFmtId="0" fontId="55" fillId="0" borderId="0"/>
    <xf numFmtId="0" fontId="16" fillId="0" borderId="0"/>
    <xf numFmtId="0" fontId="16" fillId="0" borderId="0"/>
    <xf numFmtId="0" fontId="16" fillId="0" borderId="0"/>
    <xf numFmtId="0" fontId="16" fillId="0" borderId="0"/>
    <xf numFmtId="0" fontId="16" fillId="0" borderId="0"/>
  </cellStyleXfs>
  <cellXfs count="851">
    <xf numFmtId="0" fontId="0" fillId="0" borderId="0" xfId="0"/>
    <xf numFmtId="0" fontId="4" fillId="0" borderId="1" xfId="0" applyFont="1" applyBorder="1"/>
    <xf numFmtId="0" fontId="4" fillId="0" borderId="2" xfId="0" applyFont="1" applyBorder="1"/>
    <xf numFmtId="0" fontId="4" fillId="0" borderId="3" xfId="0" applyFont="1" applyBorder="1"/>
    <xf numFmtId="0" fontId="4" fillId="0" borderId="0" xfId="0" applyFont="1" applyBorder="1"/>
    <xf numFmtId="0" fontId="4" fillId="0" borderId="4" xfId="0" applyFont="1" applyBorder="1"/>
    <xf numFmtId="0" fontId="5" fillId="0" borderId="0" xfId="0" applyFont="1" applyBorder="1"/>
    <xf numFmtId="0" fontId="6" fillId="0" borderId="0" xfId="0" applyFont="1" applyBorder="1"/>
    <xf numFmtId="0" fontId="4" fillId="0" borderId="5" xfId="0" applyFont="1" applyBorder="1"/>
    <xf numFmtId="14" fontId="8" fillId="0" borderId="0" xfId="0" applyNumberFormat="1" applyFont="1" applyBorder="1" applyAlignment="1">
      <alignment horizontal="center"/>
    </xf>
    <xf numFmtId="0" fontId="8" fillId="0" borderId="0" xfId="0" applyFont="1" applyBorder="1" applyAlignment="1">
      <alignment horizontal="center"/>
    </xf>
    <xf numFmtId="0" fontId="7" fillId="0" borderId="0" xfId="0" applyFont="1" applyBorder="1" applyAlignment="1">
      <alignment horizontal="right"/>
    </xf>
    <xf numFmtId="0" fontId="4" fillId="0" borderId="0" xfId="0" applyFont="1" applyBorder="1" applyAlignment="1">
      <alignment horizontal="right"/>
    </xf>
    <xf numFmtId="0" fontId="9" fillId="0" borderId="0" xfId="0" quotePrefix="1" applyFont="1" applyBorder="1"/>
    <xf numFmtId="0" fontId="10" fillId="0" borderId="0" xfId="0" quotePrefix="1" applyFont="1" applyBorder="1"/>
    <xf numFmtId="0" fontId="4" fillId="0" borderId="0" xfId="0" applyFont="1" applyBorder="1" applyAlignment="1">
      <alignment horizontal="center"/>
    </xf>
    <xf numFmtId="177" fontId="8" fillId="0" borderId="0" xfId="0" applyNumberFormat="1" applyFont="1" applyBorder="1" applyAlignment="1">
      <alignment horizontal="center"/>
    </xf>
    <xf numFmtId="0" fontId="8" fillId="0" borderId="0" xfId="0" applyFont="1" applyBorder="1" applyAlignment="1">
      <alignment horizontal="right"/>
    </xf>
    <xf numFmtId="170" fontId="4" fillId="0" borderId="0" xfId="0" applyNumberFormat="1" applyFont="1" applyBorder="1"/>
    <xf numFmtId="0" fontId="8" fillId="0" borderId="0" xfId="0" applyFont="1" applyBorder="1"/>
    <xf numFmtId="170" fontId="4" fillId="0" borderId="0" xfId="2" applyFont="1" applyBorder="1" applyAlignment="1">
      <alignment horizontal="right"/>
    </xf>
    <xf numFmtId="0" fontId="4" fillId="0" borderId="0" xfId="0" quotePrefix="1" applyFont="1" applyBorder="1"/>
    <xf numFmtId="170" fontId="4" fillId="0" borderId="0" xfId="2" applyFont="1" applyBorder="1"/>
    <xf numFmtId="0" fontId="8" fillId="0" borderId="0" xfId="0" applyFont="1" applyBorder="1" applyAlignment="1">
      <alignment horizontal="right" wrapText="1"/>
    </xf>
    <xf numFmtId="0" fontId="4" fillId="0" borderId="6" xfId="0" applyFont="1" applyBorder="1"/>
    <xf numFmtId="0" fontId="4" fillId="0" borderId="7" xfId="0" applyFont="1" applyBorder="1"/>
    <xf numFmtId="0" fontId="4" fillId="0" borderId="8" xfId="0" applyFont="1" applyBorder="1"/>
    <xf numFmtId="0" fontId="4" fillId="0" borderId="0" xfId="0" applyFont="1"/>
    <xf numFmtId="0" fontId="4" fillId="0" borderId="0" xfId="0" applyFont="1" applyFill="1" applyBorder="1" applyAlignment="1">
      <alignment horizontal="right"/>
    </xf>
    <xf numFmtId="176" fontId="4" fillId="0" borderId="0" xfId="0" applyNumberFormat="1" applyFont="1" applyBorder="1" applyAlignment="1">
      <alignment horizontal="center"/>
    </xf>
    <xf numFmtId="0" fontId="10" fillId="0" borderId="0" xfId="0" applyFont="1"/>
    <xf numFmtId="0" fontId="4" fillId="0" borderId="0" xfId="0" applyFont="1" applyFill="1"/>
    <xf numFmtId="0" fontId="8" fillId="0" borderId="0" xfId="0" applyFont="1"/>
    <xf numFmtId="0" fontId="12" fillId="0" borderId="0" xfId="0" applyFont="1"/>
    <xf numFmtId="0" fontId="4" fillId="0" borderId="0" xfId="0" applyFont="1" applyFill="1" applyBorder="1"/>
    <xf numFmtId="0" fontId="4" fillId="0" borderId="1" xfId="0" applyFont="1" applyFill="1" applyBorder="1"/>
    <xf numFmtId="0" fontId="4" fillId="0" borderId="2" xfId="0" applyFont="1" applyFill="1" applyBorder="1"/>
    <xf numFmtId="0" fontId="4" fillId="0" borderId="3" xfId="0" applyFont="1" applyFill="1" applyBorder="1"/>
    <xf numFmtId="0" fontId="12" fillId="0" borderId="0" xfId="0" applyFont="1" applyFill="1" applyAlignment="1">
      <alignment horizontal="left"/>
    </xf>
    <xf numFmtId="0" fontId="4" fillId="0" borderId="0" xfId="0" applyFont="1" applyFill="1" applyAlignment="1">
      <alignment horizontal="center"/>
    </xf>
    <xf numFmtId="0" fontId="4" fillId="0" borderId="4" xfId="0" applyFont="1" applyFill="1" applyBorder="1"/>
    <xf numFmtId="0" fontId="4" fillId="0" borderId="5" xfId="0" applyFont="1" applyFill="1" applyBorder="1"/>
    <xf numFmtId="0" fontId="7" fillId="0" borderId="0" xfId="0" applyFont="1" applyFill="1" applyBorder="1"/>
    <xf numFmtId="0" fontId="9" fillId="0" borderId="0" xfId="0" quotePrefix="1" applyFont="1" applyFill="1" applyBorder="1"/>
    <xf numFmtId="14" fontId="8" fillId="0" borderId="0" xfId="0" applyNumberFormat="1" applyFont="1" applyFill="1" applyBorder="1" applyAlignment="1">
      <alignment horizontal="center"/>
    </xf>
    <xf numFmtId="0" fontId="4" fillId="0" borderId="0" xfId="0" applyFont="1" applyFill="1" applyBorder="1" applyAlignment="1">
      <alignment horizontal="center"/>
    </xf>
    <xf numFmtId="177" fontId="8" fillId="0" borderId="0" xfId="0" applyNumberFormat="1" applyFont="1" applyFill="1" applyBorder="1" applyAlignment="1">
      <alignment horizontal="center"/>
    </xf>
    <xf numFmtId="0" fontId="6" fillId="0" borderId="0" xfId="0" applyFont="1" applyFill="1" applyBorder="1"/>
    <xf numFmtId="0" fontId="6" fillId="0" borderId="0" xfId="0" applyFont="1" applyFill="1" applyBorder="1" applyAlignment="1">
      <alignment horizontal="right"/>
    </xf>
    <xf numFmtId="0" fontId="11" fillId="0" borderId="0" xfId="0" applyFont="1" applyFill="1" applyAlignment="1">
      <alignment horizontal="left"/>
    </xf>
    <xf numFmtId="0" fontId="10" fillId="0" borderId="2" xfId="0" applyFont="1" applyFill="1" applyBorder="1" applyAlignment="1">
      <alignment horizontal="right"/>
    </xf>
    <xf numFmtId="0" fontId="10" fillId="0" borderId="3" xfId="0" applyFont="1" applyFill="1" applyBorder="1" applyAlignment="1">
      <alignment horizontal="right"/>
    </xf>
    <xf numFmtId="0" fontId="10" fillId="0" borderId="0" xfId="0" applyFont="1" applyFill="1" applyBorder="1" applyAlignment="1">
      <alignment horizontal="right"/>
    </xf>
    <xf numFmtId="0" fontId="13" fillId="0" borderId="0" xfId="0" applyFont="1" applyFill="1" applyBorder="1" applyAlignment="1">
      <alignment horizontal="right"/>
    </xf>
    <xf numFmtId="0" fontId="13" fillId="0" borderId="5" xfId="0" applyFont="1" applyFill="1" applyBorder="1" applyAlignment="1">
      <alignment horizontal="right"/>
    </xf>
    <xf numFmtId="173" fontId="4" fillId="0" borderId="0" xfId="0" applyNumberFormat="1" applyFont="1" applyFill="1" applyBorder="1"/>
    <xf numFmtId="173" fontId="4" fillId="0" borderId="5" xfId="0" applyNumberFormat="1" applyFont="1" applyFill="1" applyBorder="1"/>
    <xf numFmtId="0" fontId="14" fillId="0" borderId="0" xfId="0" applyFont="1" applyFill="1" applyAlignment="1">
      <alignment horizontal="left"/>
    </xf>
    <xf numFmtId="172" fontId="4" fillId="0" borderId="0" xfId="0" applyNumberFormat="1" applyFont="1" applyFill="1" applyBorder="1"/>
    <xf numFmtId="172" fontId="4" fillId="0" borderId="5" xfId="0" applyNumberFormat="1" applyFont="1" applyFill="1" applyBorder="1"/>
    <xf numFmtId="0" fontId="4" fillId="0" borderId="6" xfId="0" applyFont="1" applyFill="1" applyBorder="1"/>
    <xf numFmtId="0" fontId="4" fillId="0" borderId="7" xfId="0" applyFont="1" applyFill="1" applyBorder="1"/>
    <xf numFmtId="3" fontId="4" fillId="0" borderId="7" xfId="0" applyNumberFormat="1" applyFont="1" applyFill="1" applyBorder="1"/>
    <xf numFmtId="3" fontId="4" fillId="0" borderId="8" xfId="0" applyNumberFormat="1" applyFont="1" applyFill="1" applyBorder="1"/>
    <xf numFmtId="3" fontId="4" fillId="0" borderId="2" xfId="0" applyNumberFormat="1" applyFont="1" applyFill="1" applyBorder="1"/>
    <xf numFmtId="3" fontId="4" fillId="0" borderId="3" xfId="0" applyNumberFormat="1" applyFont="1" applyFill="1" applyBorder="1"/>
    <xf numFmtId="173" fontId="4" fillId="0" borderId="0" xfId="20" applyNumberFormat="1" applyFont="1" applyFill="1" applyBorder="1"/>
    <xf numFmtId="173" fontId="4" fillId="0" borderId="5" xfId="20" applyNumberFormat="1" applyFont="1" applyFill="1" applyBorder="1"/>
    <xf numFmtId="2" fontId="4" fillId="0" borderId="7" xfId="0" applyNumberFormat="1" applyFont="1" applyFill="1" applyBorder="1"/>
    <xf numFmtId="2" fontId="4" fillId="0" borderId="8" xfId="0" applyNumberFormat="1" applyFont="1" applyFill="1" applyBorder="1"/>
    <xf numFmtId="175" fontId="4" fillId="0" borderId="3" xfId="0" applyNumberFormat="1" applyFont="1" applyFill="1" applyBorder="1"/>
    <xf numFmtId="172" fontId="8" fillId="0" borderId="0" xfId="0" applyNumberFormat="1" applyFont="1" applyFill="1" applyBorder="1"/>
    <xf numFmtId="0" fontId="8" fillId="0" borderId="0" xfId="0" applyFont="1" applyFill="1" applyBorder="1"/>
    <xf numFmtId="172" fontId="8" fillId="0" borderId="5" xfId="0" applyNumberFormat="1" applyFont="1" applyFill="1" applyBorder="1"/>
    <xf numFmtId="172" fontId="8" fillId="0" borderId="7" xfId="0" applyNumberFormat="1" applyFont="1" applyFill="1" applyBorder="1"/>
    <xf numFmtId="10" fontId="4" fillId="0" borderId="2" xfId="0" applyNumberFormat="1" applyFont="1" applyFill="1" applyBorder="1"/>
    <xf numFmtId="10" fontId="4" fillId="0" borderId="3" xfId="0" applyNumberFormat="1" applyFont="1" applyFill="1" applyBorder="1"/>
    <xf numFmtId="10" fontId="4" fillId="0" borderId="7" xfId="0" applyNumberFormat="1" applyFont="1" applyFill="1" applyBorder="1"/>
    <xf numFmtId="10" fontId="4" fillId="0" borderId="8" xfId="0" applyNumberFormat="1" applyFont="1" applyFill="1" applyBorder="1"/>
    <xf numFmtId="0" fontId="4" fillId="0" borderId="8" xfId="0" applyFont="1" applyFill="1" applyBorder="1"/>
    <xf numFmtId="14" fontId="8" fillId="0" borderId="0" xfId="0" applyNumberFormat="1" applyFont="1" applyAlignment="1">
      <alignment horizontal="center"/>
    </xf>
    <xf numFmtId="0" fontId="8" fillId="0" borderId="0" xfId="0" applyFont="1" applyAlignment="1">
      <alignment horizontal="center"/>
    </xf>
    <xf numFmtId="0" fontId="8" fillId="0" borderId="0" xfId="0" applyFont="1" applyFill="1"/>
    <xf numFmtId="10" fontId="4" fillId="0" borderId="0" xfId="20" applyNumberFormat="1" applyFont="1" applyFill="1"/>
    <xf numFmtId="0" fontId="4" fillId="0" borderId="0" xfId="0" applyFont="1" applyFill="1" applyAlignment="1">
      <alignment horizontal="right"/>
    </xf>
    <xf numFmtId="0" fontId="14" fillId="0" borderId="0" xfId="0" applyFont="1" applyBorder="1"/>
    <xf numFmtId="0" fontId="11" fillId="0" borderId="0" xfId="0" applyFont="1" applyAlignment="1">
      <alignment horizontal="left"/>
    </xf>
    <xf numFmtId="3" fontId="4" fillId="0" borderId="0" xfId="0" applyNumberFormat="1" applyFont="1" applyBorder="1"/>
    <xf numFmtId="14" fontId="8" fillId="0" borderId="5" xfId="0" applyNumberFormat="1" applyFont="1" applyBorder="1" applyAlignment="1">
      <alignment horizontal="center"/>
    </xf>
    <xf numFmtId="0" fontId="7" fillId="0" borderId="0" xfId="0" applyFont="1" applyBorder="1"/>
    <xf numFmtId="0" fontId="8" fillId="0" borderId="5" xfId="0" applyFont="1" applyBorder="1" applyAlignment="1">
      <alignment horizontal="center"/>
    </xf>
    <xf numFmtId="10" fontId="4" fillId="0" borderId="0" xfId="20" applyNumberFormat="1" applyFont="1" applyFill="1" applyBorder="1" applyAlignment="1">
      <alignment horizontal="center"/>
    </xf>
    <xf numFmtId="0" fontId="10" fillId="0" borderId="0" xfId="0" applyFont="1" applyBorder="1"/>
    <xf numFmtId="0" fontId="12" fillId="0" borderId="7" xfId="0" applyFont="1" applyBorder="1"/>
    <xf numFmtId="0" fontId="8" fillId="0" borderId="1" xfId="0" applyFont="1" applyFill="1" applyBorder="1"/>
    <xf numFmtId="0" fontId="8" fillId="0" borderId="4" xfId="0" applyFont="1" applyFill="1" applyBorder="1"/>
    <xf numFmtId="4" fontId="4" fillId="0" borderId="0" xfId="0" applyNumberFormat="1" applyFont="1" applyBorder="1"/>
    <xf numFmtId="173" fontId="4" fillId="0" borderId="0" xfId="20" applyNumberFormat="1" applyFont="1" applyBorder="1" applyAlignment="1">
      <alignment horizontal="right"/>
    </xf>
    <xf numFmtId="0" fontId="8" fillId="0" borderId="0" xfId="0" applyFont="1" applyBorder="1" applyAlignment="1">
      <alignment horizontal="center" wrapText="1"/>
    </xf>
    <xf numFmtId="0" fontId="8" fillId="0" borderId="0" xfId="0" quotePrefix="1" applyFont="1" applyBorder="1"/>
    <xf numFmtId="0" fontId="25" fillId="0" borderId="0" xfId="0" applyFont="1" applyBorder="1"/>
    <xf numFmtId="170" fontId="4" fillId="0" borderId="0" xfId="0" applyNumberFormat="1" applyFont="1"/>
    <xf numFmtId="170" fontId="4" fillId="0" borderId="0" xfId="0" applyNumberFormat="1" applyFont="1" applyFill="1" applyBorder="1"/>
    <xf numFmtId="170" fontId="4" fillId="0" borderId="5" xfId="0" applyNumberFormat="1" applyFont="1" applyBorder="1"/>
    <xf numFmtId="10" fontId="4" fillId="0" borderId="0" xfId="20" applyNumberFormat="1" applyFont="1" applyFill="1" applyBorder="1" applyAlignment="1">
      <alignment horizontal="right"/>
    </xf>
    <xf numFmtId="0" fontId="10" fillId="0" borderId="0" xfId="0" quotePrefix="1" applyFont="1" applyFill="1" applyBorder="1"/>
    <xf numFmtId="0" fontId="4" fillId="0" borderId="0" xfId="0" applyFont="1" applyFill="1" applyAlignment="1">
      <alignment horizontal="left"/>
    </xf>
    <xf numFmtId="0" fontId="4" fillId="0" borderId="0" xfId="0" applyNumberFormat="1" applyFont="1"/>
    <xf numFmtId="0" fontId="4" fillId="2" borderId="1" xfId="0" applyFont="1" applyFill="1" applyBorder="1" applyAlignment="1">
      <alignment horizontal="right"/>
    </xf>
    <xf numFmtId="0" fontId="4" fillId="2" borderId="2" xfId="0" applyFont="1" applyFill="1" applyBorder="1"/>
    <xf numFmtId="14" fontId="4" fillId="2" borderId="2" xfId="0" applyNumberFormat="1" applyFont="1" applyFill="1" applyBorder="1" applyAlignment="1">
      <alignment horizontal="center"/>
    </xf>
    <xf numFmtId="0" fontId="4" fillId="2" borderId="3" xfId="0" applyFont="1" applyFill="1" applyBorder="1"/>
    <xf numFmtId="0" fontId="4" fillId="2" borderId="4" xfId="0" applyFont="1" applyFill="1" applyBorder="1" applyAlignment="1">
      <alignment horizontal="right"/>
    </xf>
    <xf numFmtId="0" fontId="4" fillId="2" borderId="0" xfId="0" applyFont="1" applyFill="1" applyBorder="1"/>
    <xf numFmtId="14" fontId="4" fillId="2" borderId="0" xfId="0" applyNumberFormat="1" applyFont="1" applyFill="1" applyBorder="1" applyAlignment="1">
      <alignment horizontal="center"/>
    </xf>
    <xf numFmtId="0" fontId="4" fillId="2" borderId="5" xfId="0" applyFont="1" applyFill="1" applyBorder="1"/>
    <xf numFmtId="0" fontId="4" fillId="2" borderId="0" xfId="0" applyFont="1" applyFill="1" applyBorder="1" applyAlignment="1">
      <alignment horizontal="center"/>
    </xf>
    <xf numFmtId="0" fontId="4" fillId="2" borderId="0" xfId="0" applyFont="1" applyFill="1" applyBorder="1" applyAlignment="1">
      <alignment horizontal="right"/>
    </xf>
    <xf numFmtId="0" fontId="4" fillId="2" borderId="5" xfId="0" applyFont="1" applyFill="1" applyBorder="1" applyAlignment="1">
      <alignment horizontal="center"/>
    </xf>
    <xf numFmtId="0" fontId="4" fillId="2" borderId="6" xfId="0" applyFont="1" applyFill="1" applyBorder="1" applyAlignment="1">
      <alignment horizontal="right"/>
    </xf>
    <xf numFmtId="0" fontId="4" fillId="2" borderId="7" xfId="0" applyFont="1" applyFill="1" applyBorder="1" applyAlignment="1">
      <alignment horizontal="center"/>
    </xf>
    <xf numFmtId="14" fontId="4" fillId="2" borderId="7" xfId="0" applyNumberFormat="1" applyFont="1" applyFill="1" applyBorder="1" applyAlignment="1">
      <alignment horizontal="center"/>
    </xf>
    <xf numFmtId="1" fontId="4" fillId="2" borderId="0" xfId="0" applyNumberFormat="1" applyFont="1" applyFill="1" applyBorder="1" applyAlignment="1">
      <alignment horizontal="center"/>
    </xf>
    <xf numFmtId="180" fontId="4" fillId="2" borderId="0" xfId="0" applyNumberFormat="1" applyFont="1" applyFill="1" applyBorder="1" applyAlignment="1">
      <alignment horizontal="center"/>
    </xf>
    <xf numFmtId="170" fontId="4" fillId="0" borderId="0" xfId="0" applyNumberFormat="1" applyFont="1" applyFill="1"/>
    <xf numFmtId="0" fontId="15" fillId="0" borderId="0" xfId="0" applyFont="1" applyBorder="1"/>
    <xf numFmtId="170" fontId="4" fillId="0" borderId="7" xfId="0" applyNumberFormat="1" applyFont="1" applyFill="1" applyBorder="1"/>
    <xf numFmtId="1" fontId="4" fillId="0" borderId="0" xfId="0" applyNumberFormat="1" applyFont="1" applyFill="1" applyBorder="1"/>
    <xf numFmtId="175" fontId="4" fillId="0" borderId="0" xfId="0" applyNumberFormat="1" applyFont="1" applyFill="1" applyBorder="1"/>
    <xf numFmtId="175" fontId="4" fillId="0" borderId="5" xfId="0" applyNumberFormat="1" applyFont="1" applyFill="1" applyBorder="1"/>
    <xf numFmtId="175" fontId="4" fillId="0" borderId="0" xfId="0" applyNumberFormat="1" applyFont="1" applyFill="1" applyBorder="1" applyAlignment="1">
      <alignment horizontal="right"/>
    </xf>
    <xf numFmtId="173" fontId="4" fillId="0" borderId="0" xfId="0" applyNumberFormat="1" applyFont="1" applyFill="1" applyBorder="1" applyAlignment="1">
      <alignment horizontal="right"/>
    </xf>
    <xf numFmtId="0" fontId="19" fillId="0" borderId="0" xfId="0" applyFont="1"/>
    <xf numFmtId="0" fontId="18" fillId="0" borderId="0" xfId="0" applyFont="1" applyBorder="1"/>
    <xf numFmtId="4" fontId="18" fillId="0" borderId="0" xfId="0" applyNumberFormat="1" applyFont="1" applyFill="1" applyBorder="1"/>
    <xf numFmtId="10" fontId="18" fillId="0" borderId="0" xfId="20" applyNumberFormat="1" applyFont="1" applyBorder="1"/>
    <xf numFmtId="3" fontId="18" fillId="0" borderId="0" xfId="0" applyNumberFormat="1" applyFont="1" applyBorder="1"/>
    <xf numFmtId="0" fontId="25" fillId="0" borderId="0" xfId="0" applyFont="1" applyFill="1" applyBorder="1"/>
    <xf numFmtId="0" fontId="18" fillId="0" borderId="0" xfId="26" applyFont="1" applyFill="1" applyBorder="1" applyAlignment="1">
      <alignment horizontal="center" vertical="center" wrapText="1"/>
    </xf>
    <xf numFmtId="0" fontId="17" fillId="0" borderId="0" xfId="11" applyFont="1" applyFill="1" applyBorder="1" applyAlignment="1">
      <alignment horizontal="right" wrapText="1"/>
    </xf>
    <xf numFmtId="4" fontId="17" fillId="0" borderId="0" xfId="11" applyNumberFormat="1" applyFont="1" applyFill="1" applyBorder="1" applyAlignment="1">
      <alignment horizontal="right" wrapText="1"/>
    </xf>
    <xf numFmtId="10" fontId="18" fillId="0" borderId="0" xfId="11" applyNumberFormat="1" applyFont="1" applyFill="1" applyBorder="1" applyAlignment="1">
      <alignment horizontal="right" wrapText="1"/>
    </xf>
    <xf numFmtId="0" fontId="18" fillId="0" borderId="0" xfId="0" applyFont="1" applyFill="1" applyBorder="1"/>
    <xf numFmtId="10" fontId="18" fillId="0" borderId="0" xfId="20" applyNumberFormat="1" applyFont="1" applyFill="1" applyBorder="1"/>
    <xf numFmtId="3" fontId="18" fillId="0" borderId="0" xfId="0" applyNumberFormat="1" applyFont="1" applyFill="1" applyBorder="1"/>
    <xf numFmtId="0" fontId="18" fillId="0" borderId="0" xfId="10" applyFont="1" applyFill="1" applyBorder="1" applyAlignment="1">
      <alignment horizontal="left"/>
    </xf>
    <xf numFmtId="171" fontId="18" fillId="0" borderId="0" xfId="1" applyFont="1" applyFill="1" applyBorder="1" applyAlignment="1">
      <alignment horizontal="right" wrapText="1"/>
    </xf>
    <xf numFmtId="4" fontId="19" fillId="0" borderId="0" xfId="0" applyNumberFormat="1" applyFont="1" applyFill="1" applyBorder="1"/>
    <xf numFmtId="0" fontId="19" fillId="0" borderId="0" xfId="0" applyFont="1" applyFill="1" applyBorder="1"/>
    <xf numFmtId="0" fontId="19" fillId="0" borderId="0" xfId="0" applyFont="1" applyFill="1"/>
    <xf numFmtId="0" fontId="21" fillId="0" borderId="0" xfId="0" applyFont="1" applyFill="1" applyBorder="1"/>
    <xf numFmtId="0" fontId="20" fillId="0" borderId="0" xfId="10" applyFont="1" applyFill="1" applyBorder="1" applyAlignment="1">
      <alignment horizontal="left"/>
    </xf>
    <xf numFmtId="171" fontId="20" fillId="0" borderId="0" xfId="1" applyFont="1" applyFill="1" applyBorder="1" applyAlignment="1">
      <alignment horizontal="right" wrapText="1"/>
    </xf>
    <xf numFmtId="4" fontId="21" fillId="0" borderId="0" xfId="0" applyNumberFormat="1" applyFont="1" applyFill="1" applyBorder="1"/>
    <xf numFmtId="0" fontId="18" fillId="0" borderId="0" xfId="0" applyFont="1"/>
    <xf numFmtId="0" fontId="18" fillId="0" borderId="0" xfId="24" applyFont="1" applyFill="1" applyBorder="1" applyAlignment="1">
      <alignment horizontal="center" vertical="top" wrapText="1"/>
    </xf>
    <xf numFmtId="0" fontId="18" fillId="0" borderId="0" xfId="11" applyFont="1" applyFill="1" applyBorder="1" applyAlignment="1">
      <alignment wrapText="1"/>
    </xf>
    <xf numFmtId="4" fontId="18" fillId="0" borderId="0" xfId="11" applyNumberFormat="1" applyFont="1" applyFill="1" applyBorder="1" applyAlignment="1">
      <alignment horizontal="right" wrapText="1"/>
    </xf>
    <xf numFmtId="3" fontId="18" fillId="0" borderId="0" xfId="11" applyNumberFormat="1" applyFont="1" applyFill="1" applyBorder="1" applyAlignment="1">
      <alignment horizontal="right" wrapText="1"/>
    </xf>
    <xf numFmtId="0" fontId="19" fillId="0" borderId="9" xfId="0" applyFont="1" applyBorder="1"/>
    <xf numFmtId="4" fontId="18" fillId="0" borderId="10" xfId="6" applyNumberFormat="1" applyFont="1" applyFill="1" applyBorder="1" applyAlignment="1">
      <alignment horizontal="right" wrapText="1"/>
    </xf>
    <xf numFmtId="174" fontId="18" fillId="0" borderId="10" xfId="20" applyNumberFormat="1" applyFont="1" applyFill="1" applyBorder="1" applyAlignment="1">
      <alignment horizontal="right" wrapText="1"/>
    </xf>
    <xf numFmtId="0" fontId="19" fillId="0" borderId="11" xfId="0" applyFont="1" applyBorder="1"/>
    <xf numFmtId="4" fontId="18" fillId="0" borderId="12" xfId="6" applyNumberFormat="1" applyFont="1" applyFill="1" applyBorder="1" applyAlignment="1">
      <alignment horizontal="right" wrapText="1"/>
    </xf>
    <xf numFmtId="174" fontId="18" fillId="0" borderId="12" xfId="20" applyNumberFormat="1" applyFont="1" applyFill="1" applyBorder="1" applyAlignment="1">
      <alignment horizontal="right" wrapText="1"/>
    </xf>
    <xf numFmtId="0" fontId="19" fillId="0" borderId="13" xfId="0" applyFont="1" applyBorder="1"/>
    <xf numFmtId="0" fontId="19" fillId="0" borderId="14" xfId="0" applyFont="1" applyBorder="1"/>
    <xf numFmtId="0" fontId="17" fillId="0" borderId="7" xfId="11" applyFont="1" applyFill="1" applyBorder="1" applyAlignment="1">
      <alignment horizontal="right" wrapText="1"/>
    </xf>
    <xf numFmtId="4" fontId="17" fillId="0" borderId="7" xfId="11" applyNumberFormat="1" applyFont="1" applyFill="1" applyBorder="1" applyAlignment="1">
      <alignment horizontal="right" wrapText="1"/>
    </xf>
    <xf numFmtId="0" fontId="18" fillId="0" borderId="7" xfId="11" applyFont="1" applyFill="1" applyBorder="1" applyAlignment="1">
      <alignment wrapText="1"/>
    </xf>
    <xf numFmtId="4" fontId="18" fillId="0" borderId="7" xfId="11" applyNumberFormat="1" applyFont="1" applyFill="1" applyBorder="1" applyAlignment="1">
      <alignment horizontal="right" wrapText="1"/>
    </xf>
    <xf numFmtId="10" fontId="18" fillId="0" borderId="7" xfId="11" applyNumberFormat="1" applyFont="1" applyFill="1" applyBorder="1" applyAlignment="1">
      <alignment horizontal="right" wrapText="1"/>
    </xf>
    <xf numFmtId="3" fontId="18" fillId="0" borderId="7" xfId="11" applyNumberFormat="1" applyFont="1" applyFill="1" applyBorder="1" applyAlignment="1">
      <alignment horizontal="right" wrapText="1"/>
    </xf>
    <xf numFmtId="0" fontId="19" fillId="0" borderId="0" xfId="0" applyFont="1" applyBorder="1"/>
    <xf numFmtId="0" fontId="18" fillId="0" borderId="0" xfId="6" applyFont="1" applyFill="1" applyBorder="1" applyAlignment="1">
      <alignment horizontal="right" wrapText="1"/>
    </xf>
    <xf numFmtId="4" fontId="18" fillId="0" borderId="0" xfId="6" applyNumberFormat="1" applyFont="1" applyFill="1" applyBorder="1" applyAlignment="1">
      <alignment horizontal="right" wrapText="1"/>
    </xf>
    <xf numFmtId="174" fontId="18" fillId="0" borderId="0" xfId="20" applyNumberFormat="1" applyFont="1" applyFill="1" applyBorder="1" applyAlignment="1">
      <alignment horizontal="right" wrapText="1"/>
    </xf>
    <xf numFmtId="0" fontId="0" fillId="0" borderId="0" xfId="0" applyFill="1" applyBorder="1"/>
    <xf numFmtId="4" fontId="18" fillId="0" borderId="0" xfId="24" applyNumberFormat="1" applyFont="1" applyFill="1" applyBorder="1" applyAlignment="1">
      <alignment horizontal="right" wrapText="1"/>
    </xf>
    <xf numFmtId="10" fontId="18" fillId="0" borderId="0" xfId="25" applyNumberFormat="1" applyFont="1" applyFill="1" applyBorder="1" applyAlignment="1">
      <alignment horizontal="right" wrapText="1"/>
    </xf>
    <xf numFmtId="3" fontId="18" fillId="0" borderId="0" xfId="24" applyNumberFormat="1" applyFont="1" applyFill="1" applyBorder="1" applyAlignment="1">
      <alignment horizontal="right" wrapText="1"/>
    </xf>
    <xf numFmtId="4" fontId="19" fillId="0" borderId="0" xfId="0" applyNumberFormat="1" applyFont="1" applyBorder="1"/>
    <xf numFmtId="10" fontId="19" fillId="0" borderId="0" xfId="0" applyNumberFormat="1" applyFont="1" applyBorder="1"/>
    <xf numFmtId="0" fontId="18" fillId="0" borderId="0" xfId="25" applyFont="1" applyFill="1" applyBorder="1" applyAlignment="1">
      <alignment horizontal="center" vertical="top" wrapText="1"/>
    </xf>
    <xf numFmtId="0" fontId="18" fillId="0" borderId="0" xfId="9" applyFont="1" applyFill="1" applyBorder="1" applyAlignment="1">
      <alignment horizontal="left" wrapText="1"/>
    </xf>
    <xf numFmtId="0" fontId="18" fillId="0" borderId="9" xfId="8" applyFont="1" applyFill="1" applyBorder="1" applyAlignment="1">
      <alignment wrapText="1"/>
    </xf>
    <xf numFmtId="4" fontId="18" fillId="0" borderId="10" xfId="8" applyNumberFormat="1" applyFont="1" applyFill="1" applyBorder="1" applyAlignment="1">
      <alignment horizontal="right" wrapText="1"/>
    </xf>
    <xf numFmtId="3" fontId="18" fillId="0" borderId="10" xfId="8" applyNumberFormat="1" applyFont="1" applyFill="1" applyBorder="1" applyAlignment="1">
      <alignment horizontal="right" wrapText="1"/>
    </xf>
    <xf numFmtId="10" fontId="18" fillId="0" borderId="11" xfId="8" applyNumberFormat="1" applyFont="1" applyFill="1" applyBorder="1" applyAlignment="1">
      <alignment horizontal="right" wrapText="1"/>
    </xf>
    <xf numFmtId="0" fontId="18" fillId="0" borderId="15" xfId="8" applyFont="1" applyFill="1" applyBorder="1" applyAlignment="1">
      <alignment wrapText="1"/>
    </xf>
    <xf numFmtId="4" fontId="18" fillId="0" borderId="16" xfId="8" applyNumberFormat="1" applyFont="1" applyFill="1" applyBorder="1" applyAlignment="1">
      <alignment horizontal="right" wrapText="1"/>
    </xf>
    <xf numFmtId="3" fontId="18" fillId="0" borderId="16" xfId="8" applyNumberFormat="1" applyFont="1" applyFill="1" applyBorder="1" applyAlignment="1">
      <alignment horizontal="right" wrapText="1"/>
    </xf>
    <xf numFmtId="10" fontId="18" fillId="0" borderId="17" xfId="8" applyNumberFormat="1" applyFont="1" applyFill="1" applyBorder="1" applyAlignment="1">
      <alignment horizontal="right" wrapText="1"/>
    </xf>
    <xf numFmtId="3" fontId="19" fillId="0" borderId="0" xfId="0" applyNumberFormat="1" applyFont="1"/>
    <xf numFmtId="10" fontId="18" fillId="0" borderId="10" xfId="8" applyNumberFormat="1" applyFont="1" applyFill="1" applyBorder="1" applyAlignment="1">
      <alignment horizontal="right" wrapText="1"/>
    </xf>
    <xf numFmtId="0" fontId="18" fillId="0" borderId="18" xfId="8" applyFont="1" applyFill="1" applyBorder="1" applyAlignment="1">
      <alignment wrapText="1"/>
    </xf>
    <xf numFmtId="4" fontId="18" fillId="0" borderId="12" xfId="8" applyNumberFormat="1" applyFont="1" applyFill="1" applyBorder="1" applyAlignment="1">
      <alignment horizontal="right" wrapText="1"/>
    </xf>
    <xf numFmtId="10" fontId="18" fillId="0" borderId="12" xfId="8" applyNumberFormat="1" applyFont="1" applyFill="1" applyBorder="1" applyAlignment="1">
      <alignment horizontal="right" wrapText="1"/>
    </xf>
    <xf numFmtId="0" fontId="18" fillId="0" borderId="12" xfId="8" applyNumberFormat="1" applyFont="1" applyFill="1" applyBorder="1" applyAlignment="1">
      <alignment horizontal="right" wrapText="1"/>
    </xf>
    <xf numFmtId="10" fontId="18" fillId="0" borderId="13" xfId="8" applyNumberFormat="1" applyFont="1" applyFill="1" applyBorder="1" applyAlignment="1">
      <alignment horizontal="right" wrapText="1"/>
    </xf>
    <xf numFmtId="0" fontId="18" fillId="0" borderId="0" xfId="8" applyFont="1" applyFill="1" applyBorder="1" applyAlignment="1">
      <alignment wrapText="1"/>
    </xf>
    <xf numFmtId="4" fontId="18" fillId="0" borderId="0" xfId="8" applyNumberFormat="1" applyFont="1" applyFill="1" applyBorder="1" applyAlignment="1">
      <alignment horizontal="right" wrapText="1"/>
    </xf>
    <xf numFmtId="10" fontId="18" fillId="0" borderId="0" xfId="8" applyNumberFormat="1" applyFont="1" applyFill="1" applyBorder="1" applyAlignment="1">
      <alignment horizontal="right" wrapText="1"/>
    </xf>
    <xf numFmtId="0" fontId="18" fillId="0" borderId="0" xfId="8" applyNumberFormat="1" applyFont="1" applyFill="1" applyBorder="1" applyAlignment="1">
      <alignment horizontal="right" wrapText="1"/>
    </xf>
    <xf numFmtId="0" fontId="18" fillId="0" borderId="9" xfId="7" applyFont="1" applyFill="1" applyBorder="1" applyAlignment="1">
      <alignment wrapText="1"/>
    </xf>
    <xf numFmtId="4" fontId="18" fillId="0" borderId="10" xfId="7" applyNumberFormat="1" applyFont="1" applyFill="1" applyBorder="1" applyAlignment="1">
      <alignment horizontal="right" wrapText="1"/>
    </xf>
    <xf numFmtId="10" fontId="18" fillId="0" borderId="10" xfId="7" applyNumberFormat="1" applyFont="1" applyFill="1" applyBorder="1" applyAlignment="1">
      <alignment horizontal="right" wrapText="1"/>
    </xf>
    <xf numFmtId="3" fontId="18" fillId="0" borderId="10" xfId="7" applyNumberFormat="1" applyFont="1" applyFill="1" applyBorder="1" applyAlignment="1">
      <alignment horizontal="right" wrapText="1"/>
    </xf>
    <xf numFmtId="10" fontId="18" fillId="0" borderId="11" xfId="7" applyNumberFormat="1" applyFont="1" applyFill="1" applyBorder="1" applyAlignment="1">
      <alignment horizontal="right" wrapText="1"/>
    </xf>
    <xf numFmtId="0" fontId="18" fillId="0" borderId="15" xfId="7" applyFont="1" applyFill="1" applyBorder="1" applyAlignment="1">
      <alignment wrapText="1"/>
    </xf>
    <xf numFmtId="4" fontId="18" fillId="0" borderId="16" xfId="7" applyNumberFormat="1" applyFont="1" applyFill="1" applyBorder="1" applyAlignment="1">
      <alignment horizontal="right" wrapText="1"/>
    </xf>
    <xf numFmtId="3" fontId="18" fillId="0" borderId="16" xfId="7" applyNumberFormat="1" applyFont="1" applyFill="1" applyBorder="1" applyAlignment="1">
      <alignment horizontal="right" wrapText="1"/>
    </xf>
    <xf numFmtId="4" fontId="18" fillId="0" borderId="0" xfId="0" applyNumberFormat="1" applyFont="1" applyBorder="1"/>
    <xf numFmtId="10" fontId="18" fillId="0" borderId="0" xfId="0" applyNumberFormat="1" applyFont="1" applyBorder="1"/>
    <xf numFmtId="0" fontId="18" fillId="0" borderId="15" xfId="7" quotePrefix="1" applyFont="1" applyFill="1" applyBorder="1" applyAlignment="1">
      <alignment wrapText="1"/>
    </xf>
    <xf numFmtId="0" fontId="10" fillId="0" borderId="5" xfId="0" applyFont="1" applyBorder="1"/>
    <xf numFmtId="0" fontId="8" fillId="0" borderId="5" xfId="0" applyFont="1" applyBorder="1"/>
    <xf numFmtId="0" fontId="0" fillId="0" borderId="0" xfId="0" applyBorder="1"/>
    <xf numFmtId="0" fontId="18" fillId="0" borderId="9" xfId="14" applyFont="1" applyFill="1" applyBorder="1" applyAlignment="1">
      <alignment wrapText="1"/>
    </xf>
    <xf numFmtId="4" fontId="18" fillId="0" borderId="10" xfId="14" applyNumberFormat="1" applyFont="1" applyFill="1" applyBorder="1" applyAlignment="1">
      <alignment horizontal="right" wrapText="1"/>
    </xf>
    <xf numFmtId="10" fontId="18" fillId="0" borderId="10" xfId="14" applyNumberFormat="1" applyFont="1" applyFill="1" applyBorder="1" applyAlignment="1">
      <alignment horizontal="right" wrapText="1"/>
    </xf>
    <xf numFmtId="3" fontId="18" fillId="0" borderId="10" xfId="14" applyNumberFormat="1" applyFont="1" applyFill="1" applyBorder="1" applyAlignment="1">
      <alignment horizontal="right" wrapText="1"/>
    </xf>
    <xf numFmtId="0" fontId="18" fillId="0" borderId="15" xfId="14" applyFont="1" applyFill="1" applyBorder="1" applyAlignment="1">
      <alignment wrapText="1"/>
    </xf>
    <xf numFmtId="4" fontId="18" fillId="0" borderId="16" xfId="14" applyNumberFormat="1" applyFont="1" applyFill="1" applyBorder="1" applyAlignment="1">
      <alignment horizontal="right" wrapText="1"/>
    </xf>
    <xf numFmtId="3" fontId="18" fillId="0" borderId="16" xfId="14" applyNumberFormat="1" applyFont="1" applyFill="1" applyBorder="1" applyAlignment="1">
      <alignment horizontal="right" wrapText="1"/>
    </xf>
    <xf numFmtId="3" fontId="18" fillId="0" borderId="0" xfId="0" applyNumberFormat="1" applyFont="1"/>
    <xf numFmtId="0" fontId="18" fillId="0" borderId="19" xfId="14" applyFont="1" applyFill="1" applyBorder="1" applyAlignment="1">
      <alignment wrapText="1"/>
    </xf>
    <xf numFmtId="10" fontId="18" fillId="0" borderId="11" xfId="14" applyNumberFormat="1" applyFont="1" applyFill="1" applyBorder="1" applyAlignment="1">
      <alignment horizontal="right" wrapText="1"/>
    </xf>
    <xf numFmtId="0" fontId="18" fillId="0" borderId="20" xfId="14" applyFont="1" applyFill="1" applyBorder="1" applyAlignment="1">
      <alignment wrapText="1"/>
    </xf>
    <xf numFmtId="10" fontId="18" fillId="0" borderId="16" xfId="14" applyNumberFormat="1" applyFont="1" applyFill="1" applyBorder="1" applyAlignment="1">
      <alignment horizontal="right" wrapText="1"/>
    </xf>
    <xf numFmtId="10" fontId="18" fillId="0" borderId="17" xfId="14" applyNumberFormat="1" applyFont="1" applyFill="1" applyBorder="1" applyAlignment="1">
      <alignment horizontal="right" wrapText="1"/>
    </xf>
    <xf numFmtId="4" fontId="18" fillId="0" borderId="0" xfId="17" applyNumberFormat="1" applyFont="1" applyFill="1" applyBorder="1" applyAlignment="1">
      <alignment horizontal="right" wrapText="1"/>
    </xf>
    <xf numFmtId="0" fontId="18" fillId="0" borderId="0" xfId="13" applyFont="1" applyFill="1" applyBorder="1" applyAlignment="1">
      <alignment horizontal="center"/>
    </xf>
    <xf numFmtId="0" fontId="18" fillId="0" borderId="0" xfId="13" applyFont="1" applyFill="1" applyBorder="1" applyAlignment="1">
      <alignment horizontal="right" wrapText="1"/>
    </xf>
    <xf numFmtId="0" fontId="18" fillId="0" borderId="9" xfId="0" applyFont="1" applyBorder="1"/>
    <xf numFmtId="4" fontId="18" fillId="0" borderId="10" xfId="0" applyNumberFormat="1" applyFont="1" applyFill="1" applyBorder="1"/>
    <xf numFmtId="4" fontId="18" fillId="0" borderId="21" xfId="0" applyNumberFormat="1" applyFont="1" applyFill="1" applyBorder="1" applyAlignment="1"/>
    <xf numFmtId="0" fontId="18" fillId="0" borderId="22" xfId="0" applyFont="1" applyBorder="1"/>
    <xf numFmtId="4" fontId="18" fillId="0" borderId="12" xfId="0" applyNumberFormat="1" applyFont="1" applyFill="1" applyBorder="1"/>
    <xf numFmtId="4" fontId="18" fillId="0" borderId="23" xfId="0" applyNumberFormat="1" applyFont="1" applyFill="1" applyBorder="1" applyAlignment="1"/>
    <xf numFmtId="4" fontId="18" fillId="0" borderId="10" xfId="19" applyNumberFormat="1" applyFont="1" applyFill="1" applyBorder="1" applyAlignment="1">
      <alignment horizontal="right" wrapText="1"/>
    </xf>
    <xf numFmtId="10" fontId="18" fillId="0" borderId="10" xfId="19" applyNumberFormat="1" applyFont="1" applyFill="1" applyBorder="1" applyAlignment="1">
      <alignment horizontal="right" wrapText="1"/>
    </xf>
    <xf numFmtId="3" fontId="18" fillId="0" borderId="10" xfId="19" applyNumberFormat="1" applyFont="1" applyFill="1" applyBorder="1" applyAlignment="1">
      <alignment horizontal="right" wrapText="1"/>
    </xf>
    <xf numFmtId="10" fontId="18" fillId="0" borderId="11" xfId="19" applyNumberFormat="1" applyFont="1" applyFill="1" applyBorder="1" applyAlignment="1">
      <alignment horizontal="right" wrapText="1"/>
    </xf>
    <xf numFmtId="0" fontId="18" fillId="0" borderId="0" xfId="18" applyFont="1" applyFill="1" applyBorder="1" applyAlignment="1">
      <alignment horizontal="center"/>
    </xf>
    <xf numFmtId="0" fontId="18" fillId="0" borderId="0" xfId="18" applyFont="1" applyFill="1" applyBorder="1" applyAlignment="1">
      <alignment horizontal="right" wrapText="1"/>
    </xf>
    <xf numFmtId="0" fontId="19" fillId="0" borderId="0" xfId="0" applyFont="1" applyFill="1" applyBorder="1" applyAlignment="1">
      <alignment horizontal="right"/>
    </xf>
    <xf numFmtId="0" fontId="18" fillId="0" borderId="9" xfId="16" applyFont="1" applyFill="1" applyBorder="1" applyAlignment="1">
      <alignment horizontal="center" wrapText="1"/>
    </xf>
    <xf numFmtId="4" fontId="18" fillId="0" borderId="10" xfId="16" applyNumberFormat="1" applyFont="1" applyFill="1" applyBorder="1" applyAlignment="1">
      <alignment horizontal="right" wrapText="1"/>
    </xf>
    <xf numFmtId="10" fontId="18" fillId="0" borderId="10" xfId="16" applyNumberFormat="1" applyFont="1" applyFill="1" applyBorder="1" applyAlignment="1">
      <alignment horizontal="right" wrapText="1"/>
    </xf>
    <xf numFmtId="3" fontId="18" fillId="0" borderId="10" xfId="16" applyNumberFormat="1" applyFont="1" applyFill="1" applyBorder="1" applyAlignment="1">
      <alignment horizontal="right" wrapText="1"/>
    </xf>
    <xf numFmtId="10" fontId="18" fillId="0" borderId="11" xfId="16" applyNumberFormat="1" applyFont="1" applyFill="1" applyBorder="1" applyAlignment="1">
      <alignment horizontal="right" wrapText="1"/>
    </xf>
    <xf numFmtId="20" fontId="18" fillId="0" borderId="9" xfId="16" applyNumberFormat="1" applyFont="1" applyFill="1" applyBorder="1" applyAlignment="1">
      <alignment horizontal="center" wrapText="1"/>
    </xf>
    <xf numFmtId="0" fontId="18" fillId="0" borderId="0" xfId="27" applyFont="1" applyFill="1" applyBorder="1" applyAlignment="1">
      <alignment horizontal="center" vertical="top" wrapText="1"/>
    </xf>
    <xf numFmtId="4" fontId="18" fillId="0" borderId="0" xfId="16" applyNumberFormat="1" applyFont="1" applyFill="1" applyBorder="1" applyAlignment="1">
      <alignment horizontal="right" wrapText="1"/>
    </xf>
    <xf numFmtId="10" fontId="18" fillId="0" borderId="0" xfId="16" applyNumberFormat="1" applyFont="1" applyFill="1" applyBorder="1" applyAlignment="1">
      <alignment horizontal="right" wrapText="1"/>
    </xf>
    <xf numFmtId="3" fontId="18" fillId="0" borderId="0" xfId="16" applyNumberFormat="1" applyFont="1" applyFill="1" applyBorder="1" applyAlignment="1">
      <alignment horizontal="right" wrapText="1"/>
    </xf>
    <xf numFmtId="46" fontId="18" fillId="0" borderId="0" xfId="16" quotePrefix="1" applyNumberFormat="1" applyFont="1" applyFill="1" applyBorder="1" applyAlignment="1">
      <alignment horizontal="center" wrapText="1"/>
    </xf>
    <xf numFmtId="10" fontId="19" fillId="0" borderId="0" xfId="20" applyNumberFormat="1" applyFont="1" applyFill="1" applyBorder="1"/>
    <xf numFmtId="4" fontId="18" fillId="0" borderId="10" xfId="15" applyNumberFormat="1" applyFont="1" applyFill="1" applyBorder="1" applyAlignment="1">
      <alignment horizontal="right" wrapText="1"/>
    </xf>
    <xf numFmtId="10" fontId="18" fillId="0" borderId="10" xfId="15" applyNumberFormat="1" applyFont="1" applyFill="1" applyBorder="1" applyAlignment="1">
      <alignment horizontal="right" wrapText="1"/>
    </xf>
    <xf numFmtId="3" fontId="18" fillId="0" borderId="10" xfId="15" applyNumberFormat="1" applyFont="1" applyFill="1" applyBorder="1" applyAlignment="1">
      <alignment horizontal="right" wrapText="1"/>
    </xf>
    <xf numFmtId="10" fontId="18" fillId="0" borderId="11" xfId="15" applyNumberFormat="1" applyFont="1" applyFill="1" applyBorder="1" applyAlignment="1">
      <alignment horizontal="right" wrapText="1"/>
    </xf>
    <xf numFmtId="4" fontId="18" fillId="0" borderId="10" xfId="12" applyNumberFormat="1" applyFont="1" applyFill="1" applyBorder="1" applyAlignment="1">
      <alignment horizontal="right" wrapText="1"/>
    </xf>
    <xf numFmtId="10" fontId="18" fillId="0" borderId="10" xfId="12" applyNumberFormat="1" applyFont="1" applyFill="1" applyBorder="1" applyAlignment="1">
      <alignment horizontal="right" wrapText="1"/>
    </xf>
    <xf numFmtId="3" fontId="18" fillId="0" borderId="10" xfId="12" applyNumberFormat="1" applyFont="1" applyFill="1" applyBorder="1" applyAlignment="1">
      <alignment horizontal="right" wrapText="1"/>
    </xf>
    <xf numFmtId="10" fontId="18" fillId="0" borderId="11" xfId="12" applyNumberFormat="1" applyFont="1" applyFill="1" applyBorder="1" applyAlignment="1">
      <alignment horizontal="right" wrapText="1"/>
    </xf>
    <xf numFmtId="2" fontId="19" fillId="0" borderId="0" xfId="0" applyNumberFormat="1" applyFont="1"/>
    <xf numFmtId="0" fontId="27" fillId="2" borderId="24" xfId="26" applyFont="1" applyFill="1" applyBorder="1" applyAlignment="1">
      <alignment horizontal="left" wrapText="1"/>
    </xf>
    <xf numFmtId="0" fontId="27" fillId="2" borderId="25" xfId="26" applyFont="1" applyFill="1" applyBorder="1" applyAlignment="1">
      <alignment horizontal="right" wrapText="1"/>
    </xf>
    <xf numFmtId="0" fontId="27" fillId="2" borderId="25" xfId="24" applyFont="1" applyFill="1" applyBorder="1" applyAlignment="1">
      <alignment horizontal="right" wrapText="1"/>
    </xf>
    <xf numFmtId="0" fontId="27" fillId="2" borderId="26" xfId="26" applyFont="1" applyFill="1" applyBorder="1" applyAlignment="1">
      <alignment horizontal="right" wrapText="1"/>
    </xf>
    <xf numFmtId="4" fontId="18" fillId="0" borderId="10" xfId="11" applyNumberFormat="1" applyFont="1" applyFill="1" applyBorder="1" applyAlignment="1">
      <alignment horizontal="right" wrapText="1"/>
    </xf>
    <xf numFmtId="10" fontId="18" fillId="0" borderId="10" xfId="11" applyNumberFormat="1" applyFont="1" applyFill="1" applyBorder="1" applyAlignment="1">
      <alignment horizontal="right" wrapText="1"/>
    </xf>
    <xf numFmtId="3" fontId="18" fillId="0" borderId="10" xfId="11" applyNumberFormat="1" applyFont="1" applyFill="1" applyBorder="1" applyAlignment="1">
      <alignment horizontal="right" wrapText="1"/>
    </xf>
    <xf numFmtId="10" fontId="18" fillId="0" borderId="11" xfId="11" applyNumberFormat="1" applyFont="1" applyFill="1" applyBorder="1" applyAlignment="1">
      <alignment horizontal="right" wrapText="1"/>
    </xf>
    <xf numFmtId="0" fontId="28" fillId="0" borderId="0" xfId="0" applyFont="1" applyAlignment="1">
      <alignment horizontal="right"/>
    </xf>
    <xf numFmtId="0" fontId="27" fillId="2" borderId="24" xfId="24" applyFont="1" applyFill="1" applyBorder="1" applyAlignment="1">
      <alignment horizontal="left" wrapText="1"/>
    </xf>
    <xf numFmtId="0" fontId="22" fillId="0" borderId="27" xfId="0" applyFont="1" applyBorder="1"/>
    <xf numFmtId="4" fontId="22" fillId="0" borderId="28" xfId="0" applyNumberFormat="1" applyFont="1" applyBorder="1"/>
    <xf numFmtId="10" fontId="22" fillId="0" borderId="28" xfId="20" applyNumberFormat="1" applyFont="1" applyBorder="1"/>
    <xf numFmtId="3" fontId="22" fillId="0" borderId="28" xfId="0" applyNumberFormat="1" applyFont="1" applyFill="1" applyBorder="1"/>
    <xf numFmtId="10" fontId="22" fillId="0" borderId="29" xfId="20" applyNumberFormat="1" applyFont="1" applyFill="1" applyBorder="1"/>
    <xf numFmtId="0" fontId="27" fillId="2" borderId="26" xfId="24" applyFont="1" applyFill="1" applyBorder="1" applyAlignment="1">
      <alignment horizontal="right" wrapText="1"/>
    </xf>
    <xf numFmtId="0" fontId="27" fillId="2" borderId="24" xfId="25" applyFont="1" applyFill="1" applyBorder="1" applyAlignment="1">
      <alignment horizontal="left" wrapText="1"/>
    </xf>
    <xf numFmtId="0" fontId="27" fillId="2" borderId="25" xfId="25" applyFont="1" applyFill="1" applyBorder="1" applyAlignment="1">
      <alignment horizontal="right" wrapText="1"/>
    </xf>
    <xf numFmtId="0" fontId="27" fillId="2" borderId="30" xfId="28" applyFont="1" applyFill="1" applyBorder="1" applyAlignment="1">
      <alignment horizontal="left" wrapText="1"/>
    </xf>
    <xf numFmtId="0" fontId="27" fillId="2" borderId="31" xfId="28" applyFont="1" applyFill="1" applyBorder="1" applyAlignment="1">
      <alignment horizontal="right" wrapText="1"/>
    </xf>
    <xf numFmtId="0" fontId="27" fillId="2" borderId="31" xfId="24" applyFont="1" applyFill="1" applyBorder="1" applyAlignment="1">
      <alignment horizontal="right" wrapText="1"/>
    </xf>
    <xf numFmtId="0" fontId="27" fillId="2" borderId="31" xfId="26" applyFont="1" applyFill="1" applyBorder="1" applyAlignment="1">
      <alignment horizontal="right" wrapText="1"/>
    </xf>
    <xf numFmtId="0" fontId="27" fillId="2" borderId="32" xfId="26" applyFont="1" applyFill="1" applyBorder="1" applyAlignment="1">
      <alignment horizontal="right" wrapText="1"/>
    </xf>
    <xf numFmtId="0" fontId="28" fillId="0" borderId="27" xfId="0" applyFont="1" applyBorder="1"/>
    <xf numFmtId="4" fontId="28" fillId="0" borderId="28" xfId="0" applyNumberFormat="1" applyFont="1" applyBorder="1"/>
    <xf numFmtId="3" fontId="28" fillId="0" borderId="28" xfId="0" applyNumberFormat="1" applyFont="1" applyBorder="1"/>
    <xf numFmtId="10" fontId="28" fillId="0" borderId="29" xfId="0" applyNumberFormat="1" applyFont="1" applyBorder="1"/>
    <xf numFmtId="10" fontId="28" fillId="0" borderId="28" xfId="0" applyNumberFormat="1" applyFont="1" applyBorder="1"/>
    <xf numFmtId="3" fontId="22" fillId="0" borderId="28" xfId="0" applyNumberFormat="1" applyFont="1" applyBorder="1"/>
    <xf numFmtId="10" fontId="22" fillId="0" borderId="29" xfId="20" applyNumberFormat="1" applyFont="1" applyBorder="1"/>
    <xf numFmtId="0" fontId="22" fillId="0" borderId="33" xfId="0" applyFont="1" applyBorder="1"/>
    <xf numFmtId="0" fontId="27" fillId="2" borderId="34" xfId="0" applyFont="1" applyFill="1" applyBorder="1" applyAlignment="1">
      <alignment horizontal="right"/>
    </xf>
    <xf numFmtId="0" fontId="27" fillId="2" borderId="35" xfId="0" applyFont="1" applyFill="1" applyBorder="1" applyAlignment="1">
      <alignment horizontal="right" wrapText="1"/>
    </xf>
    <xf numFmtId="0" fontId="22" fillId="0" borderId="36" xfId="0" applyFont="1" applyBorder="1"/>
    <xf numFmtId="10" fontId="22" fillId="0" borderId="37" xfId="0" applyNumberFormat="1" applyFont="1" applyFill="1" applyBorder="1" applyAlignment="1"/>
    <xf numFmtId="0" fontId="29" fillId="0" borderId="0" xfId="0" applyFont="1"/>
    <xf numFmtId="0" fontId="22" fillId="0" borderId="0" xfId="0" applyFont="1" applyBorder="1"/>
    <xf numFmtId="4" fontId="22" fillId="0" borderId="0" xfId="0" applyNumberFormat="1" applyFont="1" applyBorder="1"/>
    <xf numFmtId="10" fontId="22" fillId="0" borderId="0" xfId="20" applyNumberFormat="1" applyFont="1" applyBorder="1"/>
    <xf numFmtId="3" fontId="22" fillId="0" borderId="0" xfId="0" applyNumberFormat="1" applyFont="1" applyBorder="1"/>
    <xf numFmtId="3" fontId="28" fillId="0" borderId="28" xfId="0" applyNumberFormat="1" applyFont="1" applyBorder="1" applyAlignment="1">
      <alignment horizontal="right" wrapText="1"/>
    </xf>
    <xf numFmtId="14" fontId="18" fillId="0" borderId="9" xfId="16" applyNumberFormat="1" applyFont="1" applyFill="1" applyBorder="1" applyAlignment="1">
      <alignment horizontal="center" wrapText="1"/>
    </xf>
    <xf numFmtId="46" fontId="18" fillId="0" borderId="9" xfId="16" applyNumberFormat="1" applyFont="1" applyFill="1" applyBorder="1" applyAlignment="1">
      <alignment horizontal="center" wrapText="1"/>
    </xf>
    <xf numFmtId="10" fontId="22" fillId="0" borderId="28" xfId="16" applyNumberFormat="1" applyFont="1" applyFill="1" applyBorder="1" applyAlignment="1">
      <alignment horizontal="right" wrapText="1"/>
    </xf>
    <xf numFmtId="10" fontId="28" fillId="0" borderId="29" xfId="20" applyNumberFormat="1" applyFont="1" applyBorder="1"/>
    <xf numFmtId="0" fontId="27" fillId="2" borderId="34" xfId="26" applyFont="1" applyFill="1" applyBorder="1" applyAlignment="1">
      <alignment horizontal="right" wrapText="1"/>
    </xf>
    <xf numFmtId="10" fontId="28" fillId="0" borderId="28" xfId="20" applyNumberFormat="1" applyFont="1" applyBorder="1"/>
    <xf numFmtId="10" fontId="18" fillId="0" borderId="0" xfId="15" applyNumberFormat="1" applyFont="1" applyFill="1" applyBorder="1" applyAlignment="1">
      <alignment horizontal="right" wrapText="1"/>
    </xf>
    <xf numFmtId="10" fontId="18" fillId="0" borderId="0" xfId="12" applyNumberFormat="1" applyFont="1" applyFill="1" applyBorder="1" applyAlignment="1">
      <alignment horizontal="right" wrapText="1"/>
    </xf>
    <xf numFmtId="0" fontId="27" fillId="0" borderId="0" xfId="28" applyFont="1" applyFill="1" applyBorder="1" applyAlignment="1">
      <alignment horizontal="left" wrapText="1"/>
    </xf>
    <xf numFmtId="10" fontId="28" fillId="0" borderId="0" xfId="20" applyNumberFormat="1" applyFont="1" applyFill="1" applyBorder="1"/>
    <xf numFmtId="0" fontId="27" fillId="2" borderId="38" xfId="28" applyFont="1" applyFill="1" applyBorder="1" applyAlignment="1">
      <alignment wrapText="1"/>
    </xf>
    <xf numFmtId="1" fontId="18" fillId="0" borderId="9" xfId="15" applyNumberFormat="1" applyFont="1" applyFill="1" applyBorder="1" applyAlignment="1">
      <alignment horizontal="center" wrapText="1"/>
    </xf>
    <xf numFmtId="0" fontId="28" fillId="0" borderId="27" xfId="0" applyFont="1" applyBorder="1" applyAlignment="1"/>
    <xf numFmtId="4" fontId="18" fillId="0" borderId="0" xfId="12" applyNumberFormat="1" applyFont="1" applyFill="1" applyBorder="1" applyAlignment="1">
      <alignment horizontal="right" wrapText="1"/>
    </xf>
    <xf numFmtId="3" fontId="18" fillId="0" borderId="0" xfId="12" applyNumberFormat="1" applyFont="1" applyFill="1" applyBorder="1" applyAlignment="1">
      <alignment horizontal="right" wrapText="1"/>
    </xf>
    <xf numFmtId="4" fontId="28" fillId="0" borderId="0" xfId="0" applyNumberFormat="1" applyFont="1" applyBorder="1"/>
    <xf numFmtId="10" fontId="28" fillId="0" borderId="0" xfId="20" applyNumberFormat="1" applyFont="1" applyBorder="1"/>
    <xf numFmtId="3" fontId="28" fillId="0" borderId="0" xfId="0" applyNumberFormat="1" applyFont="1" applyBorder="1"/>
    <xf numFmtId="0" fontId="27" fillId="0" borderId="0" xfId="24" applyFont="1" applyFill="1" applyBorder="1" applyAlignment="1">
      <alignment horizontal="right" wrapText="1"/>
    </xf>
    <xf numFmtId="0" fontId="27" fillId="0" borderId="0" xfId="26" applyFont="1" applyFill="1" applyBorder="1" applyAlignment="1">
      <alignment horizontal="right" wrapText="1"/>
    </xf>
    <xf numFmtId="0" fontId="27" fillId="0" borderId="0" xfId="28" applyFont="1" applyFill="1" applyBorder="1" applyAlignment="1">
      <alignment horizontal="right" wrapText="1"/>
    </xf>
    <xf numFmtId="4" fontId="28" fillId="0" borderId="39" xfId="0" applyNumberFormat="1" applyFont="1" applyBorder="1"/>
    <xf numFmtId="174" fontId="22" fillId="0" borderId="39" xfId="20" applyNumberFormat="1" applyFont="1" applyFill="1" applyBorder="1" applyAlignment="1">
      <alignment horizontal="right" wrapText="1"/>
    </xf>
    <xf numFmtId="3" fontId="3" fillId="0" borderId="0" xfId="4" applyNumberFormat="1" applyBorder="1" applyAlignment="1" applyProtection="1">
      <alignment horizontal="center"/>
    </xf>
    <xf numFmtId="2" fontId="19" fillId="0" borderId="0" xfId="0" applyNumberFormat="1" applyFont="1" applyFill="1" applyBorder="1"/>
    <xf numFmtId="10" fontId="22" fillId="0" borderId="0" xfId="0" applyNumberFormat="1" applyFont="1" applyFill="1" applyBorder="1"/>
    <xf numFmtId="10" fontId="22" fillId="0" borderId="0" xfId="0" applyNumberFormat="1" applyFont="1" applyFill="1" applyBorder="1" applyAlignment="1"/>
    <xf numFmtId="10" fontId="4" fillId="0" borderId="0" xfId="0" applyNumberFormat="1" applyFont="1" applyFill="1" applyBorder="1"/>
    <xf numFmtId="0" fontId="17" fillId="0" borderId="0" xfId="11" applyFont="1" applyFill="1" applyBorder="1" applyAlignment="1">
      <alignment horizontal="left" wrapText="1"/>
    </xf>
    <xf numFmtId="10" fontId="19" fillId="0" borderId="11" xfId="0" applyNumberFormat="1" applyFont="1" applyBorder="1"/>
    <xf numFmtId="10" fontId="18" fillId="0" borderId="10" xfId="6" applyNumberFormat="1" applyFont="1" applyFill="1" applyBorder="1" applyAlignment="1">
      <alignment horizontal="right" wrapText="1"/>
    </xf>
    <xf numFmtId="3" fontId="22" fillId="0" borderId="0" xfId="0" applyNumberFormat="1" applyFont="1" applyFill="1" applyBorder="1"/>
    <xf numFmtId="10" fontId="22" fillId="0" borderId="0" xfId="20" applyNumberFormat="1" applyFont="1" applyFill="1" applyBorder="1"/>
    <xf numFmtId="0" fontId="22" fillId="0" borderId="0" xfId="11" applyFont="1" applyFill="1" applyBorder="1" applyAlignment="1">
      <alignment wrapText="1"/>
    </xf>
    <xf numFmtId="4" fontId="22" fillId="0" borderId="0" xfId="11" applyNumberFormat="1" applyFont="1" applyFill="1" applyBorder="1" applyAlignment="1">
      <alignment horizontal="right" wrapText="1"/>
    </xf>
    <xf numFmtId="10" fontId="22" fillId="0" borderId="0" xfId="11" applyNumberFormat="1" applyFont="1" applyFill="1" applyBorder="1" applyAlignment="1">
      <alignment horizontal="right" wrapText="1"/>
    </xf>
    <xf numFmtId="3" fontId="22" fillId="0" borderId="0" xfId="11" applyNumberFormat="1" applyFont="1" applyFill="1" applyBorder="1" applyAlignment="1">
      <alignment horizontal="right" wrapText="1"/>
    </xf>
    <xf numFmtId="10" fontId="22" fillId="0" borderId="0" xfId="16" applyNumberFormat="1" applyFont="1" applyFill="1" applyBorder="1" applyAlignment="1">
      <alignment horizontal="right" wrapText="1"/>
    </xf>
    <xf numFmtId="0" fontId="28" fillId="0" borderId="40" xfId="0" applyFont="1" applyFill="1" applyBorder="1"/>
    <xf numFmtId="4" fontId="28" fillId="0" borderId="40" xfId="0" applyNumberFormat="1" applyFont="1" applyFill="1" applyBorder="1"/>
    <xf numFmtId="0" fontId="28" fillId="0" borderId="0" xfId="0" applyFont="1" applyBorder="1" applyAlignment="1"/>
    <xf numFmtId="0" fontId="27" fillId="0" borderId="0" xfId="28" applyFont="1" applyFill="1" applyBorder="1" applyAlignment="1">
      <alignment horizontal="center" wrapText="1"/>
    </xf>
    <xf numFmtId="4" fontId="18" fillId="0" borderId="0" xfId="7" applyNumberFormat="1" applyFont="1" applyFill="1" applyBorder="1" applyAlignment="1">
      <alignment horizontal="center" wrapText="1"/>
    </xf>
    <xf numFmtId="172" fontId="18" fillId="0" borderId="0" xfId="7" applyNumberFormat="1" applyFont="1" applyFill="1" applyBorder="1" applyAlignment="1">
      <alignment horizontal="right" wrapText="1"/>
    </xf>
    <xf numFmtId="4" fontId="18" fillId="0" borderId="41" xfId="7" applyNumberFormat="1" applyFont="1" applyFill="1" applyBorder="1" applyAlignment="1">
      <alignment horizontal="right" wrapText="1"/>
    </xf>
    <xf numFmtId="0" fontId="23" fillId="0" borderId="0" xfId="0" applyFont="1" applyFill="1" applyBorder="1" applyAlignment="1"/>
    <xf numFmtId="0" fontId="24" fillId="0" borderId="0" xfId="0" applyFont="1" applyFill="1" applyBorder="1"/>
    <xf numFmtId="4" fontId="18" fillId="0" borderId="0" xfId="19" applyNumberFormat="1" applyFont="1" applyFill="1" applyBorder="1" applyAlignment="1">
      <alignment horizontal="center" wrapText="1"/>
    </xf>
    <xf numFmtId="4" fontId="18" fillId="0" borderId="0" xfId="19" applyNumberFormat="1" applyFont="1" applyFill="1" applyBorder="1" applyAlignment="1">
      <alignment horizontal="right" wrapText="1"/>
    </xf>
    <xf numFmtId="10" fontId="18" fillId="0" borderId="0" xfId="19" applyNumberFormat="1" applyFont="1" applyFill="1" applyBorder="1" applyAlignment="1">
      <alignment horizontal="right" wrapText="1"/>
    </xf>
    <xf numFmtId="3" fontId="18" fillId="0" borderId="0" xfId="19" applyNumberFormat="1" applyFont="1" applyFill="1" applyBorder="1" applyAlignment="1">
      <alignment horizontal="right" wrapText="1"/>
    </xf>
    <xf numFmtId="0" fontId="28" fillId="0" borderId="0" xfId="0" applyFont="1" applyFill="1" applyBorder="1"/>
    <xf numFmtId="4" fontId="28" fillId="0" borderId="0" xfId="0" applyNumberFormat="1" applyFont="1" applyFill="1" applyBorder="1"/>
    <xf numFmtId="10" fontId="28" fillId="0" borderId="0" xfId="0" applyNumberFormat="1" applyFont="1" applyFill="1" applyBorder="1"/>
    <xf numFmtId="3" fontId="28" fillId="0" borderId="0" xfId="0" applyNumberFormat="1" applyFont="1" applyFill="1" applyBorder="1" applyAlignment="1">
      <alignment horizontal="right" wrapText="1"/>
    </xf>
    <xf numFmtId="0" fontId="4" fillId="0" borderId="2" xfId="0" applyFont="1" applyFill="1" applyBorder="1" applyAlignment="1">
      <alignment horizontal="right"/>
    </xf>
    <xf numFmtId="0" fontId="6" fillId="0" borderId="0" xfId="0" applyFont="1" applyBorder="1" applyAlignment="1">
      <alignment horizontal="right"/>
    </xf>
    <xf numFmtId="0" fontId="10" fillId="0" borderId="0" xfId="0" quotePrefix="1" applyFont="1" applyBorder="1" applyAlignment="1">
      <alignment horizontal="right"/>
    </xf>
    <xf numFmtId="0" fontId="4" fillId="0" borderId="0" xfId="0" applyFont="1" applyAlignment="1">
      <alignment horizontal="right"/>
    </xf>
    <xf numFmtId="4" fontId="17" fillId="0" borderId="0" xfId="11" quotePrefix="1" applyNumberFormat="1" applyFont="1" applyFill="1" applyBorder="1" applyAlignment="1">
      <alignment horizontal="right" wrapText="1"/>
    </xf>
    <xf numFmtId="170" fontId="4" fillId="0" borderId="2" xfId="2" applyFont="1" applyBorder="1"/>
    <xf numFmtId="4" fontId="18" fillId="0" borderId="0" xfId="0" applyNumberFormat="1" applyFont="1" applyFill="1" applyBorder="1" applyAlignment="1">
      <alignment horizontal="right"/>
    </xf>
    <xf numFmtId="0" fontId="19" fillId="0" borderId="0" xfId="0" applyFont="1" applyBorder="1" applyAlignment="1">
      <alignment horizontal="right"/>
    </xf>
    <xf numFmtId="14" fontId="4" fillId="0" borderId="0" xfId="0" applyNumberFormat="1" applyFont="1" applyFill="1" applyBorder="1" applyAlignment="1">
      <alignment horizontal="center"/>
    </xf>
    <xf numFmtId="181" fontId="4" fillId="0" borderId="0" xfId="0" applyNumberFormat="1" applyFont="1" applyFill="1" applyBorder="1" applyAlignment="1">
      <alignment horizontal="center"/>
    </xf>
    <xf numFmtId="176" fontId="4" fillId="0" borderId="0" xfId="20" applyNumberFormat="1" applyFont="1" applyFill="1" applyBorder="1" applyAlignment="1">
      <alignment horizontal="center"/>
    </xf>
    <xf numFmtId="0" fontId="27" fillId="0" borderId="0" xfId="26" applyFont="1" applyFill="1" applyBorder="1" applyAlignment="1">
      <alignment horizontal="left" wrapText="1"/>
    </xf>
    <xf numFmtId="0" fontId="28" fillId="0" borderId="0" xfId="0" applyFont="1" applyFill="1" applyBorder="1" applyAlignment="1">
      <alignment horizontal="right"/>
    </xf>
    <xf numFmtId="0" fontId="27" fillId="0" borderId="0" xfId="24" applyFont="1" applyFill="1" applyBorder="1" applyAlignment="1">
      <alignment horizontal="left" wrapText="1"/>
    </xf>
    <xf numFmtId="0" fontId="22" fillId="0" borderId="0" xfId="0" applyFont="1" applyFill="1" applyBorder="1"/>
    <xf numFmtId="4" fontId="22" fillId="0" borderId="0" xfId="0" applyNumberFormat="1" applyFont="1" applyFill="1" applyBorder="1"/>
    <xf numFmtId="174" fontId="22" fillId="0" borderId="0" xfId="20" applyNumberFormat="1" applyFont="1" applyFill="1" applyBorder="1" applyAlignment="1">
      <alignment horizontal="right" wrapText="1"/>
    </xf>
    <xf numFmtId="3" fontId="30" fillId="0" borderId="0" xfId="0" applyNumberFormat="1" applyFont="1" applyFill="1" applyBorder="1"/>
    <xf numFmtId="0" fontId="27" fillId="0" borderId="0" xfId="25" applyFont="1" applyFill="1" applyBorder="1" applyAlignment="1">
      <alignment horizontal="left" wrapText="1"/>
    </xf>
    <xf numFmtId="0" fontId="27" fillId="0" borderId="0" xfId="25" applyFont="1" applyFill="1" applyBorder="1" applyAlignment="1">
      <alignment horizontal="right" wrapText="1"/>
    </xf>
    <xf numFmtId="10" fontId="18" fillId="0" borderId="0" xfId="6" applyNumberFormat="1" applyFont="1" applyFill="1" applyBorder="1" applyAlignment="1">
      <alignment horizontal="right" wrapText="1"/>
    </xf>
    <xf numFmtId="3" fontId="18" fillId="0" borderId="0" xfId="20" applyNumberFormat="1" applyFont="1" applyFill="1" applyBorder="1" applyAlignment="1">
      <alignment horizontal="right" wrapText="1"/>
    </xf>
    <xf numFmtId="10" fontId="19" fillId="0" borderId="0" xfId="0" applyNumberFormat="1" applyFont="1" applyFill="1" applyBorder="1"/>
    <xf numFmtId="173" fontId="18" fillId="0" borderId="0" xfId="8" applyNumberFormat="1" applyFont="1" applyFill="1" applyBorder="1" applyAlignment="1">
      <alignment horizontal="right" wrapText="1"/>
    </xf>
    <xf numFmtId="3" fontId="18" fillId="0" borderId="0" xfId="8" applyNumberFormat="1" applyFont="1" applyFill="1" applyBorder="1" applyAlignment="1">
      <alignment horizontal="right" wrapText="1"/>
    </xf>
    <xf numFmtId="173" fontId="28" fillId="0" borderId="0" xfId="0" applyNumberFormat="1" applyFont="1" applyFill="1" applyBorder="1"/>
    <xf numFmtId="3" fontId="28" fillId="0" borderId="0" xfId="0" applyNumberFormat="1" applyFont="1" applyFill="1" applyBorder="1"/>
    <xf numFmtId="3" fontId="19" fillId="0" borderId="0" xfId="0" applyNumberFormat="1" applyFont="1" applyFill="1" applyBorder="1"/>
    <xf numFmtId="0" fontId="18" fillId="0" borderId="0" xfId="7" applyFont="1" applyFill="1" applyBorder="1" applyAlignment="1">
      <alignment wrapText="1"/>
    </xf>
    <xf numFmtId="4" fontId="18" fillId="0" borderId="0" xfId="7" applyNumberFormat="1" applyFont="1" applyFill="1" applyBorder="1" applyAlignment="1">
      <alignment horizontal="right" wrapText="1"/>
    </xf>
    <xf numFmtId="10" fontId="18" fillId="0" borderId="0" xfId="7" applyNumberFormat="1" applyFont="1" applyFill="1" applyBorder="1" applyAlignment="1">
      <alignment horizontal="right" wrapText="1"/>
    </xf>
    <xf numFmtId="3" fontId="18" fillId="0" borderId="0" xfId="7" applyNumberFormat="1" applyFont="1" applyFill="1" applyBorder="1" applyAlignment="1">
      <alignment horizontal="right" wrapText="1"/>
    </xf>
    <xf numFmtId="10" fontId="18" fillId="0" borderId="0" xfId="0" applyNumberFormat="1" applyFont="1" applyFill="1" applyBorder="1"/>
    <xf numFmtId="0" fontId="18" fillId="0" borderId="0" xfId="7" quotePrefix="1" applyFont="1" applyFill="1" applyBorder="1" applyAlignment="1">
      <alignment wrapText="1"/>
    </xf>
    <xf numFmtId="0" fontId="18" fillId="0" borderId="0" xfId="7" quotePrefix="1" applyFont="1" applyFill="1" applyBorder="1" applyAlignment="1">
      <alignment horizontal="left" wrapText="1"/>
    </xf>
    <xf numFmtId="173" fontId="22" fillId="0" borderId="0" xfId="0" applyNumberFormat="1" applyFont="1" applyFill="1" applyBorder="1"/>
    <xf numFmtId="0" fontId="18" fillId="0" borderId="0" xfId="14" applyFont="1" applyFill="1" applyBorder="1" applyAlignment="1">
      <alignment wrapText="1"/>
    </xf>
    <xf numFmtId="4" fontId="18" fillId="0" borderId="0" xfId="14" applyNumberFormat="1" applyFont="1" applyFill="1" applyBorder="1" applyAlignment="1">
      <alignment horizontal="right" wrapText="1"/>
    </xf>
    <xf numFmtId="10" fontId="18" fillId="0" borderId="0" xfId="14" applyNumberFormat="1" applyFont="1" applyFill="1" applyBorder="1" applyAlignment="1">
      <alignment horizontal="right" wrapText="1"/>
    </xf>
    <xf numFmtId="3" fontId="18" fillId="0" borderId="0" xfId="14" applyNumberFormat="1" applyFont="1" applyFill="1" applyBorder="1" applyAlignment="1">
      <alignment horizontal="right" wrapText="1"/>
    </xf>
    <xf numFmtId="0" fontId="18" fillId="0" borderId="0" xfId="0" applyFont="1" applyFill="1" applyBorder="1" applyAlignment="1">
      <alignment horizontal="center" vertical="center"/>
    </xf>
    <xf numFmtId="0" fontId="27" fillId="0" borderId="0" xfId="0" applyFont="1" applyFill="1" applyBorder="1" applyAlignment="1">
      <alignment horizontal="right"/>
    </xf>
    <xf numFmtId="0" fontId="27" fillId="0" borderId="0" xfId="0" applyFont="1" applyFill="1" applyBorder="1" applyAlignment="1">
      <alignment horizontal="right" wrapText="1"/>
    </xf>
    <xf numFmtId="4" fontId="18" fillId="0" borderId="0" xfId="0" applyNumberFormat="1" applyFont="1" applyFill="1" applyBorder="1" applyAlignment="1"/>
    <xf numFmtId="0" fontId="29" fillId="0" borderId="0" xfId="0" applyFont="1" applyFill="1" applyBorder="1"/>
    <xf numFmtId="0" fontId="18" fillId="0" borderId="0" xfId="19" applyFont="1" applyFill="1" applyBorder="1" applyAlignment="1">
      <alignment horizontal="left" wrapText="1"/>
    </xf>
    <xf numFmtId="20" fontId="18" fillId="0" borderId="0" xfId="19" applyNumberFormat="1" applyFont="1" applyFill="1" applyBorder="1" applyAlignment="1">
      <alignment horizontal="left" wrapText="1"/>
    </xf>
    <xf numFmtId="0" fontId="18" fillId="0" borderId="0" xfId="10" applyFont="1" applyFill="1" applyBorder="1" applyAlignment="1">
      <alignment horizontal="right"/>
    </xf>
    <xf numFmtId="4" fontId="19" fillId="0" borderId="0" xfId="0" applyNumberFormat="1" applyFont="1" applyFill="1" applyBorder="1" applyAlignment="1">
      <alignment horizontal="right"/>
    </xf>
    <xf numFmtId="0" fontId="18" fillId="0" borderId="0" xfId="16" applyFont="1" applyFill="1" applyBorder="1" applyAlignment="1">
      <alignment horizontal="center" wrapText="1"/>
    </xf>
    <xf numFmtId="20" fontId="18" fillId="0" borderId="0" xfId="16" applyNumberFormat="1" applyFont="1" applyFill="1" applyBorder="1" applyAlignment="1">
      <alignment horizontal="center" wrapText="1"/>
    </xf>
    <xf numFmtId="14" fontId="18" fillId="0" borderId="0" xfId="16" applyNumberFormat="1" applyFont="1" applyFill="1" applyBorder="1" applyAlignment="1">
      <alignment horizontal="center" wrapText="1"/>
    </xf>
    <xf numFmtId="46" fontId="18" fillId="0" borderId="0" xfId="16" applyNumberFormat="1" applyFont="1" applyFill="1" applyBorder="1" applyAlignment="1">
      <alignment horizontal="center" wrapText="1"/>
    </xf>
    <xf numFmtId="0" fontId="27" fillId="0" borderId="0" xfId="28" applyFont="1" applyFill="1" applyBorder="1" applyAlignment="1">
      <alignment wrapText="1"/>
    </xf>
    <xf numFmtId="1" fontId="18" fillId="0" borderId="0" xfId="15" applyNumberFormat="1" applyFont="1" applyFill="1" applyBorder="1" applyAlignment="1">
      <alignment horizontal="center" wrapText="1"/>
    </xf>
    <xf numFmtId="4" fontId="18" fillId="0" borderId="0" xfId="15" applyNumberFormat="1" applyFont="1" applyFill="1" applyBorder="1" applyAlignment="1">
      <alignment horizontal="right" wrapText="1"/>
    </xf>
    <xf numFmtId="3" fontId="18" fillId="0" borderId="0" xfId="15" applyNumberFormat="1" applyFont="1" applyFill="1" applyBorder="1" applyAlignment="1">
      <alignment horizontal="right" wrapText="1"/>
    </xf>
    <xf numFmtId="0" fontId="28" fillId="0" borderId="0" xfId="0" applyFont="1" applyFill="1" applyBorder="1" applyAlignment="1"/>
    <xf numFmtId="0" fontId="19" fillId="0" borderId="0" xfId="0" applyFont="1" applyFill="1" applyBorder="1" applyAlignment="1"/>
    <xf numFmtId="172" fontId="4" fillId="0" borderId="7" xfId="0" applyNumberFormat="1" applyFont="1" applyFill="1" applyBorder="1"/>
    <xf numFmtId="172" fontId="4" fillId="0" borderId="8" xfId="0" applyNumberFormat="1" applyFont="1" applyFill="1" applyBorder="1"/>
    <xf numFmtId="172" fontId="8" fillId="0" borderId="2" xfId="0" applyNumberFormat="1" applyFont="1" applyFill="1" applyBorder="1"/>
    <xf numFmtId="0" fontId="31" fillId="0" borderId="0" xfId="0" applyFont="1" applyFill="1" applyBorder="1"/>
    <xf numFmtId="0" fontId="31" fillId="0" borderId="0" xfId="0" applyFont="1" applyFill="1" applyBorder="1" applyAlignment="1">
      <alignment horizontal="right"/>
    </xf>
    <xf numFmtId="0" fontId="32" fillId="0" borderId="1" xfId="0" applyFont="1" applyFill="1" applyBorder="1"/>
    <xf numFmtId="170" fontId="32" fillId="0" borderId="2" xfId="0" applyNumberFormat="1" applyFont="1" applyFill="1" applyBorder="1" applyAlignment="1">
      <alignment horizontal="right"/>
    </xf>
    <xf numFmtId="0" fontId="33" fillId="0" borderId="2" xfId="0" applyFont="1" applyFill="1" applyBorder="1" applyAlignment="1">
      <alignment horizontal="right"/>
    </xf>
    <xf numFmtId="0" fontId="34" fillId="0" borderId="2" xfId="0" applyFont="1" applyFill="1" applyBorder="1" applyAlignment="1">
      <alignment horizontal="right"/>
    </xf>
    <xf numFmtId="0" fontId="32" fillId="0" borderId="4" xfId="0" applyFont="1" applyFill="1" applyBorder="1"/>
    <xf numFmtId="170" fontId="32" fillId="0" borderId="0" xfId="0" applyNumberFormat="1" applyFont="1" applyFill="1" applyBorder="1" applyAlignment="1">
      <alignment horizontal="right"/>
    </xf>
    <xf numFmtId="0" fontId="33" fillId="0" borderId="0" xfId="0" applyFont="1" applyFill="1" applyBorder="1" applyAlignment="1">
      <alignment horizontal="right"/>
    </xf>
    <xf numFmtId="0" fontId="34" fillId="0" borderId="0" xfId="0" applyFont="1" applyFill="1" applyBorder="1" applyAlignment="1">
      <alignment horizontal="right"/>
    </xf>
    <xf numFmtId="173" fontId="32" fillId="0" borderId="0" xfId="0" applyNumberFormat="1" applyFont="1" applyFill="1" applyBorder="1"/>
    <xf numFmtId="0" fontId="32" fillId="0" borderId="6" xfId="0" applyFont="1" applyFill="1" applyBorder="1"/>
    <xf numFmtId="170" fontId="32" fillId="0" borderId="7" xfId="0" applyNumberFormat="1" applyFont="1" applyFill="1" applyBorder="1" applyAlignment="1">
      <alignment horizontal="right"/>
    </xf>
    <xf numFmtId="0" fontId="33" fillId="0" borderId="7" xfId="0" applyFont="1" applyFill="1" applyBorder="1" applyAlignment="1">
      <alignment horizontal="right"/>
    </xf>
    <xf numFmtId="173" fontId="32" fillId="0" borderId="7" xfId="0" applyNumberFormat="1" applyFont="1" applyFill="1" applyBorder="1"/>
    <xf numFmtId="173" fontId="4" fillId="0" borderId="7" xfId="0" applyNumberFormat="1" applyFont="1" applyFill="1" applyBorder="1"/>
    <xf numFmtId="173" fontId="4" fillId="0" borderId="8" xfId="0" applyNumberFormat="1" applyFont="1" applyFill="1" applyBorder="1"/>
    <xf numFmtId="0" fontId="22" fillId="0" borderId="27" xfId="11" applyFont="1" applyFill="1" applyBorder="1" applyAlignment="1">
      <alignment wrapText="1"/>
    </xf>
    <xf numFmtId="4" fontId="22" fillId="0" borderId="28" xfId="11" applyNumberFormat="1" applyFont="1" applyFill="1" applyBorder="1" applyAlignment="1">
      <alignment horizontal="right" wrapText="1"/>
    </xf>
    <xf numFmtId="10" fontId="22" fillId="0" borderId="28" xfId="11" applyNumberFormat="1" applyFont="1" applyFill="1" applyBorder="1" applyAlignment="1">
      <alignment horizontal="right" wrapText="1"/>
    </xf>
    <xf numFmtId="3" fontId="22" fillId="0" borderId="28" xfId="11" applyNumberFormat="1" applyFont="1" applyFill="1" applyBorder="1" applyAlignment="1">
      <alignment horizontal="right" wrapText="1"/>
    </xf>
    <xf numFmtId="10" fontId="22" fillId="0" borderId="29" xfId="11" applyNumberFormat="1" applyFont="1" applyFill="1" applyBorder="1" applyAlignment="1">
      <alignment horizontal="right" wrapText="1"/>
    </xf>
    <xf numFmtId="0" fontId="28" fillId="0" borderId="42" xfId="0" applyFont="1" applyBorder="1" applyAlignment="1">
      <alignment horizontal="right"/>
    </xf>
    <xf numFmtId="0" fontId="8" fillId="0" borderId="4" xfId="0" applyFont="1" applyBorder="1"/>
    <xf numFmtId="183" fontId="4" fillId="0" borderId="2" xfId="0" applyNumberFormat="1" applyFont="1" applyFill="1" applyBorder="1"/>
    <xf numFmtId="0" fontId="19" fillId="0" borderId="15" xfId="0" applyFont="1" applyBorder="1"/>
    <xf numFmtId="4" fontId="18" fillId="0" borderId="16" xfId="6" applyNumberFormat="1" applyFont="1" applyFill="1" applyBorder="1" applyAlignment="1">
      <alignment horizontal="right" wrapText="1"/>
    </xf>
    <xf numFmtId="0" fontId="36" fillId="0" borderId="27" xfId="0" applyFont="1" applyBorder="1"/>
    <xf numFmtId="4" fontId="37" fillId="0" borderId="28" xfId="0" applyNumberFormat="1" applyFont="1" applyBorder="1"/>
    <xf numFmtId="3" fontId="37" fillId="0" borderId="28" xfId="0" applyNumberFormat="1" applyFont="1" applyBorder="1"/>
    <xf numFmtId="1" fontId="4" fillId="0" borderId="0" xfId="0" applyNumberFormat="1" applyFont="1" applyFill="1" applyBorder="1" applyAlignment="1">
      <alignment horizontal="center"/>
    </xf>
    <xf numFmtId="180" fontId="4" fillId="0" borderId="0" xfId="0" applyNumberFormat="1" applyFont="1" applyFill="1" applyBorder="1" applyAlignment="1">
      <alignment horizontal="center"/>
    </xf>
    <xf numFmtId="0" fontId="4" fillId="0" borderId="0" xfId="0" applyFont="1" applyFill="1" applyBorder="1" applyAlignment="1"/>
    <xf numFmtId="0" fontId="27" fillId="2" borderId="0" xfId="24" applyFont="1" applyFill="1" applyBorder="1" applyAlignment="1">
      <alignment horizontal="left" wrapText="1"/>
    </xf>
    <xf numFmtId="0" fontId="27" fillId="2" borderId="0" xfId="24" applyFont="1" applyFill="1" applyBorder="1" applyAlignment="1">
      <alignment horizontal="right" wrapText="1"/>
    </xf>
    <xf numFmtId="0" fontId="36" fillId="0" borderId="0" xfId="0" applyFont="1" applyBorder="1"/>
    <xf numFmtId="4" fontId="37" fillId="0" borderId="0" xfId="0" applyNumberFormat="1" applyFont="1" applyBorder="1"/>
    <xf numFmtId="174" fontId="38" fillId="0" borderId="0" xfId="20" applyNumberFormat="1" applyFont="1" applyFill="1" applyBorder="1" applyAlignment="1">
      <alignment horizontal="right" wrapText="1"/>
    </xf>
    <xf numFmtId="3" fontId="37" fillId="0" borderId="0" xfId="0" applyNumberFormat="1" applyFont="1" applyBorder="1"/>
    <xf numFmtId="10" fontId="18" fillId="0" borderId="10" xfId="20" applyNumberFormat="1" applyFont="1" applyFill="1" applyBorder="1" applyAlignment="1">
      <alignment horizontal="right" wrapText="1"/>
    </xf>
    <xf numFmtId="10" fontId="18" fillId="0" borderId="16" xfId="20" applyNumberFormat="1" applyFont="1" applyFill="1" applyBorder="1" applyAlignment="1">
      <alignment horizontal="right" wrapText="1"/>
    </xf>
    <xf numFmtId="10" fontId="38" fillId="0" borderId="28" xfId="20" applyNumberFormat="1" applyFont="1" applyFill="1" applyBorder="1" applyAlignment="1">
      <alignment horizontal="right" wrapText="1"/>
    </xf>
    <xf numFmtId="10" fontId="18" fillId="0" borderId="11" xfId="20" applyNumberFormat="1" applyFont="1" applyFill="1" applyBorder="1" applyAlignment="1">
      <alignment horizontal="right" wrapText="1"/>
    </xf>
    <xf numFmtId="10" fontId="18" fillId="0" borderId="17" xfId="20" applyNumberFormat="1" applyFont="1" applyFill="1" applyBorder="1" applyAlignment="1">
      <alignment horizontal="right" wrapText="1"/>
    </xf>
    <xf numFmtId="10" fontId="38" fillId="0" borderId="29" xfId="20" applyNumberFormat="1" applyFont="1" applyFill="1" applyBorder="1" applyAlignment="1">
      <alignment horizontal="right" wrapText="1"/>
    </xf>
    <xf numFmtId="10" fontId="18" fillId="0" borderId="16" xfId="8" applyNumberFormat="1" applyFont="1" applyFill="1" applyBorder="1" applyAlignment="1">
      <alignment horizontal="right" wrapText="1"/>
    </xf>
    <xf numFmtId="0" fontId="18" fillId="0" borderId="43" xfId="7" quotePrefix="1" applyFont="1" applyFill="1" applyBorder="1" applyAlignment="1">
      <alignment horizontal="left" wrapText="1"/>
    </xf>
    <xf numFmtId="0" fontId="18" fillId="2" borderId="38" xfId="0" applyFont="1" applyFill="1" applyBorder="1" applyAlignment="1">
      <alignment horizontal="left" wrapText="1"/>
    </xf>
    <xf numFmtId="10" fontId="18" fillId="0" borderId="16" xfId="6" applyNumberFormat="1" applyFont="1" applyFill="1" applyBorder="1" applyAlignment="1">
      <alignment horizontal="right" wrapText="1"/>
    </xf>
    <xf numFmtId="10" fontId="19" fillId="0" borderId="17" xfId="0" applyNumberFormat="1" applyFont="1" applyBorder="1"/>
    <xf numFmtId="3" fontId="28" fillId="0" borderId="29" xfId="0" applyNumberFormat="1" applyFont="1" applyBorder="1"/>
    <xf numFmtId="1" fontId="6" fillId="0" borderId="0" xfId="0" applyNumberFormat="1" applyFont="1" applyFill="1" applyBorder="1"/>
    <xf numFmtId="0" fontId="22" fillId="0" borderId="0" xfId="26" applyFont="1" applyFill="1" applyBorder="1" applyAlignment="1">
      <alignment horizontal="left" vertical="center" wrapText="1"/>
    </xf>
    <xf numFmtId="49" fontId="18" fillId="0" borderId="0" xfId="26" applyNumberFormat="1" applyFont="1" applyFill="1" applyBorder="1" applyAlignment="1">
      <alignment horizontal="center" vertical="center" wrapText="1"/>
    </xf>
    <xf numFmtId="0" fontId="18" fillId="0" borderId="0" xfId="11" applyFont="1" applyFill="1" applyBorder="1" applyAlignment="1">
      <alignment horizontal="left" wrapText="1"/>
    </xf>
    <xf numFmtId="49" fontId="18" fillId="0" borderId="0" xfId="11" applyNumberFormat="1" applyFont="1" applyFill="1" applyBorder="1" applyAlignment="1">
      <alignment horizontal="right" wrapText="1"/>
    </xf>
    <xf numFmtId="0" fontId="18" fillId="0" borderId="0" xfId="11" applyFont="1" applyFill="1" applyBorder="1" applyAlignment="1">
      <alignment horizontal="right" wrapText="1"/>
    </xf>
    <xf numFmtId="0" fontId="39" fillId="0" borderId="0" xfId="4" applyFont="1" applyFill="1" applyBorder="1" applyAlignment="1" applyProtection="1">
      <alignment horizontal="center"/>
    </xf>
    <xf numFmtId="49" fontId="18" fillId="0" borderId="0" xfId="11" applyNumberFormat="1" applyFont="1" applyFill="1" applyBorder="1" applyAlignment="1">
      <alignment horizontal="left" wrapText="1"/>
    </xf>
    <xf numFmtId="10" fontId="18" fillId="0" borderId="0" xfId="12" applyNumberFormat="1" applyFont="1" applyFill="1" applyBorder="1" applyAlignment="1">
      <alignment horizontal="left" wrapText="1"/>
    </xf>
    <xf numFmtId="3" fontId="18" fillId="0" borderId="0" xfId="12" applyNumberFormat="1" applyFont="1" applyFill="1" applyBorder="1" applyAlignment="1">
      <alignment horizontal="left" wrapText="1"/>
    </xf>
    <xf numFmtId="174" fontId="17" fillId="0" borderId="0" xfId="11" applyNumberFormat="1" applyFont="1" applyFill="1" applyBorder="1" applyAlignment="1">
      <alignment horizontal="right" wrapText="1"/>
    </xf>
    <xf numFmtId="10" fontId="4" fillId="0" borderId="5" xfId="0" applyNumberFormat="1" applyFont="1" applyFill="1" applyBorder="1"/>
    <xf numFmtId="0" fontId="18" fillId="0" borderId="24" xfId="10" applyFont="1" applyFill="1" applyBorder="1" applyAlignment="1">
      <alignment horizontal="left"/>
    </xf>
    <xf numFmtId="171" fontId="18" fillId="0" borderId="44" xfId="1" applyFont="1" applyFill="1" applyBorder="1" applyAlignment="1">
      <alignment horizontal="right" wrapText="1"/>
    </xf>
    <xf numFmtId="10" fontId="19" fillId="0" borderId="44" xfId="0" applyNumberFormat="1" applyFont="1" applyFill="1" applyBorder="1"/>
    <xf numFmtId="3" fontId="8" fillId="0" borderId="0" xfId="0" quotePrefix="1" applyNumberFormat="1" applyFont="1" applyBorder="1"/>
    <xf numFmtId="0" fontId="41" fillId="0" borderId="0" xfId="0" applyFont="1" applyFill="1" applyBorder="1" applyAlignment="1">
      <alignment horizontal="left"/>
    </xf>
    <xf numFmtId="170" fontId="8" fillId="0" borderId="0" xfId="2" applyFont="1" applyFill="1" applyBorder="1" applyAlignment="1">
      <alignment horizontal="right"/>
    </xf>
    <xf numFmtId="170" fontId="8" fillId="0" borderId="0" xfId="0" applyNumberFormat="1" applyFont="1" applyBorder="1" applyAlignment="1">
      <alignment horizontal="right"/>
    </xf>
    <xf numFmtId="4" fontId="4" fillId="0" borderId="0" xfId="2" applyNumberFormat="1" applyFont="1" applyBorder="1" applyAlignment="1">
      <alignment horizontal="right"/>
    </xf>
    <xf numFmtId="0" fontId="8" fillId="0" borderId="0" xfId="0" applyFont="1" applyFill="1" applyBorder="1" applyAlignment="1">
      <alignment horizontal="right"/>
    </xf>
    <xf numFmtId="10" fontId="18" fillId="0" borderId="13" xfId="14" applyNumberFormat="1" applyFont="1" applyFill="1" applyBorder="1" applyAlignment="1">
      <alignment horizontal="right" wrapText="1"/>
    </xf>
    <xf numFmtId="0" fontId="27" fillId="2" borderId="35" xfId="28" applyFont="1" applyFill="1" applyBorder="1" applyAlignment="1">
      <alignment horizontal="right" wrapText="1"/>
    </xf>
    <xf numFmtId="10" fontId="22" fillId="0" borderId="28" xfId="0" applyNumberFormat="1" applyFont="1" applyBorder="1"/>
    <xf numFmtId="10" fontId="22" fillId="0" borderId="37" xfId="0" applyNumberFormat="1" applyFont="1" applyBorder="1"/>
    <xf numFmtId="0" fontId="27" fillId="2" borderId="38" xfId="28" applyFont="1" applyFill="1" applyBorder="1" applyAlignment="1">
      <alignment horizontal="left" wrapText="1"/>
    </xf>
    <xf numFmtId="10" fontId="22" fillId="0" borderId="29" xfId="0" applyNumberFormat="1" applyFont="1" applyBorder="1"/>
    <xf numFmtId="0" fontId="28" fillId="0" borderId="27" xfId="0" applyFont="1" applyBorder="1" applyAlignment="1">
      <alignment horizontal="left"/>
    </xf>
    <xf numFmtId="0" fontId="39" fillId="0" borderId="0" xfId="4" applyFont="1" applyFill="1" applyBorder="1" applyAlignment="1" applyProtection="1">
      <alignment horizontal="left"/>
    </xf>
    <xf numFmtId="0" fontId="3" fillId="0" borderId="0" xfId="4" applyFill="1" applyBorder="1" applyAlignment="1" applyProtection="1">
      <alignment horizontal="left"/>
    </xf>
    <xf numFmtId="3" fontId="19" fillId="0" borderId="10" xfId="0" applyNumberFormat="1" applyFont="1" applyBorder="1"/>
    <xf numFmtId="3" fontId="19" fillId="0" borderId="16" xfId="0" applyNumberFormat="1" applyFont="1" applyBorder="1"/>
    <xf numFmtId="0" fontId="19" fillId="0" borderId="19" xfId="0" applyFont="1" applyBorder="1" applyAlignment="1">
      <alignment horizontal="center"/>
    </xf>
    <xf numFmtId="1" fontId="42" fillId="0" borderId="0" xfId="0" applyNumberFormat="1" applyFont="1" applyFill="1" applyBorder="1"/>
    <xf numFmtId="0" fontId="32" fillId="0" borderId="0" xfId="0" applyFont="1" applyFill="1" applyBorder="1"/>
    <xf numFmtId="0" fontId="42" fillId="0" borderId="0" xfId="0" applyFont="1" applyFill="1" applyBorder="1"/>
    <xf numFmtId="0" fontId="44" fillId="0" borderId="0" xfId="24" applyFont="1" applyFill="1" applyBorder="1" applyAlignment="1">
      <alignment horizontal="center" vertical="top" wrapText="1"/>
    </xf>
    <xf numFmtId="0" fontId="44" fillId="0" borderId="0" xfId="26" applyFont="1" applyFill="1" applyBorder="1" applyAlignment="1">
      <alignment horizontal="center" vertical="center" wrapText="1"/>
    </xf>
    <xf numFmtId="0" fontId="45" fillId="0" borderId="0" xfId="0" applyFont="1" applyFill="1" applyBorder="1"/>
    <xf numFmtId="0" fontId="46" fillId="0" borderId="0" xfId="26" applyFont="1" applyFill="1" applyBorder="1" applyAlignment="1">
      <alignment horizontal="left" wrapText="1"/>
    </xf>
    <xf numFmtId="0" fontId="46" fillId="0" borderId="0" xfId="28" applyFont="1" applyFill="1" applyBorder="1" applyAlignment="1">
      <alignment horizontal="right" wrapText="1"/>
    </xf>
    <xf numFmtId="0" fontId="47" fillId="0" borderId="0" xfId="4" applyFont="1" applyFill="1" applyBorder="1" applyAlignment="1" applyProtection="1"/>
    <xf numFmtId="10" fontId="44" fillId="0" borderId="0" xfId="12" applyNumberFormat="1" applyFont="1" applyFill="1" applyBorder="1" applyAlignment="1">
      <alignment horizontal="right" wrapText="1"/>
    </xf>
    <xf numFmtId="0" fontId="48" fillId="0" borderId="0" xfId="4" applyFont="1" applyFill="1" applyBorder="1" applyAlignment="1" applyProtection="1"/>
    <xf numFmtId="0" fontId="48" fillId="0" borderId="0" xfId="4" applyFont="1" applyFill="1" applyBorder="1" applyAlignment="1" applyProtection="1">
      <alignment horizontal="left"/>
    </xf>
    <xf numFmtId="0" fontId="47" fillId="0" borderId="0" xfId="4" applyFont="1" applyFill="1" applyBorder="1" applyAlignment="1" applyProtection="1">
      <alignment horizontal="left"/>
    </xf>
    <xf numFmtId="10" fontId="44" fillId="0" borderId="0" xfId="12" applyNumberFormat="1" applyFont="1" applyFill="1" applyBorder="1" applyAlignment="1">
      <alignment horizontal="left" wrapText="1"/>
    </xf>
    <xf numFmtId="3" fontId="44" fillId="0" borderId="0" xfId="12" applyNumberFormat="1" applyFont="1" applyFill="1" applyBorder="1" applyAlignment="1">
      <alignment horizontal="left" wrapText="1"/>
    </xf>
    <xf numFmtId="10" fontId="50" fillId="0" borderId="0" xfId="20" applyNumberFormat="1" applyFont="1" applyBorder="1"/>
    <xf numFmtId="3" fontId="50" fillId="0" borderId="0" xfId="0" applyNumberFormat="1" applyFont="1" applyBorder="1"/>
    <xf numFmtId="0" fontId="51" fillId="0" borderId="0" xfId="0" applyFont="1" applyFill="1" applyBorder="1"/>
    <xf numFmtId="0" fontId="45" fillId="0" borderId="0" xfId="0" applyFont="1" applyBorder="1"/>
    <xf numFmtId="0" fontId="52" fillId="0" borderId="0" xfId="0" applyFont="1" applyBorder="1"/>
    <xf numFmtId="0" fontId="52" fillId="0" borderId="0" xfId="0" applyFont="1" applyFill="1" applyBorder="1"/>
    <xf numFmtId="1" fontId="42" fillId="0" borderId="0" xfId="0" applyNumberFormat="1" applyFont="1" applyFill="1" applyBorder="1" applyAlignment="1">
      <alignment wrapText="1"/>
    </xf>
    <xf numFmtId="0" fontId="45" fillId="0" borderId="45" xfId="0" applyFont="1" applyFill="1" applyBorder="1"/>
    <xf numFmtId="0" fontId="45" fillId="0" borderId="7" xfId="0" applyFont="1" applyFill="1" applyBorder="1"/>
    <xf numFmtId="0" fontId="45" fillId="0" borderId="0" xfId="0" applyFont="1" applyFill="1" applyBorder="1" applyAlignment="1">
      <alignment horizontal="left"/>
    </xf>
    <xf numFmtId="0" fontId="45" fillId="0" borderId="0" xfId="0" applyFont="1" applyFill="1" applyBorder="1" applyAlignment="1">
      <alignment horizontal="left" vertical="center"/>
    </xf>
    <xf numFmtId="184" fontId="18" fillId="0" borderId="0" xfId="11" applyNumberFormat="1" applyFont="1" applyFill="1" applyBorder="1" applyAlignment="1">
      <alignment wrapText="1"/>
    </xf>
    <xf numFmtId="3" fontId="17" fillId="0" borderId="0" xfId="11" applyNumberFormat="1" applyFont="1" applyFill="1" applyBorder="1" applyAlignment="1">
      <alignment horizontal="right" wrapText="1"/>
    </xf>
    <xf numFmtId="2" fontId="18" fillId="0" borderId="0" xfId="11" applyNumberFormat="1" applyFont="1" applyFill="1" applyBorder="1" applyAlignment="1">
      <alignment horizontal="right" wrapText="1"/>
    </xf>
    <xf numFmtId="3" fontId="17" fillId="0" borderId="7" xfId="11" applyNumberFormat="1" applyFont="1" applyFill="1" applyBorder="1" applyAlignment="1">
      <alignment horizontal="right" wrapText="1"/>
    </xf>
    <xf numFmtId="184" fontId="18" fillId="0" borderId="7" xfId="11" applyNumberFormat="1" applyFont="1" applyFill="1" applyBorder="1" applyAlignment="1">
      <alignment wrapText="1"/>
    </xf>
    <xf numFmtId="2" fontId="18" fillId="0" borderId="7" xfId="11" applyNumberFormat="1" applyFont="1" applyFill="1" applyBorder="1" applyAlignment="1">
      <alignment horizontal="right" wrapText="1"/>
    </xf>
    <xf numFmtId="171" fontId="4" fillId="2" borderId="5" xfId="1" applyFont="1" applyFill="1" applyBorder="1" applyAlignment="1">
      <alignment horizontal="center"/>
    </xf>
    <xf numFmtId="0" fontId="4" fillId="2" borderId="7" xfId="0" applyFont="1" applyFill="1" applyBorder="1"/>
    <xf numFmtId="0" fontId="4" fillId="2" borderId="8" xfId="0" applyFont="1" applyFill="1" applyBorder="1"/>
    <xf numFmtId="0" fontId="18" fillId="0" borderId="0" xfId="27" applyFont="1" applyFill="1" applyBorder="1" applyAlignment="1">
      <alignment horizontal="center" vertical="center" wrapText="1"/>
    </xf>
    <xf numFmtId="14" fontId="4" fillId="2" borderId="5" xfId="0" applyNumberFormat="1" applyFont="1" applyFill="1" applyBorder="1" applyAlignment="1">
      <alignment horizontal="center"/>
    </xf>
    <xf numFmtId="14" fontId="4" fillId="2" borderId="2" xfId="0" applyNumberFormat="1" applyFont="1" applyFill="1" applyBorder="1" applyAlignment="1"/>
    <xf numFmtId="14" fontId="4" fillId="2" borderId="0" xfId="0" applyNumberFormat="1" applyFont="1" applyFill="1" applyBorder="1" applyAlignment="1"/>
    <xf numFmtId="1" fontId="4" fillId="2" borderId="0" xfId="0" applyNumberFormat="1" applyFont="1" applyFill="1" applyBorder="1" applyAlignment="1"/>
    <xf numFmtId="0" fontId="8" fillId="2" borderId="7" xfId="0" applyFont="1" applyFill="1" applyBorder="1" applyAlignment="1">
      <alignment horizontal="center"/>
    </xf>
    <xf numFmtId="0" fontId="45" fillId="0" borderId="7" xfId="0" applyFont="1" applyFill="1" applyBorder="1" applyAlignment="1"/>
    <xf numFmtId="14" fontId="4" fillId="2" borderId="4" xfId="0" applyNumberFormat="1" applyFont="1" applyFill="1" applyBorder="1" applyAlignment="1">
      <alignment horizontal="right"/>
    </xf>
    <xf numFmtId="14" fontId="4" fillId="2" borderId="6" xfId="0" applyNumberFormat="1" applyFont="1" applyFill="1" applyBorder="1" applyAlignment="1">
      <alignment horizontal="right"/>
    </xf>
    <xf numFmtId="14" fontId="4" fillId="2" borderId="8" xfId="0" applyNumberFormat="1" applyFont="1" applyFill="1" applyBorder="1" applyAlignment="1">
      <alignment horizontal="center"/>
    </xf>
    <xf numFmtId="0" fontId="4" fillId="2" borderId="5" xfId="0" applyFont="1" applyFill="1" applyBorder="1" applyAlignment="1">
      <alignment horizontal="right"/>
    </xf>
    <xf numFmtId="14" fontId="4" fillId="0" borderId="0" xfId="0" applyNumberFormat="1" applyFont="1"/>
    <xf numFmtId="170" fontId="4" fillId="0" borderId="0" xfId="2" applyFont="1" applyFill="1" applyBorder="1" applyAlignment="1">
      <alignment horizontal="right"/>
    </xf>
    <xf numFmtId="175" fontId="4" fillId="0" borderId="2" xfId="0" applyNumberFormat="1" applyFont="1" applyFill="1" applyBorder="1"/>
    <xf numFmtId="180" fontId="4" fillId="0" borderId="0" xfId="0" applyNumberFormat="1" applyFont="1" applyFill="1" applyBorder="1"/>
    <xf numFmtId="170" fontId="8" fillId="0" borderId="0" xfId="0" applyNumberFormat="1" applyFont="1" applyFill="1" applyAlignment="1">
      <alignment horizontal="right"/>
    </xf>
    <xf numFmtId="170" fontId="4" fillId="0" borderId="0" xfId="0" applyNumberFormat="1" applyFont="1" applyFill="1" applyAlignment="1">
      <alignment horizontal="right"/>
    </xf>
    <xf numFmtId="170" fontId="4" fillId="0" borderId="0" xfId="2" applyNumberFormat="1" applyFont="1" applyFill="1" applyBorder="1" applyAlignment="1">
      <alignment horizontal="right"/>
    </xf>
    <xf numFmtId="170" fontId="8" fillId="0" borderId="0" xfId="2" applyNumberFormat="1" applyFont="1" applyFill="1" applyBorder="1" applyAlignment="1">
      <alignment horizontal="right"/>
    </xf>
    <xf numFmtId="170" fontId="8" fillId="0" borderId="0" xfId="0" applyNumberFormat="1" applyFont="1" applyFill="1" applyBorder="1" applyAlignment="1">
      <alignment horizontal="right"/>
    </xf>
    <xf numFmtId="170" fontId="4" fillId="0" borderId="0" xfId="2" applyNumberFormat="1" applyFont="1" applyFill="1" applyBorder="1"/>
    <xf numFmtId="170" fontId="4" fillId="0" borderId="0" xfId="2" applyFont="1" applyFill="1" applyBorder="1"/>
    <xf numFmtId="0" fontId="18" fillId="0" borderId="0" xfId="26" applyFont="1" applyFill="1" applyBorder="1" applyAlignment="1">
      <alignment horizontal="right" vertical="center" wrapText="1"/>
    </xf>
    <xf numFmtId="0" fontId="22" fillId="0" borderId="0" xfId="11" applyFont="1" applyFill="1" applyBorder="1" applyAlignment="1">
      <alignment horizontal="left"/>
    </xf>
    <xf numFmtId="0" fontId="45" fillId="0" borderId="0" xfId="0" applyFont="1" applyFill="1" applyBorder="1" applyAlignment="1"/>
    <xf numFmtId="0" fontId="32" fillId="0" borderId="0" xfId="0" applyFont="1" applyBorder="1"/>
    <xf numFmtId="0" fontId="23" fillId="0" borderId="0" xfId="0" applyFont="1" applyFill="1" applyBorder="1"/>
    <xf numFmtId="0" fontId="32" fillId="0" borderId="10" xfId="0" applyFont="1" applyFill="1" applyBorder="1" applyAlignment="1">
      <alignment horizontal="center" vertical="center" wrapText="1"/>
    </xf>
    <xf numFmtId="0" fontId="32" fillId="0" borderId="16" xfId="0" applyFont="1" applyFill="1" applyBorder="1"/>
    <xf numFmtId="1" fontId="23" fillId="0" borderId="0" xfId="0" applyNumberFormat="1" applyFont="1" applyFill="1" applyBorder="1" applyAlignment="1">
      <alignment wrapText="1"/>
    </xf>
    <xf numFmtId="0" fontId="32" fillId="0" borderId="46" xfId="0" applyFont="1" applyFill="1" applyBorder="1" applyAlignment="1">
      <alignment horizontal="center" vertical="center"/>
    </xf>
    <xf numFmtId="0" fontId="32" fillId="0" borderId="46" xfId="0" applyFont="1" applyFill="1" applyBorder="1"/>
    <xf numFmtId="1" fontId="23" fillId="0" borderId="0" xfId="0" applyNumberFormat="1" applyFont="1" applyFill="1" applyBorder="1"/>
    <xf numFmtId="49" fontId="49" fillId="0" borderId="0" xfId="11" applyNumberFormat="1" applyFont="1" applyFill="1" applyBorder="1" applyAlignment="1">
      <alignment horizontal="left" wrapText="1"/>
    </xf>
    <xf numFmtId="0" fontId="32" fillId="0" borderId="0" xfId="0" applyFont="1" applyFill="1" applyBorder="1" applyAlignment="1">
      <alignment horizontal="left"/>
    </xf>
    <xf numFmtId="0" fontId="32" fillId="0" borderId="0" xfId="0" applyFont="1" applyFill="1" applyBorder="1" applyAlignment="1"/>
    <xf numFmtId="0" fontId="32" fillId="0" borderId="46" xfId="0" applyFont="1" applyFill="1" applyBorder="1" applyAlignment="1">
      <alignment horizontal="center"/>
    </xf>
    <xf numFmtId="1" fontId="4" fillId="0" borderId="0" xfId="0" applyNumberFormat="1" applyFont="1" applyFill="1" applyBorder="1" applyAlignment="1">
      <alignment vertical="top"/>
    </xf>
    <xf numFmtId="49" fontId="49" fillId="0" borderId="0" xfId="11" applyNumberFormat="1" applyFont="1" applyFill="1" applyBorder="1" applyAlignment="1">
      <alignment wrapText="1"/>
    </xf>
    <xf numFmtId="0" fontId="4" fillId="0" borderId="0" xfId="0" applyFont="1" applyBorder="1" applyAlignment="1">
      <alignment vertical="center"/>
    </xf>
    <xf numFmtId="0" fontId="17" fillId="0" borderId="0" xfId="11" applyFont="1" applyFill="1" applyBorder="1" applyAlignment="1">
      <alignment vertical="top" wrapText="1"/>
    </xf>
    <xf numFmtId="171" fontId="4" fillId="2" borderId="5" xfId="0" applyNumberFormat="1" applyFont="1" applyFill="1" applyBorder="1" applyAlignment="1">
      <alignment horizontal="center"/>
    </xf>
    <xf numFmtId="10" fontId="22" fillId="0" borderId="28" xfId="0" applyNumberFormat="1" applyFont="1" applyFill="1" applyBorder="1"/>
    <xf numFmtId="0" fontId="18" fillId="0" borderId="9" xfId="11" applyFont="1" applyFill="1" applyBorder="1" applyAlignment="1">
      <alignment horizontal="center" wrapText="1"/>
    </xf>
    <xf numFmtId="0" fontId="18" fillId="0" borderId="9" xfId="19" applyFont="1" applyFill="1" applyBorder="1" applyAlignment="1">
      <alignment horizontal="center" wrapText="1"/>
    </xf>
    <xf numFmtId="20" fontId="18" fillId="0" borderId="9" xfId="19" applyNumberFormat="1" applyFont="1" applyFill="1" applyBorder="1" applyAlignment="1">
      <alignment horizontal="center" wrapText="1"/>
    </xf>
    <xf numFmtId="179" fontId="4" fillId="0" borderId="2" xfId="0" applyNumberFormat="1" applyFont="1" applyFill="1" applyBorder="1"/>
    <xf numFmtId="0" fontId="18" fillId="0" borderId="9" xfId="7" applyFont="1" applyFill="1" applyBorder="1" applyAlignment="1">
      <alignment horizontal="center" wrapText="1"/>
    </xf>
    <xf numFmtId="0" fontId="19" fillId="0" borderId="9" xfId="0" applyFont="1" applyBorder="1" applyAlignment="1">
      <alignment horizontal="center"/>
    </xf>
    <xf numFmtId="0" fontId="19" fillId="0" borderId="18" xfId="0" applyFont="1" applyBorder="1" applyAlignment="1">
      <alignment horizontal="center"/>
    </xf>
    <xf numFmtId="0" fontId="19" fillId="0" borderId="15" xfId="0" applyFont="1" applyBorder="1" applyAlignment="1">
      <alignment horizontal="center"/>
    </xf>
    <xf numFmtId="0" fontId="4" fillId="0" borderId="1" xfId="22" applyFont="1" applyBorder="1"/>
    <xf numFmtId="0" fontId="4" fillId="0" borderId="2" xfId="22" applyFont="1" applyBorder="1"/>
    <xf numFmtId="0" fontId="4" fillId="0" borderId="3" xfId="22" applyFont="1" applyBorder="1"/>
    <xf numFmtId="0" fontId="4" fillId="0" borderId="4" xfId="22" applyFont="1" applyBorder="1"/>
    <xf numFmtId="0" fontId="4" fillId="0" borderId="0" xfId="22" applyFont="1" applyBorder="1"/>
    <xf numFmtId="0" fontId="6" fillId="0" borderId="0" xfId="22" applyFont="1" applyBorder="1"/>
    <xf numFmtId="0" fontId="4" fillId="2" borderId="1" xfId="22" applyFont="1" applyFill="1" applyBorder="1" applyAlignment="1">
      <alignment horizontal="right"/>
    </xf>
    <xf numFmtId="0" fontId="4" fillId="2" borderId="2" xfId="22" applyFont="1" applyFill="1" applyBorder="1"/>
    <xf numFmtId="14" fontId="4" fillId="2" borderId="2" xfId="22" applyNumberFormat="1" applyFont="1" applyFill="1" applyBorder="1" applyAlignment="1">
      <alignment horizontal="center"/>
    </xf>
    <xf numFmtId="0" fontId="4" fillId="2" borderId="3" xfId="22" applyFont="1" applyFill="1" applyBorder="1"/>
    <xf numFmtId="0" fontId="4" fillId="0" borderId="46" xfId="22" applyFont="1" applyFill="1" applyBorder="1"/>
    <xf numFmtId="0" fontId="4" fillId="2" borderId="4" xfId="22" applyFont="1" applyFill="1" applyBorder="1" applyAlignment="1">
      <alignment horizontal="right"/>
    </xf>
    <xf numFmtId="0" fontId="4" fillId="2" borderId="0" xfId="22" applyFont="1" applyFill="1" applyBorder="1"/>
    <xf numFmtId="14" fontId="4" fillId="2" borderId="0" xfId="22" applyNumberFormat="1" applyFont="1" applyFill="1" applyBorder="1" applyAlignment="1">
      <alignment horizontal="center"/>
    </xf>
    <xf numFmtId="0" fontId="4" fillId="2" borderId="5" xfId="22" applyFont="1" applyFill="1" applyBorder="1"/>
    <xf numFmtId="0" fontId="7" fillId="0" borderId="0" xfId="22" applyFont="1" applyBorder="1" applyAlignment="1">
      <alignment horizontal="right"/>
    </xf>
    <xf numFmtId="0" fontId="4" fillId="0" borderId="0" xfId="22" applyFont="1" applyBorder="1" applyAlignment="1">
      <alignment horizontal="right"/>
    </xf>
    <xf numFmtId="1" fontId="4" fillId="2" borderId="0" xfId="22" applyNumberFormat="1" applyFont="1" applyFill="1" applyBorder="1" applyAlignment="1">
      <alignment horizontal="center"/>
    </xf>
    <xf numFmtId="0" fontId="4" fillId="2" borderId="0" xfId="22" applyFont="1" applyFill="1" applyBorder="1" applyAlignment="1">
      <alignment horizontal="right"/>
    </xf>
    <xf numFmtId="0" fontId="4" fillId="2" borderId="0" xfId="22" applyFont="1" applyFill="1" applyBorder="1" applyAlignment="1">
      <alignment horizontal="center"/>
    </xf>
    <xf numFmtId="0" fontId="4" fillId="0" borderId="46" xfId="22" applyFont="1" applyFill="1" applyBorder="1" applyAlignment="1">
      <alignment horizontal="center"/>
    </xf>
    <xf numFmtId="0" fontId="10" fillId="0" borderId="0" xfId="22" quotePrefix="1" applyFont="1" applyBorder="1"/>
    <xf numFmtId="0" fontId="9" fillId="0" borderId="0" xfId="22" quotePrefix="1" applyFont="1" applyFill="1" applyBorder="1"/>
    <xf numFmtId="0" fontId="7" fillId="0" borderId="0" xfId="22" applyFont="1" applyBorder="1"/>
    <xf numFmtId="171" fontId="4" fillId="2" borderId="0" xfId="5" applyFont="1" applyFill="1" applyBorder="1" applyAlignment="1">
      <alignment horizontal="center"/>
    </xf>
    <xf numFmtId="0" fontId="4" fillId="2" borderId="5" xfId="22" applyFont="1" applyFill="1" applyBorder="1" applyAlignment="1">
      <alignment horizontal="center"/>
    </xf>
    <xf numFmtId="171" fontId="4" fillId="0" borderId="46" xfId="5" applyFont="1" applyFill="1" applyBorder="1" applyAlignment="1">
      <alignment horizontal="center"/>
    </xf>
    <xf numFmtId="0" fontId="8" fillId="0" borderId="0" xfId="22" applyFont="1" applyBorder="1" applyAlignment="1">
      <alignment horizontal="center"/>
    </xf>
    <xf numFmtId="0" fontId="4" fillId="0" borderId="0" xfId="22" applyFont="1"/>
    <xf numFmtId="0" fontId="4" fillId="2" borderId="6" xfId="22" applyFont="1" applyFill="1" applyBorder="1" applyAlignment="1">
      <alignment horizontal="right"/>
    </xf>
    <xf numFmtId="0" fontId="4" fillId="2" borderId="7" xfId="22" applyFont="1" applyFill="1" applyBorder="1" applyAlignment="1">
      <alignment horizontal="center"/>
    </xf>
    <xf numFmtId="14" fontId="4" fillId="2" borderId="7" xfId="22" applyNumberFormat="1" applyFont="1" applyFill="1" applyBorder="1" applyAlignment="1">
      <alignment horizontal="center"/>
    </xf>
    <xf numFmtId="0" fontId="4" fillId="2" borderId="7" xfId="22" applyFont="1" applyFill="1" applyBorder="1"/>
    <xf numFmtId="0" fontId="4" fillId="2" borderId="8" xfId="22" applyFont="1" applyFill="1" applyBorder="1"/>
    <xf numFmtId="0" fontId="26" fillId="0" borderId="0" xfId="22" applyNumberFormat="1" applyFont="1" applyBorder="1" applyAlignment="1">
      <alignment horizontal="center"/>
    </xf>
    <xf numFmtId="0" fontId="4" fillId="0" borderId="0" xfId="22" applyFont="1" applyBorder="1" applyAlignment="1">
      <alignment horizontal="center"/>
    </xf>
    <xf numFmtId="14" fontId="8" fillId="0" borderId="0" xfId="22" applyNumberFormat="1" applyFont="1" applyBorder="1" applyAlignment="1">
      <alignment horizontal="center"/>
    </xf>
    <xf numFmtId="177" fontId="8" fillId="0" borderId="0" xfId="22" applyNumberFormat="1" applyFont="1" applyBorder="1" applyAlignment="1">
      <alignment horizontal="center"/>
    </xf>
    <xf numFmtId="177" fontId="8" fillId="0" borderId="5" xfId="22" applyNumberFormat="1" applyFont="1" applyBorder="1" applyAlignment="1">
      <alignment horizontal="center"/>
    </xf>
    <xf numFmtId="0" fontId="4" fillId="0" borderId="5" xfId="22" applyFont="1" applyBorder="1"/>
    <xf numFmtId="14" fontId="4" fillId="0" borderId="0" xfId="22" applyNumberFormat="1" applyFont="1" applyFill="1" applyBorder="1" applyAlignment="1">
      <alignment horizontal="center"/>
    </xf>
    <xf numFmtId="0" fontId="8" fillId="0" borderId="0" xfId="22" applyFont="1" applyBorder="1" applyAlignment="1">
      <alignment horizontal="right"/>
    </xf>
    <xf numFmtId="0" fontId="4" fillId="0" borderId="0" xfId="22" applyFont="1" applyFill="1" applyBorder="1"/>
    <xf numFmtId="0" fontId="6" fillId="0" borderId="5" xfId="22" applyFont="1" applyFill="1" applyBorder="1"/>
    <xf numFmtId="0" fontId="4" fillId="0" borderId="4" xfId="22" applyFont="1" applyFill="1" applyBorder="1"/>
    <xf numFmtId="170" fontId="4" fillId="0" borderId="0" xfId="22" applyNumberFormat="1" applyFont="1" applyBorder="1" applyAlignment="1">
      <alignment horizontal="right"/>
    </xf>
    <xf numFmtId="0" fontId="4" fillId="0" borderId="5" xfId="22" applyFont="1" applyFill="1" applyBorder="1"/>
    <xf numFmtId="0" fontId="6" fillId="0" borderId="0" xfId="22" applyFont="1" applyFill="1" applyBorder="1"/>
    <xf numFmtId="0" fontId="8" fillId="0" borderId="0" xfId="22" applyFont="1" applyBorder="1" applyAlignment="1">
      <alignment horizontal="right" wrapText="1"/>
    </xf>
    <xf numFmtId="0" fontId="8" fillId="0" borderId="0" xfId="22" applyFont="1" applyFill="1" applyBorder="1" applyAlignment="1">
      <alignment horizontal="right" wrapText="1"/>
    </xf>
    <xf numFmtId="0" fontId="8" fillId="0" borderId="0" xfId="22" applyFont="1" applyFill="1" applyBorder="1" applyAlignment="1">
      <alignment horizontal="right"/>
    </xf>
    <xf numFmtId="170" fontId="8" fillId="0" borderId="0" xfId="3" applyFont="1" applyFill="1" applyBorder="1" applyAlignment="1">
      <alignment horizontal="right"/>
    </xf>
    <xf numFmtId="0" fontId="8" fillId="0" borderId="5" xfId="22" applyFont="1" applyFill="1" applyBorder="1" applyAlignment="1">
      <alignment horizontal="right" wrapText="1"/>
    </xf>
    <xf numFmtId="0" fontId="4" fillId="0" borderId="0" xfId="22" quotePrefix="1" applyFont="1" applyBorder="1"/>
    <xf numFmtId="0" fontId="8" fillId="2" borderId="0" xfId="22" applyFont="1" applyFill="1" applyBorder="1"/>
    <xf numFmtId="10" fontId="8" fillId="0" borderId="0" xfId="21" applyNumberFormat="1" applyFont="1" applyBorder="1"/>
    <xf numFmtId="170" fontId="4" fillId="0" borderId="0" xfId="3" applyFont="1" applyBorder="1"/>
    <xf numFmtId="170" fontId="4" fillId="0" borderId="0" xfId="3" applyFont="1" applyFill="1" applyBorder="1" applyAlignment="1">
      <alignment horizontal="right"/>
    </xf>
    <xf numFmtId="0" fontId="8" fillId="0" borderId="0" xfId="22" applyFont="1" applyBorder="1"/>
    <xf numFmtId="10" fontId="8" fillId="0" borderId="0" xfId="22" applyNumberFormat="1" applyFont="1" applyFill="1" applyBorder="1" applyAlignment="1">
      <alignment horizontal="right"/>
    </xf>
    <xf numFmtId="170" fontId="8" fillId="0" borderId="0" xfId="3" applyFont="1" applyBorder="1" applyAlignment="1">
      <alignment horizontal="right"/>
    </xf>
    <xf numFmtId="10" fontId="4" fillId="0" borderId="0" xfId="22" applyNumberFormat="1" applyFont="1" applyFill="1" applyBorder="1"/>
    <xf numFmtId="10" fontId="8" fillId="0" borderId="5" xfId="22" applyNumberFormat="1" applyFont="1" applyFill="1" applyBorder="1" applyAlignment="1">
      <alignment horizontal="right"/>
    </xf>
    <xf numFmtId="10" fontId="4" fillId="0" borderId="4" xfId="22" applyNumberFormat="1" applyFont="1" applyFill="1" applyBorder="1"/>
    <xf numFmtId="10" fontId="4" fillId="0" borderId="5" xfId="22" quotePrefix="1" applyNumberFormat="1" applyFont="1" applyFill="1" applyBorder="1" applyAlignment="1">
      <alignment horizontal="right"/>
    </xf>
    <xf numFmtId="10" fontId="4" fillId="0" borderId="0" xfId="22" quotePrefix="1" applyNumberFormat="1" applyFont="1" applyFill="1" applyBorder="1" applyAlignment="1">
      <alignment horizontal="right"/>
    </xf>
    <xf numFmtId="10" fontId="4" fillId="0" borderId="0" xfId="21" applyNumberFormat="1" applyFont="1" applyBorder="1" applyAlignment="1">
      <alignment horizontal="right"/>
    </xf>
    <xf numFmtId="0" fontId="4" fillId="0" borderId="0" xfId="22" applyFont="1" applyFill="1" applyBorder="1" applyAlignment="1">
      <alignment horizontal="right"/>
    </xf>
    <xf numFmtId="170" fontId="4" fillId="0" borderId="0" xfId="22" applyNumberFormat="1" applyFont="1" applyBorder="1"/>
    <xf numFmtId="4" fontId="4" fillId="0" borderId="0" xfId="22" applyNumberFormat="1" applyFont="1" applyBorder="1"/>
    <xf numFmtId="10" fontId="4" fillId="0" borderId="0" xfId="22" applyNumberFormat="1" applyFont="1" applyBorder="1"/>
    <xf numFmtId="10" fontId="8" fillId="0" borderId="0" xfId="21" applyNumberFormat="1" applyFont="1" applyBorder="1" applyAlignment="1">
      <alignment horizontal="right"/>
    </xf>
    <xf numFmtId="0" fontId="4" fillId="0" borderId="5" xfId="22" applyFont="1" applyFill="1" applyBorder="1" applyAlignment="1">
      <alignment horizontal="center"/>
    </xf>
    <xf numFmtId="171" fontId="4" fillId="0" borderId="5" xfId="5" applyFont="1" applyFill="1" applyBorder="1" applyAlignment="1">
      <alignment horizontal="center"/>
    </xf>
    <xf numFmtId="3" fontId="4" fillId="0" borderId="0" xfId="22" applyNumberFormat="1" applyFont="1" applyFill="1" applyBorder="1" applyAlignment="1">
      <alignment horizontal="right"/>
    </xf>
    <xf numFmtId="0" fontId="8" fillId="2" borderId="0" xfId="22" applyFont="1" applyFill="1" applyBorder="1" applyAlignment="1">
      <alignment horizontal="left"/>
    </xf>
    <xf numFmtId="0" fontId="4" fillId="0" borderId="0" xfId="22" applyFont="1" applyFill="1" applyBorder="1" applyAlignment="1">
      <alignment horizontal="left"/>
    </xf>
    <xf numFmtId="10" fontId="4" fillId="0" borderId="0" xfId="3" applyNumberFormat="1" applyFont="1" applyFill="1" applyBorder="1" applyAlignment="1">
      <alignment horizontal="right"/>
    </xf>
    <xf numFmtId="0" fontId="8" fillId="0" borderId="0" xfId="22" applyFont="1" applyFill="1" applyBorder="1"/>
    <xf numFmtId="0" fontId="4" fillId="0" borderId="6" xfId="22" applyFont="1" applyBorder="1"/>
    <xf numFmtId="0" fontId="4" fillId="0" borderId="7" xfId="22" applyFont="1" applyBorder="1"/>
    <xf numFmtId="0" fontId="4" fillId="0" borderId="7" xfId="22" applyFont="1" applyFill="1" applyBorder="1"/>
    <xf numFmtId="170" fontId="4" fillId="0" borderId="7" xfId="3" applyFont="1" applyFill="1" applyBorder="1" applyAlignment="1">
      <alignment horizontal="right"/>
    </xf>
    <xf numFmtId="170" fontId="4" fillId="0" borderId="7" xfId="3" applyFont="1" applyBorder="1"/>
    <xf numFmtId="0" fontId="4" fillId="0" borderId="8" xfId="22" applyFont="1" applyFill="1" applyBorder="1"/>
    <xf numFmtId="182" fontId="8" fillId="0" borderId="0" xfId="22" applyNumberFormat="1" applyFont="1" applyFill="1" applyBorder="1" applyAlignment="1">
      <alignment horizontal="right"/>
    </xf>
    <xf numFmtId="10" fontId="4" fillId="0" borderId="0" xfId="21" applyNumberFormat="1" applyFont="1" applyFill="1" applyBorder="1"/>
    <xf numFmtId="178" fontId="4" fillId="0" borderId="0" xfId="21" applyNumberFormat="1" applyFont="1" applyFill="1" applyBorder="1"/>
    <xf numFmtId="10" fontId="25" fillId="0" borderId="0" xfId="21" applyNumberFormat="1" applyFont="1" applyFill="1" applyBorder="1"/>
    <xf numFmtId="173" fontId="8" fillId="0" borderId="0" xfId="22" applyNumberFormat="1" applyFont="1" applyFill="1" applyBorder="1" applyAlignment="1">
      <alignment horizontal="right"/>
    </xf>
    <xf numFmtId="1" fontId="4" fillId="0" borderId="0" xfId="22" applyNumberFormat="1" applyFont="1" applyBorder="1"/>
    <xf numFmtId="3" fontId="4" fillId="0" borderId="0" xfId="3" applyNumberFormat="1" applyFont="1" applyFill="1" applyBorder="1" applyAlignment="1">
      <alignment horizontal="right"/>
    </xf>
    <xf numFmtId="0" fontId="8" fillId="0" borderId="0" xfId="22" applyFont="1" applyFill="1" applyBorder="1" applyAlignment="1">
      <alignment horizontal="center"/>
    </xf>
    <xf numFmtId="0" fontId="4" fillId="0" borderId="0" xfId="22" applyFont="1" applyFill="1" applyBorder="1" applyAlignment="1">
      <alignment horizontal="center"/>
    </xf>
    <xf numFmtId="166" fontId="4" fillId="0" borderId="0" xfId="2" applyNumberFormat="1" applyFont="1" applyFill="1" applyBorder="1" applyAlignment="1">
      <alignment horizontal="right"/>
    </xf>
    <xf numFmtId="0" fontId="32" fillId="0" borderId="2" xfId="0" applyFont="1" applyBorder="1" applyAlignment="1">
      <alignment horizontal="right"/>
    </xf>
    <xf numFmtId="170" fontId="4" fillId="0" borderId="2" xfId="2" applyFont="1" applyBorder="1" applyAlignment="1">
      <alignment horizontal="right"/>
    </xf>
    <xf numFmtId="0" fontId="27" fillId="0" borderId="2" xfId="24" applyFont="1" applyFill="1" applyBorder="1" applyAlignment="1">
      <alignment horizontal="right" wrapText="1"/>
    </xf>
    <xf numFmtId="0" fontId="27" fillId="0" borderId="2" xfId="26" applyFont="1" applyFill="1" applyBorder="1" applyAlignment="1">
      <alignment horizontal="right" wrapText="1"/>
    </xf>
    <xf numFmtId="0" fontId="27" fillId="0" borderId="2" xfId="28" applyFont="1" applyFill="1" applyBorder="1" applyAlignment="1">
      <alignment horizontal="right" wrapText="1"/>
    </xf>
    <xf numFmtId="0" fontId="18" fillId="0" borderId="2" xfId="26" applyFont="1" applyFill="1" applyBorder="1" applyAlignment="1">
      <alignment horizontal="center" vertical="center" wrapText="1"/>
    </xf>
    <xf numFmtId="0" fontId="17" fillId="0" borderId="4" xfId="11" applyFont="1" applyFill="1" applyBorder="1" applyAlignment="1">
      <alignment horizontal="left" wrapText="1"/>
    </xf>
    <xf numFmtId="0" fontId="32" fillId="0" borderId="0" xfId="0" applyFont="1" applyFill="1" applyBorder="1" applyAlignment="1">
      <alignment horizontal="right"/>
    </xf>
    <xf numFmtId="0" fontId="17" fillId="0" borderId="6" xfId="11" applyFont="1" applyFill="1" applyBorder="1" applyAlignment="1">
      <alignment horizontal="right" wrapText="1"/>
    </xf>
    <xf numFmtId="0" fontId="19" fillId="0" borderId="7" xfId="0" applyFont="1" applyFill="1" applyBorder="1"/>
    <xf numFmtId="0" fontId="8" fillId="2" borderId="24" xfId="0" applyFont="1" applyFill="1" applyBorder="1"/>
    <xf numFmtId="0" fontId="32" fillId="0" borderId="25" xfId="0" applyFont="1" applyFill="1" applyBorder="1" applyAlignment="1">
      <alignment horizontal="center" vertical="center" wrapText="1"/>
    </xf>
    <xf numFmtId="0" fontId="32" fillId="0" borderId="31" xfId="0" applyFont="1" applyFill="1" applyBorder="1" applyAlignment="1">
      <alignment horizontal="center" vertical="center" wrapText="1"/>
    </xf>
    <xf numFmtId="0" fontId="4" fillId="2" borderId="26" xfId="0" applyFont="1" applyFill="1" applyBorder="1" applyAlignment="1">
      <alignment horizontal="center" wrapText="1"/>
    </xf>
    <xf numFmtId="0" fontId="4" fillId="2" borderId="36" xfId="0" applyFont="1" applyFill="1" applyBorder="1"/>
    <xf numFmtId="0" fontId="4" fillId="2" borderId="42" xfId="0" applyFont="1" applyFill="1" applyBorder="1"/>
    <xf numFmtId="0" fontId="54" fillId="2" borderId="42" xfId="0" applyFont="1" applyFill="1" applyBorder="1" applyAlignment="1">
      <alignment horizontal="center"/>
    </xf>
    <xf numFmtId="0" fontId="8" fillId="2" borderId="42" xfId="0" applyFont="1" applyFill="1" applyBorder="1" applyAlignment="1">
      <alignment horizontal="center"/>
    </xf>
    <xf numFmtId="0" fontId="4" fillId="2" borderId="47" xfId="0" applyFont="1" applyFill="1" applyBorder="1"/>
    <xf numFmtId="0" fontId="54" fillId="0" borderId="0" xfId="0" applyFont="1" applyFill="1" applyBorder="1" applyAlignment="1">
      <alignment horizontal="center"/>
    </xf>
    <xf numFmtId="0" fontId="8" fillId="0" borderId="0" xfId="0" applyFont="1" applyFill="1" applyBorder="1" applyAlignment="1">
      <alignment horizontal="center"/>
    </xf>
    <xf numFmtId="4" fontId="17" fillId="0" borderId="0" xfId="11" applyNumberFormat="1" applyFont="1" applyFill="1" applyBorder="1" applyAlignment="1">
      <alignment horizontal="left"/>
    </xf>
    <xf numFmtId="0" fontId="32" fillId="0" borderId="16" xfId="0" applyFont="1" applyFill="1" applyBorder="1" applyAlignment="1">
      <alignment horizontal="center" vertical="center" wrapText="1"/>
    </xf>
    <xf numFmtId="0" fontId="32" fillId="2" borderId="10" xfId="0" applyFont="1" applyFill="1" applyBorder="1" applyAlignment="1">
      <alignment horizontal="center" vertical="center" wrapText="1"/>
    </xf>
    <xf numFmtId="0" fontId="32" fillId="0" borderId="4" xfId="0" applyFont="1" applyFill="1" applyBorder="1" applyAlignment="1">
      <alignment horizontal="center" vertical="center"/>
    </xf>
    <xf numFmtId="0" fontId="32" fillId="0" borderId="0" xfId="0" applyFont="1" applyFill="1" applyBorder="1" applyAlignment="1">
      <alignment horizontal="center" vertical="center"/>
    </xf>
    <xf numFmtId="0" fontId="32" fillId="0" borderId="0" xfId="0" applyFont="1" applyFill="1" applyBorder="1" applyAlignment="1">
      <alignment horizontal="center"/>
    </xf>
    <xf numFmtId="49" fontId="17" fillId="0" borderId="0" xfId="11" applyNumberFormat="1" applyFont="1" applyFill="1" applyBorder="1" applyAlignment="1">
      <alignment horizontal="right" wrapText="1"/>
    </xf>
    <xf numFmtId="0" fontId="4" fillId="0" borderId="46" xfId="0" applyFont="1" applyFill="1" applyBorder="1"/>
    <xf numFmtId="0" fontId="4" fillId="0" borderId="46" xfId="0" applyFont="1" applyBorder="1"/>
    <xf numFmtId="0" fontId="4" fillId="0" borderId="45" xfId="0" applyFont="1" applyBorder="1"/>
    <xf numFmtId="0" fontId="45" fillId="0" borderId="0" xfId="0" applyFont="1"/>
    <xf numFmtId="0" fontId="43" fillId="0" borderId="0" xfId="0" applyFont="1"/>
    <xf numFmtId="0" fontId="4" fillId="0" borderId="7" xfId="22" applyFont="1" applyFill="1" applyBorder="1" applyAlignment="1">
      <alignment horizontal="right"/>
    </xf>
    <xf numFmtId="0" fontId="4" fillId="0" borderId="7" xfId="22" applyFont="1" applyBorder="1" applyAlignment="1">
      <alignment horizontal="right"/>
    </xf>
    <xf numFmtId="0" fontId="0" fillId="0" borderId="2" xfId="0" applyBorder="1"/>
    <xf numFmtId="171" fontId="4" fillId="0" borderId="0" xfId="5" applyFont="1" applyFill="1" applyBorder="1" applyAlignment="1">
      <alignment horizontal="center"/>
    </xf>
    <xf numFmtId="0" fontId="4" fillId="0" borderId="0" xfId="22" quotePrefix="1" applyFont="1" applyFill="1" applyBorder="1"/>
    <xf numFmtId="1" fontId="27" fillId="2" borderId="24" xfId="26" applyNumberFormat="1" applyFont="1" applyFill="1" applyBorder="1" applyAlignment="1">
      <alignment horizontal="right" wrapText="1"/>
    </xf>
    <xf numFmtId="1" fontId="27" fillId="2" borderId="25" xfId="26" applyNumberFormat="1" applyFont="1" applyFill="1" applyBorder="1" applyAlignment="1">
      <alignment horizontal="right" wrapText="1"/>
    </xf>
    <xf numFmtId="0" fontId="55" fillId="0" borderId="0" xfId="23" applyFont="1" applyFill="1" applyBorder="1" applyAlignment="1">
      <alignment horizontal="center"/>
    </xf>
    <xf numFmtId="0" fontId="55" fillId="0" borderId="0" xfId="23" applyFont="1" applyFill="1" applyBorder="1" applyAlignment="1">
      <alignment wrapText="1"/>
    </xf>
    <xf numFmtId="0" fontId="55" fillId="0" borderId="0" xfId="23" applyFont="1" applyFill="1" applyBorder="1" applyAlignment="1">
      <alignment horizontal="right" wrapText="1"/>
    </xf>
    <xf numFmtId="2" fontId="4" fillId="0" borderId="2" xfId="0" applyNumberFormat="1" applyFont="1" applyFill="1" applyBorder="1"/>
    <xf numFmtId="0" fontId="4" fillId="0" borderId="7" xfId="0" applyFont="1" applyFill="1" applyBorder="1" applyAlignment="1">
      <alignment horizontal="right"/>
    </xf>
    <xf numFmtId="0" fontId="27" fillId="2" borderId="48" xfId="26" applyFont="1" applyFill="1" applyBorder="1" applyAlignment="1">
      <alignment horizontal="left" wrapText="1"/>
    </xf>
    <xf numFmtId="0" fontId="18" fillId="0" borderId="19" xfId="11" applyFont="1" applyFill="1" applyBorder="1" applyAlignment="1">
      <alignment horizontal="center" wrapText="1"/>
    </xf>
    <xf numFmtId="0" fontId="27" fillId="2" borderId="25" xfId="26" applyFont="1" applyFill="1" applyBorder="1" applyAlignment="1">
      <alignment horizontal="left" wrapText="1"/>
    </xf>
    <xf numFmtId="16" fontId="18" fillId="0" borderId="10" xfId="11" quotePrefix="1" applyNumberFormat="1" applyFont="1" applyFill="1" applyBorder="1" applyAlignment="1">
      <alignment horizontal="center" wrapText="1"/>
    </xf>
    <xf numFmtId="0" fontId="18" fillId="0" borderId="10" xfId="11" quotePrefix="1" applyFont="1" applyFill="1" applyBorder="1" applyAlignment="1">
      <alignment horizontal="center" wrapText="1"/>
    </xf>
    <xf numFmtId="171" fontId="18" fillId="0" borderId="26" xfId="1" applyFont="1" applyFill="1" applyBorder="1" applyAlignment="1">
      <alignment horizontal="right" wrapText="1"/>
    </xf>
    <xf numFmtId="0" fontId="18" fillId="0" borderId="0" xfId="11" applyFont="1" applyFill="1" applyBorder="1" applyAlignment="1">
      <alignment horizontal="center" wrapText="1"/>
    </xf>
    <xf numFmtId="3" fontId="8" fillId="0" borderId="0" xfId="0" quotePrefix="1" applyNumberFormat="1" applyFont="1" applyFill="1" applyBorder="1"/>
    <xf numFmtId="10" fontId="4" fillId="0" borderId="0" xfId="20" applyNumberFormat="1" applyFont="1" applyFill="1" applyBorder="1"/>
    <xf numFmtId="10" fontId="8" fillId="0" borderId="0" xfId="21" applyNumberFormat="1" applyFont="1" applyFill="1" applyBorder="1" applyAlignment="1">
      <alignment horizontal="right"/>
    </xf>
    <xf numFmtId="170" fontId="4" fillId="0" borderId="0" xfId="3" applyFont="1" applyFill="1" applyBorder="1"/>
    <xf numFmtId="10" fontId="4" fillId="0" borderId="0" xfId="21" applyNumberFormat="1" applyFont="1" applyFill="1" applyBorder="1" applyAlignment="1">
      <alignment horizontal="right"/>
    </xf>
    <xf numFmtId="170" fontId="4" fillId="0" borderId="0" xfId="22" applyNumberFormat="1" applyFont="1" applyFill="1" applyBorder="1" applyAlignment="1">
      <alignment horizontal="right"/>
    </xf>
    <xf numFmtId="1" fontId="4" fillId="0" borderId="0" xfId="22" applyNumberFormat="1" applyFont="1" applyFill="1" applyBorder="1"/>
    <xf numFmtId="4" fontId="18" fillId="0" borderId="11" xfId="11" applyNumberFormat="1" applyFont="1" applyFill="1" applyBorder="1" applyAlignment="1">
      <alignment horizontal="right" wrapText="1"/>
    </xf>
    <xf numFmtId="4" fontId="18" fillId="0" borderId="49" xfId="11" applyNumberFormat="1" applyFont="1" applyFill="1" applyBorder="1" applyAlignment="1">
      <alignment horizontal="right" wrapText="1"/>
    </xf>
    <xf numFmtId="4" fontId="18" fillId="0" borderId="45" xfId="11" applyNumberFormat="1" applyFont="1" applyFill="1" applyBorder="1" applyAlignment="1">
      <alignment horizontal="right" wrapText="1"/>
    </xf>
    <xf numFmtId="4" fontId="18" fillId="0" borderId="9" xfId="11" applyNumberFormat="1" applyFont="1" applyFill="1" applyBorder="1" applyAlignment="1">
      <alignment horizontal="right" wrapText="1"/>
    </xf>
    <xf numFmtId="0" fontId="18" fillId="0" borderId="4" xfId="26" applyFont="1" applyFill="1" applyBorder="1" applyAlignment="1">
      <alignment horizontal="left" wrapText="1"/>
    </xf>
    <xf numFmtId="0" fontId="32" fillId="0" borderId="0" xfId="0" applyFont="1" applyBorder="1" applyAlignment="1">
      <alignment horizontal="right"/>
    </xf>
    <xf numFmtId="0" fontId="4" fillId="0" borderId="50" xfId="0" applyFont="1" applyFill="1" applyBorder="1"/>
    <xf numFmtId="0" fontId="4" fillId="0" borderId="1" xfId="0" applyFont="1" applyFill="1" applyBorder="1" applyAlignment="1">
      <alignment horizontal="center"/>
    </xf>
    <xf numFmtId="0" fontId="4" fillId="0" borderId="2" xfId="0" applyFont="1" applyFill="1" applyBorder="1" applyAlignment="1">
      <alignment horizontal="center"/>
    </xf>
    <xf numFmtId="0" fontId="4" fillId="0" borderId="3" xfId="0" applyFont="1" applyFill="1" applyBorder="1" applyAlignment="1">
      <alignment horizontal="center"/>
    </xf>
    <xf numFmtId="0" fontId="4" fillId="0" borderId="51" xfId="0" applyFont="1" applyFill="1" applyBorder="1" applyAlignment="1">
      <alignment horizontal="center"/>
    </xf>
    <xf numFmtId="0" fontId="4" fillId="0" borderId="46" xfId="0" applyFont="1" applyFill="1" applyBorder="1" applyAlignment="1">
      <alignment wrapText="1"/>
    </xf>
    <xf numFmtId="0" fontId="4" fillId="0" borderId="4" xfId="0" applyFont="1" applyFill="1" applyBorder="1" applyAlignment="1">
      <alignment horizontal="center"/>
    </xf>
    <xf numFmtId="0" fontId="4" fillId="0" borderId="5" xfId="0" applyFont="1" applyFill="1" applyBorder="1" applyAlignment="1">
      <alignment horizontal="center"/>
    </xf>
    <xf numFmtId="0" fontId="4" fillId="0" borderId="4" xfId="0" quotePrefix="1" applyFont="1" applyFill="1" applyBorder="1" applyAlignment="1">
      <alignment horizontal="center"/>
    </xf>
    <xf numFmtId="0" fontId="17" fillId="0" borderId="50" xfId="11" applyFont="1" applyFill="1" applyBorder="1" applyAlignment="1">
      <alignment horizontal="right" wrapText="1"/>
    </xf>
    <xf numFmtId="0" fontId="17" fillId="0" borderId="46" xfId="11" applyFont="1" applyFill="1" applyBorder="1" applyAlignment="1">
      <alignment horizontal="right" wrapText="1"/>
    </xf>
    <xf numFmtId="4" fontId="17" fillId="0" borderId="0" xfId="11" applyNumberFormat="1" applyFont="1" applyFill="1" applyBorder="1" applyAlignment="1">
      <alignment horizontal="center" wrapText="1"/>
    </xf>
    <xf numFmtId="0" fontId="19" fillId="0" borderId="0" xfId="0" applyFont="1" applyFill="1" applyBorder="1" applyAlignment="1">
      <alignment horizontal="center"/>
    </xf>
    <xf numFmtId="4" fontId="18" fillId="0" borderId="0" xfId="12" applyNumberFormat="1" applyFont="1" applyFill="1" applyBorder="1" applyAlignment="1">
      <alignment horizontal="center" wrapText="1"/>
    </xf>
    <xf numFmtId="10" fontId="18" fillId="0" borderId="4" xfId="12" applyNumberFormat="1" applyFont="1" applyFill="1" applyBorder="1" applyAlignment="1">
      <alignment horizontal="center" wrapText="1"/>
    </xf>
    <xf numFmtId="3" fontId="18" fillId="0" borderId="0" xfId="12" applyNumberFormat="1" applyFont="1" applyFill="1" applyBorder="1" applyAlignment="1">
      <alignment horizontal="center" wrapText="1"/>
    </xf>
    <xf numFmtId="10" fontId="18" fillId="0" borderId="5" xfId="12" applyNumberFormat="1" applyFont="1" applyFill="1" applyBorder="1" applyAlignment="1">
      <alignment horizontal="center" wrapText="1"/>
    </xf>
    <xf numFmtId="0" fontId="4" fillId="0" borderId="0" xfId="0" quotePrefix="1" applyFont="1" applyFill="1" applyBorder="1" applyAlignment="1">
      <alignment horizontal="center"/>
    </xf>
    <xf numFmtId="0" fontId="4" fillId="0" borderId="45" xfId="0" applyFont="1" applyFill="1" applyBorder="1"/>
    <xf numFmtId="10" fontId="18" fillId="0" borderId="6" xfId="12" applyNumberFormat="1" applyFont="1" applyFill="1" applyBorder="1" applyAlignment="1">
      <alignment horizontal="center" wrapText="1"/>
    </xf>
    <xf numFmtId="3" fontId="18" fillId="0" borderId="7" xfId="12" applyNumberFormat="1" applyFont="1" applyFill="1" applyBorder="1" applyAlignment="1">
      <alignment horizontal="center" wrapText="1"/>
    </xf>
    <xf numFmtId="10" fontId="18" fillId="0" borderId="8" xfId="12" applyNumberFormat="1" applyFont="1" applyFill="1" applyBorder="1" applyAlignment="1">
      <alignment horizontal="center" wrapText="1"/>
    </xf>
    <xf numFmtId="0" fontId="4" fillId="0" borderId="7" xfId="0" applyFont="1" applyFill="1" applyBorder="1" applyAlignment="1">
      <alignment horizontal="center"/>
    </xf>
    <xf numFmtId="0" fontId="4" fillId="0" borderId="8" xfId="0" applyFont="1" applyFill="1" applyBorder="1" applyAlignment="1">
      <alignment horizontal="center"/>
    </xf>
    <xf numFmtId="0" fontId="8" fillId="0" borderId="19" xfId="0" applyFont="1" applyFill="1" applyBorder="1"/>
    <xf numFmtId="0" fontId="4" fillId="0" borderId="52" xfId="0" applyFont="1" applyFill="1" applyBorder="1"/>
    <xf numFmtId="0" fontId="54" fillId="0" borderId="53" xfId="0" applyFont="1" applyFill="1" applyBorder="1" applyAlignment="1">
      <alignment horizontal="center"/>
    </xf>
    <xf numFmtId="0" fontId="54" fillId="0" borderId="52" xfId="0" applyFont="1" applyFill="1" applyBorder="1" applyAlignment="1">
      <alignment horizontal="center"/>
    </xf>
    <xf numFmtId="0" fontId="54" fillId="0" borderId="54" xfId="0" applyFont="1" applyFill="1" applyBorder="1" applyAlignment="1">
      <alignment horizontal="center"/>
    </xf>
    <xf numFmtId="0" fontId="8" fillId="0" borderId="54" xfId="0" applyFont="1" applyFill="1" applyBorder="1" applyAlignment="1">
      <alignment horizontal="center"/>
    </xf>
    <xf numFmtId="0" fontId="8" fillId="0" borderId="53" xfId="0" applyFont="1" applyFill="1" applyBorder="1" applyAlignment="1">
      <alignment horizontal="center"/>
    </xf>
    <xf numFmtId="0" fontId="8" fillId="0" borderId="52" xfId="0" applyFont="1" applyFill="1" applyBorder="1" applyAlignment="1">
      <alignment horizontal="center"/>
    </xf>
    <xf numFmtId="0" fontId="4" fillId="0" borderId="21" xfId="0" applyFont="1" applyFill="1" applyBorder="1"/>
    <xf numFmtId="0" fontId="4" fillId="0" borderId="46" xfId="0" applyFont="1" applyFill="1" applyBorder="1" applyAlignment="1">
      <alignment horizontal="center"/>
    </xf>
    <xf numFmtId="0" fontId="4" fillId="0" borderId="45" xfId="0" applyFont="1" applyFill="1" applyBorder="1" applyAlignment="1">
      <alignment horizontal="center"/>
    </xf>
    <xf numFmtId="0" fontId="4" fillId="2" borderId="25" xfId="0" applyFont="1" applyFill="1" applyBorder="1" applyAlignment="1">
      <alignment horizontal="center" vertical="center"/>
    </xf>
    <xf numFmtId="0" fontId="18" fillId="0" borderId="7" xfId="11" applyFont="1" applyFill="1" applyBorder="1" applyAlignment="1">
      <alignment horizontal="center" wrapText="1"/>
    </xf>
    <xf numFmtId="3" fontId="18" fillId="0" borderId="10" xfId="21" applyNumberFormat="1" applyFont="1" applyFill="1" applyBorder="1" applyAlignment="1">
      <alignment horizontal="right" wrapText="1"/>
    </xf>
    <xf numFmtId="3" fontId="18" fillId="0" borderId="16" xfId="21" applyNumberFormat="1" applyFont="1" applyFill="1" applyBorder="1" applyAlignment="1">
      <alignment horizontal="right" wrapText="1"/>
    </xf>
    <xf numFmtId="3" fontId="18" fillId="0" borderId="0" xfId="6" applyNumberFormat="1" applyFont="1" applyFill="1" applyBorder="1" applyAlignment="1">
      <alignment horizontal="right" wrapText="1"/>
    </xf>
    <xf numFmtId="0" fontId="23" fillId="0" borderId="53" xfId="0" applyFont="1" applyFill="1" applyBorder="1" applyAlignment="1">
      <alignment horizontal="center"/>
    </xf>
    <xf numFmtId="0" fontId="28" fillId="0" borderId="4" xfId="22" applyFont="1" applyBorder="1"/>
    <xf numFmtId="0" fontId="28" fillId="0" borderId="0" xfId="22" applyFont="1" applyFill="1" applyBorder="1"/>
    <xf numFmtId="0" fontId="28" fillId="0" borderId="0" xfId="22" applyFont="1" applyBorder="1"/>
    <xf numFmtId="0" fontId="4" fillId="0" borderId="11" xfId="22" applyFont="1" applyBorder="1"/>
    <xf numFmtId="0" fontId="4" fillId="0" borderId="55" xfId="22" applyFont="1" applyBorder="1"/>
    <xf numFmtId="0" fontId="4" fillId="0" borderId="42" xfId="22" applyFont="1" applyBorder="1"/>
    <xf numFmtId="4" fontId="18" fillId="0" borderId="40" xfId="11" applyNumberFormat="1" applyFont="1" applyFill="1" applyBorder="1" applyAlignment="1">
      <alignment horizontal="right" wrapText="1"/>
    </xf>
    <xf numFmtId="0" fontId="28" fillId="0" borderId="5" xfId="22" applyFont="1" applyBorder="1"/>
    <xf numFmtId="0" fontId="4" fillId="0" borderId="8" xfId="22" applyFont="1" applyBorder="1"/>
    <xf numFmtId="1" fontId="27" fillId="2" borderId="56" xfId="26" applyNumberFormat="1" applyFont="1" applyFill="1" applyBorder="1" applyAlignment="1">
      <alignment horizontal="right" wrapText="1"/>
    </xf>
    <xf numFmtId="1" fontId="27" fillId="2" borderId="44" xfId="26" applyNumberFormat="1" applyFont="1" applyFill="1" applyBorder="1" applyAlignment="1">
      <alignment horizontal="right" wrapText="1"/>
    </xf>
    <xf numFmtId="0" fontId="18" fillId="0" borderId="16" xfId="11" quotePrefix="1" applyFont="1" applyFill="1" applyBorder="1" applyAlignment="1">
      <alignment horizontal="center" wrapText="1"/>
    </xf>
    <xf numFmtId="4" fontId="18" fillId="0" borderId="16" xfId="11" applyNumberFormat="1" applyFont="1" applyFill="1" applyBorder="1" applyAlignment="1">
      <alignment horizontal="right" wrapText="1"/>
    </xf>
    <xf numFmtId="4" fontId="18" fillId="0" borderId="17" xfId="11" applyNumberFormat="1" applyFont="1" applyFill="1" applyBorder="1" applyAlignment="1">
      <alignment horizontal="right" wrapText="1"/>
    </xf>
    <xf numFmtId="4" fontId="18" fillId="0" borderId="15" xfId="11" applyNumberFormat="1" applyFont="1" applyFill="1" applyBorder="1" applyAlignment="1">
      <alignment horizontal="right" wrapText="1"/>
    </xf>
    <xf numFmtId="0" fontId="4" fillId="0" borderId="17" xfId="22" applyFont="1" applyBorder="1"/>
    <xf numFmtId="0" fontId="22" fillId="0" borderId="33" xfId="11" applyFont="1" applyFill="1" applyBorder="1" applyAlignment="1">
      <alignment wrapText="1"/>
    </xf>
    <xf numFmtId="0" fontId="22" fillId="0" borderId="28" xfId="11" applyFont="1" applyFill="1" applyBorder="1" applyAlignment="1">
      <alignment wrapText="1"/>
    </xf>
    <xf numFmtId="4" fontId="22" fillId="0" borderId="29" xfId="11" applyNumberFormat="1" applyFont="1" applyFill="1" applyBorder="1" applyAlignment="1">
      <alignment horizontal="right" wrapText="1"/>
    </xf>
    <xf numFmtId="2" fontId="22" fillId="0" borderId="27" xfId="11" applyNumberFormat="1" applyFont="1" applyFill="1" applyBorder="1" applyAlignment="1">
      <alignment horizontal="right" wrapText="1"/>
    </xf>
    <xf numFmtId="0" fontId="18" fillId="0" borderId="18" xfId="11" applyFont="1" applyFill="1" applyBorder="1" applyAlignment="1">
      <alignment horizontal="center" wrapText="1"/>
    </xf>
    <xf numFmtId="0" fontId="0" fillId="0" borderId="48" xfId="0" applyFill="1" applyBorder="1" applyAlignment="1">
      <alignment horizontal="center"/>
    </xf>
    <xf numFmtId="0" fontId="0" fillId="0" borderId="57" xfId="0" applyFill="1" applyBorder="1" applyAlignment="1">
      <alignment horizontal="center"/>
    </xf>
    <xf numFmtId="0" fontId="0" fillId="0" borderId="44" xfId="0" applyFill="1" applyBorder="1" applyAlignment="1">
      <alignment horizontal="center"/>
    </xf>
    <xf numFmtId="3" fontId="22" fillId="0" borderId="0" xfId="0" applyNumberFormat="1" applyFont="1" applyFill="1" applyBorder="1" applyAlignment="1">
      <alignment horizontal="center"/>
    </xf>
    <xf numFmtId="0" fontId="32" fillId="2" borderId="48" xfId="0" applyFont="1" applyFill="1" applyBorder="1" applyAlignment="1">
      <alignment horizontal="center"/>
    </xf>
    <xf numFmtId="0" fontId="32" fillId="2" borderId="57" xfId="0" applyFont="1" applyFill="1" applyBorder="1" applyAlignment="1">
      <alignment horizontal="center"/>
    </xf>
    <xf numFmtId="0" fontId="17" fillId="2" borderId="48" xfId="26" applyFont="1" applyFill="1" applyBorder="1" applyAlignment="1">
      <alignment horizontal="center" vertical="center" wrapText="1"/>
    </xf>
    <xf numFmtId="0" fontId="17" fillId="2" borderId="57" xfId="26" applyFont="1" applyFill="1" applyBorder="1" applyAlignment="1">
      <alignment horizontal="center" vertical="center" wrapText="1"/>
    </xf>
    <xf numFmtId="0" fontId="17" fillId="2" borderId="44" xfId="26" applyFont="1" applyFill="1" applyBorder="1" applyAlignment="1">
      <alignment horizontal="center" vertical="center" wrapText="1"/>
    </xf>
    <xf numFmtId="0" fontId="32" fillId="2" borderId="53" xfId="0" applyFont="1" applyFill="1" applyBorder="1" applyAlignment="1">
      <alignment horizontal="center"/>
    </xf>
    <xf numFmtId="0" fontId="32" fillId="2" borderId="52" xfId="0" applyFont="1" applyFill="1" applyBorder="1" applyAlignment="1">
      <alignment horizontal="center"/>
    </xf>
    <xf numFmtId="0" fontId="32" fillId="2" borderId="54" xfId="0" applyFont="1" applyFill="1" applyBorder="1" applyAlignment="1">
      <alignment horizontal="center"/>
    </xf>
    <xf numFmtId="0" fontId="17" fillId="2" borderId="53" xfId="26" applyFont="1" applyFill="1" applyBorder="1" applyAlignment="1">
      <alignment horizontal="center" vertical="center" wrapText="1"/>
    </xf>
    <xf numFmtId="0" fontId="17" fillId="2" borderId="52" xfId="26" applyFont="1" applyFill="1" applyBorder="1" applyAlignment="1">
      <alignment horizontal="center" vertical="center" wrapText="1"/>
    </xf>
    <xf numFmtId="0" fontId="17" fillId="2" borderId="54" xfId="26" applyFont="1" applyFill="1" applyBorder="1" applyAlignment="1">
      <alignment horizontal="center" vertical="center" wrapText="1"/>
    </xf>
    <xf numFmtId="0" fontId="4" fillId="2" borderId="1" xfId="0" applyFont="1" applyFill="1" applyBorder="1" applyAlignment="1">
      <alignment horizontal="right"/>
    </xf>
    <xf numFmtId="0" fontId="4" fillId="2" borderId="2" xfId="0" applyFont="1" applyFill="1" applyBorder="1" applyAlignment="1">
      <alignment horizontal="right"/>
    </xf>
    <xf numFmtId="0" fontId="4" fillId="2" borderId="4" xfId="0" applyFont="1" applyFill="1" applyBorder="1" applyAlignment="1">
      <alignment horizontal="right"/>
    </xf>
    <xf numFmtId="0" fontId="4" fillId="2" borderId="0" xfId="0" applyFont="1" applyFill="1" applyBorder="1" applyAlignment="1">
      <alignment horizontal="right"/>
    </xf>
    <xf numFmtId="14" fontId="4" fillId="2" borderId="4" xfId="0" applyNumberFormat="1" applyFont="1" applyFill="1" applyBorder="1" applyAlignment="1">
      <alignment horizontal="right"/>
    </xf>
    <xf numFmtId="14" fontId="4" fillId="2" borderId="0" xfId="0" applyNumberFormat="1" applyFont="1" applyFill="1" applyBorder="1" applyAlignment="1">
      <alignment horizontal="right"/>
    </xf>
    <xf numFmtId="14" fontId="4" fillId="2" borderId="6" xfId="0" applyNumberFormat="1" applyFont="1" applyFill="1" applyBorder="1" applyAlignment="1">
      <alignment horizontal="right"/>
    </xf>
    <xf numFmtId="14" fontId="4" fillId="2" borderId="7" xfId="0" applyNumberFormat="1" applyFont="1" applyFill="1" applyBorder="1" applyAlignment="1">
      <alignment horizontal="right"/>
    </xf>
    <xf numFmtId="0" fontId="4" fillId="0" borderId="0" xfId="0" applyFont="1" applyBorder="1" applyAlignment="1">
      <alignment horizontal="left"/>
    </xf>
    <xf numFmtId="0" fontId="4" fillId="0" borderId="5" xfId="0" applyFont="1" applyBorder="1" applyAlignment="1">
      <alignment horizontal="left"/>
    </xf>
    <xf numFmtId="0" fontId="8" fillId="0" borderId="0" xfId="0" applyFont="1" applyBorder="1" applyAlignment="1">
      <alignment horizontal="left"/>
    </xf>
    <xf numFmtId="0" fontId="8" fillId="0" borderId="5" xfId="0" applyFont="1" applyBorder="1" applyAlignment="1">
      <alignment horizontal="left"/>
    </xf>
    <xf numFmtId="0" fontId="8" fillId="0" borderId="0" xfId="0" applyFont="1" applyFill="1" applyBorder="1" applyAlignment="1">
      <alignment horizontal="left"/>
    </xf>
    <xf numFmtId="0" fontId="8" fillId="0" borderId="5" xfId="0" applyFont="1" applyFill="1" applyBorder="1" applyAlignment="1">
      <alignment horizontal="left"/>
    </xf>
    <xf numFmtId="0" fontId="35" fillId="2" borderId="53" xfId="26" applyFont="1" applyFill="1" applyBorder="1" applyAlignment="1">
      <alignment horizontal="center" vertical="center" wrapText="1"/>
    </xf>
    <xf numFmtId="0" fontId="35" fillId="2" borderId="52" xfId="26" applyFont="1" applyFill="1" applyBorder="1" applyAlignment="1">
      <alignment horizontal="center" vertical="center" wrapText="1"/>
    </xf>
    <xf numFmtId="0" fontId="35" fillId="2" borderId="54" xfId="26" applyFont="1" applyFill="1" applyBorder="1" applyAlignment="1">
      <alignment horizontal="center" vertical="center" wrapText="1"/>
    </xf>
    <xf numFmtId="1" fontId="4" fillId="0" borderId="0" xfId="0" applyNumberFormat="1" applyFont="1" applyFill="1" applyBorder="1" applyAlignment="1">
      <alignment horizontal="left" vertical="top" wrapText="1"/>
    </xf>
  </cellXfs>
  <cellStyles count="29">
    <cellStyle name="Comma" xfId="1" builtinId="3"/>
    <cellStyle name="Euro" xfId="2"/>
    <cellStyle name="Euro 2" xfId="3"/>
    <cellStyle name="Hyperlink" xfId="4" builtinId="8"/>
    <cellStyle name="Komma 2" xfId="5"/>
    <cellStyle name="Normal" xfId="0" builtinId="0"/>
    <cellStyle name="Normal_Concentration_1" xfId="6"/>
    <cellStyle name="Normal_Insurances_1" xfId="7"/>
    <cellStyle name="Normal_Object Type_1" xfId="8"/>
    <cellStyle name="Normal_Obligor Region" xfId="9"/>
    <cellStyle name="Normal_Original PB" xfId="10"/>
    <cellStyle name="Normal_Original PB_1" xfId="11"/>
    <cellStyle name="Normal_Original Term_1" xfId="12"/>
    <cellStyle name="Normal_Payment" xfId="13"/>
    <cellStyle name="Normal_Payment_1" xfId="14"/>
    <cellStyle name="Normal_Remaining Term_1" xfId="15"/>
    <cellStyle name="Normal_Seasoning_1" xfId="16"/>
    <cellStyle name="Normal_Sheet1" xfId="17"/>
    <cellStyle name="Normal_Yield" xfId="18"/>
    <cellStyle name="Normal_Yield_1" xfId="19"/>
    <cellStyle name="Percent" xfId="20" builtinId="5"/>
    <cellStyle name="Prozent 2" xfId="21"/>
    <cellStyle name="Standard 2" xfId="22"/>
    <cellStyle name="Standard_11. Insurances" xfId="23"/>
    <cellStyle name="Standard_Current PB" xfId="24"/>
    <cellStyle name="Standard_Obligor Region" xfId="25"/>
    <cellStyle name="Standard_Original PB" xfId="26"/>
    <cellStyle name="Standard_Seasoning" xfId="27"/>
    <cellStyle name="Standard_Tabelle1" xfId="2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2F4D4"/>
      <rgbColor rgb="00CCFFFF"/>
      <rgbColor rgb="00660066"/>
      <rgbColor rgb="00FF8080"/>
      <rgbColor rgb="000066CC"/>
      <rgbColor rgb="00CCCCFF"/>
      <rgbColor rgb="00000080"/>
      <rgbColor rgb="00F2F4D6"/>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FF0000"/>
            </a:solidFill>
            <a:ln w="12700">
              <a:solidFill>
                <a:srgbClr val="000000"/>
              </a:solidFill>
              <a:prstDash val="solid"/>
            </a:ln>
          </c:spPr>
          <c:invertIfNegative val="0"/>
          <c:cat>
            <c:strRef>
              <c:f>'6. Original Principal Balance'!$D$14:$D$50</c:f>
              <c:strCache>
                <c:ptCount val="37"/>
                <c:pt idx="0">
                  <c:v>    0:  999</c:v>
                </c:pt>
                <c:pt idx="1">
                  <c:v> 1000: 1999</c:v>
                </c:pt>
                <c:pt idx="2">
                  <c:v> 2000: 2999</c:v>
                </c:pt>
                <c:pt idx="3">
                  <c:v> 3000: 3999</c:v>
                </c:pt>
                <c:pt idx="4">
                  <c:v> 4000: 4999</c:v>
                </c:pt>
                <c:pt idx="5">
                  <c:v> 5000: 5999</c:v>
                </c:pt>
                <c:pt idx="6">
                  <c:v> 6000: 6999</c:v>
                </c:pt>
                <c:pt idx="7">
                  <c:v> 7000: 7999</c:v>
                </c:pt>
                <c:pt idx="8">
                  <c:v> 8000: 8999</c:v>
                </c:pt>
                <c:pt idx="9">
                  <c:v> 9000: 9999</c:v>
                </c:pt>
                <c:pt idx="10">
                  <c:v>10000:10999</c:v>
                </c:pt>
                <c:pt idx="11">
                  <c:v>11000:11999</c:v>
                </c:pt>
                <c:pt idx="12">
                  <c:v>12000:12999</c:v>
                </c:pt>
                <c:pt idx="13">
                  <c:v>13000:13999</c:v>
                </c:pt>
                <c:pt idx="14">
                  <c:v>14000:14999</c:v>
                </c:pt>
                <c:pt idx="15">
                  <c:v>15000:15999</c:v>
                </c:pt>
                <c:pt idx="16">
                  <c:v>16000:16999</c:v>
                </c:pt>
                <c:pt idx="17">
                  <c:v>17000:17999</c:v>
                </c:pt>
                <c:pt idx="18">
                  <c:v>18000:18999</c:v>
                </c:pt>
                <c:pt idx="19">
                  <c:v>19000:19999</c:v>
                </c:pt>
                <c:pt idx="20">
                  <c:v>20000:20999</c:v>
                </c:pt>
                <c:pt idx="21">
                  <c:v>21000:21999</c:v>
                </c:pt>
                <c:pt idx="22">
                  <c:v>22000:22999</c:v>
                </c:pt>
                <c:pt idx="23">
                  <c:v>23000:23999</c:v>
                </c:pt>
                <c:pt idx="24">
                  <c:v>24000:24999</c:v>
                </c:pt>
                <c:pt idx="25">
                  <c:v>25000:25999</c:v>
                </c:pt>
                <c:pt idx="26">
                  <c:v>26000:26999</c:v>
                </c:pt>
                <c:pt idx="27">
                  <c:v>27000:27999</c:v>
                </c:pt>
                <c:pt idx="28">
                  <c:v>28000:28999</c:v>
                </c:pt>
                <c:pt idx="29">
                  <c:v>29000:29999</c:v>
                </c:pt>
                <c:pt idx="30">
                  <c:v>30000:30999</c:v>
                </c:pt>
                <c:pt idx="31">
                  <c:v>31000:31999</c:v>
                </c:pt>
                <c:pt idx="32">
                  <c:v>32000:32999</c:v>
                </c:pt>
                <c:pt idx="33">
                  <c:v>33000:33999</c:v>
                </c:pt>
                <c:pt idx="34">
                  <c:v>34000:34999</c:v>
                </c:pt>
                <c:pt idx="35">
                  <c:v>35000:35000</c:v>
                </c:pt>
                <c:pt idx="36">
                  <c:v>35001:     </c:v>
                </c:pt>
              </c:strCache>
            </c:strRef>
          </c:cat>
          <c:val>
            <c:numRef>
              <c:f>'6. Original Principal Balance'!$E$14:$E$50</c:f>
              <c:numCache>
                <c:formatCode>#,##0.00</c:formatCode>
                <c:ptCount val="37"/>
                <c:pt idx="0">
                  <c:v>6298.5599999999995</c:v>
                </c:pt>
                <c:pt idx="1">
                  <c:v>296520.07000000007</c:v>
                </c:pt>
                <c:pt idx="2">
                  <c:v>2007950.3900000001</c:v>
                </c:pt>
                <c:pt idx="3">
                  <c:v>5825918.6399999997</c:v>
                </c:pt>
                <c:pt idx="4">
                  <c:v>10872159.829999996</c:v>
                </c:pt>
                <c:pt idx="5">
                  <c:v>17617795.86999999</c:v>
                </c:pt>
                <c:pt idx="6">
                  <c:v>22082005.070000004</c:v>
                </c:pt>
                <c:pt idx="7">
                  <c:v>26963318.999999929</c:v>
                </c:pt>
                <c:pt idx="8">
                  <c:v>27917363.480000027</c:v>
                </c:pt>
                <c:pt idx="9">
                  <c:v>28029332.119999953</c:v>
                </c:pt>
                <c:pt idx="10">
                  <c:v>29632193.550000016</c:v>
                </c:pt>
                <c:pt idx="11">
                  <c:v>29958617.81000004</c:v>
                </c:pt>
                <c:pt idx="12">
                  <c:v>39340356.439999945</c:v>
                </c:pt>
                <c:pt idx="13">
                  <c:v>41539389.459999993</c:v>
                </c:pt>
                <c:pt idx="14">
                  <c:v>31313442.029999975</c:v>
                </c:pt>
                <c:pt idx="15">
                  <c:v>25709693.109999996</c:v>
                </c:pt>
                <c:pt idx="16">
                  <c:v>18658361.95000001</c:v>
                </c:pt>
                <c:pt idx="17">
                  <c:v>14692228.900000008</c:v>
                </c:pt>
                <c:pt idx="18">
                  <c:v>12762758.480000004</c:v>
                </c:pt>
                <c:pt idx="19">
                  <c:v>10218461.830000008</c:v>
                </c:pt>
                <c:pt idx="20">
                  <c:v>10035685.899999997</c:v>
                </c:pt>
                <c:pt idx="21">
                  <c:v>7536208.3499999996</c:v>
                </c:pt>
                <c:pt idx="22">
                  <c:v>5732553.9099999983</c:v>
                </c:pt>
                <c:pt idx="23">
                  <c:v>5115480.1199999982</c:v>
                </c:pt>
                <c:pt idx="24">
                  <c:v>3771475.0900000012</c:v>
                </c:pt>
                <c:pt idx="25">
                  <c:v>3231889.76</c:v>
                </c:pt>
                <c:pt idx="26">
                  <c:v>2303337.63</c:v>
                </c:pt>
                <c:pt idx="27">
                  <c:v>2088981.5399999998</c:v>
                </c:pt>
                <c:pt idx="28">
                  <c:v>1766444.05</c:v>
                </c:pt>
                <c:pt idx="29">
                  <c:v>1120805.2299999997</c:v>
                </c:pt>
                <c:pt idx="30">
                  <c:v>1065863.3499999999</c:v>
                </c:pt>
                <c:pt idx="31">
                  <c:v>821734.67</c:v>
                </c:pt>
                <c:pt idx="32">
                  <c:v>583964.8600000001</c:v>
                </c:pt>
                <c:pt idx="33">
                  <c:v>502149.08</c:v>
                </c:pt>
                <c:pt idx="34">
                  <c:v>516930.61</c:v>
                </c:pt>
                <c:pt idx="35">
                  <c:v>245000</c:v>
                </c:pt>
                <c:pt idx="36">
                  <c:v>2498384.42</c:v>
                </c:pt>
              </c:numCache>
            </c:numRef>
          </c:val>
          <c:extLst>
            <c:ext xmlns:c16="http://schemas.microsoft.com/office/drawing/2014/chart" uri="{C3380CC4-5D6E-409C-BE32-E72D297353CC}">
              <c16:uniqueId val="{00000000-0DB4-4182-97E7-9FFED57D0B52}"/>
            </c:ext>
          </c:extLst>
        </c:ser>
        <c:dLbls>
          <c:showLegendKey val="0"/>
          <c:showVal val="0"/>
          <c:showCatName val="0"/>
          <c:showSerName val="0"/>
          <c:showPercent val="0"/>
          <c:showBubbleSize val="0"/>
        </c:dLbls>
        <c:gapWidth val="150"/>
        <c:axId val="152727864"/>
        <c:axId val="1"/>
      </c:barChart>
      <c:catAx>
        <c:axId val="152727864"/>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875"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minorGridlines/>
        <c:title>
          <c:tx>
            <c:rich>
              <a:bodyPr/>
              <a:lstStyle/>
              <a:p>
                <a:pPr>
                  <a:defRPr sz="1800" b="1" i="0" u="none" strike="noStrike" baseline="0">
                    <a:solidFill>
                      <a:srgbClr val="000000"/>
                    </a:solidFill>
                    <a:latin typeface="Arial"/>
                    <a:ea typeface="Arial"/>
                    <a:cs typeface="Arial"/>
                  </a:defRPr>
                </a:pPr>
                <a:r>
                  <a:rPr lang="en-US"/>
                  <a:t>Original Principal Balance</a:t>
                </a:r>
              </a:p>
            </c:rich>
          </c:tx>
          <c:overlay val="0"/>
        </c:title>
        <c:numFmt formatCode="#,##0.00"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152727864"/>
        <c:crosses val="autoZero"/>
        <c:crossBetween val="between"/>
      </c:valAx>
      <c:spPr>
        <a:solidFill>
          <a:srgbClr val="C0C0C0"/>
        </a:solidFill>
        <a:ln w="12700">
          <a:solidFill>
            <a:srgbClr val="808080"/>
          </a:solidFill>
          <a:prstDash val="solid"/>
        </a:ln>
      </c:spPr>
    </c:plotArea>
    <c:plotVisOnly val="1"/>
    <c:dispBlanksAs val="gap"/>
    <c:showDLblsOverMax val="0"/>
  </c:chart>
  <c:spPr>
    <a:noFill/>
    <a:ln w="9525">
      <a:noFill/>
    </a:ln>
  </c:spPr>
  <c:txPr>
    <a:bodyPr/>
    <a:lstStyle/>
    <a:p>
      <a:pPr>
        <a:defRPr sz="1575" b="0" i="0" u="none" strike="noStrike" baseline="0">
          <a:solidFill>
            <a:srgbClr val="000000"/>
          </a:solidFill>
          <a:latin typeface="Arial"/>
          <a:ea typeface="Arial"/>
          <a:cs typeface="Arial"/>
        </a:defRPr>
      </a:pPr>
      <a:endParaRPr lang="en-US"/>
    </a:p>
  </c:txPr>
  <c:printSettings>
    <c:headerFooter alignWithMargins="0"/>
    <c:pageMargins b="0.984251969" l="0.78740157499999996" r="0.78740157499999996" t="0.984251969" header="0.5" footer="0.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FF0000"/>
            </a:solidFill>
            <a:ln w="12700">
              <a:solidFill>
                <a:srgbClr val="000000"/>
              </a:solidFill>
              <a:prstDash val="solid"/>
            </a:ln>
          </c:spPr>
          <c:invertIfNegative val="0"/>
          <c:cat>
            <c:strRef>
              <c:f>'7. Current Principal Balance'!$D$14:$D$49</c:f>
              <c:strCache>
                <c:ptCount val="36"/>
                <c:pt idx="0">
                  <c:v>    0:  999</c:v>
                </c:pt>
                <c:pt idx="1">
                  <c:v> 1000: 1999</c:v>
                </c:pt>
                <c:pt idx="2">
                  <c:v> 2000: 2999</c:v>
                </c:pt>
                <c:pt idx="3">
                  <c:v> 3000: 3999</c:v>
                </c:pt>
                <c:pt idx="4">
                  <c:v> 4000: 4999</c:v>
                </c:pt>
                <c:pt idx="5">
                  <c:v> 5000: 5999</c:v>
                </c:pt>
                <c:pt idx="6">
                  <c:v> 6000: 6999</c:v>
                </c:pt>
                <c:pt idx="7">
                  <c:v> 7000: 7999</c:v>
                </c:pt>
                <c:pt idx="8">
                  <c:v> 8000: 8999</c:v>
                </c:pt>
                <c:pt idx="9">
                  <c:v> 9000: 9999</c:v>
                </c:pt>
                <c:pt idx="10">
                  <c:v>10000:10999</c:v>
                </c:pt>
                <c:pt idx="11">
                  <c:v>11000:11999</c:v>
                </c:pt>
                <c:pt idx="12">
                  <c:v>12000:12999</c:v>
                </c:pt>
                <c:pt idx="13">
                  <c:v>13000:13999</c:v>
                </c:pt>
                <c:pt idx="14">
                  <c:v>14000:14999</c:v>
                </c:pt>
                <c:pt idx="15">
                  <c:v>15000:15999</c:v>
                </c:pt>
                <c:pt idx="16">
                  <c:v>16000:16999</c:v>
                </c:pt>
                <c:pt idx="17">
                  <c:v>17000:17999</c:v>
                </c:pt>
                <c:pt idx="18">
                  <c:v>18000:18999</c:v>
                </c:pt>
                <c:pt idx="19">
                  <c:v>19000:19999</c:v>
                </c:pt>
                <c:pt idx="20">
                  <c:v>20000:20999</c:v>
                </c:pt>
                <c:pt idx="21">
                  <c:v>21000:21999</c:v>
                </c:pt>
                <c:pt idx="22">
                  <c:v>22000:22999</c:v>
                </c:pt>
                <c:pt idx="23">
                  <c:v>23000:23999</c:v>
                </c:pt>
                <c:pt idx="24">
                  <c:v>24000:24999</c:v>
                </c:pt>
                <c:pt idx="25">
                  <c:v>25000:25999</c:v>
                </c:pt>
                <c:pt idx="26">
                  <c:v>26000:26999</c:v>
                </c:pt>
                <c:pt idx="27">
                  <c:v>27000:27999</c:v>
                </c:pt>
                <c:pt idx="28">
                  <c:v>28000:28999</c:v>
                </c:pt>
                <c:pt idx="29">
                  <c:v>29000:29999</c:v>
                </c:pt>
                <c:pt idx="30">
                  <c:v>30000:30999</c:v>
                </c:pt>
                <c:pt idx="31">
                  <c:v>31000:31999</c:v>
                </c:pt>
                <c:pt idx="32">
                  <c:v>32000:32999</c:v>
                </c:pt>
                <c:pt idx="33">
                  <c:v>33000:33999</c:v>
                </c:pt>
                <c:pt idx="34">
                  <c:v>34000:34999</c:v>
                </c:pt>
                <c:pt idx="35">
                  <c:v>35001:     </c:v>
                </c:pt>
              </c:strCache>
            </c:strRef>
          </c:cat>
          <c:val>
            <c:numRef>
              <c:f>'7. Current Principal Balance'!$E$14:$E$49</c:f>
              <c:numCache>
                <c:formatCode>#,##0.00</c:formatCode>
                <c:ptCount val="36"/>
                <c:pt idx="0">
                  <c:v>1723098.7399999988</c:v>
                </c:pt>
                <c:pt idx="1">
                  <c:v>5805912.5900000008</c:v>
                </c:pt>
                <c:pt idx="2">
                  <c:v>10165088.410000015</c:v>
                </c:pt>
                <c:pt idx="3">
                  <c:v>13996738.999999966</c:v>
                </c:pt>
                <c:pt idx="4">
                  <c:v>16510213.390000004</c:v>
                </c:pt>
                <c:pt idx="5">
                  <c:v>18444661.62999998</c:v>
                </c:pt>
                <c:pt idx="6">
                  <c:v>19373431.389999986</c:v>
                </c:pt>
                <c:pt idx="7">
                  <c:v>20852581.779999975</c:v>
                </c:pt>
                <c:pt idx="8">
                  <c:v>23051191.870000005</c:v>
                </c:pt>
                <c:pt idx="9">
                  <c:v>19241494.980000012</c:v>
                </c:pt>
                <c:pt idx="10">
                  <c:v>14700698.050000023</c:v>
                </c:pt>
                <c:pt idx="11">
                  <c:v>12103096.59999999</c:v>
                </c:pt>
                <c:pt idx="12">
                  <c:v>9351854.6899999995</c:v>
                </c:pt>
                <c:pt idx="13">
                  <c:v>7424188.3799999924</c:v>
                </c:pt>
                <c:pt idx="14">
                  <c:v>6171892.8400000073</c:v>
                </c:pt>
                <c:pt idx="15">
                  <c:v>4749512.4800000023</c:v>
                </c:pt>
                <c:pt idx="16">
                  <c:v>3240764.9299999992</c:v>
                </c:pt>
                <c:pt idx="17">
                  <c:v>2860081.9699999993</c:v>
                </c:pt>
                <c:pt idx="18">
                  <c:v>1547845.15</c:v>
                </c:pt>
                <c:pt idx="19">
                  <c:v>1188160.7499999995</c:v>
                </c:pt>
                <c:pt idx="20">
                  <c:v>1271312.1499999997</c:v>
                </c:pt>
                <c:pt idx="21">
                  <c:v>729578.57000000007</c:v>
                </c:pt>
                <c:pt idx="22">
                  <c:v>631355.69000000006</c:v>
                </c:pt>
                <c:pt idx="23">
                  <c:v>635263.94999999995</c:v>
                </c:pt>
                <c:pt idx="24">
                  <c:v>171697.84999999998</c:v>
                </c:pt>
                <c:pt idx="25">
                  <c:v>331770.36</c:v>
                </c:pt>
                <c:pt idx="26">
                  <c:v>236923.84999999998</c:v>
                </c:pt>
                <c:pt idx="27">
                  <c:v>191612</c:v>
                </c:pt>
                <c:pt idx="28">
                  <c:v>57009.78</c:v>
                </c:pt>
                <c:pt idx="29">
                  <c:v>175794.41999999998</c:v>
                </c:pt>
                <c:pt idx="30">
                  <c:v>152627.97</c:v>
                </c:pt>
                <c:pt idx="31">
                  <c:v>62109.520000000004</c:v>
                </c:pt>
                <c:pt idx="32">
                  <c:v>64923.81</c:v>
                </c:pt>
                <c:pt idx="33">
                  <c:v>33959.410000000003</c:v>
                </c:pt>
                <c:pt idx="34">
                  <c:v>34294.01</c:v>
                </c:pt>
                <c:pt idx="35">
                  <c:v>270791.11000000004</c:v>
                </c:pt>
              </c:numCache>
            </c:numRef>
          </c:val>
          <c:extLst>
            <c:ext xmlns:c16="http://schemas.microsoft.com/office/drawing/2014/chart" uri="{C3380CC4-5D6E-409C-BE32-E72D297353CC}">
              <c16:uniqueId val="{00000000-431E-41AC-8109-96C6A47CF97D}"/>
            </c:ext>
          </c:extLst>
        </c:ser>
        <c:dLbls>
          <c:showLegendKey val="0"/>
          <c:showVal val="0"/>
          <c:showCatName val="0"/>
          <c:showSerName val="0"/>
          <c:showPercent val="0"/>
          <c:showBubbleSize val="0"/>
        </c:dLbls>
        <c:gapWidth val="150"/>
        <c:axId val="152723272"/>
        <c:axId val="1"/>
      </c:barChart>
      <c:catAx>
        <c:axId val="152723272"/>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875"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minorGridlines/>
        <c:title>
          <c:tx>
            <c:rich>
              <a:bodyPr/>
              <a:lstStyle/>
              <a:p>
                <a:pPr>
                  <a:defRPr sz="1800" b="1" i="0" u="none" strike="noStrike" baseline="0">
                    <a:solidFill>
                      <a:srgbClr val="000000"/>
                    </a:solidFill>
                    <a:latin typeface="Arial"/>
                    <a:ea typeface="Arial"/>
                    <a:cs typeface="Arial"/>
                  </a:defRPr>
                </a:pPr>
                <a:r>
                  <a:rPr lang="en-US"/>
                  <a:t>Current Principal Balance</a:t>
                </a:r>
              </a:p>
            </c:rich>
          </c:tx>
          <c:overlay val="0"/>
        </c:title>
        <c:numFmt formatCode="#,##0.00"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152723272"/>
        <c:crosses val="autoZero"/>
        <c:crossBetween val="between"/>
      </c:valAx>
      <c:spPr>
        <a:solidFill>
          <a:srgbClr val="C0C0C0"/>
        </a:solidFill>
        <a:ln w="12700">
          <a:solidFill>
            <a:srgbClr val="808080"/>
          </a:solidFill>
          <a:prstDash val="solid"/>
        </a:ln>
      </c:spPr>
    </c:plotArea>
    <c:plotVisOnly val="1"/>
    <c:dispBlanksAs val="gap"/>
    <c:showDLblsOverMax val="0"/>
  </c:chart>
  <c:spPr>
    <a:noFill/>
    <a:ln w="9525">
      <a:noFill/>
    </a:ln>
  </c:spPr>
  <c:txPr>
    <a:bodyPr/>
    <a:lstStyle/>
    <a:p>
      <a:pPr>
        <a:defRPr sz="1575" b="0" i="0" u="none" strike="noStrike" baseline="0">
          <a:solidFill>
            <a:srgbClr val="000000"/>
          </a:solidFill>
          <a:latin typeface="Arial"/>
          <a:ea typeface="Arial"/>
          <a:cs typeface="Arial"/>
        </a:defRPr>
      </a:pPr>
      <a:endParaRPr lang="en-US"/>
    </a:p>
  </c:txPr>
  <c:printSettings>
    <c:headerFooter alignWithMargins="0"/>
    <c:pageMargins b="0.984251969" l="0.78740157499999996" r="0.78740157499999996" t="0.984251969" header="0.5" footer="0.5"/>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FF0000"/>
            </a:solidFill>
            <a:ln w="12700">
              <a:solidFill>
                <a:srgbClr val="000000"/>
              </a:solidFill>
              <a:prstDash val="solid"/>
            </a:ln>
          </c:spPr>
          <c:invertIfNegative val="0"/>
          <c:cat>
            <c:strRef>
              <c:f>'9. Geographical Distribution'!$D$14:$D$30</c:f>
              <c:strCache>
                <c:ptCount val="17"/>
                <c:pt idx="0">
                  <c:v>Baden-Württemberg</c:v>
                </c:pt>
                <c:pt idx="1">
                  <c:v>Bayern</c:v>
                </c:pt>
                <c:pt idx="2">
                  <c:v>Berlin</c:v>
                </c:pt>
                <c:pt idx="3">
                  <c:v>Brandenburg</c:v>
                </c:pt>
                <c:pt idx="4">
                  <c:v>Bremen</c:v>
                </c:pt>
                <c:pt idx="5">
                  <c:v>Hamburg</c:v>
                </c:pt>
                <c:pt idx="6">
                  <c:v>Hessen</c:v>
                </c:pt>
                <c:pt idx="7">
                  <c:v>Mecklenburg-Vorpommern</c:v>
                </c:pt>
                <c:pt idx="8">
                  <c:v>Niedersachsen</c:v>
                </c:pt>
                <c:pt idx="9">
                  <c:v>Nordrhein-Westfalen</c:v>
                </c:pt>
                <c:pt idx="10">
                  <c:v>Rheinland-Pfalz</c:v>
                </c:pt>
                <c:pt idx="11">
                  <c:v>Saarland</c:v>
                </c:pt>
                <c:pt idx="12">
                  <c:v>Sachsen</c:v>
                </c:pt>
                <c:pt idx="13">
                  <c:v>Sachsen-Anhalt</c:v>
                </c:pt>
                <c:pt idx="14">
                  <c:v>Schleswig-Holstein</c:v>
                </c:pt>
                <c:pt idx="15">
                  <c:v>Thüringen</c:v>
                </c:pt>
                <c:pt idx="16">
                  <c:v>n/a</c:v>
                </c:pt>
              </c:strCache>
            </c:strRef>
          </c:cat>
          <c:val>
            <c:numRef>
              <c:f>'9. Geographical Distribution'!$E$14:$E$30</c:f>
              <c:numCache>
                <c:formatCode>#,##0.00</c:formatCode>
                <c:ptCount val="17"/>
                <c:pt idx="0">
                  <c:v>16939937.510000002</c:v>
                </c:pt>
                <c:pt idx="1">
                  <c:v>19855346.739999987</c:v>
                </c:pt>
                <c:pt idx="2">
                  <c:v>5662739.4700000091</c:v>
                </c:pt>
                <c:pt idx="3">
                  <c:v>14540375.420000026</c:v>
                </c:pt>
                <c:pt idx="4">
                  <c:v>1250942.6400000004</c:v>
                </c:pt>
                <c:pt idx="5">
                  <c:v>3106904.0200000014</c:v>
                </c:pt>
                <c:pt idx="6">
                  <c:v>13518248.189999996</c:v>
                </c:pt>
                <c:pt idx="7">
                  <c:v>10872019.209999999</c:v>
                </c:pt>
                <c:pt idx="8">
                  <c:v>22271359.459999952</c:v>
                </c:pt>
                <c:pt idx="9">
                  <c:v>38669899.069999948</c:v>
                </c:pt>
                <c:pt idx="10">
                  <c:v>9083024.4800000153</c:v>
                </c:pt>
                <c:pt idx="11">
                  <c:v>2615645.7400000002</c:v>
                </c:pt>
                <c:pt idx="12">
                  <c:v>16721153.409999987</c:v>
                </c:pt>
                <c:pt idx="13">
                  <c:v>17194284.040000021</c:v>
                </c:pt>
                <c:pt idx="14">
                  <c:v>8588431.5699999873</c:v>
                </c:pt>
                <c:pt idx="15">
                  <c:v>15708240.319999985</c:v>
                </c:pt>
                <c:pt idx="16">
                  <c:v>954982.77999785542</c:v>
                </c:pt>
              </c:numCache>
            </c:numRef>
          </c:val>
          <c:extLst>
            <c:ext xmlns:c16="http://schemas.microsoft.com/office/drawing/2014/chart" uri="{C3380CC4-5D6E-409C-BE32-E72D297353CC}">
              <c16:uniqueId val="{00000000-FD67-409B-BB2C-AA6E57F7E3CB}"/>
            </c:ext>
          </c:extLst>
        </c:ser>
        <c:dLbls>
          <c:showLegendKey val="0"/>
          <c:showVal val="0"/>
          <c:showCatName val="0"/>
          <c:showSerName val="0"/>
          <c:showPercent val="0"/>
          <c:showBubbleSize val="0"/>
        </c:dLbls>
        <c:gapWidth val="150"/>
        <c:axId val="156438568"/>
        <c:axId val="1"/>
      </c:barChart>
      <c:catAx>
        <c:axId val="156438568"/>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875"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minorGridlines/>
        <c:title>
          <c:tx>
            <c:rich>
              <a:bodyPr/>
              <a:lstStyle/>
              <a:p>
                <a:pPr>
                  <a:defRPr sz="1800" b="1" i="0" u="none" strike="noStrike" baseline="0">
                    <a:solidFill>
                      <a:srgbClr val="000000"/>
                    </a:solidFill>
                    <a:latin typeface="Arial"/>
                    <a:ea typeface="Arial"/>
                    <a:cs typeface="Arial"/>
                  </a:defRPr>
                </a:pPr>
                <a:r>
                  <a:rPr lang="en-US"/>
                  <a:t>Current Principal Balance</a:t>
                </a:r>
              </a:p>
            </c:rich>
          </c:tx>
          <c:overlay val="0"/>
        </c:title>
        <c:numFmt formatCode="#,##0.00"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156438568"/>
        <c:crosses val="autoZero"/>
        <c:crossBetween val="between"/>
      </c:valAx>
      <c:spPr>
        <a:solidFill>
          <a:srgbClr val="C0C0C0"/>
        </a:solidFill>
        <a:ln w="12700">
          <a:solidFill>
            <a:srgbClr val="808080"/>
          </a:solidFill>
          <a:prstDash val="solid"/>
        </a:ln>
      </c:spPr>
    </c:plotArea>
    <c:plotVisOnly val="1"/>
    <c:dispBlanksAs val="gap"/>
    <c:showDLblsOverMax val="0"/>
  </c:chart>
  <c:spPr>
    <a:noFill/>
    <a:ln w="9525">
      <a:noFill/>
    </a:ln>
  </c:spPr>
  <c:txPr>
    <a:bodyPr/>
    <a:lstStyle/>
    <a:p>
      <a:pPr>
        <a:defRPr sz="1575" b="0" i="0" u="none" strike="noStrike" baseline="0">
          <a:solidFill>
            <a:srgbClr val="000000"/>
          </a:solidFill>
          <a:latin typeface="Arial"/>
          <a:ea typeface="Arial"/>
          <a:cs typeface="Arial"/>
        </a:defRPr>
      </a:pPr>
      <a:endParaRPr lang="en-US"/>
    </a:p>
  </c:txPr>
  <c:printSettings>
    <c:headerFooter alignWithMargins="0"/>
    <c:pageMargins b="0.984251969" l="0.78740157499999996" r="0.78740157499999996" t="0.984251969" header="0.5" footer="0.5"/>
    <c:pageSetup paperSize="9"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FF0000"/>
            </a:solidFill>
            <a:ln w="12700">
              <a:solidFill>
                <a:srgbClr val="000000"/>
              </a:solidFill>
              <a:prstDash val="solid"/>
            </a:ln>
          </c:spPr>
          <c:invertIfNegative val="0"/>
          <c:cat>
            <c:strRef>
              <c:f>'14. Customer Yield'!$D$14:$D$26</c:f>
              <c:strCache>
                <c:ptCount val="13"/>
                <c:pt idx="0">
                  <c:v> 1: 1</c:v>
                </c:pt>
                <c:pt idx="1">
                  <c:v> 4: 4</c:v>
                </c:pt>
                <c:pt idx="2">
                  <c:v> 5: 5</c:v>
                </c:pt>
                <c:pt idx="3">
                  <c:v> 6: 6</c:v>
                </c:pt>
                <c:pt idx="4">
                  <c:v> 7: 7</c:v>
                </c:pt>
                <c:pt idx="5">
                  <c:v> 8: 8</c:v>
                </c:pt>
                <c:pt idx="6">
                  <c:v> 9: 9</c:v>
                </c:pt>
                <c:pt idx="7">
                  <c:v>10:10</c:v>
                </c:pt>
                <c:pt idx="8">
                  <c:v>11:11</c:v>
                </c:pt>
                <c:pt idx="9">
                  <c:v>12:12</c:v>
                </c:pt>
                <c:pt idx="10">
                  <c:v>13:13</c:v>
                </c:pt>
                <c:pt idx="11">
                  <c:v>14:14</c:v>
                </c:pt>
                <c:pt idx="12">
                  <c:v>15:15</c:v>
                </c:pt>
              </c:strCache>
            </c:strRef>
          </c:cat>
          <c:val>
            <c:numRef>
              <c:f>'14. Customer Yield'!$E$14:$E$26</c:f>
              <c:numCache>
                <c:formatCode>#,##0.00</c:formatCode>
                <c:ptCount val="13"/>
                <c:pt idx="0">
                  <c:v>2535.2199999999998</c:v>
                </c:pt>
                <c:pt idx="1">
                  <c:v>20674984.640000042</c:v>
                </c:pt>
                <c:pt idx="2">
                  <c:v>43490089.410000049</c:v>
                </c:pt>
                <c:pt idx="3">
                  <c:v>60038156.269999892</c:v>
                </c:pt>
                <c:pt idx="4">
                  <c:v>45501491.189999945</c:v>
                </c:pt>
                <c:pt idx="5">
                  <c:v>25420516.289999925</c:v>
                </c:pt>
                <c:pt idx="6">
                  <c:v>15514263.179999961</c:v>
                </c:pt>
                <c:pt idx="7">
                  <c:v>6249179.9299999978</c:v>
                </c:pt>
                <c:pt idx="8">
                  <c:v>340298.76999999996</c:v>
                </c:pt>
                <c:pt idx="9">
                  <c:v>101168.56</c:v>
                </c:pt>
                <c:pt idx="10">
                  <c:v>193649.58000000005</c:v>
                </c:pt>
                <c:pt idx="11">
                  <c:v>1003.14</c:v>
                </c:pt>
                <c:pt idx="12">
                  <c:v>26197.89</c:v>
                </c:pt>
              </c:numCache>
            </c:numRef>
          </c:val>
          <c:extLst>
            <c:ext xmlns:c16="http://schemas.microsoft.com/office/drawing/2014/chart" uri="{C3380CC4-5D6E-409C-BE32-E72D297353CC}">
              <c16:uniqueId val="{00000000-A583-4710-BFBE-363C5BA5BF1F}"/>
            </c:ext>
          </c:extLst>
        </c:ser>
        <c:dLbls>
          <c:showLegendKey val="0"/>
          <c:showVal val="0"/>
          <c:showCatName val="0"/>
          <c:showSerName val="0"/>
          <c:showPercent val="0"/>
          <c:showBubbleSize val="0"/>
        </c:dLbls>
        <c:gapWidth val="150"/>
        <c:axId val="155785104"/>
        <c:axId val="1"/>
      </c:barChart>
      <c:catAx>
        <c:axId val="155785104"/>
        <c:scaling>
          <c:orientation val="minMax"/>
        </c:scaling>
        <c:delete val="0"/>
        <c:axPos val="b"/>
        <c:title>
          <c:tx>
            <c:rich>
              <a:bodyPr/>
              <a:lstStyle/>
              <a:p>
                <a:pPr>
                  <a:defRPr sz="1100" b="0" i="0" u="none" strike="noStrike" baseline="0">
                    <a:solidFill>
                      <a:srgbClr val="000000"/>
                    </a:solidFill>
                    <a:latin typeface="Calibri"/>
                    <a:ea typeface="Calibri"/>
                    <a:cs typeface="Calibri"/>
                  </a:defRPr>
                </a:pPr>
                <a:r>
                  <a:rPr lang="en-US" sz="1800" b="1" i="0" u="none" strike="noStrike" baseline="0">
                    <a:solidFill>
                      <a:srgbClr val="000000"/>
                    </a:solidFill>
                    <a:latin typeface="Arial"/>
                    <a:cs typeface="Arial"/>
                  </a:rPr>
                  <a:t>Yield Range</a:t>
                </a:r>
                <a:r>
                  <a:rPr lang="en-US" sz="1800" b="1" i="0" u="none" strike="noStrike" baseline="30000">
                    <a:solidFill>
                      <a:srgbClr val="000000"/>
                    </a:solidFill>
                    <a:latin typeface="Arial"/>
                    <a:cs typeface="Arial"/>
                  </a:rPr>
                  <a:t>*</a:t>
                </a:r>
              </a:p>
            </c:rich>
          </c:tx>
          <c:overlay val="0"/>
        </c:title>
        <c:numFmt formatCode="General"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minorGridlines/>
        <c:title>
          <c:tx>
            <c:rich>
              <a:bodyPr/>
              <a:lstStyle/>
              <a:p>
                <a:pPr>
                  <a:defRPr sz="1800" b="1" i="0" u="none" strike="noStrike" baseline="0">
                    <a:solidFill>
                      <a:srgbClr val="000000"/>
                    </a:solidFill>
                    <a:latin typeface="Arial"/>
                    <a:ea typeface="Arial"/>
                    <a:cs typeface="Arial"/>
                  </a:defRPr>
                </a:pPr>
                <a:r>
                  <a:rPr lang="en-US"/>
                  <a:t>Current Principal Balance</a:t>
                </a:r>
              </a:p>
            </c:rich>
          </c:tx>
          <c:overlay val="0"/>
        </c:title>
        <c:numFmt formatCode="#,##0.00"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155785104"/>
        <c:crosses val="autoZero"/>
        <c:crossBetween val="between"/>
      </c:valAx>
      <c:spPr>
        <a:solidFill>
          <a:srgbClr val="C0C0C0"/>
        </a:solidFill>
        <a:ln w="12700">
          <a:solidFill>
            <a:srgbClr val="808080"/>
          </a:solidFill>
          <a:prstDash val="solid"/>
        </a:ln>
      </c:spPr>
    </c:plotArea>
    <c:plotVisOnly val="1"/>
    <c:dispBlanksAs val="gap"/>
    <c:showDLblsOverMax val="0"/>
  </c:chart>
  <c:spPr>
    <a:noFill/>
    <a:ln w="9525">
      <a:noFill/>
    </a:ln>
  </c:spPr>
  <c:txPr>
    <a:bodyPr/>
    <a:lstStyle/>
    <a:p>
      <a:pPr>
        <a:defRPr sz="1575" b="0" i="0" u="none" strike="noStrike" baseline="0">
          <a:solidFill>
            <a:srgbClr val="000000"/>
          </a:solidFill>
          <a:latin typeface="Arial"/>
          <a:ea typeface="Arial"/>
          <a:cs typeface="Arial"/>
        </a:defRPr>
      </a:pPr>
      <a:endParaRPr lang="en-US"/>
    </a:p>
  </c:txPr>
  <c:printSettings>
    <c:headerFooter alignWithMargins="0"/>
    <c:pageMargins b="0.984251969" l="0.78740157499999996" r="0.78740157499999996" t="0.984251969" header="0.5" footer="0.5"/>
    <c:pageSetup paperSize="9"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FF0000"/>
            </a:solidFill>
            <a:ln w="12700">
              <a:solidFill>
                <a:srgbClr val="000000"/>
              </a:solidFill>
              <a:prstDash val="solid"/>
            </a:ln>
          </c:spPr>
          <c:invertIfNegative val="0"/>
          <c:cat>
            <c:strRef>
              <c:f>'15. Seasoning'!$D$14:$D$32</c:f>
              <c:strCache>
                <c:ptCount val="19"/>
                <c:pt idx="0">
                  <c:v>27:29</c:v>
                </c:pt>
                <c:pt idx="1">
                  <c:v>30:32</c:v>
                </c:pt>
                <c:pt idx="2">
                  <c:v>33:35</c:v>
                </c:pt>
                <c:pt idx="3">
                  <c:v>36:38</c:v>
                </c:pt>
                <c:pt idx="4">
                  <c:v>39:41</c:v>
                </c:pt>
                <c:pt idx="5">
                  <c:v>42:44</c:v>
                </c:pt>
                <c:pt idx="6">
                  <c:v>45:47</c:v>
                </c:pt>
                <c:pt idx="7">
                  <c:v>48:50</c:v>
                </c:pt>
                <c:pt idx="8">
                  <c:v>51:53</c:v>
                </c:pt>
                <c:pt idx="9">
                  <c:v>54:56</c:v>
                </c:pt>
                <c:pt idx="10">
                  <c:v>57:59</c:v>
                </c:pt>
                <c:pt idx="11">
                  <c:v>60:62</c:v>
                </c:pt>
                <c:pt idx="12">
                  <c:v>63:65</c:v>
                </c:pt>
                <c:pt idx="13">
                  <c:v>66:68</c:v>
                </c:pt>
                <c:pt idx="14">
                  <c:v>69:71</c:v>
                </c:pt>
                <c:pt idx="15">
                  <c:v>72:74</c:v>
                </c:pt>
                <c:pt idx="16">
                  <c:v>75:77</c:v>
                </c:pt>
                <c:pt idx="17">
                  <c:v>78:80</c:v>
                </c:pt>
                <c:pt idx="18">
                  <c:v>81:  </c:v>
                </c:pt>
              </c:strCache>
            </c:strRef>
          </c:cat>
          <c:val>
            <c:numRef>
              <c:f>'15. Seasoning'!$E$14:$E$32</c:f>
              <c:numCache>
                <c:formatCode>#,##0.00</c:formatCode>
                <c:ptCount val="19"/>
                <c:pt idx="0">
                  <c:v>746825.95</c:v>
                </c:pt>
                <c:pt idx="1">
                  <c:v>78197840.339999825</c:v>
                </c:pt>
                <c:pt idx="2">
                  <c:v>47543770.169999994</c:v>
                </c:pt>
                <c:pt idx="3">
                  <c:v>38345104.750000022</c:v>
                </c:pt>
                <c:pt idx="4">
                  <c:v>18802013.419999987</c:v>
                </c:pt>
                <c:pt idx="5">
                  <c:v>16231387.999999981</c:v>
                </c:pt>
                <c:pt idx="6">
                  <c:v>7709468.4199999943</c:v>
                </c:pt>
                <c:pt idx="7">
                  <c:v>5253138.0300000012</c:v>
                </c:pt>
                <c:pt idx="8">
                  <c:v>3210298.4400000018</c:v>
                </c:pt>
                <c:pt idx="9">
                  <c:v>725102.60999999952</c:v>
                </c:pt>
                <c:pt idx="10">
                  <c:v>363231.58999999997</c:v>
                </c:pt>
                <c:pt idx="11">
                  <c:v>207155.85</c:v>
                </c:pt>
                <c:pt idx="12">
                  <c:v>119757.91999999998</c:v>
                </c:pt>
                <c:pt idx="13">
                  <c:v>46785.17</c:v>
                </c:pt>
                <c:pt idx="14">
                  <c:v>18713.54</c:v>
                </c:pt>
                <c:pt idx="15">
                  <c:v>8102.3</c:v>
                </c:pt>
                <c:pt idx="16">
                  <c:v>15739.259999999998</c:v>
                </c:pt>
                <c:pt idx="17">
                  <c:v>3333.52</c:v>
                </c:pt>
                <c:pt idx="18">
                  <c:v>5764.7900000000009</c:v>
                </c:pt>
              </c:numCache>
            </c:numRef>
          </c:val>
          <c:extLst>
            <c:ext xmlns:c16="http://schemas.microsoft.com/office/drawing/2014/chart" uri="{C3380CC4-5D6E-409C-BE32-E72D297353CC}">
              <c16:uniqueId val="{00000000-DB5C-4221-BA8C-2AE28CD0CCD5}"/>
            </c:ext>
          </c:extLst>
        </c:ser>
        <c:dLbls>
          <c:showLegendKey val="0"/>
          <c:showVal val="0"/>
          <c:showCatName val="0"/>
          <c:showSerName val="0"/>
          <c:showPercent val="0"/>
          <c:showBubbleSize val="0"/>
        </c:dLbls>
        <c:gapWidth val="150"/>
        <c:axId val="155787400"/>
        <c:axId val="1"/>
      </c:barChart>
      <c:catAx>
        <c:axId val="155787400"/>
        <c:scaling>
          <c:orientation val="minMax"/>
        </c:scaling>
        <c:delete val="0"/>
        <c:axPos val="b"/>
        <c:title>
          <c:tx>
            <c:rich>
              <a:bodyPr/>
              <a:lstStyle/>
              <a:p>
                <a:pPr>
                  <a:defRPr sz="1800" b="1" i="0" u="none" strike="noStrike" baseline="0">
                    <a:solidFill>
                      <a:srgbClr val="000000"/>
                    </a:solidFill>
                    <a:latin typeface="Arial"/>
                    <a:ea typeface="Arial"/>
                    <a:cs typeface="Arial"/>
                  </a:defRPr>
                </a:pPr>
                <a:r>
                  <a:rPr lang="en-US"/>
                  <a:t>Seasoning in Months</a:t>
                </a:r>
              </a:p>
            </c:rich>
          </c:tx>
          <c:overlay val="0"/>
        </c:title>
        <c:numFmt formatCode="General"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minorGridlines/>
        <c:title>
          <c:tx>
            <c:rich>
              <a:bodyPr/>
              <a:lstStyle/>
              <a:p>
                <a:pPr>
                  <a:defRPr sz="1800" b="1" i="0" u="none" strike="noStrike" baseline="0">
                    <a:solidFill>
                      <a:srgbClr val="000000"/>
                    </a:solidFill>
                    <a:latin typeface="Arial"/>
                    <a:ea typeface="Arial"/>
                    <a:cs typeface="Arial"/>
                  </a:defRPr>
                </a:pPr>
                <a:r>
                  <a:rPr lang="en-US"/>
                  <a:t>Current Principal Balance</a:t>
                </a:r>
              </a:p>
            </c:rich>
          </c:tx>
          <c:overlay val="0"/>
        </c:title>
        <c:numFmt formatCode="#,##0.00"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155787400"/>
        <c:crosses val="autoZero"/>
        <c:crossBetween val="between"/>
      </c:valAx>
      <c:spPr>
        <a:solidFill>
          <a:srgbClr val="C0C0C0"/>
        </a:solidFill>
        <a:ln w="12700">
          <a:solidFill>
            <a:srgbClr val="808080"/>
          </a:solidFill>
          <a:prstDash val="solid"/>
        </a:ln>
      </c:spPr>
    </c:plotArea>
    <c:plotVisOnly val="1"/>
    <c:dispBlanksAs val="gap"/>
    <c:showDLblsOverMax val="0"/>
  </c:chart>
  <c:spPr>
    <a:noFill/>
    <a:ln w="9525">
      <a:noFill/>
    </a:ln>
  </c:spPr>
  <c:txPr>
    <a:bodyPr/>
    <a:lstStyle/>
    <a:p>
      <a:pPr>
        <a:defRPr sz="1575" b="0" i="0" u="none" strike="noStrike" baseline="0">
          <a:solidFill>
            <a:srgbClr val="000000"/>
          </a:solidFill>
          <a:latin typeface="Arial"/>
          <a:ea typeface="Arial"/>
          <a:cs typeface="Arial"/>
        </a:defRPr>
      </a:pPr>
      <a:endParaRPr lang="en-US"/>
    </a:p>
  </c:txPr>
  <c:printSettings>
    <c:headerFooter alignWithMargins="0"/>
    <c:pageMargins b="0.984251969" l="0.78740157499999996" r="0.78740157499999996" t="0.984251969" header="0.5" footer="0.5"/>
    <c:pageSetup paperSize="9"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FF0000"/>
            </a:solidFill>
            <a:ln w="12700">
              <a:solidFill>
                <a:srgbClr val="000000"/>
              </a:solidFill>
              <a:prstDash val="solid"/>
            </a:ln>
          </c:spPr>
          <c:invertIfNegative val="0"/>
          <c:cat>
            <c:strRef>
              <c:f>'16. Remaining Term'!$D$14:$D$24</c:f>
              <c:strCache>
                <c:ptCount val="11"/>
                <c:pt idx="0">
                  <c:v> 0: 6</c:v>
                </c:pt>
                <c:pt idx="1">
                  <c:v> 7:13</c:v>
                </c:pt>
                <c:pt idx="2">
                  <c:v>14:20</c:v>
                </c:pt>
                <c:pt idx="3">
                  <c:v>21:27</c:v>
                </c:pt>
                <c:pt idx="4">
                  <c:v>28:34</c:v>
                </c:pt>
                <c:pt idx="5">
                  <c:v>35:41</c:v>
                </c:pt>
                <c:pt idx="6">
                  <c:v>42:48</c:v>
                </c:pt>
                <c:pt idx="7">
                  <c:v>49:55</c:v>
                </c:pt>
                <c:pt idx="8">
                  <c:v>56:62</c:v>
                </c:pt>
                <c:pt idx="9">
                  <c:v>63:69</c:v>
                </c:pt>
                <c:pt idx="10">
                  <c:v>77:83</c:v>
                </c:pt>
              </c:strCache>
            </c:strRef>
          </c:cat>
          <c:val>
            <c:numRef>
              <c:f>'16. Remaining Term'!$E$14:$E$24</c:f>
              <c:numCache>
                <c:formatCode>#,##0.00</c:formatCode>
                <c:ptCount val="11"/>
                <c:pt idx="0">
                  <c:v>14960672.850000026</c:v>
                </c:pt>
                <c:pt idx="1">
                  <c:v>18444532.460000012</c:v>
                </c:pt>
                <c:pt idx="2">
                  <c:v>39467787.430000119</c:v>
                </c:pt>
                <c:pt idx="3">
                  <c:v>36572787.170000128</c:v>
                </c:pt>
                <c:pt idx="4">
                  <c:v>37558208.669999979</c:v>
                </c:pt>
                <c:pt idx="5">
                  <c:v>31031340.07</c:v>
                </c:pt>
                <c:pt idx="6">
                  <c:v>18002254.930000026</c:v>
                </c:pt>
                <c:pt idx="7">
                  <c:v>20274630.240000013</c:v>
                </c:pt>
                <c:pt idx="8">
                  <c:v>1053818.7500000005</c:v>
                </c:pt>
                <c:pt idx="9">
                  <c:v>180486.51</c:v>
                </c:pt>
                <c:pt idx="10">
                  <c:v>7014.99</c:v>
                </c:pt>
              </c:numCache>
            </c:numRef>
          </c:val>
          <c:extLst>
            <c:ext xmlns:c16="http://schemas.microsoft.com/office/drawing/2014/chart" uri="{C3380CC4-5D6E-409C-BE32-E72D297353CC}">
              <c16:uniqueId val="{00000000-7374-4FC6-8A72-840502F246A4}"/>
            </c:ext>
          </c:extLst>
        </c:ser>
        <c:dLbls>
          <c:showLegendKey val="0"/>
          <c:showVal val="0"/>
          <c:showCatName val="0"/>
          <c:showSerName val="0"/>
          <c:showPercent val="0"/>
          <c:showBubbleSize val="0"/>
        </c:dLbls>
        <c:gapWidth val="150"/>
        <c:axId val="155788384"/>
        <c:axId val="1"/>
      </c:barChart>
      <c:catAx>
        <c:axId val="155788384"/>
        <c:scaling>
          <c:orientation val="minMax"/>
        </c:scaling>
        <c:delete val="0"/>
        <c:axPos val="b"/>
        <c:title>
          <c:tx>
            <c:rich>
              <a:bodyPr/>
              <a:lstStyle/>
              <a:p>
                <a:pPr>
                  <a:defRPr sz="1800" b="1" i="0" u="none" strike="noStrike" baseline="0">
                    <a:solidFill>
                      <a:srgbClr val="000000"/>
                    </a:solidFill>
                    <a:latin typeface="Arial"/>
                    <a:ea typeface="Arial"/>
                    <a:cs typeface="Arial"/>
                  </a:defRPr>
                </a:pPr>
                <a:r>
                  <a:rPr lang="en-US"/>
                  <a:t>Remaining Term in Months</a:t>
                </a:r>
              </a:p>
            </c:rich>
          </c:tx>
          <c:overlay val="0"/>
        </c:title>
        <c:numFmt formatCode="General"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minorGridlines/>
        <c:title>
          <c:tx>
            <c:rich>
              <a:bodyPr/>
              <a:lstStyle/>
              <a:p>
                <a:pPr>
                  <a:defRPr sz="1800" b="1" i="0" u="none" strike="noStrike" baseline="0">
                    <a:solidFill>
                      <a:srgbClr val="000000"/>
                    </a:solidFill>
                    <a:latin typeface="Arial"/>
                    <a:ea typeface="Arial"/>
                    <a:cs typeface="Arial"/>
                  </a:defRPr>
                </a:pPr>
                <a:r>
                  <a:rPr lang="en-US"/>
                  <a:t>Current Principal Balance</a:t>
                </a:r>
              </a:p>
            </c:rich>
          </c:tx>
          <c:overlay val="0"/>
        </c:title>
        <c:numFmt formatCode="#,##0.00"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155788384"/>
        <c:crosses val="autoZero"/>
        <c:crossBetween val="between"/>
      </c:valAx>
      <c:spPr>
        <a:solidFill>
          <a:srgbClr val="C0C0C0"/>
        </a:solidFill>
        <a:ln w="12700">
          <a:solidFill>
            <a:srgbClr val="808080"/>
          </a:solidFill>
          <a:prstDash val="solid"/>
        </a:ln>
      </c:spPr>
    </c:plotArea>
    <c:plotVisOnly val="1"/>
    <c:dispBlanksAs val="gap"/>
    <c:showDLblsOverMax val="0"/>
  </c:chart>
  <c:spPr>
    <a:noFill/>
    <a:ln w="9525">
      <a:noFill/>
    </a:ln>
  </c:spPr>
  <c:txPr>
    <a:bodyPr/>
    <a:lstStyle/>
    <a:p>
      <a:pPr>
        <a:defRPr sz="1575" b="0" i="0" u="none" strike="noStrike" baseline="0">
          <a:solidFill>
            <a:srgbClr val="000000"/>
          </a:solidFill>
          <a:latin typeface="Arial"/>
          <a:ea typeface="Arial"/>
          <a:cs typeface="Arial"/>
        </a:defRPr>
      </a:pPr>
      <a:endParaRPr lang="en-US"/>
    </a:p>
  </c:txPr>
  <c:printSettings>
    <c:headerFooter alignWithMargins="0"/>
    <c:pageMargins b="0.984251969" l="0.78740157499999996" r="0.78740157499999996" t="0.984251969" header="0.5" footer="0.5"/>
    <c:pageSetup paperSize="9"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FF0000"/>
            </a:solidFill>
            <a:ln w="12700">
              <a:solidFill>
                <a:srgbClr val="000000"/>
              </a:solidFill>
              <a:prstDash val="solid"/>
            </a:ln>
          </c:spPr>
          <c:invertIfNegative val="0"/>
          <c:cat>
            <c:strRef>
              <c:f>'17. Original Term'!$D$14:$D$19</c:f>
              <c:strCache>
                <c:ptCount val="6"/>
                <c:pt idx="0">
                  <c:v>13:25</c:v>
                </c:pt>
                <c:pt idx="1">
                  <c:v>26:38</c:v>
                </c:pt>
                <c:pt idx="2">
                  <c:v>39:51</c:v>
                </c:pt>
                <c:pt idx="3">
                  <c:v>52:64</c:v>
                </c:pt>
                <c:pt idx="4">
                  <c:v>65:77</c:v>
                </c:pt>
                <c:pt idx="5">
                  <c:v>78:  </c:v>
                </c:pt>
              </c:strCache>
            </c:strRef>
          </c:cat>
          <c:val>
            <c:numRef>
              <c:f>'17. Original Term'!$E$14:$E$19</c:f>
              <c:numCache>
                <c:formatCode>#,##0.00</c:formatCode>
                <c:ptCount val="6"/>
                <c:pt idx="0">
                  <c:v>0</c:v>
                </c:pt>
                <c:pt idx="1">
                  <c:v>9979328.9700000361</c:v>
                </c:pt>
                <c:pt idx="2">
                  <c:v>45989955.240000285</c:v>
                </c:pt>
                <c:pt idx="3">
                  <c:v>73845174.23999992</c:v>
                </c:pt>
                <c:pt idx="4">
                  <c:v>49276589.989999868</c:v>
                </c:pt>
                <c:pt idx="5">
                  <c:v>38462485.629999995</c:v>
                </c:pt>
              </c:numCache>
            </c:numRef>
          </c:val>
          <c:extLst>
            <c:ext xmlns:c16="http://schemas.microsoft.com/office/drawing/2014/chart" uri="{C3380CC4-5D6E-409C-BE32-E72D297353CC}">
              <c16:uniqueId val="{00000000-BAF4-45E7-8B7B-F91EBF7BB763}"/>
            </c:ext>
          </c:extLst>
        </c:ser>
        <c:dLbls>
          <c:showLegendKey val="0"/>
          <c:showVal val="0"/>
          <c:showCatName val="0"/>
          <c:showSerName val="0"/>
          <c:showPercent val="0"/>
          <c:showBubbleSize val="0"/>
        </c:dLbls>
        <c:gapWidth val="150"/>
        <c:axId val="152726224"/>
        <c:axId val="1"/>
      </c:barChart>
      <c:catAx>
        <c:axId val="152726224"/>
        <c:scaling>
          <c:orientation val="minMax"/>
        </c:scaling>
        <c:delete val="0"/>
        <c:axPos val="b"/>
        <c:title>
          <c:tx>
            <c:rich>
              <a:bodyPr/>
              <a:lstStyle/>
              <a:p>
                <a:pPr>
                  <a:defRPr sz="1800" b="1" i="0" u="none" strike="noStrike" baseline="0">
                    <a:solidFill>
                      <a:srgbClr val="000000"/>
                    </a:solidFill>
                    <a:latin typeface="Arial"/>
                    <a:ea typeface="Arial"/>
                    <a:cs typeface="Arial"/>
                  </a:defRPr>
                </a:pPr>
                <a:r>
                  <a:rPr lang="en-US"/>
                  <a:t>Original Term in Months</a:t>
                </a:r>
              </a:p>
            </c:rich>
          </c:tx>
          <c:overlay val="0"/>
        </c:title>
        <c:numFmt formatCode="General"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minorGridlines/>
        <c:title>
          <c:tx>
            <c:rich>
              <a:bodyPr/>
              <a:lstStyle/>
              <a:p>
                <a:pPr>
                  <a:defRPr sz="1800" b="1" i="0" u="none" strike="noStrike" baseline="0">
                    <a:solidFill>
                      <a:srgbClr val="000000"/>
                    </a:solidFill>
                    <a:latin typeface="Arial"/>
                    <a:ea typeface="Arial"/>
                    <a:cs typeface="Arial"/>
                  </a:defRPr>
                </a:pPr>
                <a:r>
                  <a:rPr lang="en-US"/>
                  <a:t>Current Principal Balance</a:t>
                </a:r>
              </a:p>
            </c:rich>
          </c:tx>
          <c:overlay val="0"/>
        </c:title>
        <c:numFmt formatCode="#,##0.00"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152726224"/>
        <c:crosses val="autoZero"/>
        <c:crossBetween val="between"/>
      </c:valAx>
      <c:spPr>
        <a:solidFill>
          <a:srgbClr val="C0C0C0"/>
        </a:solidFill>
        <a:ln w="12700">
          <a:solidFill>
            <a:srgbClr val="808080"/>
          </a:solidFill>
          <a:prstDash val="solid"/>
        </a:ln>
      </c:spPr>
    </c:plotArea>
    <c:plotVisOnly val="1"/>
    <c:dispBlanksAs val="gap"/>
    <c:showDLblsOverMax val="0"/>
  </c:chart>
  <c:spPr>
    <a:noFill/>
    <a:ln w="9525">
      <a:noFill/>
    </a:ln>
  </c:spPr>
  <c:txPr>
    <a:bodyPr/>
    <a:lstStyle/>
    <a:p>
      <a:pPr>
        <a:defRPr sz="1575" b="0" i="0" u="none" strike="noStrike" baseline="0">
          <a:solidFill>
            <a:srgbClr val="000000"/>
          </a:solidFill>
          <a:latin typeface="Arial"/>
          <a:ea typeface="Arial"/>
          <a:cs typeface="Arial"/>
        </a:defRPr>
      </a:pPr>
      <a:endParaRPr lang="en-US"/>
    </a:p>
  </c:txPr>
  <c:printSettings>
    <c:headerFooter alignWithMargins="0"/>
    <c:pageMargins b="0.984251969" l="0.78740157499999996" r="0.78740157499999996" t="0.984251969" header="0.5" footer="0.5"/>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chart" Target="../charts/chart2.xml"/></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chart" Target="../charts/chart3.xml"/></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chart" Target="../charts/chart4.xml"/></Relationships>
</file>

<file path=xl/drawings/_rels/drawing2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chart" Target="../charts/chart5.xml"/></Relationships>
</file>

<file path=xl/drawings/_rels/drawing2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chart" Target="../charts/chart6.xml"/></Relationships>
</file>

<file path=xl/drawings/_rels/drawing2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chart" Target="../charts/chart7.xml"/></Relationships>
</file>

<file path=xl/drawings/_rels/drawing2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1</xdr:col>
      <xdr:colOff>9525</xdr:colOff>
      <xdr:row>6</xdr:row>
      <xdr:rowOff>9525</xdr:rowOff>
    </xdr:from>
    <xdr:to>
      <xdr:col>1</xdr:col>
      <xdr:colOff>2152650</xdr:colOff>
      <xdr:row>10</xdr:row>
      <xdr:rowOff>180975</xdr:rowOff>
    </xdr:to>
    <xdr:pic>
      <xdr:nvPicPr>
        <xdr:cNvPr id="54367" name="Picture 4">
          <a:extLst>
            <a:ext uri="{FF2B5EF4-FFF2-40B4-BE49-F238E27FC236}">
              <a16:creationId xmlns:a16="http://schemas.microsoft.com/office/drawing/2014/main" id="{F5DB9D9F-A671-48E7-B769-8B1A9BFC15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123950"/>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6</xdr:row>
      <xdr:rowOff>9525</xdr:rowOff>
    </xdr:from>
    <xdr:to>
      <xdr:col>1</xdr:col>
      <xdr:colOff>2143125</xdr:colOff>
      <xdr:row>10</xdr:row>
      <xdr:rowOff>180975</xdr:rowOff>
    </xdr:to>
    <xdr:pic>
      <xdr:nvPicPr>
        <xdr:cNvPr id="68699" name="Picture 1">
          <a:extLst>
            <a:ext uri="{FF2B5EF4-FFF2-40B4-BE49-F238E27FC236}">
              <a16:creationId xmlns:a16="http://schemas.microsoft.com/office/drawing/2014/main" id="{77D4C88F-F463-44E4-82BA-AA2EBD3CB5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1123950"/>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6</xdr:row>
      <xdr:rowOff>9525</xdr:rowOff>
    </xdr:from>
    <xdr:to>
      <xdr:col>1</xdr:col>
      <xdr:colOff>2143125</xdr:colOff>
      <xdr:row>10</xdr:row>
      <xdr:rowOff>180975</xdr:rowOff>
    </xdr:to>
    <xdr:pic>
      <xdr:nvPicPr>
        <xdr:cNvPr id="55388" name="Picture 2">
          <a:extLst>
            <a:ext uri="{FF2B5EF4-FFF2-40B4-BE49-F238E27FC236}">
              <a16:creationId xmlns:a16="http://schemas.microsoft.com/office/drawing/2014/main" id="{2FA33056-140C-46D6-9B07-79A4997A34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1123950"/>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6</xdr:row>
      <xdr:rowOff>9525</xdr:rowOff>
    </xdr:from>
    <xdr:to>
      <xdr:col>1</xdr:col>
      <xdr:colOff>2152650</xdr:colOff>
      <xdr:row>10</xdr:row>
      <xdr:rowOff>180975</xdr:rowOff>
    </xdr:to>
    <xdr:pic>
      <xdr:nvPicPr>
        <xdr:cNvPr id="109655" name="Picture 2">
          <a:extLst>
            <a:ext uri="{FF2B5EF4-FFF2-40B4-BE49-F238E27FC236}">
              <a16:creationId xmlns:a16="http://schemas.microsoft.com/office/drawing/2014/main" id="{24508C4E-8900-4265-A87B-98F84AE0A7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123950"/>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6</xdr:row>
      <xdr:rowOff>9525</xdr:rowOff>
    </xdr:from>
    <xdr:to>
      <xdr:col>1</xdr:col>
      <xdr:colOff>2152650</xdr:colOff>
      <xdr:row>10</xdr:row>
      <xdr:rowOff>180975</xdr:rowOff>
    </xdr:to>
    <xdr:pic>
      <xdr:nvPicPr>
        <xdr:cNvPr id="117846" name="Picture 2">
          <a:extLst>
            <a:ext uri="{FF2B5EF4-FFF2-40B4-BE49-F238E27FC236}">
              <a16:creationId xmlns:a16="http://schemas.microsoft.com/office/drawing/2014/main" id="{E2E1B8F5-8B66-452C-AAA7-2F9CA6D566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123950"/>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6</xdr:row>
      <xdr:rowOff>9525</xdr:rowOff>
    </xdr:from>
    <xdr:to>
      <xdr:col>1</xdr:col>
      <xdr:colOff>2152650</xdr:colOff>
      <xdr:row>10</xdr:row>
      <xdr:rowOff>180975</xdr:rowOff>
    </xdr:to>
    <xdr:pic>
      <xdr:nvPicPr>
        <xdr:cNvPr id="531487" name="Picture 2">
          <a:extLst>
            <a:ext uri="{FF2B5EF4-FFF2-40B4-BE49-F238E27FC236}">
              <a16:creationId xmlns:a16="http://schemas.microsoft.com/office/drawing/2014/main" id="{A3431C30-BE11-4A8A-862B-FEE17D195A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123950"/>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9525</xdr:colOff>
      <xdr:row>6</xdr:row>
      <xdr:rowOff>9525</xdr:rowOff>
    </xdr:from>
    <xdr:to>
      <xdr:col>1</xdr:col>
      <xdr:colOff>2152650</xdr:colOff>
      <xdr:row>10</xdr:row>
      <xdr:rowOff>180975</xdr:rowOff>
    </xdr:to>
    <xdr:pic>
      <xdr:nvPicPr>
        <xdr:cNvPr id="58460" name="Picture 2">
          <a:extLst>
            <a:ext uri="{FF2B5EF4-FFF2-40B4-BE49-F238E27FC236}">
              <a16:creationId xmlns:a16="http://schemas.microsoft.com/office/drawing/2014/main" id="{2DD24708-EF64-439E-AD13-88A549CA4C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123950"/>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9525</xdr:colOff>
      <xdr:row>6</xdr:row>
      <xdr:rowOff>9525</xdr:rowOff>
    </xdr:from>
    <xdr:to>
      <xdr:col>2</xdr:col>
      <xdr:colOff>419100</xdr:colOff>
      <xdr:row>10</xdr:row>
      <xdr:rowOff>180975</xdr:rowOff>
    </xdr:to>
    <xdr:pic>
      <xdr:nvPicPr>
        <xdr:cNvPr id="35933" name="Picture 3">
          <a:extLst>
            <a:ext uri="{FF2B5EF4-FFF2-40B4-BE49-F238E27FC236}">
              <a16:creationId xmlns:a16="http://schemas.microsoft.com/office/drawing/2014/main" id="{7013C72B-041F-4615-B3AC-88B007753D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123950"/>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12</xdr:row>
      <xdr:rowOff>28575</xdr:rowOff>
    </xdr:from>
    <xdr:to>
      <xdr:col>10</xdr:col>
      <xdr:colOff>9525</xdr:colOff>
      <xdr:row>46</xdr:row>
      <xdr:rowOff>28575</xdr:rowOff>
    </xdr:to>
    <xdr:graphicFrame macro="">
      <xdr:nvGraphicFramePr>
        <xdr:cNvPr id="59574" name="Diagramm 2">
          <a:extLst>
            <a:ext uri="{FF2B5EF4-FFF2-40B4-BE49-F238E27FC236}">
              <a16:creationId xmlns:a16="http://schemas.microsoft.com/office/drawing/2014/main" id="{E8A92EE3-275D-4881-8C10-37723A9AF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6</xdr:row>
      <xdr:rowOff>9525</xdr:rowOff>
    </xdr:from>
    <xdr:to>
      <xdr:col>2</xdr:col>
      <xdr:colOff>419100</xdr:colOff>
      <xdr:row>10</xdr:row>
      <xdr:rowOff>180975</xdr:rowOff>
    </xdr:to>
    <xdr:pic>
      <xdr:nvPicPr>
        <xdr:cNvPr id="59575" name="Picture 3">
          <a:extLst>
            <a:ext uri="{FF2B5EF4-FFF2-40B4-BE49-F238E27FC236}">
              <a16:creationId xmlns:a16="http://schemas.microsoft.com/office/drawing/2014/main" id="{BCC95D56-1A5A-44CC-93F9-2D16B2511B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0" y="1123950"/>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9525</xdr:colOff>
      <xdr:row>6</xdr:row>
      <xdr:rowOff>9525</xdr:rowOff>
    </xdr:from>
    <xdr:to>
      <xdr:col>2</xdr:col>
      <xdr:colOff>419100</xdr:colOff>
      <xdr:row>10</xdr:row>
      <xdr:rowOff>180975</xdr:rowOff>
    </xdr:to>
    <xdr:pic>
      <xdr:nvPicPr>
        <xdr:cNvPr id="39004" name="Picture 2">
          <a:extLst>
            <a:ext uri="{FF2B5EF4-FFF2-40B4-BE49-F238E27FC236}">
              <a16:creationId xmlns:a16="http://schemas.microsoft.com/office/drawing/2014/main" id="{4D078529-184E-4C13-8BE5-72CE2EAF33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123950"/>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12</xdr:row>
      <xdr:rowOff>28575</xdr:rowOff>
    </xdr:from>
    <xdr:to>
      <xdr:col>10</xdr:col>
      <xdr:colOff>9525</xdr:colOff>
      <xdr:row>46</xdr:row>
      <xdr:rowOff>28575</xdr:rowOff>
    </xdr:to>
    <xdr:graphicFrame macro="">
      <xdr:nvGraphicFramePr>
        <xdr:cNvPr id="60598" name="Diagramm 2">
          <a:extLst>
            <a:ext uri="{FF2B5EF4-FFF2-40B4-BE49-F238E27FC236}">
              <a16:creationId xmlns:a16="http://schemas.microsoft.com/office/drawing/2014/main" id="{1E5D65EE-102C-4389-8270-09F4F3F75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6</xdr:row>
      <xdr:rowOff>9525</xdr:rowOff>
    </xdr:from>
    <xdr:to>
      <xdr:col>2</xdr:col>
      <xdr:colOff>419100</xdr:colOff>
      <xdr:row>10</xdr:row>
      <xdr:rowOff>180975</xdr:rowOff>
    </xdr:to>
    <xdr:pic>
      <xdr:nvPicPr>
        <xdr:cNvPr id="60599" name="Picture 3">
          <a:extLst>
            <a:ext uri="{FF2B5EF4-FFF2-40B4-BE49-F238E27FC236}">
              <a16:creationId xmlns:a16="http://schemas.microsoft.com/office/drawing/2014/main" id="{8D406A7B-89DC-4F87-89FA-D090711187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0" y="1123950"/>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9525</xdr:colOff>
      <xdr:row>6</xdr:row>
      <xdr:rowOff>9525</xdr:rowOff>
    </xdr:from>
    <xdr:to>
      <xdr:col>2</xdr:col>
      <xdr:colOff>419100</xdr:colOff>
      <xdr:row>10</xdr:row>
      <xdr:rowOff>180975</xdr:rowOff>
    </xdr:to>
    <xdr:pic>
      <xdr:nvPicPr>
        <xdr:cNvPr id="40028" name="Picture 2">
          <a:extLst>
            <a:ext uri="{FF2B5EF4-FFF2-40B4-BE49-F238E27FC236}">
              <a16:creationId xmlns:a16="http://schemas.microsoft.com/office/drawing/2014/main" id="{9DA37E9A-97B4-48DB-B9DE-3BB6A54946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123950"/>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9525</xdr:colOff>
      <xdr:row>6</xdr:row>
      <xdr:rowOff>9525</xdr:rowOff>
    </xdr:from>
    <xdr:to>
      <xdr:col>2</xdr:col>
      <xdr:colOff>419100</xdr:colOff>
      <xdr:row>10</xdr:row>
      <xdr:rowOff>180975</xdr:rowOff>
    </xdr:to>
    <xdr:pic>
      <xdr:nvPicPr>
        <xdr:cNvPr id="41052" name="Picture 2">
          <a:extLst>
            <a:ext uri="{FF2B5EF4-FFF2-40B4-BE49-F238E27FC236}">
              <a16:creationId xmlns:a16="http://schemas.microsoft.com/office/drawing/2014/main" id="{B52651DA-4A63-4EC3-BA7B-9954529CBF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123950"/>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12</xdr:row>
      <xdr:rowOff>28575</xdr:rowOff>
    </xdr:from>
    <xdr:to>
      <xdr:col>10</xdr:col>
      <xdr:colOff>9525</xdr:colOff>
      <xdr:row>46</xdr:row>
      <xdr:rowOff>28575</xdr:rowOff>
    </xdr:to>
    <xdr:graphicFrame macro="">
      <xdr:nvGraphicFramePr>
        <xdr:cNvPr id="61622" name="Diagramm 2">
          <a:extLst>
            <a:ext uri="{FF2B5EF4-FFF2-40B4-BE49-F238E27FC236}">
              <a16:creationId xmlns:a16="http://schemas.microsoft.com/office/drawing/2014/main" id="{52A1EAE3-7DA3-4C26-9D0F-D788F6DEE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6</xdr:row>
      <xdr:rowOff>9525</xdr:rowOff>
    </xdr:from>
    <xdr:to>
      <xdr:col>2</xdr:col>
      <xdr:colOff>419100</xdr:colOff>
      <xdr:row>10</xdr:row>
      <xdr:rowOff>180975</xdr:rowOff>
    </xdr:to>
    <xdr:pic>
      <xdr:nvPicPr>
        <xdr:cNvPr id="61623" name="Picture 3">
          <a:extLst>
            <a:ext uri="{FF2B5EF4-FFF2-40B4-BE49-F238E27FC236}">
              <a16:creationId xmlns:a16="http://schemas.microsoft.com/office/drawing/2014/main" id="{11D9E551-2AD9-49BF-9EA8-83D6C17970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0" y="1123950"/>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6</xdr:row>
      <xdr:rowOff>9525</xdr:rowOff>
    </xdr:from>
    <xdr:to>
      <xdr:col>2</xdr:col>
      <xdr:colOff>419100</xdr:colOff>
      <xdr:row>10</xdr:row>
      <xdr:rowOff>180975</xdr:rowOff>
    </xdr:to>
    <xdr:pic>
      <xdr:nvPicPr>
        <xdr:cNvPr id="42076" name="Picture 2">
          <a:extLst>
            <a:ext uri="{FF2B5EF4-FFF2-40B4-BE49-F238E27FC236}">
              <a16:creationId xmlns:a16="http://schemas.microsoft.com/office/drawing/2014/main" id="{4B022A82-F3A9-4C29-A021-8F4C3475B5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123950"/>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6</xdr:row>
      <xdr:rowOff>9525</xdr:rowOff>
    </xdr:from>
    <xdr:to>
      <xdr:col>2</xdr:col>
      <xdr:colOff>419100</xdr:colOff>
      <xdr:row>10</xdr:row>
      <xdr:rowOff>180975</xdr:rowOff>
    </xdr:to>
    <xdr:pic>
      <xdr:nvPicPr>
        <xdr:cNvPr id="43100" name="Picture 2">
          <a:extLst>
            <a:ext uri="{FF2B5EF4-FFF2-40B4-BE49-F238E27FC236}">
              <a16:creationId xmlns:a16="http://schemas.microsoft.com/office/drawing/2014/main" id="{EF9E5182-619D-46A1-B171-81A0EFE823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123950"/>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6</xdr:row>
      <xdr:rowOff>9525</xdr:rowOff>
    </xdr:from>
    <xdr:to>
      <xdr:col>2</xdr:col>
      <xdr:colOff>419100</xdr:colOff>
      <xdr:row>10</xdr:row>
      <xdr:rowOff>180975</xdr:rowOff>
    </xdr:to>
    <xdr:pic>
      <xdr:nvPicPr>
        <xdr:cNvPr id="44124" name="Picture 2">
          <a:extLst>
            <a:ext uri="{FF2B5EF4-FFF2-40B4-BE49-F238E27FC236}">
              <a16:creationId xmlns:a16="http://schemas.microsoft.com/office/drawing/2014/main" id="{09B71C1C-FB3E-4B84-A0F8-F39F4CFAAA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123950"/>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6</xdr:row>
      <xdr:rowOff>9525</xdr:rowOff>
    </xdr:from>
    <xdr:to>
      <xdr:col>2</xdr:col>
      <xdr:colOff>419100</xdr:colOff>
      <xdr:row>10</xdr:row>
      <xdr:rowOff>180975</xdr:rowOff>
    </xdr:to>
    <xdr:pic>
      <xdr:nvPicPr>
        <xdr:cNvPr id="45148" name="Picture 2">
          <a:extLst>
            <a:ext uri="{FF2B5EF4-FFF2-40B4-BE49-F238E27FC236}">
              <a16:creationId xmlns:a16="http://schemas.microsoft.com/office/drawing/2014/main" id="{891E654D-0C19-4FC3-9323-A6DFC45EA4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123950"/>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6</xdr:row>
      <xdr:rowOff>9525</xdr:rowOff>
    </xdr:from>
    <xdr:to>
      <xdr:col>2</xdr:col>
      <xdr:colOff>419100</xdr:colOff>
      <xdr:row>10</xdr:row>
      <xdr:rowOff>180975</xdr:rowOff>
    </xdr:to>
    <xdr:pic>
      <xdr:nvPicPr>
        <xdr:cNvPr id="46172" name="Picture 2">
          <a:extLst>
            <a:ext uri="{FF2B5EF4-FFF2-40B4-BE49-F238E27FC236}">
              <a16:creationId xmlns:a16="http://schemas.microsoft.com/office/drawing/2014/main" id="{CF54F737-CB9B-4074-BB74-A008414F6D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123950"/>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1</xdr:col>
      <xdr:colOff>0</xdr:colOff>
      <xdr:row>12</xdr:row>
      <xdr:rowOff>28575</xdr:rowOff>
    </xdr:from>
    <xdr:to>
      <xdr:col>10</xdr:col>
      <xdr:colOff>9525</xdr:colOff>
      <xdr:row>46</xdr:row>
      <xdr:rowOff>28575</xdr:rowOff>
    </xdr:to>
    <xdr:graphicFrame macro="">
      <xdr:nvGraphicFramePr>
        <xdr:cNvPr id="62646" name="Diagramm 2">
          <a:extLst>
            <a:ext uri="{FF2B5EF4-FFF2-40B4-BE49-F238E27FC236}">
              <a16:creationId xmlns:a16="http://schemas.microsoft.com/office/drawing/2014/main" id="{33DFCF08-1192-429F-90B0-F02F5925E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6</xdr:row>
      <xdr:rowOff>9525</xdr:rowOff>
    </xdr:from>
    <xdr:to>
      <xdr:col>2</xdr:col>
      <xdr:colOff>419100</xdr:colOff>
      <xdr:row>10</xdr:row>
      <xdr:rowOff>180975</xdr:rowOff>
    </xdr:to>
    <xdr:pic>
      <xdr:nvPicPr>
        <xdr:cNvPr id="62647" name="Picture 3">
          <a:extLst>
            <a:ext uri="{FF2B5EF4-FFF2-40B4-BE49-F238E27FC236}">
              <a16:creationId xmlns:a16="http://schemas.microsoft.com/office/drawing/2014/main" id="{58BD6F06-A87F-4AB3-8272-3B0DD7C5C1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0" y="1123950"/>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6</xdr:row>
      <xdr:rowOff>9525</xdr:rowOff>
    </xdr:from>
    <xdr:to>
      <xdr:col>2</xdr:col>
      <xdr:colOff>419100</xdr:colOff>
      <xdr:row>10</xdr:row>
      <xdr:rowOff>180975</xdr:rowOff>
    </xdr:to>
    <xdr:pic>
      <xdr:nvPicPr>
        <xdr:cNvPr id="47196" name="Picture 2">
          <a:extLst>
            <a:ext uri="{FF2B5EF4-FFF2-40B4-BE49-F238E27FC236}">
              <a16:creationId xmlns:a16="http://schemas.microsoft.com/office/drawing/2014/main" id="{9D1A69A2-EAD6-48FA-ABF4-430C90C729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123950"/>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1</xdr:col>
      <xdr:colOff>0</xdr:colOff>
      <xdr:row>12</xdr:row>
      <xdr:rowOff>28575</xdr:rowOff>
    </xdr:from>
    <xdr:to>
      <xdr:col>10</xdr:col>
      <xdr:colOff>9525</xdr:colOff>
      <xdr:row>46</xdr:row>
      <xdr:rowOff>28575</xdr:rowOff>
    </xdr:to>
    <xdr:graphicFrame macro="">
      <xdr:nvGraphicFramePr>
        <xdr:cNvPr id="63670" name="Diagramm 2">
          <a:extLst>
            <a:ext uri="{FF2B5EF4-FFF2-40B4-BE49-F238E27FC236}">
              <a16:creationId xmlns:a16="http://schemas.microsoft.com/office/drawing/2014/main" id="{0951D946-878A-49EC-9846-007CB7F76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6</xdr:row>
      <xdr:rowOff>9525</xdr:rowOff>
    </xdr:from>
    <xdr:to>
      <xdr:col>2</xdr:col>
      <xdr:colOff>419100</xdr:colOff>
      <xdr:row>10</xdr:row>
      <xdr:rowOff>180975</xdr:rowOff>
    </xdr:to>
    <xdr:pic>
      <xdr:nvPicPr>
        <xdr:cNvPr id="63671" name="Picture 3">
          <a:extLst>
            <a:ext uri="{FF2B5EF4-FFF2-40B4-BE49-F238E27FC236}">
              <a16:creationId xmlns:a16="http://schemas.microsoft.com/office/drawing/2014/main" id="{3C133530-427E-41DA-AEB9-E2F4157472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0" y="1123950"/>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6</xdr:row>
      <xdr:rowOff>9525</xdr:rowOff>
    </xdr:from>
    <xdr:to>
      <xdr:col>2</xdr:col>
      <xdr:colOff>419100</xdr:colOff>
      <xdr:row>10</xdr:row>
      <xdr:rowOff>180975</xdr:rowOff>
    </xdr:to>
    <xdr:pic>
      <xdr:nvPicPr>
        <xdr:cNvPr id="48220" name="Picture 2">
          <a:extLst>
            <a:ext uri="{FF2B5EF4-FFF2-40B4-BE49-F238E27FC236}">
              <a16:creationId xmlns:a16="http://schemas.microsoft.com/office/drawing/2014/main" id="{19A4217D-8455-404A-BBD4-0CAECD3B2B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123950"/>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1</xdr:col>
      <xdr:colOff>0</xdr:colOff>
      <xdr:row>12</xdr:row>
      <xdr:rowOff>28575</xdr:rowOff>
    </xdr:from>
    <xdr:to>
      <xdr:col>10</xdr:col>
      <xdr:colOff>9525</xdr:colOff>
      <xdr:row>46</xdr:row>
      <xdr:rowOff>28575</xdr:rowOff>
    </xdr:to>
    <xdr:graphicFrame macro="">
      <xdr:nvGraphicFramePr>
        <xdr:cNvPr id="64694" name="Diagramm 2">
          <a:extLst>
            <a:ext uri="{FF2B5EF4-FFF2-40B4-BE49-F238E27FC236}">
              <a16:creationId xmlns:a16="http://schemas.microsoft.com/office/drawing/2014/main" id="{4145DC09-1DEE-4148-9F9E-7E645A462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6</xdr:row>
      <xdr:rowOff>9525</xdr:rowOff>
    </xdr:from>
    <xdr:to>
      <xdr:col>2</xdr:col>
      <xdr:colOff>419100</xdr:colOff>
      <xdr:row>10</xdr:row>
      <xdr:rowOff>180975</xdr:rowOff>
    </xdr:to>
    <xdr:pic>
      <xdr:nvPicPr>
        <xdr:cNvPr id="64695" name="Picture 3">
          <a:extLst>
            <a:ext uri="{FF2B5EF4-FFF2-40B4-BE49-F238E27FC236}">
              <a16:creationId xmlns:a16="http://schemas.microsoft.com/office/drawing/2014/main" id="{97E790B0-E431-4680-90BC-C011A673BB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0" y="1123950"/>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6</xdr:row>
      <xdr:rowOff>9525</xdr:rowOff>
    </xdr:from>
    <xdr:to>
      <xdr:col>2</xdr:col>
      <xdr:colOff>419100</xdr:colOff>
      <xdr:row>10</xdr:row>
      <xdr:rowOff>180975</xdr:rowOff>
    </xdr:to>
    <xdr:pic>
      <xdr:nvPicPr>
        <xdr:cNvPr id="49244" name="Picture 2">
          <a:extLst>
            <a:ext uri="{FF2B5EF4-FFF2-40B4-BE49-F238E27FC236}">
              <a16:creationId xmlns:a16="http://schemas.microsoft.com/office/drawing/2014/main" id="{DBC5B1D4-A7F6-41AB-BD1A-7E23B8A1E3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123950"/>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0</xdr:colOff>
      <xdr:row>12</xdr:row>
      <xdr:rowOff>28575</xdr:rowOff>
    </xdr:from>
    <xdr:to>
      <xdr:col>10</xdr:col>
      <xdr:colOff>9525</xdr:colOff>
      <xdr:row>46</xdr:row>
      <xdr:rowOff>28575</xdr:rowOff>
    </xdr:to>
    <xdr:graphicFrame macro="">
      <xdr:nvGraphicFramePr>
        <xdr:cNvPr id="65718" name="Diagramm 2">
          <a:extLst>
            <a:ext uri="{FF2B5EF4-FFF2-40B4-BE49-F238E27FC236}">
              <a16:creationId xmlns:a16="http://schemas.microsoft.com/office/drawing/2014/main" id="{9DC73A7F-7F3A-4B7C-994B-426C2B171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6</xdr:row>
      <xdr:rowOff>9525</xdr:rowOff>
    </xdr:from>
    <xdr:to>
      <xdr:col>2</xdr:col>
      <xdr:colOff>419100</xdr:colOff>
      <xdr:row>10</xdr:row>
      <xdr:rowOff>180975</xdr:rowOff>
    </xdr:to>
    <xdr:pic>
      <xdr:nvPicPr>
        <xdr:cNvPr id="65719" name="Picture 3">
          <a:extLst>
            <a:ext uri="{FF2B5EF4-FFF2-40B4-BE49-F238E27FC236}">
              <a16:creationId xmlns:a16="http://schemas.microsoft.com/office/drawing/2014/main" id="{4F83D5C6-6A40-467D-95A4-EF24622813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0" y="1123950"/>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6</xdr:row>
      <xdr:rowOff>9525</xdr:rowOff>
    </xdr:from>
    <xdr:to>
      <xdr:col>2</xdr:col>
      <xdr:colOff>419100</xdr:colOff>
      <xdr:row>10</xdr:row>
      <xdr:rowOff>180975</xdr:rowOff>
    </xdr:to>
    <xdr:pic>
      <xdr:nvPicPr>
        <xdr:cNvPr id="67676" name="Picture 2">
          <a:extLst>
            <a:ext uri="{FF2B5EF4-FFF2-40B4-BE49-F238E27FC236}">
              <a16:creationId xmlns:a16="http://schemas.microsoft.com/office/drawing/2014/main" id="{7B227DAD-F4B6-4DF0-8DCC-9CA491E2ED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123950"/>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19050</xdr:colOff>
      <xdr:row>6</xdr:row>
      <xdr:rowOff>19050</xdr:rowOff>
    </xdr:from>
    <xdr:to>
      <xdr:col>1</xdr:col>
      <xdr:colOff>2162175</xdr:colOff>
      <xdr:row>10</xdr:row>
      <xdr:rowOff>190500</xdr:rowOff>
    </xdr:to>
    <xdr:pic>
      <xdr:nvPicPr>
        <xdr:cNvPr id="527391" name="Picture 3">
          <a:extLst>
            <a:ext uri="{FF2B5EF4-FFF2-40B4-BE49-F238E27FC236}">
              <a16:creationId xmlns:a16="http://schemas.microsoft.com/office/drawing/2014/main" id="{C322BA5B-A511-4FA3-94CA-60B494D49D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1133475"/>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19050</xdr:colOff>
      <xdr:row>6</xdr:row>
      <xdr:rowOff>19050</xdr:rowOff>
    </xdr:from>
    <xdr:to>
      <xdr:col>1</xdr:col>
      <xdr:colOff>2162175</xdr:colOff>
      <xdr:row>10</xdr:row>
      <xdr:rowOff>190500</xdr:rowOff>
    </xdr:to>
    <xdr:pic>
      <xdr:nvPicPr>
        <xdr:cNvPr id="528415" name="Picture 3">
          <a:extLst>
            <a:ext uri="{FF2B5EF4-FFF2-40B4-BE49-F238E27FC236}">
              <a16:creationId xmlns:a16="http://schemas.microsoft.com/office/drawing/2014/main" id="{223B4D54-42C8-40CC-8DFF-7D7B716FB4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1133475"/>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19050</xdr:colOff>
      <xdr:row>6</xdr:row>
      <xdr:rowOff>19050</xdr:rowOff>
    </xdr:from>
    <xdr:to>
      <xdr:col>1</xdr:col>
      <xdr:colOff>2162175</xdr:colOff>
      <xdr:row>11</xdr:row>
      <xdr:rowOff>28575</xdr:rowOff>
    </xdr:to>
    <xdr:pic>
      <xdr:nvPicPr>
        <xdr:cNvPr id="529439" name="Picture 1">
          <a:extLst>
            <a:ext uri="{FF2B5EF4-FFF2-40B4-BE49-F238E27FC236}">
              <a16:creationId xmlns:a16="http://schemas.microsoft.com/office/drawing/2014/main" id="{439AAB04-0CA4-467E-8305-2171BF3A94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1133475"/>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19050</xdr:colOff>
      <xdr:row>6</xdr:row>
      <xdr:rowOff>19050</xdr:rowOff>
    </xdr:from>
    <xdr:to>
      <xdr:col>2</xdr:col>
      <xdr:colOff>171450</xdr:colOff>
      <xdr:row>10</xdr:row>
      <xdr:rowOff>190500</xdr:rowOff>
    </xdr:to>
    <xdr:pic>
      <xdr:nvPicPr>
        <xdr:cNvPr id="530463" name="Picture 1">
          <a:extLst>
            <a:ext uri="{FF2B5EF4-FFF2-40B4-BE49-F238E27FC236}">
              <a16:creationId xmlns:a16="http://schemas.microsoft.com/office/drawing/2014/main" id="{A4E52033-1611-4345-9F01-B1CB0CBD65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1133475"/>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19050</xdr:colOff>
      <xdr:row>6</xdr:row>
      <xdr:rowOff>19050</xdr:rowOff>
    </xdr:from>
    <xdr:to>
      <xdr:col>2</xdr:col>
      <xdr:colOff>304800</xdr:colOff>
      <xdr:row>11</xdr:row>
      <xdr:rowOff>28575</xdr:rowOff>
    </xdr:to>
    <xdr:pic>
      <xdr:nvPicPr>
        <xdr:cNvPr id="78939" name="Picture 1">
          <a:extLst>
            <a:ext uri="{FF2B5EF4-FFF2-40B4-BE49-F238E27FC236}">
              <a16:creationId xmlns:a16="http://schemas.microsoft.com/office/drawing/2014/main" id="{EEF881BA-0A6E-4F79-BC78-0A634BA3CB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1133475"/>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6</xdr:row>
      <xdr:rowOff>9525</xdr:rowOff>
    </xdr:from>
    <xdr:to>
      <xdr:col>2</xdr:col>
      <xdr:colOff>419100</xdr:colOff>
      <xdr:row>10</xdr:row>
      <xdr:rowOff>180975</xdr:rowOff>
    </xdr:to>
    <xdr:pic>
      <xdr:nvPicPr>
        <xdr:cNvPr id="79963" name="Picture 1">
          <a:extLst>
            <a:ext uri="{FF2B5EF4-FFF2-40B4-BE49-F238E27FC236}">
              <a16:creationId xmlns:a16="http://schemas.microsoft.com/office/drawing/2014/main" id="{B68562EF-7CE1-4B1A-A701-34EBFFA016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123950"/>
          <a:ext cx="21431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Verbriefung/Reporting/Reporting%20SC%20Germany%20Auto%2010-1/Rewe-Report/2012/Calc_Agent_09_SCG_Auto_2010_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sheetName val="Annahmen_Überblick"/>
      <sheetName val="Eingabe"/>
      <sheetName val="Calculations"/>
      <sheetName val="Set-Off Reserve"/>
      <sheetName val="CommReserve"/>
      <sheetName val="Swap"/>
      <sheetName val="Monatsabrechnung SC-Bank"/>
      <sheetName val="Monatsabrechnung SC-Bank-ENG"/>
      <sheetName val="Export-Sheet"/>
      <sheetName val="Überweisung"/>
      <sheetName val="Buchungsbeleg_GuV_AS400"/>
      <sheetName val="Buchungsbeleg_GuV_MBS"/>
      <sheetName val="Buchungsbeleg_Ultimo"/>
      <sheetName val="Buchungsbeleg_Ultimo Rück"/>
    </sheetNames>
    <sheetDataSet>
      <sheetData sheetId="0">
        <row r="3">
          <cell r="F3">
            <v>27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hyperlink" Target="mailto:ralph.cueppers@santander.gesban.de" TargetMode="External"/><Relationship Id="rId2" Type="http://schemas.openxmlformats.org/officeDocument/2006/relationships/hyperlink" Target="mailto:tobias.daners@santander.de" TargetMode="External"/><Relationship Id="rId1" Type="http://schemas.openxmlformats.org/officeDocument/2006/relationships/hyperlink" Target="mailto:ralf.schuering@santander.de" TargetMode="External"/><Relationship Id="rId6" Type="http://schemas.openxmlformats.org/officeDocument/2006/relationships/drawing" Target="../drawings/drawing32.xml"/><Relationship Id="rId5" Type="http://schemas.openxmlformats.org/officeDocument/2006/relationships/printerSettings" Target="../printerSettings/printerSettings32.bin"/><Relationship Id="rId4" Type="http://schemas.openxmlformats.org/officeDocument/2006/relationships/hyperlink" Target="mailto:heidemarie.gillaux@santander.gesban.de" TargetMode="Externa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M63"/>
  <sheetViews>
    <sheetView tabSelected="1" view="pageBreakPreview" zoomScale="75" zoomScaleNormal="100" workbookViewId="0">
      <selection activeCell="B3" sqref="B3"/>
    </sheetView>
  </sheetViews>
  <sheetFormatPr defaultRowHeight="12.75"/>
  <cols>
    <col min="1" max="1" width="1.28515625" style="27" customWidth="1"/>
    <col min="2" max="2" width="50.7109375" style="27" customWidth="1"/>
    <col min="3" max="3" width="14.85546875" style="31" bestFit="1" customWidth="1"/>
    <col min="4" max="4" width="21.42578125" style="27" bestFit="1" customWidth="1"/>
    <col min="5" max="5" width="5.140625" style="27" bestFit="1" customWidth="1"/>
    <col min="6" max="6" width="19.140625" style="27" customWidth="1"/>
    <col min="7" max="7" width="3" style="27" bestFit="1" customWidth="1"/>
    <col min="8" max="8" width="16.7109375" style="27" customWidth="1"/>
    <col min="9" max="9" width="2.28515625" style="27" bestFit="1" customWidth="1"/>
    <col min="10" max="10" width="15.7109375" style="27" customWidth="1"/>
    <col min="11" max="11" width="1.28515625" style="27" customWidth="1"/>
    <col min="12" max="256" width="11.42578125" style="27" customWidth="1"/>
    <col min="257" max="16384" width="9.140625" style="27"/>
  </cols>
  <sheetData>
    <row r="1" spans="1:13" ht="6" customHeight="1">
      <c r="A1" s="1"/>
      <c r="B1" s="2"/>
      <c r="C1" s="36"/>
      <c r="D1" s="2"/>
      <c r="E1" s="2"/>
      <c r="F1" s="2"/>
      <c r="G1" s="2"/>
      <c r="H1" s="2"/>
      <c r="I1" s="2"/>
      <c r="J1" s="2"/>
      <c r="K1" s="3"/>
    </row>
    <row r="2" spans="1:13" ht="18" customHeight="1">
      <c r="A2" s="5"/>
      <c r="B2" s="7" t="s">
        <v>198</v>
      </c>
      <c r="C2" s="4"/>
      <c r="D2" s="108" t="s">
        <v>54</v>
      </c>
      <c r="E2" s="109"/>
      <c r="F2" s="110">
        <v>41191</v>
      </c>
      <c r="G2" s="109"/>
      <c r="H2" s="109"/>
      <c r="I2" s="109"/>
      <c r="J2" s="111"/>
      <c r="K2" s="8"/>
      <c r="M2" s="556"/>
    </row>
    <row r="3" spans="1:13" ht="18" customHeight="1">
      <c r="A3" s="5"/>
      <c r="B3" s="7" t="s">
        <v>2</v>
      </c>
      <c r="C3" s="89"/>
      <c r="D3" s="112" t="s">
        <v>4</v>
      </c>
      <c r="E3" s="113"/>
      <c r="F3" s="114">
        <v>41197</v>
      </c>
      <c r="G3" s="113"/>
      <c r="H3" s="113"/>
      <c r="I3" s="113"/>
      <c r="J3" s="115"/>
      <c r="K3" s="8"/>
    </row>
    <row r="4" spans="1:13" ht="12.75" customHeight="1">
      <c r="A4" s="5"/>
      <c r="B4" s="11"/>
      <c r="C4" s="89"/>
      <c r="D4" s="112" t="s">
        <v>5</v>
      </c>
      <c r="E4" s="113"/>
      <c r="F4" s="122">
        <v>27</v>
      </c>
      <c r="G4" s="113"/>
      <c r="H4" s="117"/>
      <c r="I4" s="113"/>
      <c r="J4" s="118"/>
      <c r="K4" s="8"/>
    </row>
    <row r="5" spans="1:13" ht="18" customHeight="1">
      <c r="A5" s="5"/>
      <c r="B5" s="14" t="s">
        <v>37</v>
      </c>
      <c r="C5" s="89"/>
      <c r="D5" s="112" t="s">
        <v>3</v>
      </c>
      <c r="E5" s="113"/>
      <c r="F5" s="123">
        <v>41197</v>
      </c>
      <c r="G5" s="113"/>
      <c r="H5" s="117"/>
      <c r="I5" s="113"/>
      <c r="J5" s="118"/>
      <c r="K5" s="8"/>
    </row>
    <row r="6" spans="1:13" ht="15" customHeight="1">
      <c r="A6" s="5"/>
      <c r="B6" s="43"/>
      <c r="C6" s="89"/>
      <c r="D6" s="112" t="s">
        <v>55</v>
      </c>
      <c r="E6" s="116" t="s">
        <v>38</v>
      </c>
      <c r="F6" s="114">
        <v>41164</v>
      </c>
      <c r="G6" s="116" t="s">
        <v>6</v>
      </c>
      <c r="H6" s="114">
        <f>F3</f>
        <v>41197</v>
      </c>
      <c r="I6" s="116" t="s">
        <v>18</v>
      </c>
      <c r="J6" s="542" t="str">
        <f>H6-F6&amp;" days"</f>
        <v>33 days</v>
      </c>
      <c r="K6" s="90"/>
      <c r="M6" s="30"/>
    </row>
    <row r="7" spans="1:13">
      <c r="A7" s="5"/>
      <c r="B7" s="4"/>
      <c r="C7" s="4"/>
      <c r="D7" s="119" t="s">
        <v>260</v>
      </c>
      <c r="E7" s="120" t="s">
        <v>38</v>
      </c>
      <c r="F7" s="121" t="str">
        <f>"01."&amp;TEXT(F6,"MM.jjjj")</f>
        <v>01.09.2012</v>
      </c>
      <c r="G7" s="120" t="s">
        <v>6</v>
      </c>
      <c r="H7" s="121">
        <f>_xll.MONATSENDE(F6,0)</f>
        <v>41182</v>
      </c>
      <c r="I7" s="543"/>
      <c r="J7" s="544"/>
      <c r="K7" s="8"/>
    </row>
    <row r="8" spans="1:13">
      <c r="A8" s="5"/>
      <c r="B8" s="4"/>
      <c r="C8" s="4"/>
      <c r="D8" s="4"/>
      <c r="E8" s="29"/>
      <c r="F8" s="15"/>
      <c r="G8" s="9"/>
      <c r="H8" s="4"/>
      <c r="I8" s="4"/>
      <c r="J8" s="4"/>
      <c r="K8" s="8"/>
    </row>
    <row r="9" spans="1:13">
      <c r="A9" s="5"/>
      <c r="B9" s="4"/>
      <c r="C9" s="4"/>
      <c r="D9" s="4"/>
      <c r="E9" s="29"/>
      <c r="F9" s="15"/>
      <c r="G9" s="9"/>
      <c r="H9" s="4"/>
      <c r="I9" s="4"/>
      <c r="J9" s="4"/>
      <c r="K9" s="8"/>
    </row>
    <row r="10" spans="1:13">
      <c r="A10" s="5"/>
      <c r="B10" s="4"/>
      <c r="C10" s="27"/>
      <c r="D10" s="4"/>
      <c r="E10" s="29"/>
      <c r="F10" s="15"/>
      <c r="G10" s="9"/>
      <c r="H10" s="4"/>
      <c r="I10" s="4"/>
      <c r="J10" s="4"/>
      <c r="K10" s="8"/>
    </row>
    <row r="11" spans="1:13" ht="18" customHeight="1">
      <c r="A11" s="5"/>
      <c r="B11" s="4"/>
      <c r="C11" s="27"/>
      <c r="D11" s="4"/>
      <c r="E11" s="29"/>
      <c r="F11" s="15"/>
      <c r="G11" s="9"/>
      <c r="H11" s="4"/>
      <c r="I11" s="4"/>
      <c r="J11" s="4"/>
      <c r="K11" s="8"/>
    </row>
    <row r="12" spans="1:13">
      <c r="A12" s="5"/>
      <c r="B12" s="4"/>
      <c r="C12" s="27"/>
      <c r="D12" s="4"/>
      <c r="E12" s="4"/>
      <c r="F12" s="4"/>
      <c r="G12" s="4"/>
      <c r="H12" s="4"/>
      <c r="I12" s="4"/>
      <c r="J12" s="4"/>
      <c r="K12" s="8"/>
    </row>
    <row r="13" spans="1:13" ht="18">
      <c r="A13" s="5"/>
      <c r="B13" s="7" t="s">
        <v>56</v>
      </c>
      <c r="C13" s="10" t="s">
        <v>67</v>
      </c>
      <c r="D13" s="7"/>
      <c r="E13" s="10"/>
      <c r="F13" s="4"/>
      <c r="G13" s="4"/>
      <c r="H13" s="10"/>
      <c r="I13" s="4"/>
      <c r="J13" s="92"/>
      <c r="K13" s="8"/>
    </row>
    <row r="14" spans="1:13">
      <c r="A14" s="5"/>
      <c r="B14" s="4"/>
      <c r="C14" s="91"/>
      <c r="D14" s="4"/>
      <c r="E14" s="91"/>
      <c r="F14" s="4"/>
      <c r="G14" s="4"/>
      <c r="H14" s="91"/>
      <c r="I14" s="4"/>
      <c r="J14" s="4"/>
      <c r="K14" s="8"/>
    </row>
    <row r="15" spans="1:13" ht="15" customHeight="1">
      <c r="A15" s="5"/>
      <c r="B15" s="34" t="s">
        <v>52</v>
      </c>
      <c r="C15" s="332">
        <v>1</v>
      </c>
      <c r="D15" s="12"/>
      <c r="E15" s="332"/>
      <c r="F15" s="4"/>
      <c r="G15" s="4"/>
      <c r="H15" s="332"/>
      <c r="I15" s="4"/>
      <c r="J15" s="4"/>
      <c r="K15" s="8"/>
    </row>
    <row r="16" spans="1:13" ht="15" customHeight="1">
      <c r="A16" s="5"/>
      <c r="B16" s="34" t="s">
        <v>53</v>
      </c>
      <c r="C16" s="332">
        <v>2</v>
      </c>
      <c r="D16" s="12"/>
      <c r="E16" s="332"/>
      <c r="F16" s="4"/>
      <c r="G16" s="4"/>
      <c r="H16" s="332"/>
      <c r="I16" s="4"/>
      <c r="J16" s="34"/>
      <c r="K16" s="8"/>
    </row>
    <row r="17" spans="1:11" ht="15" customHeight="1">
      <c r="A17" s="5"/>
      <c r="B17" s="34" t="s">
        <v>378</v>
      </c>
      <c r="C17" s="332">
        <v>3</v>
      </c>
      <c r="D17" s="12"/>
      <c r="E17" s="332"/>
      <c r="F17" s="4"/>
      <c r="G17" s="4"/>
      <c r="H17" s="332"/>
      <c r="I17" s="4"/>
      <c r="J17" s="92"/>
      <c r="K17" s="8"/>
    </row>
    <row r="18" spans="1:11" ht="15" customHeight="1">
      <c r="A18" s="5"/>
      <c r="B18" s="34" t="s">
        <v>379</v>
      </c>
      <c r="C18" s="332">
        <v>4</v>
      </c>
      <c r="D18" s="12"/>
      <c r="E18" s="332"/>
      <c r="F18" s="4"/>
      <c r="G18" s="4"/>
      <c r="H18" s="332"/>
      <c r="I18" s="4"/>
      <c r="J18" s="92"/>
      <c r="K18" s="8"/>
    </row>
    <row r="19" spans="1:11" ht="15" customHeight="1">
      <c r="A19" s="5"/>
      <c r="B19" s="34" t="s">
        <v>382</v>
      </c>
      <c r="C19" s="332">
        <v>5</v>
      </c>
      <c r="D19" s="12"/>
      <c r="E19" s="332"/>
      <c r="F19" s="4"/>
      <c r="G19" s="4"/>
      <c r="H19" s="332"/>
      <c r="I19" s="4"/>
      <c r="J19" s="92"/>
      <c r="K19" s="8"/>
    </row>
    <row r="20" spans="1:11" ht="15" customHeight="1">
      <c r="A20" s="5"/>
      <c r="B20" s="34" t="s">
        <v>410</v>
      </c>
      <c r="C20" s="332">
        <v>6</v>
      </c>
      <c r="D20" s="12"/>
      <c r="E20" s="332"/>
      <c r="F20" s="4"/>
      <c r="G20" s="4"/>
      <c r="H20" s="332"/>
      <c r="I20" s="4"/>
      <c r="J20" s="19"/>
      <c r="K20" s="8"/>
    </row>
    <row r="21" spans="1:11" ht="15" customHeight="1">
      <c r="A21" s="5"/>
      <c r="B21" s="34" t="s">
        <v>411</v>
      </c>
      <c r="C21" s="332">
        <v>7</v>
      </c>
      <c r="D21" s="12"/>
      <c r="E21" s="332"/>
      <c r="F21" s="4"/>
      <c r="G21" s="4"/>
      <c r="H21" s="332"/>
      <c r="I21" s="4"/>
      <c r="J21" s="21"/>
      <c r="K21" s="8"/>
    </row>
    <row r="22" spans="1:11" ht="15" customHeight="1">
      <c r="A22" s="5"/>
      <c r="B22" s="34" t="s">
        <v>412</v>
      </c>
      <c r="C22" s="332">
        <v>8</v>
      </c>
      <c r="D22" s="12"/>
      <c r="E22" s="332"/>
      <c r="F22" s="4"/>
      <c r="G22" s="4"/>
      <c r="H22" s="332"/>
      <c r="I22" s="4"/>
      <c r="J22" s="21"/>
      <c r="K22" s="8"/>
    </row>
    <row r="23" spans="1:11" ht="15" customHeight="1">
      <c r="A23" s="5"/>
      <c r="B23" s="34" t="s">
        <v>413</v>
      </c>
      <c r="C23" s="332">
        <v>9</v>
      </c>
      <c r="D23" s="12"/>
      <c r="E23" s="332"/>
      <c r="F23" s="4"/>
      <c r="G23" s="4"/>
      <c r="H23" s="332"/>
      <c r="I23" s="4"/>
      <c r="J23" s="21"/>
      <c r="K23" s="8"/>
    </row>
    <row r="24" spans="1:11" ht="15" customHeight="1">
      <c r="A24" s="5"/>
      <c r="B24" s="34" t="s">
        <v>414</v>
      </c>
      <c r="C24" s="332">
        <v>10</v>
      </c>
      <c r="D24" s="12"/>
      <c r="E24" s="332"/>
      <c r="F24" s="4"/>
      <c r="G24" s="4"/>
      <c r="H24" s="332"/>
      <c r="I24" s="4"/>
      <c r="J24" s="21"/>
      <c r="K24" s="8"/>
    </row>
    <row r="25" spans="1:11" ht="15" customHeight="1">
      <c r="A25" s="5"/>
      <c r="B25" s="34" t="s">
        <v>415</v>
      </c>
      <c r="C25" s="332">
        <v>11</v>
      </c>
      <c r="D25" s="12"/>
      <c r="E25" s="332"/>
      <c r="F25" s="4"/>
      <c r="G25" s="4"/>
      <c r="H25" s="332"/>
      <c r="I25" s="4"/>
      <c r="J25" s="21"/>
      <c r="K25" s="8"/>
    </row>
    <row r="26" spans="1:11" ht="15" customHeight="1">
      <c r="A26" s="5"/>
      <c r="B26" s="34" t="s">
        <v>416</v>
      </c>
      <c r="C26" s="332">
        <v>12</v>
      </c>
      <c r="D26" s="12"/>
      <c r="E26" s="332"/>
      <c r="F26" s="4"/>
      <c r="G26" s="4"/>
      <c r="H26" s="332"/>
      <c r="I26" s="4"/>
      <c r="J26" s="21"/>
      <c r="K26" s="8"/>
    </row>
    <row r="27" spans="1:11" ht="15" customHeight="1">
      <c r="A27" s="5"/>
      <c r="B27" s="34" t="s">
        <v>417</v>
      </c>
      <c r="C27" s="332">
        <v>13</v>
      </c>
      <c r="D27" s="12"/>
      <c r="E27" s="332"/>
      <c r="F27" s="4"/>
      <c r="G27" s="4"/>
      <c r="H27" s="332"/>
      <c r="I27" s="4"/>
      <c r="J27" s="21"/>
      <c r="K27" s="8"/>
    </row>
    <row r="28" spans="1:11" ht="15" customHeight="1">
      <c r="A28" s="5"/>
      <c r="B28" s="34" t="s">
        <v>418</v>
      </c>
      <c r="C28" s="332">
        <v>14</v>
      </c>
      <c r="D28" s="12"/>
      <c r="E28" s="332"/>
      <c r="F28" s="4"/>
      <c r="G28" s="4"/>
      <c r="H28" s="332"/>
      <c r="I28" s="4"/>
      <c r="J28" s="21"/>
      <c r="K28" s="8"/>
    </row>
    <row r="29" spans="1:11" ht="15" customHeight="1">
      <c r="A29" s="5"/>
      <c r="B29" s="34" t="s">
        <v>459</v>
      </c>
      <c r="C29" s="332">
        <v>15</v>
      </c>
      <c r="D29" s="12"/>
      <c r="E29" s="332"/>
      <c r="F29" s="4"/>
      <c r="G29" s="4"/>
      <c r="H29" s="332"/>
      <c r="I29" s="4"/>
      <c r="J29" s="21"/>
      <c r="K29" s="8"/>
    </row>
    <row r="30" spans="1:11" ht="15" customHeight="1">
      <c r="A30" s="5"/>
      <c r="B30" s="34" t="s">
        <v>419</v>
      </c>
      <c r="C30" s="332">
        <v>16</v>
      </c>
      <c r="D30" s="12"/>
      <c r="E30" s="332"/>
      <c r="F30" s="4"/>
      <c r="G30" s="4"/>
      <c r="H30" s="332"/>
      <c r="I30" s="4"/>
      <c r="J30" s="21"/>
      <c r="K30" s="8"/>
    </row>
    <row r="31" spans="1:11" ht="15" customHeight="1">
      <c r="A31" s="5"/>
      <c r="B31" s="34" t="s">
        <v>420</v>
      </c>
      <c r="C31" s="332">
        <v>17</v>
      </c>
      <c r="D31" s="12"/>
      <c r="E31" s="332"/>
      <c r="F31" s="4"/>
      <c r="G31" s="4"/>
      <c r="H31" s="332"/>
      <c r="I31" s="4"/>
      <c r="J31" s="21"/>
      <c r="K31" s="8"/>
    </row>
    <row r="32" spans="1:11" ht="15" customHeight="1">
      <c r="A32" s="5"/>
      <c r="B32" s="34" t="s">
        <v>421</v>
      </c>
      <c r="C32" s="332">
        <v>18</v>
      </c>
      <c r="D32" s="12"/>
      <c r="E32" s="332"/>
      <c r="F32" s="4"/>
      <c r="G32" s="4"/>
      <c r="H32" s="332"/>
      <c r="I32" s="4"/>
      <c r="J32" s="21"/>
      <c r="K32" s="8"/>
    </row>
    <row r="33" spans="1:11" ht="15" customHeight="1">
      <c r="A33" s="5"/>
      <c r="B33" s="34" t="s">
        <v>422</v>
      </c>
      <c r="C33" s="332">
        <v>19</v>
      </c>
      <c r="D33" s="12"/>
      <c r="E33" s="332"/>
      <c r="F33" s="4"/>
      <c r="G33" s="4"/>
      <c r="H33" s="332"/>
      <c r="I33" s="4"/>
      <c r="J33" s="21"/>
      <c r="K33" s="8"/>
    </row>
    <row r="34" spans="1:11" ht="15" customHeight="1">
      <c r="A34" s="5"/>
      <c r="B34" s="34" t="s">
        <v>423</v>
      </c>
      <c r="C34" s="332">
        <v>20</v>
      </c>
      <c r="D34" s="12"/>
      <c r="E34" s="332"/>
      <c r="F34" s="4"/>
      <c r="G34" s="4"/>
      <c r="H34" s="332"/>
      <c r="I34" s="4"/>
      <c r="J34" s="21"/>
      <c r="K34" s="8"/>
    </row>
    <row r="35" spans="1:11" ht="15" customHeight="1">
      <c r="A35" s="5"/>
      <c r="B35" s="34" t="s">
        <v>424</v>
      </c>
      <c r="C35" s="332">
        <v>21</v>
      </c>
      <c r="D35" s="12"/>
      <c r="E35" s="332"/>
      <c r="F35" s="4"/>
      <c r="G35" s="4"/>
      <c r="H35" s="332"/>
      <c r="I35" s="4"/>
      <c r="J35" s="21"/>
      <c r="K35" s="8"/>
    </row>
    <row r="36" spans="1:11" ht="15" customHeight="1">
      <c r="A36" s="5"/>
      <c r="B36" s="34" t="s">
        <v>425</v>
      </c>
      <c r="C36" s="332">
        <v>22</v>
      </c>
      <c r="D36" s="12"/>
      <c r="E36" s="332"/>
      <c r="F36" s="4"/>
      <c r="G36" s="4"/>
      <c r="H36" s="332"/>
      <c r="I36" s="4"/>
      <c r="J36" s="21"/>
      <c r="K36" s="8"/>
    </row>
    <row r="37" spans="1:11" ht="15" customHeight="1">
      <c r="A37" s="5"/>
      <c r="B37" s="34" t="s">
        <v>426</v>
      </c>
      <c r="C37" s="332">
        <v>23</v>
      </c>
      <c r="D37" s="12"/>
      <c r="E37" s="332"/>
      <c r="F37" s="4"/>
      <c r="G37" s="4"/>
      <c r="H37" s="332"/>
      <c r="I37" s="4"/>
      <c r="J37" s="21"/>
      <c r="K37" s="8"/>
    </row>
    <row r="38" spans="1:11" ht="15" customHeight="1">
      <c r="A38" s="5"/>
      <c r="B38" s="34" t="s">
        <v>427</v>
      </c>
      <c r="C38" s="332">
        <v>24</v>
      </c>
      <c r="D38" s="12"/>
      <c r="E38" s="332"/>
      <c r="F38" s="4"/>
      <c r="G38" s="4"/>
      <c r="H38" s="332"/>
      <c r="I38" s="4"/>
      <c r="J38" s="21"/>
      <c r="K38" s="8"/>
    </row>
    <row r="39" spans="1:11" ht="15" customHeight="1">
      <c r="A39" s="5"/>
      <c r="B39" s="34" t="s">
        <v>428</v>
      </c>
      <c r="C39" s="332">
        <v>25</v>
      </c>
      <c r="D39" s="12"/>
      <c r="E39" s="332"/>
      <c r="F39" s="4"/>
      <c r="G39" s="4"/>
      <c r="H39" s="332"/>
      <c r="I39" s="4"/>
      <c r="J39" s="21"/>
      <c r="K39" s="8"/>
    </row>
    <row r="40" spans="1:11" ht="15" customHeight="1">
      <c r="A40" s="5"/>
      <c r="B40" s="34" t="s">
        <v>429</v>
      </c>
      <c r="C40" s="332">
        <v>26</v>
      </c>
      <c r="D40" s="12"/>
      <c r="E40" s="332"/>
      <c r="F40" s="4"/>
      <c r="G40" s="4"/>
      <c r="H40" s="332"/>
      <c r="I40" s="4"/>
      <c r="J40" s="21"/>
      <c r="K40" s="8"/>
    </row>
    <row r="41" spans="1:11" ht="15" customHeight="1">
      <c r="A41" s="5"/>
      <c r="B41" s="31" t="s">
        <v>430</v>
      </c>
      <c r="C41" s="332">
        <v>27</v>
      </c>
      <c r="D41" s="12"/>
      <c r="E41" s="332"/>
      <c r="F41" s="4"/>
      <c r="G41" s="4"/>
      <c r="H41" s="332"/>
      <c r="I41" s="4"/>
      <c r="J41" s="21"/>
      <c r="K41" s="8"/>
    </row>
    <row r="42" spans="1:11" ht="15" customHeight="1">
      <c r="A42" s="5"/>
      <c r="B42" s="34" t="s">
        <v>431</v>
      </c>
      <c r="C42" s="332">
        <v>28</v>
      </c>
      <c r="D42" s="12"/>
      <c r="E42" s="332"/>
      <c r="F42" s="4"/>
      <c r="G42" s="4"/>
      <c r="H42" s="332"/>
      <c r="I42" s="4"/>
      <c r="J42" s="21"/>
      <c r="K42" s="8"/>
    </row>
    <row r="43" spans="1:11" ht="15" customHeight="1">
      <c r="A43" s="5"/>
      <c r="B43" s="34" t="s">
        <v>432</v>
      </c>
      <c r="C43" s="332">
        <v>29</v>
      </c>
      <c r="D43" s="12"/>
      <c r="E43" s="332"/>
      <c r="F43" s="4"/>
      <c r="G43" s="4"/>
      <c r="H43" s="332"/>
      <c r="I43" s="4"/>
      <c r="J43" s="21"/>
      <c r="K43" s="8"/>
    </row>
    <row r="44" spans="1:11" ht="15" customHeight="1">
      <c r="A44" s="5"/>
      <c r="B44" s="34" t="s">
        <v>433</v>
      </c>
      <c r="C44" s="332">
        <v>30</v>
      </c>
      <c r="D44" s="12"/>
      <c r="E44" s="332"/>
      <c r="F44" s="4"/>
      <c r="G44" s="4"/>
      <c r="H44" s="332"/>
      <c r="I44" s="4"/>
      <c r="J44" s="19"/>
      <c r="K44" s="8"/>
    </row>
    <row r="45" spans="1:11" ht="15" customHeight="1">
      <c r="A45" s="5"/>
      <c r="B45" s="4" t="s">
        <v>434</v>
      </c>
      <c r="C45" s="332">
        <v>31</v>
      </c>
      <c r="D45" s="12"/>
      <c r="E45" s="332"/>
      <c r="F45" s="4"/>
      <c r="G45" s="4"/>
      <c r="H45" s="332"/>
      <c r="I45" s="4"/>
      <c r="J45" s="19"/>
      <c r="K45" s="8"/>
    </row>
    <row r="46" spans="1:11" ht="15" customHeight="1">
      <c r="A46" s="5"/>
      <c r="B46" s="4" t="s">
        <v>435</v>
      </c>
      <c r="C46" s="332">
        <v>32</v>
      </c>
      <c r="D46" s="12"/>
      <c r="E46" s="332"/>
      <c r="F46" s="4"/>
      <c r="G46" s="4"/>
      <c r="H46" s="332"/>
      <c r="I46" s="4"/>
      <c r="J46" s="19"/>
      <c r="K46" s="8"/>
    </row>
    <row r="47" spans="1:11" ht="15" customHeight="1">
      <c r="A47" s="5"/>
      <c r="B47" s="4"/>
      <c r="C47" s="332"/>
      <c r="D47" s="4"/>
      <c r="E47" s="332"/>
      <c r="F47" s="4"/>
      <c r="G47" s="4"/>
      <c r="H47" s="332"/>
      <c r="I47" s="4"/>
      <c r="J47" s="19"/>
      <c r="K47" s="8"/>
    </row>
    <row r="48" spans="1:11" ht="15" customHeight="1">
      <c r="A48" s="5"/>
      <c r="B48" s="4"/>
      <c r="D48" s="4"/>
      <c r="E48" s="18"/>
      <c r="F48" s="4"/>
      <c r="G48" s="4"/>
      <c r="H48" s="4"/>
      <c r="I48" s="4"/>
      <c r="J48" s="19"/>
      <c r="K48" s="8"/>
    </row>
    <row r="49" spans="1:11" ht="12.75" customHeight="1">
      <c r="A49" s="24"/>
      <c r="B49" s="25"/>
      <c r="C49" s="61"/>
      <c r="D49" s="25"/>
      <c r="E49" s="25"/>
      <c r="F49" s="25"/>
      <c r="G49" s="25"/>
      <c r="H49" s="25"/>
      <c r="I49" s="25"/>
      <c r="J49" s="93"/>
      <c r="K49" s="26"/>
    </row>
    <row r="50" spans="1:11">
      <c r="C50" s="82"/>
      <c r="J50" s="33"/>
    </row>
    <row r="51" spans="1:11">
      <c r="B51" s="4"/>
      <c r="J51" s="33"/>
    </row>
    <row r="52" spans="1:11">
      <c r="J52" s="33"/>
    </row>
    <row r="53" spans="1:11">
      <c r="J53" s="33"/>
    </row>
    <row r="56" spans="1:11">
      <c r="C56" s="82"/>
    </row>
    <row r="57" spans="1:11">
      <c r="C57" s="82"/>
    </row>
    <row r="58" spans="1:11">
      <c r="C58" s="82"/>
    </row>
    <row r="63" spans="1:11">
      <c r="C63" s="83"/>
    </row>
  </sheetData>
  <sheetProtection password="8B10" sheet="1" objects="1" scenarios="1"/>
  <phoneticPr fontId="2" type="noConversion"/>
  <hyperlinks>
    <hyperlink ref="C15" location="'1. Portfolio Information'!Druckbereich" display="'1. Portfolio Information'!Druckbereich"/>
    <hyperlink ref="C16" location="'2. Reserve Accounts'!Druckbereich" display="'2. Reserve Accounts'!Druckbereich"/>
    <hyperlink ref="C17" location="'3. Delinquency Data'!A1" display="'3. Delinquency Data'!A1"/>
    <hyperlink ref="C19" location="'4.1 Default Data per Quarter'!A1" display="'4.1 Default Data per Quarter'!A1"/>
    <hyperlink ref="C21" location="'6. Original Principal Balance'!A1" display="'6. Original Principal Balance'!A1"/>
    <hyperlink ref="C23" location="'7. Current Principal Balance'!A1" display="'7. Current Principal Balance'!A1"/>
    <hyperlink ref="C25" location="'8. Borrower Concentration'!A1" display="'8. Borrower Concentration'!A1"/>
    <hyperlink ref="C27" location="'9.1 Geographical (Graph)'!A1" display="'9.1 Geographical (Graph)'!A1"/>
    <hyperlink ref="C29" location="'11. Insurances'!A1" display="'11. Insurances'!A1"/>
    <hyperlink ref="C31" location="'13. Payment Methods'!A1" display="'13. Payment Methods'!A1"/>
    <hyperlink ref="C33" location="'14.1 Customer Yield (Graph)'!A1" display="'14.1 Customer Yield (Graph)'!A1"/>
    <hyperlink ref="C35" location="'15.1 Seasoning (Graph)'!A1" display="'15.1 Seasoning (Graph)'!A1"/>
    <hyperlink ref="C37" location="'16.1 Remaining Term (Graph)'!A1" display="'16.1 Remaining Term (Graph)'!A1"/>
    <hyperlink ref="C39" location="'17.1 Original Term (Graph)'!A1" display="'17.1 Original Term (Graph)'!A1"/>
    <hyperlink ref="C41" location="'19. PoP + Transaction Costs'!A1" display="'19. PoP + Transaction Costs'!A1"/>
    <hyperlink ref="C43" location="'21. Counterparties'!A1" display="'21. Counterparties'!A1"/>
    <hyperlink ref="C45" location="'23. Santander Consumer Bank'!A1" display="'23. Santander Consumer Bank'!A1"/>
    <hyperlink ref="C18" location="'4. Default Data'!A1" display="'4. Default Data'!A1"/>
    <hyperlink ref="C20" location="'5. Outstanding Notes'!A1" display="'5. Outstanding Notes'!A1"/>
    <hyperlink ref="C22" location="'6.1 Original PB (Graph)'!A1" display="'6.1 Original PB (Graph)'!A1"/>
    <hyperlink ref="C24" location="'7.1 Current PB (Graph)'!A1" display="'7.1 Current PB (Graph)'!A1"/>
    <hyperlink ref="C26" location="'9. Geographical Distribution'!A1" display="'9. Geographical Distribution'!A1"/>
    <hyperlink ref="C28" location="'10. Object Type'!A1" display="'10. Object Type'!A1"/>
    <hyperlink ref="C30" location="'12. Type of Contract'!A1" display="'12. Type of Contract'!A1"/>
    <hyperlink ref="C32" location="'14. Customer Yield'!A1" display="'14. Customer Yield'!A1"/>
    <hyperlink ref="C34" location="'15. Seasoning'!A1" display="'15. Seasoning'!A1"/>
    <hyperlink ref="C36" location="'16. Remaining Term'!A1" display="'16. Remaining Term'!A1"/>
    <hyperlink ref="C38" location="'17. Original Term'!A1" display="'17. Original Term'!A1"/>
    <hyperlink ref="C40" location="'18. Manufacturer'!A1" display="'18. Manufacturer'!A1"/>
    <hyperlink ref="C42" location="'20. Swap Counterparty Data'!A1" display="'20. Swap Counterparty Data'!A1"/>
    <hyperlink ref="C44" location="'22. Issuer Information'!A1" display="'22. Issuer Information'!A1"/>
    <hyperlink ref="C46" location="'24. Disclaimer'!A1" display="'24. Disclaimer'!A1"/>
  </hyperlinks>
  <pageMargins left="0.70866141732283472" right="0.70866141732283472" top="1.0236220472440944" bottom="1.0236220472440944" header="0.39370078740157483" footer="0.39370078740157483"/>
  <pageSetup paperSize="9" scale="64" orientation="landscape" r:id="rId1"/>
  <headerFooter alignWithMargins="0">
    <oddFooter>&amp;L&amp;"Frutiger 57Cn,Standard"&amp;8
Santander Consumer Bank AG
Santander-Platz 1
41061 Mönchengladbach
Tel.: +49 180 / 5556 - 499
Fax.: +49 180 / 5556 - 498</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M47"/>
  <sheetViews>
    <sheetView view="pageBreakPreview" zoomScale="75" zoomScaleNormal="100" workbookViewId="0">
      <selection activeCell="B3" sqref="B3"/>
    </sheetView>
  </sheetViews>
  <sheetFormatPr defaultRowHeight="12.75"/>
  <cols>
    <col min="1" max="1" width="1.28515625" style="27" customWidth="1"/>
    <col min="2" max="2" width="50.7109375" style="27" customWidth="1"/>
    <col min="3" max="3" width="14.85546875" style="27" customWidth="1"/>
    <col min="4" max="4" width="21.42578125" style="27" bestFit="1" customWidth="1"/>
    <col min="5" max="5" width="4.7109375" style="27" customWidth="1"/>
    <col min="6" max="6" width="23.28515625" style="27" customWidth="1"/>
    <col min="7" max="7" width="4.7109375" style="27" customWidth="1"/>
    <col min="8" max="8" width="16" style="27" customWidth="1"/>
    <col min="9" max="9" width="4.7109375" style="27" customWidth="1"/>
    <col min="10" max="10" width="25.85546875" style="27" customWidth="1"/>
    <col min="11" max="11" width="1.28515625" style="27" customWidth="1"/>
    <col min="12" max="12" width="11.5703125" style="27" bestFit="1" customWidth="1"/>
    <col min="13" max="256" width="11.42578125" style="27" customWidth="1"/>
    <col min="257" max="16384" width="9.140625" style="27"/>
  </cols>
  <sheetData>
    <row r="1" spans="1:13" ht="6" customHeight="1">
      <c r="A1" s="1"/>
      <c r="B1" s="2"/>
      <c r="C1" s="2"/>
      <c r="D1" s="2"/>
      <c r="E1" s="2"/>
      <c r="F1" s="2"/>
      <c r="G1" s="2"/>
      <c r="H1" s="2"/>
      <c r="I1" s="2"/>
      <c r="J1" s="2"/>
      <c r="K1" s="3"/>
    </row>
    <row r="2" spans="1:13" ht="18">
      <c r="A2" s="5"/>
      <c r="B2" s="7" t="str">
        <f>'Cover Sheet'!B2</f>
        <v>SC Germany Auto 10-1</v>
      </c>
      <c r="C2" s="6"/>
      <c r="D2" s="108" t="s">
        <v>54</v>
      </c>
      <c r="E2" s="109"/>
      <c r="F2" s="110">
        <f>'Cover Sheet'!F2</f>
        <v>41191</v>
      </c>
      <c r="G2" s="109"/>
      <c r="H2" s="109"/>
      <c r="I2" s="109"/>
      <c r="J2" s="111"/>
      <c r="K2" s="8"/>
      <c r="L2" s="80"/>
    </row>
    <row r="3" spans="1:13" ht="18">
      <c r="A3" s="5"/>
      <c r="B3" s="7" t="str">
        <f>'Cover Sheet'!B3</f>
        <v>Monthly Investor Report</v>
      </c>
      <c r="C3" s="6"/>
      <c r="D3" s="112" t="s">
        <v>4</v>
      </c>
      <c r="E3" s="113"/>
      <c r="F3" s="114">
        <f>'Cover Sheet'!F3</f>
        <v>41197</v>
      </c>
      <c r="G3" s="113"/>
      <c r="H3" s="113"/>
      <c r="I3" s="113"/>
      <c r="J3" s="115"/>
      <c r="K3" s="8"/>
      <c r="L3" s="81"/>
    </row>
    <row r="4" spans="1:13">
      <c r="A4" s="5"/>
      <c r="B4" s="12"/>
      <c r="C4" s="11"/>
      <c r="D4" s="112" t="s">
        <v>5</v>
      </c>
      <c r="E4" s="113"/>
      <c r="F4" s="122">
        <f>'Cover Sheet'!F4</f>
        <v>27</v>
      </c>
      <c r="G4" s="113"/>
      <c r="H4" s="117"/>
      <c r="I4" s="113"/>
      <c r="J4" s="118"/>
      <c r="K4" s="8"/>
      <c r="L4" s="80"/>
    </row>
    <row r="5" spans="1:13" ht="18">
      <c r="A5" s="5"/>
      <c r="B5" s="14" t="s">
        <v>36</v>
      </c>
      <c r="C5" s="13"/>
      <c r="D5" s="112" t="s">
        <v>3</v>
      </c>
      <c r="E5" s="113"/>
      <c r="F5" s="123">
        <f>'Cover Sheet'!F5</f>
        <v>41197</v>
      </c>
      <c r="G5" s="113"/>
      <c r="H5" s="117"/>
      <c r="I5" s="113"/>
      <c r="J5" s="118"/>
      <c r="K5" s="8"/>
      <c r="L5" s="81"/>
    </row>
    <row r="6" spans="1:13" ht="15" customHeight="1">
      <c r="A6" s="5"/>
      <c r="B6" s="43"/>
      <c r="C6" s="89"/>
      <c r="D6" s="112" t="str">
        <f>'Cover Sheet'!D6</f>
        <v>Interest Period</v>
      </c>
      <c r="E6" s="116" t="s">
        <v>38</v>
      </c>
      <c r="F6" s="114">
        <f>'Cover Sheet'!F6</f>
        <v>41164</v>
      </c>
      <c r="G6" s="116" t="s">
        <v>6</v>
      </c>
      <c r="H6" s="114">
        <f>'Cover Sheet'!H6</f>
        <v>41197</v>
      </c>
      <c r="I6" s="116" t="s">
        <v>18</v>
      </c>
      <c r="J6" s="542" t="str">
        <f>'Cover Sheet'!J6</f>
        <v>33 days</v>
      </c>
      <c r="K6" s="90"/>
      <c r="M6" s="30"/>
    </row>
    <row r="7" spans="1:13">
      <c r="A7" s="5"/>
      <c r="B7" s="85"/>
      <c r="C7" s="85"/>
      <c r="D7" s="119" t="str">
        <f>'Cover Sheet'!D7</f>
        <v>Collection Period</v>
      </c>
      <c r="E7" s="120" t="s">
        <v>38</v>
      </c>
      <c r="F7" s="121" t="str">
        <f>'Cover Sheet'!F7</f>
        <v>01.09.2012</v>
      </c>
      <c r="G7" s="120" t="s">
        <v>6</v>
      </c>
      <c r="H7" s="121">
        <f>'Cover Sheet'!H7</f>
        <v>41182</v>
      </c>
      <c r="I7" s="543"/>
      <c r="J7" s="544"/>
      <c r="K7" s="8"/>
    </row>
    <row r="8" spans="1:13">
      <c r="A8" s="5"/>
      <c r="B8" s="4"/>
      <c r="C8" s="4"/>
      <c r="D8" s="28"/>
      <c r="E8" s="4"/>
      <c r="F8" s="29"/>
      <c r="G8" s="15"/>
      <c r="H8" s="9"/>
      <c r="I8" s="4"/>
      <c r="J8" s="4"/>
      <c r="K8" s="8"/>
    </row>
    <row r="9" spans="1:13">
      <c r="A9" s="5"/>
      <c r="B9" s="4"/>
      <c r="C9" s="4"/>
      <c r="D9" s="28"/>
      <c r="E9" s="4"/>
      <c r="F9" s="29"/>
      <c r="G9" s="15"/>
      <c r="H9" s="9"/>
      <c r="I9" s="4"/>
      <c r="J9" s="4"/>
      <c r="K9" s="8"/>
    </row>
    <row r="10" spans="1:13">
      <c r="A10" s="5"/>
      <c r="B10" s="4"/>
      <c r="C10" s="4"/>
      <c r="D10" s="28"/>
      <c r="E10" s="4"/>
      <c r="F10" s="29"/>
      <c r="G10" s="15"/>
      <c r="H10" s="9"/>
      <c r="I10" s="4"/>
      <c r="J10" s="4"/>
      <c r="K10" s="8"/>
    </row>
    <row r="11" spans="1:13" ht="18" customHeight="1">
      <c r="A11" s="5"/>
      <c r="B11" s="4"/>
      <c r="C11" s="4"/>
      <c r="D11" s="28"/>
      <c r="E11" s="4"/>
      <c r="F11" s="29" t="s">
        <v>176</v>
      </c>
      <c r="G11" s="15"/>
      <c r="H11" s="9"/>
      <c r="I11" s="4"/>
      <c r="J11" s="15" t="s">
        <v>177</v>
      </c>
      <c r="K11" s="8"/>
    </row>
    <row r="12" spans="1:13">
      <c r="A12" s="5"/>
      <c r="B12" s="4"/>
      <c r="C12" s="4"/>
      <c r="D12" s="4"/>
      <c r="E12" s="4"/>
      <c r="F12" s="4"/>
      <c r="G12" s="4"/>
      <c r="H12" s="4"/>
      <c r="I12" s="4"/>
      <c r="J12" s="4"/>
      <c r="K12" s="8"/>
    </row>
    <row r="13" spans="1:13" ht="26.25">
      <c r="A13" s="5"/>
      <c r="B13" s="7" t="s">
        <v>57</v>
      </c>
      <c r="C13" s="98" t="s">
        <v>195</v>
      </c>
      <c r="E13" s="17"/>
      <c r="F13" s="98" t="s">
        <v>178</v>
      </c>
      <c r="G13" s="4"/>
      <c r="H13" s="4"/>
      <c r="I13" s="4"/>
      <c r="J13" s="98" t="s">
        <v>178</v>
      </c>
      <c r="K13" s="8"/>
      <c r="L13" s="86"/>
    </row>
    <row r="14" spans="1:13" ht="18">
      <c r="A14" s="5"/>
      <c r="B14" s="7"/>
      <c r="C14" s="98"/>
      <c r="E14" s="17"/>
      <c r="F14" s="367"/>
      <c r="G14" s="4"/>
      <c r="H14" s="4"/>
      <c r="I14" s="4"/>
      <c r="J14" s="23"/>
      <c r="K14" s="8"/>
    </row>
    <row r="15" spans="1:13">
      <c r="A15" s="5"/>
      <c r="B15" s="19" t="s">
        <v>15</v>
      </c>
      <c r="C15" s="743">
        <v>44093</v>
      </c>
      <c r="D15" s="32"/>
      <c r="E15" s="19"/>
      <c r="F15" s="560">
        <v>228844116.75999996</v>
      </c>
      <c r="G15" s="72"/>
      <c r="H15" s="72"/>
      <c r="I15" s="72"/>
      <c r="J15" s="494">
        <v>240756564.97999996</v>
      </c>
      <c r="K15" s="8"/>
    </row>
    <row r="16" spans="1:13">
      <c r="A16" s="5"/>
      <c r="F16" s="561"/>
      <c r="G16" s="34"/>
      <c r="H16" s="34"/>
      <c r="I16" s="34"/>
      <c r="J16" s="497"/>
      <c r="K16" s="8"/>
    </row>
    <row r="17" spans="1:11">
      <c r="A17" s="5"/>
      <c r="B17" s="4" t="s">
        <v>41</v>
      </c>
      <c r="C17" s="87"/>
      <c r="D17"/>
      <c r="E17" s="4"/>
      <c r="F17" s="690">
        <v>7378325.5999999996</v>
      </c>
      <c r="G17" s="34"/>
      <c r="H17" s="34"/>
      <c r="I17" s="34"/>
      <c r="J17" s="497"/>
      <c r="K17" s="8"/>
    </row>
    <row r="18" spans="1:11">
      <c r="A18" s="5"/>
      <c r="B18" s="4" t="s">
        <v>42</v>
      </c>
      <c r="C18" s="4"/>
      <c r="E18" s="4"/>
      <c r="F18" s="690">
        <v>3694466.79</v>
      </c>
      <c r="G18" s="34"/>
      <c r="H18" s="31"/>
      <c r="I18" s="34"/>
      <c r="J18" s="497"/>
      <c r="K18" s="8"/>
    </row>
    <row r="19" spans="1:11">
      <c r="A19" s="5"/>
      <c r="B19" s="4" t="s">
        <v>153</v>
      </c>
      <c r="C19" s="4"/>
      <c r="E19" s="4"/>
      <c r="F19" s="562">
        <v>70332.990000000005</v>
      </c>
      <c r="G19" s="34"/>
      <c r="H19" s="34"/>
      <c r="I19" s="34"/>
      <c r="J19" s="497"/>
      <c r="K19" s="8"/>
    </row>
    <row r="20" spans="1:11">
      <c r="A20" s="5"/>
      <c r="B20" s="19" t="s">
        <v>43</v>
      </c>
      <c r="C20" s="87"/>
      <c r="E20" s="4"/>
      <c r="F20" s="563">
        <v>11143125.380000001</v>
      </c>
      <c r="G20" s="34"/>
      <c r="H20" s="34"/>
      <c r="I20" s="34"/>
      <c r="J20" s="564">
        <v>11843340.139999997</v>
      </c>
      <c r="K20" s="8"/>
    </row>
    <row r="21" spans="1:11">
      <c r="A21" s="5"/>
      <c r="E21" s="4"/>
      <c r="F21" s="561"/>
      <c r="G21" s="34"/>
      <c r="H21" s="34"/>
      <c r="I21" s="34"/>
      <c r="J21" s="497"/>
      <c r="K21" s="8"/>
    </row>
    <row r="22" spans="1:11">
      <c r="A22" s="5"/>
      <c r="B22" s="19" t="s">
        <v>44</v>
      </c>
      <c r="C22" s="99"/>
      <c r="E22" s="4"/>
      <c r="F22" s="563">
        <v>1404158.4899999998</v>
      </c>
      <c r="G22" s="34"/>
      <c r="H22" s="34"/>
      <c r="I22" s="34"/>
      <c r="J22" s="564">
        <v>1508203.9300000009</v>
      </c>
      <c r="K22" s="8"/>
    </row>
    <row r="23" spans="1:11">
      <c r="A23" s="5"/>
      <c r="B23" s="19"/>
      <c r="C23" s="99"/>
      <c r="E23" s="4"/>
      <c r="F23" s="563"/>
      <c r="G23" s="34"/>
      <c r="H23" s="34"/>
      <c r="I23" s="34"/>
      <c r="J23" s="497"/>
      <c r="K23" s="8"/>
    </row>
    <row r="24" spans="1:11">
      <c r="A24" s="5"/>
      <c r="B24" s="19" t="s">
        <v>45</v>
      </c>
      <c r="C24" s="87"/>
      <c r="E24" s="4"/>
      <c r="F24" s="563">
        <v>147457.31</v>
      </c>
      <c r="G24" s="34"/>
      <c r="H24" s="34"/>
      <c r="I24" s="34"/>
      <c r="J24" s="564">
        <v>69108.08</v>
      </c>
      <c r="K24" s="8"/>
    </row>
    <row r="25" spans="1:11">
      <c r="A25" s="5"/>
      <c r="B25" s="21"/>
      <c r="C25" s="4"/>
      <c r="E25" s="4"/>
      <c r="F25" s="562"/>
      <c r="G25" s="34"/>
      <c r="H25" s="34"/>
      <c r="I25" s="34"/>
      <c r="J25" s="564"/>
      <c r="K25" s="8"/>
    </row>
    <row r="26" spans="1:11" s="32" customFormat="1">
      <c r="A26" s="449"/>
      <c r="B26" s="19" t="s">
        <v>16</v>
      </c>
      <c r="C26" s="492">
        <f>'10. Object Type'!G16</f>
        <v>42113</v>
      </c>
      <c r="E26" s="19"/>
      <c r="F26" s="560">
        <v>217553534.06999996</v>
      </c>
      <c r="G26" s="72"/>
      <c r="H26" s="72"/>
      <c r="I26" s="72"/>
      <c r="J26" s="560">
        <v>228844116.75999996</v>
      </c>
      <c r="K26" s="216"/>
    </row>
    <row r="27" spans="1:11" s="32" customFormat="1">
      <c r="A27" s="449"/>
      <c r="B27" s="19"/>
      <c r="C27" s="19"/>
      <c r="E27" s="19"/>
      <c r="F27" s="496"/>
      <c r="G27" s="19"/>
      <c r="H27" s="19"/>
      <c r="I27" s="19"/>
      <c r="J27" s="495"/>
      <c r="K27" s="216"/>
    </row>
    <row r="28" spans="1:11">
      <c r="A28" s="5"/>
      <c r="F28" s="367"/>
      <c r="J28" s="367"/>
      <c r="K28" s="8"/>
    </row>
    <row r="29" spans="1:11">
      <c r="A29" s="5"/>
      <c r="F29" s="367"/>
      <c r="J29" s="367"/>
      <c r="K29" s="8"/>
    </row>
    <row r="30" spans="1:11">
      <c r="A30" s="5"/>
      <c r="B30" s="4" t="s">
        <v>12</v>
      </c>
      <c r="C30" s="4"/>
      <c r="E30" s="4"/>
      <c r="F30" s="97">
        <f>IF(F15=0,0,(F18)/F15*12)</f>
        <v>0.19372838641289966</v>
      </c>
      <c r="G30" s="4"/>
      <c r="H30" s="4"/>
      <c r="I30" s="4"/>
      <c r="J30" s="12"/>
      <c r="K30" s="8"/>
    </row>
    <row r="31" spans="1:11">
      <c r="A31" s="5"/>
      <c r="F31" s="367"/>
      <c r="J31" s="367"/>
      <c r="K31" s="8"/>
    </row>
    <row r="32" spans="1:11">
      <c r="A32" s="5"/>
      <c r="F32" s="367"/>
      <c r="J32" s="367"/>
      <c r="K32" s="8"/>
    </row>
    <row r="33" spans="1:11">
      <c r="A33" s="5"/>
      <c r="F33" s="367"/>
      <c r="J33" s="367"/>
      <c r="K33" s="8"/>
    </row>
    <row r="34" spans="1:11">
      <c r="A34" s="5"/>
      <c r="F34" s="367"/>
      <c r="J34" s="367"/>
      <c r="K34" s="8"/>
    </row>
    <row r="35" spans="1:11">
      <c r="A35" s="5"/>
      <c r="F35" s="367"/>
      <c r="J35" s="367"/>
      <c r="K35" s="8"/>
    </row>
    <row r="36" spans="1:11">
      <c r="A36" s="5"/>
      <c r="F36" s="367"/>
      <c r="J36" s="367"/>
      <c r="K36" s="8"/>
    </row>
    <row r="37" spans="1:11">
      <c r="A37" s="5"/>
      <c r="F37" s="367"/>
      <c r="J37" s="367"/>
      <c r="K37" s="8"/>
    </row>
    <row r="38" spans="1:11">
      <c r="A38" s="5"/>
      <c r="F38" s="367"/>
      <c r="J38" s="367"/>
      <c r="K38" s="8"/>
    </row>
    <row r="39" spans="1:11">
      <c r="A39" s="5"/>
      <c r="F39" s="367"/>
      <c r="J39" s="367"/>
      <c r="K39" s="8"/>
    </row>
    <row r="40" spans="1:11">
      <c r="A40" s="5"/>
      <c r="J40" s="367"/>
      <c r="K40" s="8"/>
    </row>
    <row r="41" spans="1:11">
      <c r="A41" s="5"/>
      <c r="J41" s="367"/>
      <c r="K41" s="8"/>
    </row>
    <row r="42" spans="1:11">
      <c r="A42" s="5"/>
      <c r="J42" s="367"/>
      <c r="K42" s="8"/>
    </row>
    <row r="43" spans="1:11">
      <c r="A43" s="5"/>
      <c r="J43" s="367"/>
      <c r="K43" s="8"/>
    </row>
    <row r="44" spans="1:11">
      <c r="A44" s="5"/>
      <c r="J44" s="367"/>
      <c r="K44" s="8"/>
    </row>
    <row r="45" spans="1:11">
      <c r="A45" s="5"/>
      <c r="J45" s="367"/>
      <c r="K45" s="8"/>
    </row>
    <row r="46" spans="1:11">
      <c r="A46" s="5"/>
      <c r="J46" s="367"/>
      <c r="K46" s="8"/>
    </row>
    <row r="47" spans="1:11" ht="12.75" customHeight="1">
      <c r="A47" s="24"/>
      <c r="B47" s="25"/>
      <c r="C47" s="25"/>
      <c r="D47" s="25"/>
      <c r="E47" s="25"/>
      <c r="F47" s="25"/>
      <c r="G47" s="25"/>
      <c r="H47" s="25"/>
      <c r="I47" s="25"/>
      <c r="J47" s="25"/>
      <c r="K47" s="26"/>
    </row>
  </sheetData>
  <sheetProtection password="8B10" sheet="1" objects="1" scenarios="1"/>
  <phoneticPr fontId="2" type="noConversion"/>
  <pageMargins left="0.70866141732283472" right="0.70866141732283472" top="1.0236220472440944" bottom="1.0236220472440944" header="0.39370078740157483" footer="0.39370078740157483"/>
  <pageSetup paperSize="9" scale="72" orientation="landscape" r:id="rId1"/>
  <headerFooter alignWithMargins="0">
    <oddFooter>&amp;L&amp;"Frutiger 57Cn,Standard"&amp;8
Santander Consumer Bank AG
Santander-Platz 1
41061 Mönchengladbach
Tel.: +49 180 / 5556 - 499
Fax.: +49 180 / 5556 - 498</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M47"/>
  <sheetViews>
    <sheetView view="pageBreakPreview" zoomScale="75" zoomScaleNormal="100" zoomScaleSheetLayoutView="70" workbookViewId="0">
      <selection activeCell="B3" sqref="B3"/>
    </sheetView>
  </sheetViews>
  <sheetFormatPr defaultRowHeight="12.75"/>
  <cols>
    <col min="1" max="1" width="1.28515625" style="4" customWidth="1"/>
    <col min="2" max="2" width="50.7109375" style="4" customWidth="1"/>
    <col min="3" max="3" width="14.85546875" style="4" customWidth="1"/>
    <col min="4" max="4" width="21.42578125" style="4" bestFit="1" customWidth="1"/>
    <col min="5" max="5" width="4.7109375" style="4" customWidth="1"/>
    <col min="6" max="6" width="18.7109375" style="4" customWidth="1"/>
    <col min="7" max="7" width="4.7109375" style="4" customWidth="1"/>
    <col min="8" max="8" width="16.85546875" style="4" customWidth="1"/>
    <col min="9" max="9" width="4.7109375" style="4" customWidth="1"/>
    <col min="10" max="10" width="16.5703125" style="4" customWidth="1"/>
    <col min="11" max="11" width="1.28515625" style="4" customWidth="1"/>
    <col min="12" max="256" width="11.42578125" style="4" customWidth="1"/>
    <col min="257" max="16384" width="9.140625" style="4"/>
  </cols>
  <sheetData>
    <row r="1" spans="1:13" ht="6" customHeight="1">
      <c r="A1" s="1"/>
      <c r="B1" s="2"/>
      <c r="C1" s="2"/>
      <c r="D1" s="2"/>
      <c r="E1" s="2"/>
      <c r="F1" s="2"/>
      <c r="G1" s="2"/>
      <c r="H1" s="2"/>
      <c r="I1" s="2"/>
      <c r="J1" s="2"/>
      <c r="K1" s="3"/>
    </row>
    <row r="2" spans="1:13" ht="18">
      <c r="A2" s="5"/>
      <c r="B2" s="7" t="str">
        <f>'Cover Sheet'!B2</f>
        <v>SC Germany Auto 10-1</v>
      </c>
      <c r="C2" s="7"/>
      <c r="D2" s="108" t="s">
        <v>54</v>
      </c>
      <c r="E2" s="109"/>
      <c r="F2" s="110">
        <f>'Cover Sheet'!F2</f>
        <v>41191</v>
      </c>
      <c r="G2" s="109"/>
      <c r="H2" s="109"/>
      <c r="I2" s="109"/>
      <c r="J2" s="111"/>
      <c r="K2" s="8"/>
      <c r="L2" s="9"/>
    </row>
    <row r="3" spans="1:13" ht="18">
      <c r="A3" s="5"/>
      <c r="B3" s="7" t="str">
        <f>'Cover Sheet'!B3</f>
        <v>Monthly Investor Report</v>
      </c>
      <c r="C3" s="7"/>
      <c r="D3" s="112" t="s">
        <v>4</v>
      </c>
      <c r="E3" s="113"/>
      <c r="F3" s="114">
        <f>'Cover Sheet'!F3</f>
        <v>41197</v>
      </c>
      <c r="G3" s="113"/>
      <c r="H3" s="113"/>
      <c r="I3" s="113"/>
      <c r="J3" s="115"/>
      <c r="K3" s="8"/>
      <c r="L3" s="10"/>
    </row>
    <row r="4" spans="1:13">
      <c r="A4" s="5"/>
      <c r="B4" s="11"/>
      <c r="C4" s="12"/>
      <c r="D4" s="112" t="s">
        <v>5</v>
      </c>
      <c r="E4" s="113"/>
      <c r="F4" s="122">
        <f>'Cover Sheet'!F4</f>
        <v>27</v>
      </c>
      <c r="G4" s="113"/>
      <c r="H4" s="117"/>
      <c r="I4" s="113"/>
      <c r="J4" s="118"/>
      <c r="K4" s="8"/>
      <c r="L4" s="9"/>
    </row>
    <row r="5" spans="1:13" ht="18">
      <c r="A5" s="5"/>
      <c r="B5" s="14" t="s">
        <v>48</v>
      </c>
      <c r="C5" s="14"/>
      <c r="D5" s="112" t="s">
        <v>3</v>
      </c>
      <c r="E5" s="113"/>
      <c r="F5" s="123">
        <f>'Cover Sheet'!F5</f>
        <v>41197</v>
      </c>
      <c r="G5" s="113"/>
      <c r="H5" s="117"/>
      <c r="I5" s="113"/>
      <c r="J5" s="118"/>
      <c r="K5" s="8"/>
      <c r="L5" s="10"/>
    </row>
    <row r="6" spans="1:13" s="27" customFormat="1" ht="15" customHeight="1">
      <c r="A6" s="5"/>
      <c r="B6" s="43"/>
      <c r="C6" s="89"/>
      <c r="D6" s="112" t="str">
        <f>'Cover Sheet'!D6</f>
        <v>Interest Period</v>
      </c>
      <c r="E6" s="116" t="s">
        <v>38</v>
      </c>
      <c r="F6" s="114">
        <f>'Cover Sheet'!F6</f>
        <v>41164</v>
      </c>
      <c r="G6" s="116" t="s">
        <v>6</v>
      </c>
      <c r="H6" s="114">
        <f>'Cover Sheet'!H6</f>
        <v>41197</v>
      </c>
      <c r="I6" s="116" t="s">
        <v>18</v>
      </c>
      <c r="J6" s="542" t="str">
        <f>'Cover Sheet'!J6</f>
        <v>33 days</v>
      </c>
      <c r="K6" s="90"/>
      <c r="M6" s="30"/>
    </row>
    <row r="7" spans="1:13">
      <c r="A7" s="5"/>
      <c r="D7" s="119" t="str">
        <f>'Cover Sheet'!D7</f>
        <v>Collection Period</v>
      </c>
      <c r="E7" s="120" t="s">
        <v>38</v>
      </c>
      <c r="F7" s="121" t="str">
        <f>'Cover Sheet'!F7</f>
        <v>01.09.2012</v>
      </c>
      <c r="G7" s="120" t="s">
        <v>6</v>
      </c>
      <c r="H7" s="121">
        <f>'Cover Sheet'!H7</f>
        <v>41182</v>
      </c>
      <c r="I7" s="543"/>
      <c r="J7" s="544"/>
      <c r="K7" s="8"/>
      <c r="L7" s="10"/>
    </row>
    <row r="8" spans="1:13">
      <c r="A8" s="5"/>
      <c r="D8" s="9"/>
      <c r="E8" s="15"/>
      <c r="F8" s="9"/>
      <c r="H8" s="16"/>
      <c r="J8" s="10"/>
      <c r="K8" s="8"/>
    </row>
    <row r="9" spans="1:13">
      <c r="A9" s="5"/>
      <c r="K9" s="8"/>
    </row>
    <row r="10" spans="1:13">
      <c r="A10" s="5"/>
      <c r="K10" s="8"/>
    </row>
    <row r="11" spans="1:13" ht="18" customHeight="1">
      <c r="A11" s="5"/>
      <c r="K11" s="8"/>
    </row>
    <row r="12" spans="1:13">
      <c r="A12" s="5"/>
      <c r="K12" s="8"/>
    </row>
    <row r="13" spans="1:13" ht="18">
      <c r="A13" s="5"/>
      <c r="B13" s="7" t="s">
        <v>7</v>
      </c>
      <c r="D13" s="17"/>
      <c r="F13" s="15"/>
      <c r="K13" s="8"/>
    </row>
    <row r="14" spans="1:13">
      <c r="A14" s="5"/>
      <c r="B14" s="4" t="s">
        <v>15</v>
      </c>
      <c r="D14" s="102">
        <v>228844181.39999989</v>
      </c>
      <c r="K14" s="8"/>
    </row>
    <row r="15" spans="1:13">
      <c r="A15" s="5"/>
      <c r="B15" s="4" t="s">
        <v>16</v>
      </c>
      <c r="D15" s="102">
        <v>217553623.79999989</v>
      </c>
      <c r="K15" s="8"/>
    </row>
    <row r="16" spans="1:13">
      <c r="A16" s="5"/>
      <c r="D16" s="34"/>
      <c r="K16" s="8"/>
    </row>
    <row r="17" spans="1:11" ht="18">
      <c r="A17" s="5"/>
      <c r="B17" s="7" t="s">
        <v>14</v>
      </c>
      <c r="D17" s="34"/>
      <c r="F17" s="15"/>
      <c r="K17" s="8"/>
    </row>
    <row r="18" spans="1:11">
      <c r="A18" s="5"/>
      <c r="B18" s="19" t="s">
        <v>86</v>
      </c>
      <c r="C18" s="17" t="s">
        <v>11</v>
      </c>
      <c r="D18" s="497"/>
      <c r="F18" s="10" t="s">
        <v>46</v>
      </c>
      <c r="K18" s="8"/>
    </row>
    <row r="19" spans="1:11">
      <c r="A19" s="5"/>
      <c r="B19" s="4" t="s">
        <v>15</v>
      </c>
      <c r="C19" s="97">
        <f>IF(ISNUMBER(D14),D19/D14,"")</f>
        <v>5.9999999982520889E-2</v>
      </c>
      <c r="D19" s="557">
        <v>13730650.880000001</v>
      </c>
      <c r="F19" s="15"/>
      <c r="K19" s="8"/>
    </row>
    <row r="20" spans="1:11">
      <c r="A20" s="5"/>
      <c r="B20" s="4" t="s">
        <v>133</v>
      </c>
      <c r="D20" s="565">
        <v>-677433.45000000112</v>
      </c>
      <c r="F20" s="15"/>
      <c r="K20" s="8"/>
    </row>
    <row r="21" spans="1:11">
      <c r="A21" s="5"/>
      <c r="B21" s="4" t="s">
        <v>134</v>
      </c>
      <c r="D21" s="565">
        <v>0</v>
      </c>
      <c r="F21" s="15"/>
      <c r="K21" s="8"/>
    </row>
    <row r="22" spans="1:11">
      <c r="A22" s="5"/>
      <c r="B22" s="4" t="s">
        <v>16</v>
      </c>
      <c r="C22" s="97">
        <f>IF(ISNUMBER(D22),D22/D15,"")</f>
        <v>6.0000000009193165E-2</v>
      </c>
      <c r="D22" s="557">
        <v>13053217.43</v>
      </c>
      <c r="F22" s="15"/>
      <c r="K22" s="8"/>
    </row>
    <row r="23" spans="1:11">
      <c r="A23" s="5"/>
      <c r="B23" s="4" t="s">
        <v>135</v>
      </c>
      <c r="C23" s="97">
        <f>IF(ISNUMBER(D23),D23/D15,"")</f>
        <v>6.0000000009193165E-2</v>
      </c>
      <c r="D23" s="557">
        <v>13053217.43</v>
      </c>
      <c r="F23" s="15"/>
      <c r="K23" s="8"/>
    </row>
    <row r="24" spans="1:11">
      <c r="A24" s="5"/>
      <c r="D24" s="34"/>
      <c r="F24" s="15"/>
      <c r="K24" s="8"/>
    </row>
    <row r="25" spans="1:11">
      <c r="A25" s="5"/>
      <c r="B25" s="19" t="s">
        <v>13</v>
      </c>
      <c r="C25" s="17" t="s">
        <v>11</v>
      </c>
      <c r="D25" s="497"/>
      <c r="F25" s="15"/>
      <c r="K25" s="8"/>
    </row>
    <row r="26" spans="1:11">
      <c r="A26" s="5"/>
      <c r="B26" s="4" t="s">
        <v>15</v>
      </c>
      <c r="C26" s="104">
        <f>IF(AND(ISNUMBER(D15),ISNUMBER(D26)),D26/D14,"")</f>
        <v>0.10539609350102537</v>
      </c>
      <c r="D26" s="557">
        <v>24119282.739999998</v>
      </c>
      <c r="F26" s="15" t="s">
        <v>577</v>
      </c>
      <c r="K26" s="8"/>
    </row>
    <row r="27" spans="1:11">
      <c r="A27" s="5"/>
      <c r="B27" s="4" t="s">
        <v>133</v>
      </c>
      <c r="C27" s="104"/>
      <c r="D27" s="557">
        <v>1362940.3199999966</v>
      </c>
      <c r="F27" s="15"/>
      <c r="K27" s="8"/>
    </row>
    <row r="28" spans="1:11">
      <c r="A28" s="5"/>
      <c r="B28" s="4" t="s">
        <v>134</v>
      </c>
      <c r="C28" s="104"/>
      <c r="D28" s="557">
        <v>0</v>
      </c>
      <c r="F28" s="15"/>
      <c r="K28" s="8"/>
    </row>
    <row r="29" spans="1:11">
      <c r="A29" s="5"/>
      <c r="B29" s="4" t="s">
        <v>16</v>
      </c>
      <c r="C29" s="104">
        <f>IF(AND(ISNUMBER(D15),ISNUMBER(D29)),D29/D15,"")</f>
        <v>0.10460107270343715</v>
      </c>
      <c r="D29" s="557">
        <v>22756342.420000002</v>
      </c>
      <c r="F29" s="15"/>
      <c r="K29" s="8"/>
    </row>
    <row r="30" spans="1:11">
      <c r="A30" s="5"/>
      <c r="B30" s="4" t="s">
        <v>136</v>
      </c>
      <c r="C30" s="104"/>
      <c r="D30" s="557">
        <v>22756342.420000002</v>
      </c>
      <c r="F30" s="15"/>
      <c r="K30" s="8"/>
    </row>
    <row r="31" spans="1:11">
      <c r="A31" s="5"/>
      <c r="B31" s="21"/>
      <c r="D31" s="566"/>
      <c r="F31" s="15"/>
      <c r="K31" s="8"/>
    </row>
    <row r="32" spans="1:11">
      <c r="A32" s="5"/>
      <c r="B32" s="19" t="s">
        <v>58</v>
      </c>
      <c r="C32" s="17" t="s">
        <v>11</v>
      </c>
      <c r="D32" s="497"/>
      <c r="F32" s="15"/>
      <c r="K32" s="8"/>
    </row>
    <row r="33" spans="1:11">
      <c r="A33" s="5"/>
      <c r="B33" s="4" t="s">
        <v>15</v>
      </c>
      <c r="C33" s="104">
        <f>IF(AND(ISNUMBER(D15),ISNUMBER(D33)),D33/D14,"")</f>
        <v>6.5118107477475098E-4</v>
      </c>
      <c r="D33" s="557">
        <v>149019</v>
      </c>
      <c r="F33" s="15" t="s">
        <v>577</v>
      </c>
      <c r="H33" s="96"/>
      <c r="K33" s="8"/>
    </row>
    <row r="34" spans="1:11">
      <c r="A34" s="5"/>
      <c r="B34" s="4" t="s">
        <v>133</v>
      </c>
      <c r="C34" s="104"/>
      <c r="D34" s="557">
        <v>0</v>
      </c>
      <c r="F34" s="15"/>
      <c r="H34" s="96"/>
      <c r="K34" s="8"/>
    </row>
    <row r="35" spans="1:11">
      <c r="A35" s="5"/>
      <c r="B35" s="4" t="s">
        <v>134</v>
      </c>
      <c r="C35" s="104"/>
      <c r="D35" s="557">
        <v>488854.63</v>
      </c>
      <c r="F35" s="15"/>
      <c r="H35" s="96"/>
      <c r="K35" s="8"/>
    </row>
    <row r="36" spans="1:11">
      <c r="A36" s="5"/>
      <c r="B36" s="4" t="s">
        <v>16</v>
      </c>
      <c r="C36" s="104">
        <f>IF(AND(ISNUMBER(D15),ISNUMBER(D36)),D36/D15,"")</f>
        <v>2.9320294411018691E-3</v>
      </c>
      <c r="D36" s="557">
        <v>637873.63</v>
      </c>
      <c r="F36" s="15"/>
      <c r="H36" s="96"/>
      <c r="K36" s="8"/>
    </row>
    <row r="37" spans="1:11">
      <c r="A37" s="5"/>
      <c r="B37" s="4" t="s">
        <v>137</v>
      </c>
      <c r="D37" s="557">
        <v>637873.63</v>
      </c>
      <c r="F37" s="22"/>
      <c r="K37" s="8"/>
    </row>
    <row r="38" spans="1:11">
      <c r="A38" s="5"/>
      <c r="F38" s="22"/>
      <c r="K38" s="8"/>
    </row>
    <row r="39" spans="1:11">
      <c r="A39" s="5"/>
      <c r="B39" s="34" t="s">
        <v>230</v>
      </c>
      <c r="C39" s="18"/>
      <c r="D39" s="557">
        <v>637873.63</v>
      </c>
      <c r="F39" s="22"/>
      <c r="K39" s="8"/>
    </row>
    <row r="40" spans="1:11">
      <c r="A40" s="5"/>
      <c r="B40" s="4" t="s">
        <v>454</v>
      </c>
      <c r="D40" s="557">
        <f>D39/'1. Portfolio Information'!C26</f>
        <v>15.146715503526227</v>
      </c>
      <c r="F40" s="22"/>
      <c r="K40" s="8"/>
    </row>
    <row r="41" spans="1:11">
      <c r="A41" s="5"/>
      <c r="B41" s="34" t="s">
        <v>455</v>
      </c>
      <c r="D41" s="744">
        <f>D39/'1. Portfolio Information'!F26</f>
        <v>2.9320306504180159E-3</v>
      </c>
      <c r="F41" s="22"/>
      <c r="K41" s="8"/>
    </row>
    <row r="42" spans="1:11">
      <c r="A42" s="5"/>
      <c r="B42" s="34"/>
      <c r="F42" s="22"/>
      <c r="K42" s="8"/>
    </row>
    <row r="43" spans="1:11">
      <c r="A43" s="5"/>
      <c r="B43" s="34"/>
      <c r="F43" s="22"/>
      <c r="K43" s="8"/>
    </row>
    <row r="44" spans="1:11">
      <c r="A44" s="5"/>
      <c r="F44" s="22"/>
      <c r="K44" s="8"/>
    </row>
    <row r="45" spans="1:11">
      <c r="A45" s="5"/>
      <c r="F45" s="22"/>
      <c r="K45" s="8"/>
    </row>
    <row r="46" spans="1:11">
      <c r="A46" s="5"/>
      <c r="F46" s="22"/>
      <c r="K46" s="8"/>
    </row>
    <row r="47" spans="1:11" ht="12.75" customHeight="1">
      <c r="A47" s="24"/>
      <c r="B47" s="25"/>
      <c r="C47" s="25"/>
      <c r="D47" s="25"/>
      <c r="E47" s="25"/>
      <c r="F47" s="25"/>
      <c r="G47" s="25"/>
      <c r="H47" s="25"/>
      <c r="I47" s="25"/>
      <c r="J47" s="25"/>
      <c r="K47" s="26"/>
    </row>
  </sheetData>
  <sheetProtection password="8B10" sheet="1" objects="1" scenarios="1"/>
  <phoneticPr fontId="2" type="noConversion"/>
  <pageMargins left="0.70866141732283472" right="0.70866141732283472" top="1.0236220472440944" bottom="1.0236220472440944" header="0.39370078740157483" footer="0.39370078740157483"/>
  <pageSetup paperSize="9" scale="73" orientation="landscape" r:id="rId1"/>
  <headerFooter alignWithMargins="0">
    <oddFooter>&amp;L&amp;"Frutiger 57Cn,Standard"&amp;8
Santander Consumer Bank AG
Santander-Platz 1
41061 Mönchengladbach
Tel.: +49 180 / 5556 - 499
Fax.: +49 180 / 5556 - 498</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62"/>
  <sheetViews>
    <sheetView view="pageBreakPreview" zoomScale="70" zoomScaleNormal="85" zoomScaleSheetLayoutView="55" workbookViewId="0">
      <selection activeCell="B3" sqref="B3"/>
    </sheetView>
  </sheetViews>
  <sheetFormatPr defaultRowHeight="12.75"/>
  <cols>
    <col min="1" max="1" width="1.28515625" style="600" customWidth="1"/>
    <col min="2" max="2" width="55.140625" style="600" customWidth="1"/>
    <col min="3" max="3" width="8.7109375" style="600" customWidth="1"/>
    <col min="4" max="4" width="19.5703125" style="600" customWidth="1"/>
    <col min="5" max="5" width="6.85546875" style="600" customWidth="1"/>
    <col min="6" max="6" width="18.7109375" style="600" customWidth="1"/>
    <col min="7" max="7" width="2.85546875" style="600" customWidth="1"/>
    <col min="8" max="8" width="21.5703125" style="600" customWidth="1"/>
    <col min="9" max="9" width="2.85546875" style="600" customWidth="1"/>
    <col min="10" max="10" width="13.5703125" style="600" customWidth="1"/>
    <col min="11" max="11" width="4.7109375" style="600" customWidth="1"/>
    <col min="12" max="12" width="2.85546875" style="600" customWidth="1"/>
    <col min="13" max="13" width="4.7109375" style="600" customWidth="1"/>
    <col min="14" max="14" width="18.7109375" style="600" customWidth="1"/>
    <col min="15" max="15" width="2" style="600" customWidth="1"/>
    <col min="16" max="256" width="11.42578125" style="600" customWidth="1"/>
    <col min="257" max="16384" width="9.140625" style="600"/>
  </cols>
  <sheetData>
    <row r="1" spans="1:15" ht="6" customHeight="1">
      <c r="A1" s="596"/>
      <c r="B1" s="597"/>
      <c r="C1" s="597"/>
      <c r="D1" s="597"/>
      <c r="E1" s="597"/>
      <c r="F1" s="597"/>
      <c r="G1" s="597"/>
      <c r="H1" s="597"/>
      <c r="I1" s="597"/>
      <c r="J1" s="597"/>
      <c r="K1" s="597"/>
      <c r="L1" s="598"/>
      <c r="M1" s="599"/>
    </row>
    <row r="2" spans="1:15" ht="18">
      <c r="A2" s="599"/>
      <c r="B2" s="601" t="str">
        <f>'Cover Sheet'!B2</f>
        <v>SC Germany Auto 10-1</v>
      </c>
      <c r="C2" s="601"/>
      <c r="D2" s="602" t="s">
        <v>54</v>
      </c>
      <c r="E2" s="603"/>
      <c r="F2" s="604">
        <f>'Cover Sheet'!F2</f>
        <v>41191</v>
      </c>
      <c r="G2" s="603"/>
      <c r="H2" s="603"/>
      <c r="I2" s="603"/>
      <c r="J2" s="603"/>
      <c r="K2" s="605"/>
      <c r="L2" s="606"/>
      <c r="M2" s="599"/>
    </row>
    <row r="3" spans="1:15" ht="18">
      <c r="A3" s="599"/>
      <c r="B3" s="601" t="str">
        <f>'Cover Sheet'!B3</f>
        <v>Monthly Investor Report</v>
      </c>
      <c r="C3" s="601"/>
      <c r="D3" s="607" t="s">
        <v>4</v>
      </c>
      <c r="E3" s="608"/>
      <c r="F3" s="609">
        <f>'Cover Sheet'!F3</f>
        <v>41197</v>
      </c>
      <c r="G3" s="608"/>
      <c r="H3" s="608"/>
      <c r="I3" s="608"/>
      <c r="J3" s="608"/>
      <c r="K3" s="610"/>
      <c r="L3" s="606"/>
      <c r="M3" s="599"/>
    </row>
    <row r="4" spans="1:15">
      <c r="A4" s="599"/>
      <c r="B4" s="611"/>
      <c r="C4" s="612"/>
      <c r="D4" s="607" t="s">
        <v>5</v>
      </c>
      <c r="E4" s="608"/>
      <c r="F4" s="613">
        <f>'Cover Sheet'!F4</f>
        <v>27</v>
      </c>
      <c r="G4" s="608"/>
      <c r="H4" s="614"/>
      <c r="I4" s="608"/>
      <c r="J4" s="615"/>
      <c r="K4" s="610"/>
      <c r="L4" s="616"/>
      <c r="M4" s="599"/>
    </row>
    <row r="5" spans="1:15" ht="18">
      <c r="A5" s="599"/>
      <c r="B5" s="617" t="s">
        <v>304</v>
      </c>
      <c r="C5" s="617"/>
      <c r="D5" s="607" t="s">
        <v>3</v>
      </c>
      <c r="E5" s="608"/>
      <c r="F5" s="123">
        <f>'Cover Sheet'!F5</f>
        <v>41197</v>
      </c>
      <c r="G5" s="608"/>
      <c r="H5" s="614"/>
      <c r="I5" s="608"/>
      <c r="J5" s="615"/>
      <c r="K5" s="610"/>
      <c r="L5" s="616"/>
      <c r="M5" s="599"/>
    </row>
    <row r="6" spans="1:15" s="624" customFormat="1" ht="15" customHeight="1">
      <c r="A6" s="599"/>
      <c r="B6" s="618"/>
      <c r="C6" s="619"/>
      <c r="D6" s="607" t="s">
        <v>55</v>
      </c>
      <c r="E6" s="615" t="s">
        <v>38</v>
      </c>
      <c r="F6" s="609">
        <f>'Cover Sheet'!F6</f>
        <v>41164</v>
      </c>
      <c r="G6" s="615" t="s">
        <v>6</v>
      </c>
      <c r="H6" s="609">
        <f>'Cover Sheet'!H6</f>
        <v>41197</v>
      </c>
      <c r="I6" s="615" t="s">
        <v>18</v>
      </c>
      <c r="J6" s="620" t="str">
        <f>'Cover Sheet'!J6</f>
        <v>33 days</v>
      </c>
      <c r="K6" s="621"/>
      <c r="L6" s="622"/>
      <c r="M6" s="599"/>
      <c r="N6" s="600"/>
      <c r="O6" s="623"/>
    </row>
    <row r="7" spans="1:15">
      <c r="A7" s="599"/>
      <c r="D7" s="625" t="s">
        <v>260</v>
      </c>
      <c r="E7" s="626" t="s">
        <v>38</v>
      </c>
      <c r="F7" s="627" t="str">
        <f>'Cover Sheet'!F7</f>
        <v>01.09.2012</v>
      </c>
      <c r="G7" s="626" t="s">
        <v>6</v>
      </c>
      <c r="H7" s="627">
        <f>'Cover Sheet'!H7</f>
        <v>41182</v>
      </c>
      <c r="I7" s="628"/>
      <c r="J7" s="628"/>
      <c r="K7" s="629"/>
      <c r="L7" s="606"/>
      <c r="M7" s="599"/>
    </row>
    <row r="8" spans="1:15">
      <c r="A8" s="599"/>
      <c r="F8" s="630"/>
      <c r="G8" s="631"/>
      <c r="H8" s="632"/>
      <c r="J8" s="633"/>
      <c r="L8" s="634"/>
      <c r="M8" s="599"/>
      <c r="N8" s="623"/>
    </row>
    <row r="9" spans="1:15">
      <c r="A9" s="599"/>
      <c r="F9" s="612"/>
      <c r="L9" s="635"/>
      <c r="M9" s="599"/>
    </row>
    <row r="10" spans="1:15">
      <c r="A10" s="599"/>
      <c r="F10" s="636"/>
      <c r="L10" s="635"/>
      <c r="M10" s="599"/>
    </row>
    <row r="11" spans="1:15" ht="18" customHeight="1">
      <c r="A11" s="599"/>
      <c r="F11" s="612"/>
      <c r="L11" s="635"/>
      <c r="M11" s="599"/>
    </row>
    <row r="12" spans="1:15">
      <c r="A12" s="599"/>
      <c r="F12" s="612"/>
      <c r="L12" s="635"/>
      <c r="M12" s="599"/>
    </row>
    <row r="13" spans="1:15" ht="18">
      <c r="A13" s="599"/>
      <c r="B13" s="601" t="s">
        <v>7</v>
      </c>
      <c r="F13" s="637"/>
      <c r="H13" s="601"/>
      <c r="J13" s="638"/>
      <c r="K13" s="638"/>
      <c r="L13" s="639"/>
      <c r="M13" s="640"/>
      <c r="N13" s="638"/>
    </row>
    <row r="14" spans="1:15">
      <c r="A14" s="599"/>
      <c r="B14" s="600" t="s">
        <v>15</v>
      </c>
      <c r="D14" s="641">
        <f>'2. Reserve Accounts'!D14</f>
        <v>228844181.39999989</v>
      </c>
      <c r="J14" s="638"/>
      <c r="K14" s="638"/>
      <c r="L14" s="642"/>
      <c r="M14" s="640"/>
      <c r="N14" s="638"/>
    </row>
    <row r="15" spans="1:15">
      <c r="A15" s="599"/>
      <c r="B15" s="600" t="s">
        <v>16</v>
      </c>
      <c r="D15" s="641">
        <f>'2. Reserve Accounts'!D15</f>
        <v>217553623.79999989</v>
      </c>
      <c r="J15" s="638"/>
      <c r="K15" s="638"/>
      <c r="L15" s="642"/>
      <c r="M15" s="640"/>
      <c r="N15" s="638"/>
    </row>
    <row r="16" spans="1:15">
      <c r="A16" s="599"/>
      <c r="F16" s="641"/>
      <c r="J16" s="638"/>
      <c r="K16" s="638"/>
      <c r="L16" s="642"/>
      <c r="M16" s="640"/>
      <c r="N16" s="638"/>
    </row>
    <row r="17" spans="1:14" ht="26.25">
      <c r="A17" s="599"/>
      <c r="B17" s="643" t="s">
        <v>305</v>
      </c>
      <c r="C17" s="644"/>
      <c r="D17" s="645" t="s">
        <v>306</v>
      </c>
      <c r="E17" s="645"/>
      <c r="F17" s="646" t="s">
        <v>307</v>
      </c>
      <c r="G17" s="646"/>
      <c r="H17" s="647" t="s">
        <v>308</v>
      </c>
      <c r="J17" s="645" t="s">
        <v>309</v>
      </c>
      <c r="K17" s="638"/>
      <c r="L17" s="648"/>
      <c r="M17" s="640"/>
      <c r="N17" s="645"/>
    </row>
    <row r="18" spans="1:14" ht="12.75" customHeight="1">
      <c r="A18" s="599"/>
      <c r="B18" s="601"/>
      <c r="C18" s="644"/>
      <c r="D18" s="644"/>
      <c r="E18" s="644"/>
      <c r="F18" s="637"/>
      <c r="G18" s="637"/>
      <c r="H18" s="644"/>
      <c r="J18" s="645"/>
      <c r="K18" s="638"/>
      <c r="L18" s="648"/>
      <c r="M18" s="640"/>
      <c r="N18" s="645"/>
    </row>
    <row r="19" spans="1:14">
      <c r="A19" s="599"/>
      <c r="B19" s="649"/>
      <c r="K19" s="638"/>
      <c r="L19" s="642"/>
      <c r="M19" s="640"/>
      <c r="N19" s="638"/>
    </row>
    <row r="20" spans="1:14">
      <c r="A20" s="599"/>
      <c r="B20" s="650" t="s">
        <v>310</v>
      </c>
      <c r="D20" s="745">
        <f>IF(ISERROR((SUM(F21:F23)/3)/$D$14),"n/a",(SUM(F21:F23)/3)/$D$14)</f>
        <v>6.752922391177159E-3</v>
      </c>
      <c r="E20" s="638"/>
      <c r="F20" s="663"/>
      <c r="G20" s="638"/>
      <c r="H20" s="746"/>
      <c r="I20" s="638"/>
      <c r="J20" s="638"/>
      <c r="K20" s="638"/>
      <c r="L20" s="642"/>
      <c r="M20" s="640"/>
      <c r="N20" s="638"/>
    </row>
    <row r="21" spans="1:14">
      <c r="A21" s="599"/>
      <c r="B21" s="638" t="s">
        <v>311</v>
      </c>
      <c r="C21" s="638"/>
      <c r="D21" s="638"/>
      <c r="E21" s="638"/>
      <c r="F21" s="653">
        <v>1650031.66</v>
      </c>
      <c r="G21" s="638"/>
      <c r="H21" s="746">
        <v>143585.17000000001</v>
      </c>
      <c r="I21" s="638"/>
      <c r="J21" s="638">
        <v>228</v>
      </c>
      <c r="K21" s="638"/>
      <c r="L21" s="642"/>
      <c r="M21" s="640"/>
      <c r="N21" s="638"/>
    </row>
    <row r="22" spans="1:14">
      <c r="A22" s="599"/>
      <c r="B22" s="638" t="s">
        <v>312</v>
      </c>
      <c r="C22" s="638"/>
      <c r="D22" s="638"/>
      <c r="E22" s="638"/>
      <c r="F22" s="653">
        <v>1739281.39</v>
      </c>
      <c r="G22" s="638"/>
      <c r="H22" s="746">
        <v>133166.84</v>
      </c>
      <c r="I22" s="638"/>
      <c r="J22" s="638">
        <v>229</v>
      </c>
      <c r="K22" s="638"/>
      <c r="L22" s="642"/>
      <c r="M22" s="640"/>
      <c r="N22" s="638"/>
    </row>
    <row r="23" spans="1:14">
      <c r="A23" s="599"/>
      <c r="B23" s="638" t="s">
        <v>313</v>
      </c>
      <c r="C23" s="638"/>
      <c r="D23" s="747">
        <f>IF(ISERROR(F23/$D$14),"n/a",F23/$D$14)</f>
        <v>5.4481959400170289E-3</v>
      </c>
      <c r="E23" s="638"/>
      <c r="F23" s="653">
        <v>1246787.94</v>
      </c>
      <c r="G23" s="638"/>
      <c r="H23" s="746">
        <v>79535.289999999994</v>
      </c>
      <c r="I23" s="638"/>
      <c r="J23" s="638">
        <v>176</v>
      </c>
      <c r="K23" s="638"/>
      <c r="L23" s="642"/>
      <c r="M23" s="640"/>
      <c r="N23" s="638"/>
    </row>
    <row r="24" spans="1:14">
      <c r="A24" s="599"/>
      <c r="B24" s="649"/>
      <c r="D24" s="638"/>
      <c r="E24" s="638"/>
      <c r="F24" s="653"/>
      <c r="G24" s="638"/>
      <c r="H24" s="746"/>
      <c r="I24" s="638"/>
      <c r="J24" s="638"/>
      <c r="K24" s="638"/>
      <c r="L24" s="642"/>
      <c r="M24" s="640"/>
      <c r="N24" s="638"/>
    </row>
    <row r="25" spans="1:14">
      <c r="A25" s="599"/>
      <c r="B25" s="650" t="s">
        <v>161</v>
      </c>
      <c r="C25" s="654"/>
      <c r="D25" s="655">
        <f>IF(ISERROR((SUM($F$26:$F$28)/3)/$D$14),"n/a",(SUM($F$26:$F$28)/3)/$D$14)</f>
        <v>2.3999075993111543E-3</v>
      </c>
      <c r="E25" s="674"/>
      <c r="F25" s="647"/>
      <c r="G25" s="674"/>
      <c r="H25" s="638"/>
      <c r="I25" s="674"/>
      <c r="J25" s="638"/>
      <c r="K25" s="657"/>
      <c r="L25" s="658"/>
      <c r="M25" s="659"/>
      <c r="N25" s="655"/>
    </row>
    <row r="26" spans="1:14">
      <c r="A26" s="599"/>
      <c r="B26" s="600" t="s">
        <v>166</v>
      </c>
      <c r="D26" s="638"/>
      <c r="E26" s="638"/>
      <c r="F26" s="653">
        <v>561993.80000000005</v>
      </c>
      <c r="G26" s="638"/>
      <c r="H26" s="746">
        <v>40227.120000000003</v>
      </c>
      <c r="I26" s="638"/>
      <c r="J26" s="638">
        <v>69</v>
      </c>
      <c r="K26" s="657"/>
      <c r="L26" s="660"/>
      <c r="M26" s="659"/>
      <c r="N26" s="661"/>
    </row>
    <row r="27" spans="1:14">
      <c r="A27" s="599"/>
      <c r="B27" s="600" t="s">
        <v>167</v>
      </c>
      <c r="D27" s="638"/>
      <c r="E27" s="638"/>
      <c r="F27" s="653">
        <v>580115.79</v>
      </c>
      <c r="G27" s="638"/>
      <c r="H27" s="746">
        <v>49489.14</v>
      </c>
      <c r="I27" s="638"/>
      <c r="J27" s="638">
        <v>88</v>
      </c>
      <c r="K27" s="638"/>
      <c r="L27" s="642"/>
      <c r="M27" s="640"/>
      <c r="N27" s="638"/>
    </row>
    <row r="28" spans="1:14">
      <c r="A28" s="599"/>
      <c r="B28" s="600" t="s">
        <v>168</v>
      </c>
      <c r="D28" s="747">
        <f>IF(ISERROR($F$28/$D$14),"n/a",$F$28/$D$14)</f>
        <v>2.2089488004784388E-3</v>
      </c>
      <c r="E28" s="638"/>
      <c r="F28" s="653">
        <v>505505.08</v>
      </c>
      <c r="G28" s="638"/>
      <c r="H28" s="746">
        <v>63778.17</v>
      </c>
      <c r="I28" s="638"/>
      <c r="J28" s="638">
        <v>69</v>
      </c>
      <c r="K28" s="638"/>
      <c r="L28" s="642"/>
      <c r="M28" s="640"/>
      <c r="N28" s="638"/>
    </row>
    <row r="29" spans="1:14">
      <c r="A29" s="599"/>
      <c r="D29" s="638"/>
      <c r="E29" s="638"/>
      <c r="F29" s="663"/>
      <c r="G29" s="638"/>
      <c r="H29" s="746"/>
      <c r="I29" s="638"/>
      <c r="J29" s="638"/>
      <c r="K29" s="638"/>
      <c r="L29" s="642"/>
      <c r="M29" s="640"/>
      <c r="N29" s="638"/>
    </row>
    <row r="30" spans="1:14">
      <c r="A30" s="599"/>
      <c r="B30" s="650" t="s">
        <v>162</v>
      </c>
      <c r="C30" s="654"/>
      <c r="D30" s="655">
        <f>IF(ISERROR((SUM($F$31:$F$33)/3)/$D$14),"n/a",(SUM($F$31:$F$33)/3)/$D$14)</f>
        <v>1.1430822131155724E-3</v>
      </c>
      <c r="E30" s="674"/>
      <c r="F30" s="647"/>
      <c r="G30" s="674"/>
      <c r="H30" s="746"/>
      <c r="I30" s="674"/>
      <c r="J30" s="655"/>
      <c r="K30" s="657"/>
      <c r="L30" s="658"/>
      <c r="M30" s="659"/>
      <c r="N30" s="655"/>
    </row>
    <row r="31" spans="1:14">
      <c r="A31" s="599"/>
      <c r="B31" s="600" t="s">
        <v>163</v>
      </c>
      <c r="D31" s="638"/>
      <c r="E31" s="638"/>
      <c r="F31" s="653">
        <v>340394.59</v>
      </c>
      <c r="G31" s="638"/>
      <c r="H31" s="746">
        <v>52034.39</v>
      </c>
      <c r="I31" s="638"/>
      <c r="J31" s="638">
        <v>42</v>
      </c>
      <c r="K31" s="657"/>
      <c r="L31" s="642"/>
      <c r="M31" s="659"/>
      <c r="N31" s="661"/>
    </row>
    <row r="32" spans="1:14">
      <c r="A32" s="599"/>
      <c r="B32" s="600" t="s">
        <v>164</v>
      </c>
      <c r="D32" s="638"/>
      <c r="E32" s="638"/>
      <c r="F32" s="653">
        <v>201611.6</v>
      </c>
      <c r="G32" s="638"/>
      <c r="H32" s="746">
        <v>17155.150000000001</v>
      </c>
      <c r="I32" s="638"/>
      <c r="J32" s="638">
        <v>35</v>
      </c>
      <c r="K32" s="638"/>
      <c r="L32" s="642"/>
      <c r="M32" s="640"/>
      <c r="N32" s="638"/>
    </row>
    <row r="33" spans="1:14">
      <c r="A33" s="599"/>
      <c r="B33" s="600" t="s">
        <v>165</v>
      </c>
      <c r="D33" s="747">
        <f>IF(ISERROR($F$33/$D$14),"n/a",$F$33/$D$14)</f>
        <v>1.0607958153660976E-3</v>
      </c>
      <c r="E33" s="638"/>
      <c r="F33" s="653">
        <v>242756.95</v>
      </c>
      <c r="G33" s="638"/>
      <c r="H33" s="746">
        <v>19790.740000000002</v>
      </c>
      <c r="I33" s="638"/>
      <c r="J33" s="638">
        <v>40</v>
      </c>
      <c r="K33" s="638"/>
      <c r="L33" s="642"/>
      <c r="M33" s="640"/>
      <c r="N33" s="638"/>
    </row>
    <row r="34" spans="1:14">
      <c r="A34" s="599"/>
      <c r="D34" s="638"/>
      <c r="E34" s="638"/>
      <c r="F34" s="653"/>
      <c r="G34" s="638"/>
      <c r="H34" s="746"/>
      <c r="I34" s="638"/>
      <c r="J34" s="638"/>
      <c r="K34" s="638"/>
      <c r="L34" s="642"/>
      <c r="M34" s="640"/>
      <c r="N34" s="638"/>
    </row>
    <row r="35" spans="1:14">
      <c r="A35" s="599"/>
      <c r="B35" s="650" t="s">
        <v>266</v>
      </c>
      <c r="C35" s="654"/>
      <c r="D35" s="655">
        <f>IF(ISERROR((SUM($F$36:$F$38)/3)/$D$14),"n/a",(SUM($F$36:$F$38)/3)/$D$14)</f>
        <v>8.2886133338819267E-4</v>
      </c>
      <c r="E35" s="674"/>
      <c r="F35" s="647"/>
      <c r="G35" s="674"/>
      <c r="H35" s="746"/>
      <c r="I35" s="638"/>
      <c r="J35" s="638"/>
      <c r="K35" s="638"/>
      <c r="L35" s="642"/>
      <c r="M35" s="640"/>
      <c r="N35" s="638"/>
    </row>
    <row r="36" spans="1:14">
      <c r="A36" s="599"/>
      <c r="B36" s="600" t="s">
        <v>267</v>
      </c>
      <c r="D36" s="638"/>
      <c r="E36" s="638"/>
      <c r="F36" s="653">
        <v>216082.55</v>
      </c>
      <c r="G36" s="638"/>
      <c r="H36" s="746">
        <v>25420.61</v>
      </c>
      <c r="I36" s="638"/>
      <c r="J36" s="638">
        <v>28</v>
      </c>
      <c r="K36" s="638"/>
      <c r="L36" s="642"/>
      <c r="M36" s="640"/>
      <c r="N36" s="638"/>
    </row>
    <row r="37" spans="1:14">
      <c r="A37" s="599"/>
      <c r="B37" s="600" t="s">
        <v>268</v>
      </c>
      <c r="D37" s="638"/>
      <c r="E37" s="638"/>
      <c r="F37" s="653">
        <v>216154.83</v>
      </c>
      <c r="G37" s="638"/>
      <c r="H37" s="746">
        <v>26411.1</v>
      </c>
      <c r="I37" s="638"/>
      <c r="J37" s="638">
        <v>25</v>
      </c>
      <c r="K37" s="638"/>
      <c r="L37" s="642"/>
      <c r="M37" s="640"/>
      <c r="N37" s="638"/>
    </row>
    <row r="38" spans="1:14">
      <c r="A38" s="599"/>
      <c r="B38" s="600" t="s">
        <v>269</v>
      </c>
      <c r="D38" s="747">
        <f>IF(ISERROR(F38/$D$14),"n/a",F38/$D$14)</f>
        <v>5.9779933736169738E-4</v>
      </c>
      <c r="E38" s="638"/>
      <c r="F38" s="653">
        <v>136802.9</v>
      </c>
      <c r="G38" s="638"/>
      <c r="H38" s="746">
        <v>17706.04</v>
      </c>
      <c r="I38" s="638"/>
      <c r="J38" s="638">
        <v>23</v>
      </c>
      <c r="K38" s="638"/>
      <c r="L38" s="642"/>
      <c r="M38" s="640"/>
      <c r="N38" s="638"/>
    </row>
    <row r="39" spans="1:14">
      <c r="A39" s="599"/>
      <c r="D39" s="638"/>
      <c r="E39" s="638"/>
      <c r="F39" s="653"/>
      <c r="G39" s="638"/>
      <c r="H39" s="746"/>
      <c r="I39" s="638"/>
      <c r="J39" s="638"/>
      <c r="K39" s="638"/>
      <c r="L39" s="642"/>
      <c r="M39" s="640"/>
      <c r="N39" s="638"/>
    </row>
    <row r="40" spans="1:14">
      <c r="A40" s="599"/>
      <c r="B40" s="650" t="s">
        <v>314</v>
      </c>
      <c r="D40" s="745">
        <f>IF(ISERROR((SUM(F41:F43)/3)/$D$14),"n/a",(SUM(F41:F43)/3)/$D$14)</f>
        <v>4.7089139871251594E-4</v>
      </c>
      <c r="E40" s="638"/>
      <c r="F40" s="653"/>
      <c r="G40" s="638"/>
      <c r="H40" s="746"/>
      <c r="I40" s="638"/>
      <c r="J40" s="638"/>
      <c r="K40" s="638"/>
      <c r="L40" s="642"/>
      <c r="M40" s="640"/>
      <c r="N40" s="638"/>
    </row>
    <row r="41" spans="1:14">
      <c r="A41" s="599"/>
      <c r="B41" s="638" t="s">
        <v>315</v>
      </c>
      <c r="C41" s="638"/>
      <c r="D41" s="638"/>
      <c r="E41" s="638"/>
      <c r="F41" s="653">
        <v>120803.01</v>
      </c>
      <c r="G41" s="638"/>
      <c r="H41" s="746">
        <v>13748.87</v>
      </c>
      <c r="I41" s="638"/>
      <c r="J41" s="638">
        <v>13</v>
      </c>
      <c r="K41" s="638"/>
      <c r="L41" s="642"/>
      <c r="M41" s="640"/>
      <c r="N41" s="638"/>
    </row>
    <row r="42" spans="1:14">
      <c r="A42" s="599"/>
      <c r="B42" s="638" t="s">
        <v>316</v>
      </c>
      <c r="C42" s="638"/>
      <c r="D42" s="638"/>
      <c r="E42" s="638"/>
      <c r="F42" s="653">
        <v>68124.92</v>
      </c>
      <c r="G42" s="638"/>
      <c r="H42" s="746">
        <v>6883.14</v>
      </c>
      <c r="I42" s="638"/>
      <c r="J42" s="638">
        <v>10</v>
      </c>
      <c r="K42" s="638"/>
      <c r="L42" s="642"/>
      <c r="M42" s="640"/>
      <c r="N42" s="638"/>
    </row>
    <row r="43" spans="1:14">
      <c r="A43" s="599"/>
      <c r="B43" s="638" t="s">
        <v>317</v>
      </c>
      <c r="C43" s="638"/>
      <c r="D43" s="747">
        <f>IF(ISERROR(F43/$D$14),"n/a",F43/$D$14)</f>
        <v>5.8709965522418155E-4</v>
      </c>
      <c r="E43" s="638"/>
      <c r="F43" s="653">
        <v>134354.34</v>
      </c>
      <c r="G43" s="638"/>
      <c r="H43" s="746">
        <v>20307.46</v>
      </c>
      <c r="I43" s="638"/>
      <c r="J43" s="638">
        <v>14</v>
      </c>
      <c r="K43" s="638"/>
      <c r="L43" s="642"/>
      <c r="M43" s="640"/>
      <c r="N43" s="638"/>
    </row>
    <row r="44" spans="1:14">
      <c r="A44" s="599"/>
      <c r="D44" s="638"/>
      <c r="E44" s="638"/>
      <c r="F44" s="653"/>
      <c r="G44" s="638"/>
      <c r="H44" s="746"/>
      <c r="I44" s="638"/>
      <c r="J44" s="638"/>
      <c r="K44" s="638"/>
      <c r="L44" s="642"/>
      <c r="M44" s="640"/>
      <c r="N44" s="638"/>
    </row>
    <row r="45" spans="1:14">
      <c r="A45" s="599"/>
      <c r="B45" s="650" t="s">
        <v>318</v>
      </c>
      <c r="D45" s="745">
        <f>IF(ISERROR((SUM(F46:F48)/3)/$D$14),"n/a",(SUM(F46:F48)/3)/$D$14)</f>
        <v>8.9438626790155939E-4</v>
      </c>
      <c r="E45" s="638"/>
      <c r="F45" s="653"/>
      <c r="G45" s="638"/>
      <c r="H45" s="746"/>
      <c r="I45" s="638"/>
      <c r="J45" s="638"/>
      <c r="K45" s="638"/>
      <c r="L45" s="642"/>
      <c r="M45" s="640"/>
      <c r="N45" s="638"/>
    </row>
    <row r="46" spans="1:14">
      <c r="A46" s="599"/>
      <c r="B46" s="638" t="s">
        <v>319</v>
      </c>
      <c r="C46" s="638"/>
      <c r="D46" s="638"/>
      <c r="E46" s="638"/>
      <c r="F46" s="653">
        <v>194093.3</v>
      </c>
      <c r="G46" s="638"/>
      <c r="H46" s="746">
        <v>36440.71</v>
      </c>
      <c r="I46" s="638"/>
      <c r="J46" s="638">
        <v>26</v>
      </c>
      <c r="K46" s="638"/>
      <c r="L46" s="642"/>
      <c r="M46" s="640"/>
      <c r="N46" s="638"/>
    </row>
    <row r="47" spans="1:14">
      <c r="A47" s="599"/>
      <c r="B47" s="638" t="s">
        <v>320</v>
      </c>
      <c r="C47" s="638"/>
      <c r="D47" s="638"/>
      <c r="E47" s="638"/>
      <c r="F47" s="653">
        <v>252645.69</v>
      </c>
      <c r="G47" s="638"/>
      <c r="H47" s="746">
        <v>41846.15</v>
      </c>
      <c r="I47" s="638"/>
      <c r="J47" s="638">
        <v>28</v>
      </c>
      <c r="K47" s="638"/>
      <c r="L47" s="642"/>
      <c r="M47" s="640"/>
      <c r="N47" s="638"/>
    </row>
    <row r="48" spans="1:14">
      <c r="A48" s="599"/>
      <c r="B48" s="638" t="s">
        <v>321</v>
      </c>
      <c r="C48" s="638"/>
      <c r="D48" s="747">
        <f>IF(ISERROR(F48/$D$14),"n/a",F48/$D$14)</f>
        <v>7.3100521488723372E-4</v>
      </c>
      <c r="E48" s="638"/>
      <c r="F48" s="653">
        <v>167286.29</v>
      </c>
      <c r="G48" s="638"/>
      <c r="H48" s="746">
        <v>34830.92</v>
      </c>
      <c r="I48" s="638"/>
      <c r="J48" s="638">
        <v>18</v>
      </c>
      <c r="K48" s="638"/>
      <c r="L48" s="642"/>
      <c r="M48" s="640"/>
      <c r="N48" s="638"/>
    </row>
    <row r="49" spans="1:14">
      <c r="A49" s="599"/>
      <c r="F49" s="653"/>
      <c r="H49" s="652"/>
      <c r="J49" s="638"/>
      <c r="K49" s="638"/>
      <c r="L49" s="642"/>
      <c r="M49" s="640"/>
      <c r="N49" s="638"/>
    </row>
    <row r="50" spans="1:14">
      <c r="A50" s="675"/>
      <c r="B50" s="676" t="s">
        <v>17</v>
      </c>
      <c r="C50" s="676"/>
      <c r="D50" s="676"/>
      <c r="E50" s="676"/>
      <c r="F50" s="724"/>
      <c r="G50" s="676"/>
      <c r="H50" s="725"/>
      <c r="I50" s="676"/>
      <c r="J50" s="677"/>
      <c r="K50" s="677"/>
      <c r="L50" s="680"/>
      <c r="M50" s="640"/>
      <c r="N50" s="638"/>
    </row>
    <row r="52" spans="1:14">
      <c r="J52" s="664"/>
    </row>
    <row r="53" spans="1:14">
      <c r="J53" s="664"/>
    </row>
    <row r="55" spans="1:14">
      <c r="C55" s="665"/>
      <c r="D55" s="665"/>
      <c r="E55" s="665"/>
      <c r="F55" s="666"/>
      <c r="H55" s="666"/>
      <c r="J55" s="664"/>
    </row>
    <row r="56" spans="1:14">
      <c r="C56" s="665"/>
      <c r="D56" s="665"/>
      <c r="E56" s="665"/>
      <c r="F56" s="666"/>
      <c r="H56" s="666"/>
    </row>
    <row r="58" spans="1:14">
      <c r="C58" s="665"/>
      <c r="D58" s="665"/>
      <c r="E58" s="665"/>
      <c r="F58" s="665"/>
      <c r="G58" s="665"/>
      <c r="H58" s="665"/>
    </row>
    <row r="60" spans="1:14">
      <c r="B60" s="638"/>
    </row>
    <row r="61" spans="1:14">
      <c r="B61" s="638"/>
    </row>
    <row r="62" spans="1:14">
      <c r="B62" s="638"/>
    </row>
  </sheetData>
  <sheetProtection password="8B10" sheet="1" objects="1" scenarios="1"/>
  <phoneticPr fontId="53" type="noConversion"/>
  <pageMargins left="0.70866141732283472" right="0.70866141732283472" top="1.0236220472440944" bottom="1.0236220472440944" header="0.39370078740157483" footer="0.39370078740157483"/>
  <pageSetup paperSize="9" scale="68" orientation="landscape" r:id="rId1"/>
  <headerFooter alignWithMargins="0">
    <oddFooter>&amp;L&amp;"Frutiger 57Cn,Standard"&amp;8
Santander Consumer Bank AG
Santander-Platz 1
41061 Mönchengladbach
Tel.: +49 180 / 5556 - 499
Fax.: +49 180 / 5556 - 498</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9"/>
  <sheetViews>
    <sheetView view="pageBreakPreview" zoomScale="70" zoomScaleNormal="85" zoomScaleSheetLayoutView="55" workbookViewId="0">
      <selection activeCell="B3" sqref="B3"/>
    </sheetView>
  </sheetViews>
  <sheetFormatPr defaultRowHeight="12.75"/>
  <cols>
    <col min="1" max="1" width="1.28515625" style="600" customWidth="1"/>
    <col min="2" max="2" width="55.140625" style="600" customWidth="1"/>
    <col min="3" max="3" width="8.7109375" style="600" customWidth="1"/>
    <col min="4" max="4" width="19.5703125" style="600" customWidth="1"/>
    <col min="5" max="5" width="7.140625" style="600" customWidth="1"/>
    <col min="6" max="6" width="18.7109375" style="600" customWidth="1"/>
    <col min="7" max="7" width="3.85546875" style="600" customWidth="1"/>
    <col min="8" max="8" width="21.5703125" style="600" customWidth="1"/>
    <col min="9" max="9" width="2.85546875" style="600" customWidth="1"/>
    <col min="10" max="10" width="13.5703125" style="600" customWidth="1"/>
    <col min="11" max="11" width="4.7109375" style="600" customWidth="1"/>
    <col min="12" max="12" width="3.140625" style="600" customWidth="1"/>
    <col min="13" max="13" width="4.7109375" style="600" customWidth="1"/>
    <col min="14" max="14" width="18.7109375" style="600" customWidth="1"/>
    <col min="15" max="15" width="2" style="600" customWidth="1"/>
    <col min="16" max="256" width="11.42578125" style="600" customWidth="1"/>
    <col min="257" max="16384" width="9.140625" style="600"/>
  </cols>
  <sheetData>
    <row r="1" spans="1:15" ht="6" customHeight="1">
      <c r="A1" s="596"/>
      <c r="B1" s="597"/>
      <c r="C1" s="597"/>
      <c r="D1" s="597"/>
      <c r="E1" s="597"/>
      <c r="F1" s="597"/>
      <c r="G1" s="597"/>
      <c r="H1" s="597"/>
      <c r="I1" s="597"/>
      <c r="J1" s="597"/>
      <c r="K1" s="597"/>
      <c r="L1" s="598"/>
    </row>
    <row r="2" spans="1:15" ht="18">
      <c r="A2" s="599"/>
      <c r="B2" s="601" t="str">
        <f>'Cover Sheet'!B2</f>
        <v>SC Germany Auto 10-1</v>
      </c>
      <c r="C2" s="601"/>
      <c r="D2" s="602" t="s">
        <v>54</v>
      </c>
      <c r="E2" s="603"/>
      <c r="F2" s="604">
        <f>'Cover Sheet'!F2</f>
        <v>41191</v>
      </c>
      <c r="G2" s="603"/>
      <c r="H2" s="603"/>
      <c r="I2" s="603"/>
      <c r="J2" s="603"/>
      <c r="K2" s="605"/>
      <c r="L2" s="642"/>
    </row>
    <row r="3" spans="1:15" ht="18">
      <c r="A3" s="599"/>
      <c r="B3" s="601" t="str">
        <f>'Cover Sheet'!B3</f>
        <v>Monthly Investor Report</v>
      </c>
      <c r="C3" s="601"/>
      <c r="D3" s="607" t="s">
        <v>4</v>
      </c>
      <c r="E3" s="608"/>
      <c r="F3" s="609">
        <f>'Cover Sheet'!F3</f>
        <v>41197</v>
      </c>
      <c r="G3" s="608"/>
      <c r="H3" s="608"/>
      <c r="I3" s="608"/>
      <c r="J3" s="608"/>
      <c r="K3" s="610"/>
      <c r="L3" s="642"/>
    </row>
    <row r="4" spans="1:15">
      <c r="A4" s="599"/>
      <c r="B4" s="611"/>
      <c r="C4" s="612"/>
      <c r="D4" s="607" t="s">
        <v>5</v>
      </c>
      <c r="E4" s="608"/>
      <c r="F4" s="613">
        <f>'Cover Sheet'!F4</f>
        <v>27</v>
      </c>
      <c r="G4" s="608"/>
      <c r="H4" s="614"/>
      <c r="I4" s="608"/>
      <c r="J4" s="615"/>
      <c r="K4" s="610"/>
      <c r="L4" s="668"/>
    </row>
    <row r="5" spans="1:15" ht="18">
      <c r="A5" s="599"/>
      <c r="B5" s="617" t="s">
        <v>322</v>
      </c>
      <c r="C5" s="617"/>
      <c r="D5" s="607" t="s">
        <v>3</v>
      </c>
      <c r="E5" s="608"/>
      <c r="F5" s="123">
        <f>'Cover Sheet'!F5</f>
        <v>41197</v>
      </c>
      <c r="G5" s="608"/>
      <c r="H5" s="614"/>
      <c r="I5" s="608"/>
      <c r="J5" s="615"/>
      <c r="K5" s="610"/>
      <c r="L5" s="668"/>
    </row>
    <row r="6" spans="1:15" s="624" customFormat="1" ht="15" customHeight="1">
      <c r="A6" s="599"/>
      <c r="B6" s="618"/>
      <c r="C6" s="619"/>
      <c r="D6" s="607" t="s">
        <v>55</v>
      </c>
      <c r="E6" s="615" t="s">
        <v>38</v>
      </c>
      <c r="F6" s="609">
        <f>'Cover Sheet'!F6</f>
        <v>41164</v>
      </c>
      <c r="G6" s="615" t="s">
        <v>6</v>
      </c>
      <c r="H6" s="609">
        <f>'Cover Sheet'!H6</f>
        <v>41197</v>
      </c>
      <c r="I6" s="615" t="s">
        <v>18</v>
      </c>
      <c r="J6" s="620" t="str">
        <f>'Cover Sheet'!J6</f>
        <v>33 days</v>
      </c>
      <c r="K6" s="621"/>
      <c r="L6" s="669"/>
      <c r="M6" s="600"/>
      <c r="N6" s="600"/>
      <c r="O6" s="623"/>
    </row>
    <row r="7" spans="1:15">
      <c r="A7" s="599"/>
      <c r="D7" s="625" t="s">
        <v>260</v>
      </c>
      <c r="E7" s="626" t="s">
        <v>38</v>
      </c>
      <c r="F7" s="627" t="str">
        <f>'Cover Sheet'!F7</f>
        <v>01.09.2012</v>
      </c>
      <c r="G7" s="626" t="s">
        <v>6</v>
      </c>
      <c r="H7" s="627">
        <f>'Cover Sheet'!H7</f>
        <v>41182</v>
      </c>
      <c r="I7" s="628"/>
      <c r="J7" s="628"/>
      <c r="K7" s="629"/>
      <c r="L7" s="642"/>
    </row>
    <row r="8" spans="1:15">
      <c r="A8" s="599"/>
      <c r="F8" s="630"/>
      <c r="G8" s="631"/>
      <c r="H8" s="632"/>
      <c r="J8" s="633"/>
      <c r="L8" s="634"/>
      <c r="N8" s="623"/>
    </row>
    <row r="9" spans="1:15">
      <c r="A9" s="599"/>
      <c r="F9" s="612"/>
      <c r="L9" s="635"/>
    </row>
    <row r="10" spans="1:15">
      <c r="A10" s="599"/>
      <c r="F10" s="612"/>
      <c r="L10" s="635"/>
    </row>
    <row r="11" spans="1:15" ht="18" customHeight="1">
      <c r="A11" s="599"/>
      <c r="F11" s="612"/>
      <c r="L11" s="635"/>
    </row>
    <row r="12" spans="1:15">
      <c r="A12" s="599"/>
      <c r="F12" s="612"/>
      <c r="L12" s="635"/>
    </row>
    <row r="13" spans="1:15" ht="18">
      <c r="A13" s="599"/>
      <c r="B13" s="601" t="s">
        <v>7</v>
      </c>
      <c r="F13" s="637"/>
      <c r="H13" s="601"/>
      <c r="J13" s="638"/>
      <c r="K13" s="638"/>
      <c r="L13" s="639"/>
      <c r="M13" s="638"/>
      <c r="N13" s="638"/>
    </row>
    <row r="14" spans="1:15">
      <c r="A14" s="599"/>
      <c r="B14" s="600" t="s">
        <v>15</v>
      </c>
      <c r="D14" s="641">
        <f>'2. Reserve Accounts'!D14</f>
        <v>228844181.39999989</v>
      </c>
      <c r="J14" s="638"/>
      <c r="K14" s="638"/>
      <c r="L14" s="642"/>
      <c r="M14" s="638"/>
      <c r="N14" s="638"/>
    </row>
    <row r="15" spans="1:15">
      <c r="A15" s="599"/>
      <c r="B15" s="600" t="s">
        <v>16</v>
      </c>
      <c r="D15" s="641">
        <f>'2. Reserve Accounts'!D15</f>
        <v>217553623.79999989</v>
      </c>
      <c r="J15" s="638"/>
      <c r="K15" s="638"/>
      <c r="L15" s="642"/>
      <c r="M15" s="638"/>
      <c r="N15" s="638"/>
    </row>
    <row r="16" spans="1:15">
      <c r="A16" s="599"/>
      <c r="F16" s="641"/>
      <c r="J16" s="638"/>
      <c r="K16" s="638"/>
      <c r="L16" s="642"/>
      <c r="M16" s="638"/>
      <c r="N16" s="638"/>
    </row>
    <row r="17" spans="1:14" ht="18">
      <c r="A17" s="599"/>
      <c r="B17" s="643" t="s">
        <v>323</v>
      </c>
      <c r="C17" s="645"/>
      <c r="D17" s="645"/>
      <c r="E17" s="645"/>
      <c r="F17" s="646" t="s">
        <v>324</v>
      </c>
      <c r="G17" s="637"/>
      <c r="H17" s="645" t="s">
        <v>71</v>
      </c>
      <c r="K17" s="638"/>
      <c r="L17" s="648"/>
      <c r="M17" s="638"/>
      <c r="N17" s="645"/>
    </row>
    <row r="18" spans="1:14">
      <c r="A18" s="599"/>
      <c r="B18" s="649"/>
      <c r="K18" s="638"/>
      <c r="L18" s="642"/>
      <c r="M18" s="638"/>
      <c r="N18" s="638"/>
    </row>
    <row r="19" spans="1:14">
      <c r="A19" s="599"/>
      <c r="B19" s="650" t="s">
        <v>325</v>
      </c>
      <c r="F19" s="670"/>
      <c r="H19" s="652"/>
      <c r="J19" s="638"/>
      <c r="K19" s="638"/>
      <c r="L19" s="642"/>
      <c r="M19" s="638"/>
      <c r="N19" s="638"/>
    </row>
    <row r="20" spans="1:14">
      <c r="A20" s="599"/>
      <c r="B20" s="638" t="s">
        <v>326</v>
      </c>
      <c r="C20" s="638"/>
      <c r="D20" s="638"/>
      <c r="E20" s="638"/>
      <c r="F20" s="748">
        <v>147457.31</v>
      </c>
      <c r="G20" s="638"/>
      <c r="H20" s="746"/>
      <c r="J20" s="638"/>
      <c r="K20" s="638"/>
      <c r="L20" s="642"/>
      <c r="M20" s="638"/>
      <c r="N20" s="638"/>
    </row>
    <row r="21" spans="1:14">
      <c r="A21" s="599"/>
      <c r="B21" s="638" t="s">
        <v>138</v>
      </c>
      <c r="C21" s="638"/>
      <c r="D21" s="638"/>
      <c r="E21" s="638"/>
      <c r="F21" s="748">
        <v>23551.24</v>
      </c>
      <c r="G21" s="638"/>
      <c r="H21" s="746"/>
      <c r="J21" s="638"/>
      <c r="K21" s="638"/>
      <c r="L21" s="642"/>
      <c r="M21" s="638"/>
      <c r="N21" s="638"/>
    </row>
    <row r="22" spans="1:14">
      <c r="A22" s="599"/>
      <c r="B22" s="638" t="s">
        <v>327</v>
      </c>
      <c r="C22" s="638"/>
      <c r="D22" s="638"/>
      <c r="E22" s="638"/>
      <c r="F22" s="748">
        <f>F20-F21</f>
        <v>123906.06999999999</v>
      </c>
      <c r="G22" s="638"/>
      <c r="H22" s="638"/>
      <c r="J22" s="638"/>
      <c r="K22" s="638"/>
      <c r="L22" s="642"/>
      <c r="M22" s="638"/>
      <c r="N22" s="638"/>
    </row>
    <row r="23" spans="1:14">
      <c r="A23" s="599"/>
      <c r="B23" s="638" t="s">
        <v>328</v>
      </c>
      <c r="C23" s="749"/>
      <c r="D23" s="638"/>
      <c r="E23" s="638"/>
      <c r="F23" s="638"/>
      <c r="G23" s="638"/>
      <c r="H23" s="687">
        <v>26</v>
      </c>
      <c r="J23" s="638"/>
      <c r="K23" s="638"/>
      <c r="L23" s="642"/>
      <c r="M23" s="638"/>
      <c r="N23" s="638"/>
    </row>
    <row r="24" spans="1:14">
      <c r="A24" s="599"/>
      <c r="B24" s="649"/>
      <c r="F24" s="653"/>
      <c r="H24" s="652"/>
      <c r="J24" s="638"/>
      <c r="K24" s="638"/>
      <c r="L24" s="642"/>
      <c r="M24" s="638"/>
      <c r="N24" s="638"/>
    </row>
    <row r="25" spans="1:14">
      <c r="A25" s="599"/>
      <c r="B25" s="650" t="s">
        <v>329</v>
      </c>
      <c r="C25" s="654"/>
      <c r="D25" s="655"/>
      <c r="E25" s="654"/>
      <c r="F25" s="656"/>
      <c r="G25" s="654"/>
      <c r="I25" s="654"/>
      <c r="J25" s="638"/>
      <c r="K25" s="657"/>
      <c r="L25" s="658"/>
      <c r="M25" s="657"/>
      <c r="N25" s="655"/>
    </row>
    <row r="26" spans="1:14">
      <c r="A26" s="599"/>
      <c r="B26" s="638" t="s">
        <v>330</v>
      </c>
      <c r="C26" s="638"/>
      <c r="D26" s="638"/>
      <c r="E26" s="638"/>
      <c r="F26" s="653">
        <v>2028188.1700000002</v>
      </c>
      <c r="G26" s="638"/>
      <c r="H26" s="746"/>
      <c r="J26" s="638"/>
      <c r="K26" s="657"/>
      <c r="L26" s="660"/>
      <c r="M26" s="657"/>
      <c r="N26" s="661"/>
    </row>
    <row r="27" spans="1:14">
      <c r="A27" s="599"/>
      <c r="B27" s="638" t="s">
        <v>139</v>
      </c>
      <c r="C27" s="638"/>
      <c r="D27" s="638"/>
      <c r="E27" s="638"/>
      <c r="F27" s="653">
        <v>211534.02000000002</v>
      </c>
      <c r="G27" s="638"/>
      <c r="H27" s="746"/>
      <c r="J27" s="638"/>
      <c r="K27" s="638"/>
      <c r="L27" s="642"/>
      <c r="M27" s="638"/>
      <c r="N27" s="638"/>
    </row>
    <row r="28" spans="1:14">
      <c r="A28" s="599"/>
      <c r="B28" s="638" t="s">
        <v>331</v>
      </c>
      <c r="C28" s="638"/>
      <c r="D28" s="747"/>
      <c r="E28" s="638"/>
      <c r="F28" s="653">
        <f>F26-F27</f>
        <v>1816654.1500000001</v>
      </c>
      <c r="G28" s="638"/>
      <c r="H28" s="746"/>
      <c r="J28" s="638"/>
      <c r="K28" s="638"/>
      <c r="L28" s="642"/>
      <c r="M28" s="638"/>
      <c r="N28" s="638"/>
    </row>
    <row r="29" spans="1:14">
      <c r="A29" s="599"/>
      <c r="B29" s="638" t="s">
        <v>332</v>
      </c>
      <c r="C29" s="749"/>
      <c r="D29" s="638"/>
      <c r="E29" s="638"/>
      <c r="F29" s="638"/>
      <c r="G29" s="638"/>
      <c r="H29" s="687">
        <v>310</v>
      </c>
      <c r="J29" s="638"/>
      <c r="K29" s="638"/>
      <c r="L29" s="642"/>
      <c r="M29" s="638"/>
      <c r="N29" s="638"/>
    </row>
    <row r="30" spans="1:14" ht="25.5">
      <c r="A30" s="599"/>
      <c r="B30" s="638"/>
      <c r="C30" s="638"/>
      <c r="D30" s="645" t="s">
        <v>306</v>
      </c>
      <c r="E30" s="645"/>
      <c r="F30" s="646" t="s">
        <v>333</v>
      </c>
      <c r="H30" s="652"/>
      <c r="J30" s="638"/>
      <c r="K30" s="638"/>
      <c r="L30" s="642"/>
      <c r="M30" s="638"/>
      <c r="N30" s="638"/>
    </row>
    <row r="31" spans="1:14">
      <c r="A31" s="599"/>
      <c r="D31" s="645"/>
      <c r="E31" s="644"/>
      <c r="F31" s="637"/>
      <c r="H31" s="652"/>
      <c r="J31" s="638"/>
      <c r="K31" s="638"/>
      <c r="L31" s="642"/>
      <c r="M31" s="638"/>
      <c r="N31" s="638"/>
    </row>
    <row r="32" spans="1:14">
      <c r="A32" s="599"/>
      <c r="B32" s="671" t="s">
        <v>334</v>
      </c>
      <c r="C32" s="672"/>
      <c r="D32" s="655">
        <f>IF(ISERROR(SUM($F$33:$F$35)/3),"n/a",(SUM($F$33:$F$35)/3))</f>
        <v>4.5836297047677733E-3</v>
      </c>
      <c r="F32" s="663"/>
      <c r="G32" s="654"/>
      <c r="H32" s="652"/>
      <c r="I32" s="654"/>
      <c r="J32" s="655"/>
      <c r="K32" s="657"/>
      <c r="L32" s="658"/>
      <c r="M32" s="657"/>
      <c r="N32" s="655"/>
    </row>
    <row r="33" spans="1:14">
      <c r="A33" s="599"/>
      <c r="B33" s="600" t="s">
        <v>59</v>
      </c>
      <c r="F33" s="673">
        <v>3.7928206862224358E-3</v>
      </c>
      <c r="H33" s="652"/>
      <c r="J33" s="638"/>
      <c r="K33" s="657"/>
      <c r="L33" s="642"/>
      <c r="M33" s="657"/>
      <c r="N33" s="661"/>
    </row>
    <row r="34" spans="1:14">
      <c r="A34" s="599"/>
      <c r="B34" s="600" t="s">
        <v>60</v>
      </c>
      <c r="F34" s="673">
        <v>3.1235536666632032E-3</v>
      </c>
      <c r="H34" s="652"/>
      <c r="J34" s="638"/>
      <c r="K34" s="638"/>
      <c r="L34" s="642"/>
      <c r="M34" s="638"/>
      <c r="N34" s="638"/>
    </row>
    <row r="35" spans="1:14">
      <c r="A35" s="599"/>
      <c r="B35" s="600" t="s">
        <v>61</v>
      </c>
      <c r="D35" s="662">
        <f>F35</f>
        <v>6.8345147614176822E-3</v>
      </c>
      <c r="F35" s="673">
        <v>6.8345147614176822E-3</v>
      </c>
      <c r="H35" s="652"/>
      <c r="J35" s="638"/>
      <c r="K35" s="638"/>
      <c r="L35" s="642"/>
      <c r="M35" s="638"/>
      <c r="N35" s="638"/>
    </row>
    <row r="36" spans="1:14">
      <c r="A36" s="599"/>
      <c r="F36" s="653"/>
      <c r="J36" s="638"/>
      <c r="K36" s="638"/>
      <c r="L36" s="642"/>
      <c r="M36" s="638"/>
      <c r="N36" s="638"/>
    </row>
    <row r="37" spans="1:14">
      <c r="A37" s="599"/>
      <c r="B37" s="650" t="s">
        <v>185</v>
      </c>
      <c r="F37" s="647"/>
      <c r="G37" s="654"/>
      <c r="H37" s="688" t="s">
        <v>46</v>
      </c>
      <c r="J37" s="638"/>
      <c r="K37" s="638"/>
      <c r="L37" s="642"/>
      <c r="M37" s="638"/>
      <c r="N37" s="638"/>
    </row>
    <row r="38" spans="1:14">
      <c r="A38" s="599"/>
      <c r="B38" s="638" t="s">
        <v>186</v>
      </c>
      <c r="F38" s="653">
        <v>0</v>
      </c>
      <c r="H38" s="689" t="s">
        <v>47</v>
      </c>
      <c r="J38" s="638"/>
      <c r="K38" s="638"/>
      <c r="L38" s="642"/>
      <c r="M38" s="638"/>
      <c r="N38" s="638"/>
    </row>
    <row r="39" spans="1:14">
      <c r="A39" s="599"/>
      <c r="B39" s="638" t="s">
        <v>187</v>
      </c>
      <c r="F39" s="653">
        <v>0</v>
      </c>
      <c r="J39" s="638"/>
      <c r="K39" s="638"/>
      <c r="L39" s="642"/>
      <c r="M39" s="638"/>
      <c r="N39" s="638"/>
    </row>
    <row r="40" spans="1:14">
      <c r="A40" s="599"/>
      <c r="B40" s="638" t="s">
        <v>188</v>
      </c>
      <c r="F40" s="653">
        <v>0</v>
      </c>
      <c r="H40" s="652"/>
      <c r="J40" s="638"/>
      <c r="K40" s="638"/>
      <c r="L40" s="642"/>
      <c r="M40" s="638"/>
      <c r="N40" s="638"/>
    </row>
    <row r="41" spans="1:14">
      <c r="A41" s="599"/>
      <c r="B41" s="654" t="s">
        <v>335</v>
      </c>
      <c r="F41" s="653">
        <v>7500000</v>
      </c>
      <c r="J41" s="638"/>
      <c r="K41" s="638"/>
      <c r="L41" s="642"/>
      <c r="M41" s="638"/>
      <c r="N41" s="638"/>
    </row>
    <row r="42" spans="1:14">
      <c r="A42" s="599"/>
      <c r="B42" s="674"/>
      <c r="D42" s="651"/>
      <c r="F42" s="653"/>
      <c r="H42" s="652"/>
      <c r="J42" s="638"/>
      <c r="K42" s="638"/>
      <c r="L42" s="642"/>
      <c r="M42" s="638"/>
      <c r="N42" s="638"/>
    </row>
    <row r="43" spans="1:14">
      <c r="A43" s="599"/>
      <c r="B43" s="650" t="s">
        <v>336</v>
      </c>
      <c r="F43" s="653"/>
      <c r="H43" s="652"/>
      <c r="J43" s="638"/>
      <c r="K43" s="638"/>
      <c r="L43" s="642"/>
      <c r="M43" s="638"/>
      <c r="N43" s="638"/>
    </row>
    <row r="44" spans="1:14">
      <c r="A44" s="599"/>
      <c r="B44" s="638" t="s">
        <v>337</v>
      </c>
      <c r="C44" s="638"/>
      <c r="D44" s="638"/>
      <c r="E44" s="638"/>
      <c r="F44" s="653">
        <v>0</v>
      </c>
      <c r="H44" s="652"/>
      <c r="J44" s="638"/>
      <c r="K44" s="638"/>
      <c r="L44" s="642"/>
      <c r="M44" s="638"/>
      <c r="N44" s="638"/>
    </row>
    <row r="45" spans="1:14">
      <c r="A45" s="599"/>
      <c r="B45" s="638" t="s">
        <v>338</v>
      </c>
      <c r="C45" s="638"/>
      <c r="D45" s="638"/>
      <c r="E45" s="638"/>
      <c r="F45" s="653">
        <v>0</v>
      </c>
      <c r="H45" s="652"/>
      <c r="J45" s="638"/>
      <c r="K45" s="638"/>
      <c r="L45" s="642"/>
      <c r="M45" s="638"/>
      <c r="N45" s="638"/>
    </row>
    <row r="46" spans="1:14">
      <c r="A46" s="599"/>
      <c r="B46" s="638"/>
      <c r="C46" s="638"/>
      <c r="D46" s="638"/>
      <c r="E46" s="638"/>
      <c r="F46" s="653"/>
      <c r="H46" s="652"/>
      <c r="J46" s="638"/>
      <c r="K46" s="638"/>
      <c r="L46" s="642"/>
      <c r="M46" s="638"/>
      <c r="N46" s="638"/>
    </row>
    <row r="47" spans="1:14">
      <c r="A47" s="675"/>
      <c r="B47" s="676" t="s">
        <v>17</v>
      </c>
      <c r="C47" s="677"/>
      <c r="D47" s="677"/>
      <c r="E47" s="677"/>
      <c r="F47" s="678"/>
      <c r="G47" s="676"/>
      <c r="H47" s="679"/>
      <c r="I47" s="676"/>
      <c r="J47" s="677"/>
      <c r="K47" s="677"/>
      <c r="L47" s="680"/>
      <c r="M47" s="638"/>
      <c r="N47" s="638"/>
    </row>
    <row r="48" spans="1:14">
      <c r="D48" s="653"/>
      <c r="F48" s="653"/>
      <c r="H48" s="652"/>
      <c r="J48" s="638"/>
      <c r="K48" s="638"/>
      <c r="L48" s="638"/>
      <c r="M48" s="638"/>
      <c r="N48" s="638"/>
    </row>
    <row r="49" spans="2:14">
      <c r="B49" s="674"/>
      <c r="D49" s="651"/>
      <c r="F49" s="653"/>
      <c r="H49" s="652"/>
      <c r="J49" s="638"/>
      <c r="K49" s="638"/>
      <c r="L49" s="638"/>
      <c r="M49" s="638"/>
      <c r="N49" s="638"/>
    </row>
    <row r="50" spans="2:14">
      <c r="F50" s="653"/>
      <c r="H50" s="652"/>
      <c r="J50" s="638"/>
      <c r="K50" s="638"/>
      <c r="L50" s="638"/>
      <c r="M50" s="638"/>
      <c r="N50" s="638"/>
    </row>
    <row r="51" spans="2:14">
      <c r="F51" s="653"/>
      <c r="H51" s="652"/>
      <c r="J51" s="638"/>
      <c r="K51" s="638"/>
      <c r="L51" s="638"/>
      <c r="M51" s="638"/>
      <c r="N51" s="638"/>
    </row>
    <row r="52" spans="2:14">
      <c r="F52" s="653"/>
      <c r="H52" s="652"/>
      <c r="J52" s="638"/>
      <c r="K52" s="638"/>
      <c r="L52" s="638"/>
      <c r="M52" s="638"/>
      <c r="N52" s="638"/>
    </row>
    <row r="53" spans="2:14">
      <c r="F53" s="653"/>
      <c r="H53" s="652"/>
      <c r="J53" s="638"/>
      <c r="K53" s="638"/>
      <c r="L53" s="638"/>
      <c r="M53" s="638"/>
      <c r="N53" s="638"/>
    </row>
    <row r="54" spans="2:14">
      <c r="D54" s="653"/>
      <c r="F54" s="663"/>
      <c r="H54" s="612"/>
      <c r="J54" s="638"/>
      <c r="K54" s="638"/>
      <c r="L54" s="638"/>
      <c r="M54" s="638"/>
      <c r="N54" s="638"/>
    </row>
    <row r="55" spans="2:14">
      <c r="D55" s="653"/>
      <c r="G55" s="654"/>
      <c r="H55" s="667"/>
      <c r="I55" s="654"/>
      <c r="J55" s="655"/>
      <c r="K55" s="638"/>
      <c r="L55" s="655"/>
      <c r="M55" s="638"/>
      <c r="N55" s="681"/>
    </row>
    <row r="56" spans="2:14">
      <c r="H56" s="662"/>
      <c r="J56" s="682"/>
      <c r="K56" s="638"/>
      <c r="L56" s="638"/>
      <c r="M56" s="638"/>
      <c r="N56" s="638"/>
    </row>
    <row r="57" spans="2:14">
      <c r="H57" s="662"/>
      <c r="J57" s="683"/>
      <c r="K57" s="638"/>
      <c r="L57" s="638"/>
      <c r="M57" s="638"/>
      <c r="N57" s="638"/>
    </row>
    <row r="58" spans="2:14">
      <c r="H58" s="662"/>
      <c r="J58" s="684"/>
      <c r="K58" s="638"/>
      <c r="L58" s="638"/>
      <c r="M58" s="638"/>
      <c r="N58" s="638"/>
    </row>
    <row r="59" spans="2:14">
      <c r="B59" s="654"/>
      <c r="C59" s="654"/>
      <c r="D59" s="654"/>
      <c r="E59" s="654"/>
      <c r="F59" s="647"/>
      <c r="G59" s="654"/>
      <c r="H59" s="667"/>
      <c r="I59" s="654"/>
      <c r="J59" s="655"/>
      <c r="K59" s="638"/>
      <c r="L59" s="655"/>
      <c r="M59" s="638"/>
      <c r="N59" s="655"/>
    </row>
    <row r="60" spans="2:14">
      <c r="F60" s="653"/>
      <c r="H60" s="662"/>
      <c r="J60" s="663"/>
      <c r="K60" s="638"/>
      <c r="L60" s="685"/>
      <c r="M60" s="638"/>
      <c r="N60" s="663"/>
    </row>
    <row r="61" spans="2:14">
      <c r="F61" s="663"/>
      <c r="H61" s="612"/>
      <c r="J61" s="638"/>
      <c r="K61" s="638"/>
      <c r="L61" s="638"/>
      <c r="M61" s="638"/>
      <c r="N61" s="638"/>
    </row>
    <row r="62" spans="2:14">
      <c r="F62" s="663"/>
      <c r="H62" s="612"/>
      <c r="J62" s="638"/>
      <c r="K62" s="638"/>
      <c r="L62" s="638"/>
      <c r="M62" s="638"/>
      <c r="N62" s="638"/>
    </row>
    <row r="63" spans="2:14" ht="12.75" customHeight="1">
      <c r="B63" s="601"/>
      <c r="F63" s="663"/>
      <c r="H63" s="612"/>
      <c r="J63" s="638"/>
      <c r="K63" s="638"/>
      <c r="L63" s="638"/>
      <c r="M63" s="638"/>
      <c r="N63" s="638"/>
    </row>
    <row r="64" spans="2:14" ht="12.75" customHeight="1">
      <c r="H64" s="612"/>
      <c r="J64" s="638"/>
      <c r="K64" s="638"/>
      <c r="L64" s="638"/>
      <c r="M64" s="638"/>
      <c r="N64" s="638"/>
    </row>
    <row r="65" spans="2:14">
      <c r="H65" s="612"/>
      <c r="J65" s="638"/>
      <c r="K65" s="638"/>
      <c r="L65" s="638"/>
      <c r="M65" s="638"/>
      <c r="N65" s="638"/>
    </row>
    <row r="66" spans="2:14">
      <c r="H66" s="612"/>
      <c r="J66" s="638"/>
      <c r="K66" s="638"/>
      <c r="L66" s="638"/>
      <c r="M66" s="638"/>
      <c r="N66" s="638"/>
    </row>
    <row r="67" spans="2:14" ht="12.75" customHeight="1">
      <c r="H67" s="612"/>
      <c r="J67" s="638"/>
      <c r="K67" s="638"/>
      <c r="L67" s="638"/>
      <c r="M67" s="638"/>
      <c r="N67" s="638"/>
    </row>
    <row r="68" spans="2:14">
      <c r="F68" s="653"/>
      <c r="H68" s="612"/>
      <c r="J68" s="638"/>
      <c r="K68" s="638"/>
      <c r="L68" s="638"/>
      <c r="M68" s="638"/>
      <c r="N68" s="638"/>
    </row>
    <row r="69" spans="2:14">
      <c r="F69" s="653"/>
      <c r="H69" s="612"/>
      <c r="J69" s="638"/>
      <c r="K69" s="638"/>
      <c r="L69" s="638"/>
      <c r="M69" s="638"/>
      <c r="N69" s="638"/>
    </row>
    <row r="70" spans="2:14">
      <c r="H70" s="612"/>
      <c r="J70" s="638"/>
      <c r="K70" s="638"/>
      <c r="L70" s="638"/>
      <c r="M70" s="638"/>
      <c r="N70" s="638"/>
    </row>
    <row r="71" spans="2:14">
      <c r="H71" s="612"/>
      <c r="J71" s="638"/>
      <c r="K71" s="638"/>
      <c r="L71" s="638"/>
      <c r="M71" s="638"/>
      <c r="N71" s="638"/>
    </row>
    <row r="72" spans="2:14">
      <c r="H72" s="612"/>
      <c r="J72" s="638"/>
      <c r="K72" s="638"/>
      <c r="L72" s="638"/>
      <c r="M72" s="638"/>
      <c r="N72" s="638"/>
    </row>
    <row r="73" spans="2:14">
      <c r="H73" s="612"/>
      <c r="J73" s="638"/>
      <c r="K73" s="638"/>
      <c r="L73" s="638"/>
      <c r="M73" s="638"/>
      <c r="N73" s="638"/>
    </row>
    <row r="74" spans="2:14">
      <c r="B74" s="638"/>
      <c r="C74" s="686"/>
      <c r="D74" s="686"/>
      <c r="E74" s="686"/>
      <c r="F74" s="687"/>
      <c r="H74" s="612"/>
      <c r="J74" s="638"/>
      <c r="K74" s="638"/>
      <c r="L74" s="638"/>
      <c r="M74" s="638"/>
      <c r="N74" s="638"/>
    </row>
    <row r="75" spans="2:14">
      <c r="F75" s="653"/>
      <c r="J75" s="638"/>
      <c r="K75" s="638"/>
      <c r="L75" s="638"/>
      <c r="M75" s="638"/>
      <c r="N75" s="638"/>
    </row>
    <row r="76" spans="2:14">
      <c r="F76" s="653"/>
      <c r="J76" s="638"/>
      <c r="K76" s="638"/>
      <c r="L76" s="638"/>
      <c r="M76" s="638"/>
      <c r="N76" s="638"/>
    </row>
    <row r="77" spans="2:14" ht="12.75" customHeight="1">
      <c r="F77" s="612"/>
    </row>
    <row r="79" spans="2:14">
      <c r="J79" s="664"/>
    </row>
    <row r="80" spans="2:14">
      <c r="J80" s="664"/>
    </row>
    <row r="82" spans="2:10">
      <c r="C82" s="665"/>
      <c r="D82" s="665"/>
      <c r="E82" s="665"/>
      <c r="F82" s="666"/>
      <c r="H82" s="666"/>
      <c r="J82" s="664"/>
    </row>
    <row r="83" spans="2:10">
      <c r="C83" s="665"/>
      <c r="D83" s="665"/>
      <c r="E83" s="665"/>
      <c r="F83" s="666"/>
      <c r="H83" s="666"/>
    </row>
    <row r="85" spans="2:10">
      <c r="C85" s="665"/>
      <c r="D85" s="665"/>
      <c r="E85" s="665"/>
      <c r="F85" s="665"/>
      <c r="G85" s="665"/>
      <c r="H85" s="665"/>
    </row>
    <row r="87" spans="2:10">
      <c r="B87" s="638"/>
    </row>
    <row r="88" spans="2:10">
      <c r="B88" s="638"/>
    </row>
    <row r="89" spans="2:10">
      <c r="B89" s="638"/>
    </row>
  </sheetData>
  <sheetProtection password="8B10" sheet="1" objects="1" scenarios="1"/>
  <phoneticPr fontId="53" type="noConversion"/>
  <pageMargins left="0.70866141732283472" right="0.70866141732283472" top="1.0236220472440944" bottom="1.0236220472440944" header="0.39370078740157483" footer="0.39370078740157483"/>
  <pageSetup paperSize="9" scale="72" orientation="landscape" r:id="rId1"/>
  <headerFooter alignWithMargins="0">
    <oddFooter>&amp;L&amp;"Frutiger 57Cn,Standard"&amp;8
Santander Consumer Bank AG
Santander-Platz 1
41061 Mönchengladbach
Tel.: +49 180 / 5556 - 499
Fax.: +49 180 / 5556 - 498</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2"/>
  <sheetViews>
    <sheetView view="pageBreakPreview" zoomScale="70" zoomScaleNormal="85" zoomScaleSheetLayoutView="55" workbookViewId="0">
      <selection activeCell="B3" sqref="B3"/>
    </sheetView>
  </sheetViews>
  <sheetFormatPr defaultRowHeight="12.75"/>
  <cols>
    <col min="1" max="1" width="1.28515625" style="600" customWidth="1"/>
    <col min="2" max="2" width="55.140625" style="600" customWidth="1"/>
    <col min="3" max="3" width="17.85546875" style="600" customWidth="1"/>
    <col min="4" max="4" width="19.5703125" style="600" customWidth="1"/>
    <col min="5" max="5" width="15.5703125" style="600" customWidth="1"/>
    <col min="6" max="14" width="12.85546875" style="600" customWidth="1"/>
    <col min="15" max="15" width="11.5703125" style="600" customWidth="1"/>
    <col min="16" max="256" width="11.42578125" style="600" customWidth="1"/>
    <col min="257" max="16384" width="9.140625" style="600"/>
  </cols>
  <sheetData>
    <row r="1" spans="1:16" ht="6" customHeight="1">
      <c r="A1" s="596"/>
      <c r="B1" s="597"/>
      <c r="C1" s="597"/>
      <c r="D1" s="597"/>
      <c r="E1" s="597"/>
      <c r="F1" s="597"/>
      <c r="G1" s="597"/>
      <c r="H1" s="597"/>
      <c r="I1" s="597"/>
      <c r="J1" s="597"/>
      <c r="K1" s="597"/>
      <c r="L1" s="597"/>
      <c r="M1" s="597"/>
      <c r="N1" s="597"/>
      <c r="O1" s="597"/>
      <c r="P1" s="598"/>
    </row>
    <row r="2" spans="1:16" ht="18">
      <c r="A2" s="599"/>
      <c r="B2" s="601" t="str">
        <f>'Cover Sheet'!B2</f>
        <v>SC Germany Auto 10-1</v>
      </c>
      <c r="C2" s="601"/>
      <c r="D2" s="602" t="s">
        <v>54</v>
      </c>
      <c r="E2" s="603"/>
      <c r="F2" s="604">
        <f>'Cover Sheet'!F2</f>
        <v>41191</v>
      </c>
      <c r="G2" s="603"/>
      <c r="H2" s="603"/>
      <c r="I2" s="603"/>
      <c r="J2" s="603"/>
      <c r="K2" s="605"/>
      <c r="L2" s="638"/>
      <c r="P2" s="635"/>
    </row>
    <row r="3" spans="1:16" ht="18">
      <c r="A3" s="599"/>
      <c r="B3" s="601" t="str">
        <f>'Cover Sheet'!B3</f>
        <v>Monthly Investor Report</v>
      </c>
      <c r="C3" s="601"/>
      <c r="D3" s="607" t="s">
        <v>4</v>
      </c>
      <c r="E3" s="608"/>
      <c r="F3" s="609">
        <f>'Cover Sheet'!F3</f>
        <v>41197</v>
      </c>
      <c r="G3" s="608"/>
      <c r="H3" s="608"/>
      <c r="I3" s="608"/>
      <c r="J3" s="608"/>
      <c r="K3" s="610"/>
      <c r="L3" s="638"/>
      <c r="P3" s="635"/>
    </row>
    <row r="4" spans="1:16">
      <c r="A4" s="599"/>
      <c r="B4" s="611"/>
      <c r="C4" s="612"/>
      <c r="D4" s="607" t="s">
        <v>5</v>
      </c>
      <c r="E4" s="608"/>
      <c r="F4" s="613">
        <f>'Cover Sheet'!F4</f>
        <v>27</v>
      </c>
      <c r="G4" s="608"/>
      <c r="H4" s="614"/>
      <c r="I4" s="608"/>
      <c r="J4" s="615"/>
      <c r="K4" s="610"/>
      <c r="L4" s="689"/>
      <c r="P4" s="635"/>
    </row>
    <row r="5" spans="1:16" ht="18">
      <c r="A5" s="599"/>
      <c r="B5" s="617" t="s">
        <v>381</v>
      </c>
      <c r="C5" s="617"/>
      <c r="D5" s="607" t="s">
        <v>3</v>
      </c>
      <c r="E5" s="608"/>
      <c r="F5" s="123">
        <f>'Cover Sheet'!F5</f>
        <v>41197</v>
      </c>
      <c r="G5" s="608"/>
      <c r="H5" s="614"/>
      <c r="I5" s="608"/>
      <c r="J5" s="615"/>
      <c r="K5" s="610"/>
      <c r="L5" s="689"/>
      <c r="P5" s="635"/>
    </row>
    <row r="6" spans="1:16" s="624" customFormat="1" ht="15" customHeight="1">
      <c r="A6" s="599"/>
      <c r="B6" s="618"/>
      <c r="C6" s="619"/>
      <c r="D6" s="607" t="s">
        <v>55</v>
      </c>
      <c r="E6" s="615" t="s">
        <v>38</v>
      </c>
      <c r="F6" s="609">
        <f>'Cover Sheet'!F6</f>
        <v>41164</v>
      </c>
      <c r="G6" s="615" t="s">
        <v>6</v>
      </c>
      <c r="H6" s="609">
        <f>'Cover Sheet'!H6</f>
        <v>41197</v>
      </c>
      <c r="I6" s="615" t="s">
        <v>18</v>
      </c>
      <c r="J6" s="620" t="str">
        <f>'Cover Sheet'!J6</f>
        <v>33 days</v>
      </c>
      <c r="K6" s="621"/>
      <c r="L6" s="727"/>
      <c r="M6" s="600"/>
      <c r="N6" s="600"/>
      <c r="P6" s="635"/>
    </row>
    <row r="7" spans="1:16">
      <c r="A7" s="599"/>
      <c r="D7" s="625" t="s">
        <v>260</v>
      </c>
      <c r="E7" s="626" t="s">
        <v>38</v>
      </c>
      <c r="F7" s="627" t="str">
        <f>'Cover Sheet'!F7</f>
        <v>01.09.2012</v>
      </c>
      <c r="G7" s="626" t="s">
        <v>6</v>
      </c>
      <c r="H7" s="627">
        <f>'Cover Sheet'!H7</f>
        <v>41182</v>
      </c>
      <c r="I7" s="628"/>
      <c r="J7" s="628"/>
      <c r="K7" s="629"/>
      <c r="L7" s="638"/>
      <c r="P7" s="635"/>
    </row>
    <row r="8" spans="1:16">
      <c r="A8" s="599"/>
      <c r="F8" s="630"/>
      <c r="G8" s="631"/>
      <c r="H8" s="632"/>
      <c r="J8" s="633"/>
      <c r="L8" s="633"/>
      <c r="N8" s="623"/>
      <c r="P8" s="635"/>
    </row>
    <row r="9" spans="1:16">
      <c r="A9" s="599"/>
      <c r="F9" s="612"/>
      <c r="P9" s="635"/>
    </row>
    <row r="10" spans="1:16">
      <c r="A10" s="599"/>
      <c r="F10" s="612"/>
      <c r="P10" s="635"/>
    </row>
    <row r="11" spans="1:16" ht="18" customHeight="1" thickBot="1">
      <c r="A11" s="599"/>
      <c r="F11" s="612"/>
      <c r="N11" s="802"/>
      <c r="P11" s="635"/>
    </row>
    <row r="12" spans="1:16" ht="13.5" thickBot="1">
      <c r="A12" s="599"/>
      <c r="C12" s="638"/>
      <c r="D12" s="638"/>
      <c r="E12" s="638"/>
      <c r="F12" s="689"/>
      <c r="G12" s="818" t="s">
        <v>453</v>
      </c>
      <c r="H12" s="819"/>
      <c r="I12" s="819"/>
      <c r="J12" s="819"/>
      <c r="K12" s="819"/>
      <c r="L12" s="819"/>
      <c r="M12" s="819"/>
      <c r="N12" s="819"/>
      <c r="O12" s="820"/>
      <c r="P12" s="635"/>
    </row>
    <row r="13" spans="1:16" ht="31.5" customHeight="1" thickBot="1">
      <c r="A13" s="599"/>
      <c r="B13" s="643"/>
      <c r="C13" s="736" t="s">
        <v>452</v>
      </c>
      <c r="D13" s="738" t="s">
        <v>445</v>
      </c>
      <c r="E13" s="270" t="s">
        <v>437</v>
      </c>
      <c r="F13" s="271" t="s">
        <v>436</v>
      </c>
      <c r="G13" s="729" t="s">
        <v>438</v>
      </c>
      <c r="H13" s="730" t="s">
        <v>439</v>
      </c>
      <c r="I13" s="730" t="s">
        <v>440</v>
      </c>
      <c r="J13" s="730" t="s">
        <v>441</v>
      </c>
      <c r="K13" s="730" t="s">
        <v>442</v>
      </c>
      <c r="L13" s="730" t="s">
        <v>443</v>
      </c>
      <c r="M13" s="806" t="s">
        <v>444</v>
      </c>
      <c r="N13" s="730" t="s">
        <v>581</v>
      </c>
      <c r="O13" s="807" t="s">
        <v>583</v>
      </c>
      <c r="P13" s="635"/>
    </row>
    <row r="14" spans="1:16">
      <c r="A14" s="599"/>
      <c r="B14" s="638"/>
      <c r="C14" s="737" t="s">
        <v>438</v>
      </c>
      <c r="D14" s="739" t="s">
        <v>446</v>
      </c>
      <c r="E14" s="272">
        <v>18080.13</v>
      </c>
      <c r="F14" s="750">
        <v>9649.25</v>
      </c>
      <c r="G14" s="751">
        <v>0</v>
      </c>
      <c r="H14" s="752">
        <v>6674.65</v>
      </c>
      <c r="I14" s="752">
        <v>1240.29</v>
      </c>
      <c r="J14" s="752">
        <v>1734.31</v>
      </c>
      <c r="K14" s="752">
        <v>0</v>
      </c>
      <c r="L14" s="752">
        <v>0</v>
      </c>
      <c r="M14" s="752">
        <v>0</v>
      </c>
      <c r="N14" s="752">
        <v>0</v>
      </c>
      <c r="O14" s="801">
        <v>0</v>
      </c>
      <c r="P14" s="635"/>
    </row>
    <row r="15" spans="1:16">
      <c r="A15" s="599"/>
      <c r="B15" s="638"/>
      <c r="C15" s="737" t="s">
        <v>439</v>
      </c>
      <c r="D15" s="740" t="s">
        <v>447</v>
      </c>
      <c r="E15" s="272">
        <v>39130.820000000007</v>
      </c>
      <c r="F15" s="750">
        <v>5578.6500000000005</v>
      </c>
      <c r="G15" s="753">
        <v>0</v>
      </c>
      <c r="H15" s="272">
        <v>0</v>
      </c>
      <c r="I15" s="272">
        <v>216.8</v>
      </c>
      <c r="J15" s="272">
        <v>1386.65</v>
      </c>
      <c r="K15" s="272">
        <v>1288.2200000000003</v>
      </c>
      <c r="L15" s="272">
        <v>1060.1299999999999</v>
      </c>
      <c r="M15" s="272">
        <v>275.13</v>
      </c>
      <c r="N15" s="272">
        <v>676.58999999999992</v>
      </c>
      <c r="O15" s="800">
        <v>675.13</v>
      </c>
      <c r="P15" s="635"/>
    </row>
    <row r="16" spans="1:16">
      <c r="A16" s="599"/>
      <c r="B16" s="638"/>
      <c r="C16" s="737" t="s">
        <v>440</v>
      </c>
      <c r="D16" s="740" t="s">
        <v>448</v>
      </c>
      <c r="E16" s="272">
        <v>132388.14000000001</v>
      </c>
      <c r="F16" s="750">
        <v>25920.33</v>
      </c>
      <c r="G16" s="753">
        <v>0</v>
      </c>
      <c r="H16" s="272">
        <v>0</v>
      </c>
      <c r="I16" s="272">
        <v>0</v>
      </c>
      <c r="J16" s="272">
        <v>486.39</v>
      </c>
      <c r="K16" s="272">
        <v>907.78</v>
      </c>
      <c r="L16" s="272">
        <v>8671.14</v>
      </c>
      <c r="M16" s="752">
        <v>8228.91</v>
      </c>
      <c r="N16" s="272">
        <v>4851.369999999999</v>
      </c>
      <c r="O16" s="800">
        <v>2774.74</v>
      </c>
      <c r="P16" s="635"/>
    </row>
    <row r="17" spans="1:16">
      <c r="A17" s="599"/>
      <c r="B17" s="638"/>
      <c r="C17" s="737" t="s">
        <v>441</v>
      </c>
      <c r="D17" s="740" t="s">
        <v>449</v>
      </c>
      <c r="E17" s="272">
        <v>259054.98000000004</v>
      </c>
      <c r="F17" s="750">
        <v>40447.539999999994</v>
      </c>
      <c r="G17" s="753">
        <v>0</v>
      </c>
      <c r="H17" s="272">
        <v>0</v>
      </c>
      <c r="I17" s="272">
        <v>0</v>
      </c>
      <c r="J17" s="272">
        <v>9429.4</v>
      </c>
      <c r="K17" s="272">
        <v>7140.33</v>
      </c>
      <c r="L17" s="272">
        <v>3204.08</v>
      </c>
      <c r="M17" s="272">
        <v>15942.07</v>
      </c>
      <c r="N17" s="272">
        <v>2200</v>
      </c>
      <c r="O17" s="800">
        <v>2531.66</v>
      </c>
      <c r="P17" s="635"/>
    </row>
    <row r="18" spans="1:16" ht="12.75" customHeight="1">
      <c r="A18" s="599"/>
      <c r="B18" s="728"/>
      <c r="C18" s="737" t="s">
        <v>442</v>
      </c>
      <c r="D18" s="740" t="s">
        <v>450</v>
      </c>
      <c r="E18" s="272">
        <v>287265.58999999997</v>
      </c>
      <c r="F18" s="750">
        <v>29156.35</v>
      </c>
      <c r="G18" s="753">
        <v>0</v>
      </c>
      <c r="H18" s="272">
        <v>0</v>
      </c>
      <c r="I18" s="272">
        <v>0</v>
      </c>
      <c r="J18" s="272">
        <v>0</v>
      </c>
      <c r="K18" s="272">
        <v>2213.54</v>
      </c>
      <c r="L18" s="272">
        <v>7381.58</v>
      </c>
      <c r="M18" s="272">
        <v>3425.02</v>
      </c>
      <c r="N18" s="272">
        <v>13524.489999999998</v>
      </c>
      <c r="O18" s="800">
        <v>2611.7199999999998</v>
      </c>
      <c r="P18" s="635"/>
    </row>
    <row r="19" spans="1:16">
      <c r="A19" s="599"/>
      <c r="B19" s="674"/>
      <c r="C19" s="737" t="s">
        <v>443</v>
      </c>
      <c r="D19" s="740" t="s">
        <v>451</v>
      </c>
      <c r="E19" s="272">
        <v>434542.57000000007</v>
      </c>
      <c r="F19" s="750">
        <v>24415.02</v>
      </c>
      <c r="G19" s="753">
        <v>0</v>
      </c>
      <c r="H19" s="272">
        <v>0</v>
      </c>
      <c r="I19" s="272">
        <v>0</v>
      </c>
      <c r="J19" s="272">
        <v>0</v>
      </c>
      <c r="K19" s="272">
        <v>0</v>
      </c>
      <c r="L19" s="272">
        <v>457.78</v>
      </c>
      <c r="M19" s="272">
        <v>10964.16</v>
      </c>
      <c r="N19" s="272">
        <v>4493.8</v>
      </c>
      <c r="O19" s="800">
        <v>8499.2799999999988</v>
      </c>
      <c r="P19" s="635"/>
    </row>
    <row r="20" spans="1:16">
      <c r="A20" s="599"/>
      <c r="B20" s="674"/>
      <c r="C20" s="737" t="s">
        <v>444</v>
      </c>
      <c r="D20" s="740" t="s">
        <v>580</v>
      </c>
      <c r="E20" s="272">
        <v>272500.20999999996</v>
      </c>
      <c r="F20" s="750">
        <v>35950.03</v>
      </c>
      <c r="G20" s="753">
        <v>0</v>
      </c>
      <c r="H20" s="272">
        <v>0</v>
      </c>
      <c r="I20" s="272">
        <v>0</v>
      </c>
      <c r="J20" s="272">
        <v>0</v>
      </c>
      <c r="K20" s="272">
        <v>0</v>
      </c>
      <c r="L20" s="272">
        <v>0</v>
      </c>
      <c r="M20" s="752">
        <v>17360.150000000001</v>
      </c>
      <c r="N20" s="272">
        <v>7633.8</v>
      </c>
      <c r="O20" s="800">
        <v>10956.08</v>
      </c>
      <c r="P20" s="635"/>
    </row>
    <row r="21" spans="1:16">
      <c r="A21" s="599"/>
      <c r="B21" s="674"/>
      <c r="C21" s="588" t="s">
        <v>581</v>
      </c>
      <c r="D21" s="740" t="s">
        <v>582</v>
      </c>
      <c r="E21" s="272">
        <v>264365.3</v>
      </c>
      <c r="F21" s="750">
        <v>39328.86</v>
      </c>
      <c r="G21" s="753">
        <v>0</v>
      </c>
      <c r="H21" s="272">
        <v>0</v>
      </c>
      <c r="I21" s="272">
        <v>0</v>
      </c>
      <c r="J21" s="272">
        <v>0</v>
      </c>
      <c r="K21" s="272">
        <v>0</v>
      </c>
      <c r="L21" s="272">
        <v>0</v>
      </c>
      <c r="M21" s="272">
        <v>0</v>
      </c>
      <c r="N21" s="272">
        <v>7173.88</v>
      </c>
      <c r="O21" s="800">
        <v>32154.98</v>
      </c>
      <c r="P21" s="635"/>
    </row>
    <row r="22" spans="1:16" ht="13.5" thickBot="1">
      <c r="A22" s="599"/>
      <c r="B22" s="638"/>
      <c r="C22" s="817" t="s">
        <v>583</v>
      </c>
      <c r="D22" s="808" t="s">
        <v>584</v>
      </c>
      <c r="E22" s="809">
        <v>320860.43</v>
      </c>
      <c r="F22" s="810">
        <v>1087.99</v>
      </c>
      <c r="G22" s="811">
        <v>0</v>
      </c>
      <c r="H22" s="809">
        <v>0</v>
      </c>
      <c r="I22" s="809">
        <v>0</v>
      </c>
      <c r="J22" s="809">
        <v>0</v>
      </c>
      <c r="K22" s="809">
        <v>0</v>
      </c>
      <c r="L22" s="809">
        <v>0</v>
      </c>
      <c r="M22" s="809">
        <v>0</v>
      </c>
      <c r="N22" s="809">
        <v>0</v>
      </c>
      <c r="O22" s="812">
        <v>1087.99</v>
      </c>
      <c r="P22" s="635"/>
    </row>
    <row r="23" spans="1:16" s="799" customFormat="1" ht="15" customHeight="1" thickTop="1" thickBot="1">
      <c r="A23" s="797"/>
      <c r="B23" s="798"/>
      <c r="C23" s="813" t="s">
        <v>40</v>
      </c>
      <c r="D23" s="814"/>
      <c r="E23" s="444">
        <v>2028188.17</v>
      </c>
      <c r="F23" s="815">
        <v>211534.01999999996</v>
      </c>
      <c r="G23" s="816">
        <v>0</v>
      </c>
      <c r="H23" s="444">
        <v>6674.65</v>
      </c>
      <c r="I23" s="444">
        <v>1457.09</v>
      </c>
      <c r="J23" s="444">
        <v>13036.75</v>
      </c>
      <c r="K23" s="444">
        <v>11549.869999999999</v>
      </c>
      <c r="L23" s="444">
        <v>20774.71</v>
      </c>
      <c r="M23" s="444">
        <v>56195.44</v>
      </c>
      <c r="N23" s="444">
        <v>40553.929999999993</v>
      </c>
      <c r="O23" s="815">
        <v>61291.579999999994</v>
      </c>
      <c r="P23" s="804"/>
    </row>
    <row r="24" spans="1:16">
      <c r="A24" s="599"/>
      <c r="B24" s="638"/>
      <c r="C24" s="742"/>
      <c r="D24" s="157"/>
      <c r="E24" s="157"/>
      <c r="F24" s="157"/>
      <c r="G24" s="157"/>
      <c r="H24" s="157"/>
      <c r="I24" s="157"/>
      <c r="J24" s="157"/>
      <c r="K24" s="157"/>
      <c r="L24" s="157"/>
      <c r="M24" s="157"/>
      <c r="N24" s="803"/>
      <c r="P24" s="635"/>
    </row>
    <row r="25" spans="1:16">
      <c r="A25" s="599"/>
      <c r="B25" s="638"/>
      <c r="C25" s="742"/>
      <c r="D25" s="157"/>
      <c r="E25" s="157"/>
      <c r="F25" s="157"/>
      <c r="G25" s="157"/>
      <c r="H25" s="157"/>
      <c r="I25" s="157"/>
      <c r="J25" s="157"/>
      <c r="K25" s="157"/>
      <c r="L25" s="157"/>
      <c r="M25" s="157"/>
      <c r="N25" s="157"/>
      <c r="P25" s="635"/>
    </row>
    <row r="26" spans="1:16">
      <c r="A26" s="599"/>
      <c r="B26" s="728"/>
      <c r="C26" s="742"/>
      <c r="D26" s="157"/>
      <c r="E26" s="157"/>
      <c r="F26" s="157"/>
      <c r="G26" s="157"/>
      <c r="H26" s="157"/>
      <c r="I26" s="157"/>
      <c r="J26" s="157"/>
      <c r="K26" s="157"/>
      <c r="L26" s="157"/>
      <c r="M26" s="157"/>
      <c r="N26" s="157"/>
      <c r="P26" s="635"/>
    </row>
    <row r="27" spans="1:16">
      <c r="A27" s="599"/>
      <c r="B27" s="674"/>
      <c r="C27" s="742"/>
      <c r="D27" s="157"/>
      <c r="E27" s="157"/>
      <c r="F27" s="157"/>
      <c r="G27" s="157"/>
      <c r="H27" s="157"/>
      <c r="I27" s="157"/>
      <c r="J27" s="157"/>
      <c r="K27" s="157"/>
      <c r="L27" s="157"/>
      <c r="M27" s="157"/>
      <c r="N27" s="157"/>
      <c r="P27" s="635"/>
    </row>
    <row r="28" spans="1:16">
      <c r="A28" s="599"/>
      <c r="B28" s="638"/>
      <c r="C28" s="742"/>
      <c r="D28" s="157"/>
      <c r="E28" s="157"/>
      <c r="F28" s="157"/>
      <c r="G28" s="157"/>
      <c r="H28" s="157"/>
      <c r="I28" s="157"/>
      <c r="J28" s="157"/>
      <c r="K28" s="157"/>
      <c r="L28" s="157"/>
      <c r="M28" s="157"/>
      <c r="N28" s="157"/>
      <c r="P28" s="635"/>
    </row>
    <row r="29" spans="1:16">
      <c r="A29" s="599"/>
      <c r="B29" s="638"/>
      <c r="C29" s="742"/>
      <c r="D29" s="157"/>
      <c r="E29" s="157"/>
      <c r="F29" s="157"/>
      <c r="G29" s="157"/>
      <c r="H29" s="157"/>
      <c r="I29" s="157"/>
      <c r="J29" s="157"/>
      <c r="K29" s="157"/>
      <c r="L29" s="157"/>
      <c r="M29" s="157"/>
      <c r="N29" s="157"/>
      <c r="P29" s="635"/>
    </row>
    <row r="30" spans="1:16">
      <c r="A30" s="599"/>
      <c r="B30" s="638"/>
      <c r="C30" s="742"/>
      <c r="D30" s="157"/>
      <c r="E30" s="157"/>
      <c r="F30" s="157"/>
      <c r="G30" s="157"/>
      <c r="H30" s="157"/>
      <c r="I30" s="157"/>
      <c r="J30" s="157"/>
      <c r="K30" s="157"/>
      <c r="L30" s="157"/>
      <c r="M30" s="157"/>
      <c r="N30" s="157"/>
      <c r="P30" s="635"/>
    </row>
    <row r="31" spans="1:16">
      <c r="A31" s="599"/>
      <c r="B31" s="638"/>
      <c r="C31" s="742"/>
      <c r="D31" s="157"/>
      <c r="E31" s="157"/>
      <c r="F31" s="157"/>
      <c r="G31" s="157"/>
      <c r="H31" s="157"/>
      <c r="I31" s="157"/>
      <c r="J31" s="157"/>
      <c r="K31" s="157"/>
      <c r="L31" s="157"/>
      <c r="M31" s="157"/>
      <c r="N31" s="157"/>
      <c r="P31" s="635"/>
    </row>
    <row r="32" spans="1:16">
      <c r="A32" s="675"/>
      <c r="B32" s="677"/>
      <c r="C32" s="792"/>
      <c r="D32" s="170"/>
      <c r="E32" s="170"/>
      <c r="F32" s="170"/>
      <c r="G32" s="170"/>
      <c r="H32" s="170"/>
      <c r="I32" s="170"/>
      <c r="J32" s="170"/>
      <c r="K32" s="170"/>
      <c r="L32" s="170"/>
      <c r="M32" s="170"/>
      <c r="N32" s="170"/>
      <c r="O32" s="676"/>
      <c r="P32" s="805"/>
    </row>
  </sheetData>
  <sheetProtection password="8B10" sheet="1" objects="1" scenarios="1"/>
  <mergeCells count="1">
    <mergeCell ref="G12:O12"/>
  </mergeCells>
  <phoneticPr fontId="53" type="noConversion"/>
  <pageMargins left="0.70866141732283472" right="0.70866141732283472" top="1.0236220472440944" bottom="1.0236220472440944" header="0.39370078740157483" footer="0.39370078740157483"/>
  <pageSetup paperSize="9" scale="53" orientation="landscape" r:id="rId1"/>
  <headerFooter alignWithMargins="0">
    <oddFooter>&amp;L&amp;"Frutiger 57Cn,Standard"&amp;8
Santander Consumer Bank AG
Santander-Platz 1
41061 Mönchengladbach
Tel.: +49 180 / 5556 - 499
Fax.: +49 180 / 5556 - 498</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M59"/>
  <sheetViews>
    <sheetView view="pageBreakPreview" zoomScale="70" zoomScaleNormal="100" workbookViewId="0">
      <selection activeCell="B3" sqref="B3"/>
    </sheetView>
  </sheetViews>
  <sheetFormatPr defaultRowHeight="12.75"/>
  <cols>
    <col min="1" max="1" width="1.28515625" style="31" customWidth="1"/>
    <col min="2" max="2" width="50.7109375" style="31" customWidth="1"/>
    <col min="3" max="3" width="17.5703125" style="31" customWidth="1"/>
    <col min="4" max="4" width="21.42578125" style="31" bestFit="1" customWidth="1"/>
    <col min="5" max="5" width="4.7109375" style="31" customWidth="1"/>
    <col min="6" max="6" width="18.7109375" style="31" customWidth="1"/>
    <col min="7" max="7" width="4.7109375" style="31" customWidth="1"/>
    <col min="8" max="8" width="18.7109375" style="31" customWidth="1"/>
    <col min="9" max="9" width="4.7109375" style="31" customWidth="1"/>
    <col min="10" max="10" width="10.7109375" style="31" customWidth="1"/>
    <col min="11" max="11" width="1.140625" style="31" customWidth="1"/>
    <col min="12" max="12" width="38.5703125" style="38" customWidth="1"/>
    <col min="13" max="13" width="15.7109375" style="39" customWidth="1"/>
    <col min="14" max="256" width="11.42578125" style="31" customWidth="1"/>
    <col min="257" max="16384" width="9.140625" style="31"/>
  </cols>
  <sheetData>
    <row r="1" spans="1:13" ht="6" customHeight="1">
      <c r="A1" s="35"/>
      <c r="B1" s="36"/>
      <c r="C1" s="36"/>
      <c r="D1" s="36"/>
      <c r="E1" s="36"/>
      <c r="F1" s="36"/>
      <c r="G1" s="36"/>
      <c r="H1" s="36"/>
      <c r="I1" s="36"/>
      <c r="J1" s="36"/>
      <c r="K1" s="37"/>
    </row>
    <row r="2" spans="1:13" ht="18">
      <c r="A2" s="40"/>
      <c r="B2" s="7" t="str">
        <f>'Cover Sheet'!B2</f>
        <v>SC Germany Auto 10-1</v>
      </c>
      <c r="C2" s="34"/>
      <c r="D2" s="108" t="s">
        <v>54</v>
      </c>
      <c r="E2" s="109"/>
      <c r="F2" s="110">
        <f>'Cover Sheet'!F2</f>
        <v>41191</v>
      </c>
      <c r="G2" s="109"/>
      <c r="H2" s="109"/>
      <c r="I2" s="109"/>
      <c r="J2" s="111"/>
      <c r="K2" s="41"/>
      <c r="L2" s="106"/>
    </row>
    <row r="3" spans="1:13" ht="18">
      <c r="A3" s="40"/>
      <c r="B3" s="7" t="str">
        <f>'Cover Sheet'!B3</f>
        <v>Monthly Investor Report</v>
      </c>
      <c r="C3" s="34"/>
      <c r="D3" s="112" t="s">
        <v>4</v>
      </c>
      <c r="E3" s="113"/>
      <c r="F3" s="114">
        <f>'Cover Sheet'!F3</f>
        <v>41197</v>
      </c>
      <c r="G3" s="113"/>
      <c r="H3" s="113"/>
      <c r="I3" s="113"/>
      <c r="J3" s="115"/>
      <c r="K3" s="41"/>
      <c r="L3" s="106"/>
    </row>
    <row r="4" spans="1:13">
      <c r="A4" s="40"/>
      <c r="B4" s="42"/>
      <c r="C4" s="34"/>
      <c r="D4" s="112" t="s">
        <v>5</v>
      </c>
      <c r="E4" s="113"/>
      <c r="F4" s="122">
        <f>'Cover Sheet'!F4</f>
        <v>27</v>
      </c>
      <c r="G4" s="113"/>
      <c r="H4" s="117"/>
      <c r="I4" s="113"/>
      <c r="J4" s="118"/>
      <c r="K4" s="41"/>
      <c r="L4" s="106"/>
    </row>
    <row r="5" spans="1:13" ht="18">
      <c r="A5" s="40"/>
      <c r="B5" s="105" t="s">
        <v>387</v>
      </c>
      <c r="C5" s="34"/>
      <c r="D5" s="112" t="s">
        <v>3</v>
      </c>
      <c r="E5" s="113"/>
      <c r="F5" s="123">
        <f>'Cover Sheet'!F5</f>
        <v>41197</v>
      </c>
      <c r="G5" s="113"/>
      <c r="H5" s="117"/>
      <c r="I5" s="113"/>
      <c r="J5" s="118"/>
      <c r="K5" s="41"/>
      <c r="L5" s="106"/>
    </row>
    <row r="6" spans="1:13" s="27" customFormat="1" ht="15" customHeight="1">
      <c r="A6" s="5"/>
      <c r="B6" s="43"/>
      <c r="C6" s="89"/>
      <c r="D6" s="112" t="str">
        <f>'Cover Sheet'!D6</f>
        <v>Interest Period</v>
      </c>
      <c r="E6" s="116" t="s">
        <v>38</v>
      </c>
      <c r="F6" s="114">
        <f>'Cover Sheet'!F6</f>
        <v>41164</v>
      </c>
      <c r="G6" s="116" t="s">
        <v>6</v>
      </c>
      <c r="H6" s="114">
        <f>'Cover Sheet'!H6</f>
        <v>41197</v>
      </c>
      <c r="I6" s="116" t="s">
        <v>18</v>
      </c>
      <c r="J6" s="542" t="str">
        <f>'Cover Sheet'!J6</f>
        <v>33 days</v>
      </c>
      <c r="K6" s="90"/>
      <c r="L6" s="107"/>
      <c r="M6" s="30"/>
    </row>
    <row r="7" spans="1:13">
      <c r="A7" s="40"/>
      <c r="B7" s="34"/>
      <c r="C7" s="34"/>
      <c r="D7" s="119" t="str">
        <f>'Cover Sheet'!D7</f>
        <v>Collection Period</v>
      </c>
      <c r="E7" s="120" t="s">
        <v>38</v>
      </c>
      <c r="F7" s="121" t="str">
        <f>'Cover Sheet'!F7</f>
        <v>01.09.2012</v>
      </c>
      <c r="G7" s="120" t="s">
        <v>6</v>
      </c>
      <c r="H7" s="121">
        <f>'Cover Sheet'!H7</f>
        <v>41182</v>
      </c>
      <c r="I7" s="543"/>
      <c r="J7" s="544"/>
      <c r="K7" s="41"/>
      <c r="L7" s="106"/>
    </row>
    <row r="8" spans="1:13">
      <c r="A8" s="40"/>
      <c r="B8" s="34"/>
      <c r="C8" s="34"/>
      <c r="D8" s="44"/>
      <c r="E8" s="45"/>
      <c r="F8" s="44"/>
      <c r="G8" s="34"/>
      <c r="H8" s="46"/>
      <c r="I8" s="34"/>
      <c r="J8" s="34"/>
      <c r="K8" s="41"/>
    </row>
    <row r="9" spans="1:13">
      <c r="A9" s="40"/>
      <c r="B9" s="58"/>
      <c r="C9" s="34"/>
      <c r="D9" s="44"/>
      <c r="E9" s="45"/>
      <c r="F9" s="44"/>
      <c r="G9" s="34"/>
      <c r="H9" s="46"/>
      <c r="I9" s="34"/>
      <c r="J9" s="34"/>
      <c r="K9" s="41"/>
    </row>
    <row r="10" spans="1:13">
      <c r="A10" s="40"/>
      <c r="B10" s="34"/>
      <c r="C10" s="34"/>
      <c r="D10" s="34"/>
      <c r="E10" s="34"/>
      <c r="F10" s="34"/>
      <c r="G10" s="34"/>
      <c r="H10" s="28"/>
      <c r="I10" s="34"/>
      <c r="J10" s="34"/>
      <c r="K10" s="41"/>
    </row>
    <row r="11" spans="1:13" ht="18" customHeight="1">
      <c r="A11" s="40"/>
      <c r="B11" s="34"/>
      <c r="C11" s="34"/>
      <c r="D11" s="34"/>
      <c r="E11" s="34"/>
      <c r="F11" s="34"/>
      <c r="G11" s="34"/>
      <c r="H11" s="28"/>
      <c r="I11" s="34"/>
      <c r="J11" s="34"/>
      <c r="K11" s="41"/>
    </row>
    <row r="12" spans="1:13">
      <c r="A12" s="40"/>
      <c r="B12" s="34"/>
      <c r="C12" s="34"/>
      <c r="D12" s="34"/>
      <c r="E12" s="34"/>
      <c r="F12" s="34"/>
      <c r="G12" s="34"/>
      <c r="H12" s="34"/>
      <c r="I12" s="34"/>
      <c r="J12" s="34"/>
      <c r="K12" s="41"/>
    </row>
    <row r="13" spans="1:13" ht="18">
      <c r="A13" s="40"/>
      <c r="B13" s="47" t="s">
        <v>28</v>
      </c>
      <c r="C13" s="48" t="s">
        <v>10</v>
      </c>
      <c r="D13" s="48" t="s">
        <v>8</v>
      </c>
      <c r="E13" s="48"/>
      <c r="F13" s="48" t="s">
        <v>9</v>
      </c>
      <c r="G13" s="48"/>
      <c r="H13" s="48"/>
      <c r="I13" s="48"/>
      <c r="J13" s="48"/>
      <c r="K13" s="41"/>
      <c r="L13" s="49"/>
    </row>
    <row r="14" spans="1:13" ht="12.75" customHeight="1">
      <c r="A14" s="40"/>
      <c r="B14" s="94" t="s">
        <v>19</v>
      </c>
      <c r="C14" s="50"/>
      <c r="D14" s="50"/>
      <c r="E14" s="50"/>
      <c r="F14" s="50"/>
      <c r="G14" s="50"/>
      <c r="H14" s="50"/>
      <c r="I14" s="50"/>
      <c r="J14" s="51"/>
      <c r="K14" s="41"/>
      <c r="L14" s="49"/>
    </row>
    <row r="15" spans="1:13" ht="14.25" customHeight="1">
      <c r="A15" s="40"/>
      <c r="B15" s="40" t="s">
        <v>20</v>
      </c>
      <c r="C15" s="52"/>
      <c r="D15" s="28" t="s">
        <v>261</v>
      </c>
      <c r="E15" s="52"/>
      <c r="F15" s="28" t="s">
        <v>262</v>
      </c>
      <c r="G15" s="52"/>
      <c r="H15" s="53"/>
      <c r="I15" s="52"/>
      <c r="J15" s="54"/>
      <c r="K15" s="41"/>
      <c r="L15" s="49"/>
    </row>
    <row r="16" spans="1:13" ht="14.25" customHeight="1">
      <c r="A16" s="40"/>
      <c r="B16" s="40" t="s">
        <v>65</v>
      </c>
      <c r="C16" s="52"/>
      <c r="D16" s="131" t="s">
        <v>63</v>
      </c>
      <c r="E16" s="131"/>
      <c r="F16" s="131" t="s">
        <v>63</v>
      </c>
      <c r="G16" s="52"/>
      <c r="H16" s="53"/>
      <c r="I16" s="52"/>
      <c r="J16" s="54"/>
      <c r="K16" s="41"/>
      <c r="L16" s="49"/>
    </row>
    <row r="17" spans="1:12">
      <c r="A17" s="40"/>
      <c r="B17" s="40" t="s">
        <v>21</v>
      </c>
      <c r="C17" s="28" t="s">
        <v>11</v>
      </c>
      <c r="D17" s="55">
        <v>0.94499999999999995</v>
      </c>
      <c r="E17" s="55"/>
      <c r="F17" s="55">
        <v>5.5E-2</v>
      </c>
      <c r="G17" s="55"/>
      <c r="H17" s="55"/>
      <c r="I17" s="55"/>
      <c r="J17" s="56"/>
      <c r="K17" s="41"/>
      <c r="L17" s="57"/>
    </row>
    <row r="18" spans="1:12">
      <c r="A18" s="40"/>
      <c r="B18" s="40" t="s">
        <v>264</v>
      </c>
      <c r="C18" s="28"/>
      <c r="D18" s="559">
        <v>43678</v>
      </c>
      <c r="E18" s="55"/>
      <c r="F18" s="559">
        <v>43678</v>
      </c>
      <c r="G18" s="55"/>
      <c r="H18" s="55"/>
      <c r="I18" s="55"/>
      <c r="J18" s="56"/>
      <c r="K18" s="41"/>
      <c r="L18" s="57"/>
    </row>
    <row r="19" spans="1:12">
      <c r="A19" s="40"/>
      <c r="B19" s="40" t="s">
        <v>263</v>
      </c>
      <c r="C19" s="28"/>
      <c r="D19" s="559">
        <v>41821</v>
      </c>
      <c r="E19" s="55"/>
      <c r="F19" s="559">
        <v>41821</v>
      </c>
      <c r="G19" s="55"/>
      <c r="H19" s="55"/>
      <c r="I19" s="55"/>
      <c r="J19" s="56"/>
      <c r="K19" s="41"/>
      <c r="L19" s="57"/>
    </row>
    <row r="20" spans="1:12">
      <c r="A20" s="40"/>
      <c r="B20" s="40" t="s">
        <v>199</v>
      </c>
      <c r="C20" s="28"/>
      <c r="D20" s="131" t="s">
        <v>200</v>
      </c>
      <c r="E20" s="131"/>
      <c r="F20" s="131" t="s">
        <v>265</v>
      </c>
      <c r="G20" s="55"/>
      <c r="H20" s="55"/>
      <c r="I20" s="55"/>
      <c r="J20" s="56"/>
      <c r="K20" s="41"/>
      <c r="L20" s="57"/>
    </row>
    <row r="21" spans="1:12">
      <c r="A21" s="40"/>
      <c r="B21" s="40" t="s">
        <v>201</v>
      </c>
      <c r="C21" s="28"/>
      <c r="D21" s="131" t="s">
        <v>200</v>
      </c>
      <c r="E21" s="131"/>
      <c r="F21" s="131" t="s">
        <v>283</v>
      </c>
      <c r="G21" s="55"/>
      <c r="H21" s="55"/>
      <c r="I21" s="55"/>
      <c r="J21" s="56"/>
      <c r="K21" s="41"/>
      <c r="L21" s="57"/>
    </row>
    <row r="22" spans="1:12">
      <c r="A22" s="40"/>
      <c r="B22" s="40" t="s">
        <v>49</v>
      </c>
      <c r="C22" s="58">
        <v>600000000</v>
      </c>
      <c r="D22" s="58">
        <v>567000000</v>
      </c>
      <c r="E22" s="34"/>
      <c r="F22" s="58">
        <v>33000000</v>
      </c>
      <c r="G22" s="34"/>
      <c r="H22" s="58"/>
      <c r="I22" s="34"/>
      <c r="J22" s="59"/>
      <c r="K22" s="41"/>
    </row>
    <row r="23" spans="1:12">
      <c r="A23" s="40"/>
      <c r="B23" s="40" t="s">
        <v>22</v>
      </c>
      <c r="C23" s="58"/>
      <c r="D23" s="58">
        <v>50000</v>
      </c>
      <c r="E23" s="34"/>
      <c r="F23" s="58">
        <f>D23</f>
        <v>50000</v>
      </c>
      <c r="G23" s="34"/>
      <c r="H23" s="58"/>
      <c r="I23" s="34"/>
      <c r="J23" s="59"/>
      <c r="K23" s="41"/>
    </row>
    <row r="24" spans="1:12">
      <c r="A24" s="40"/>
      <c r="B24" s="60" t="s">
        <v>23</v>
      </c>
      <c r="C24" s="61"/>
      <c r="D24" s="62">
        <f>D22/D23</f>
        <v>11340</v>
      </c>
      <c r="E24" s="61"/>
      <c r="F24" s="62">
        <f>F22/F23</f>
        <v>660</v>
      </c>
      <c r="G24" s="61"/>
      <c r="H24" s="62"/>
      <c r="I24" s="61"/>
      <c r="J24" s="63"/>
      <c r="K24" s="41"/>
    </row>
    <row r="25" spans="1:12" ht="10.5" customHeight="1">
      <c r="A25" s="40"/>
      <c r="B25" s="35"/>
      <c r="C25" s="36"/>
      <c r="D25" s="64"/>
      <c r="E25" s="36"/>
      <c r="F25" s="64"/>
      <c r="G25" s="36"/>
      <c r="H25" s="64"/>
      <c r="I25" s="36"/>
      <c r="J25" s="65"/>
      <c r="K25" s="41"/>
    </row>
    <row r="26" spans="1:12">
      <c r="A26" s="40"/>
      <c r="B26" s="95" t="s">
        <v>24</v>
      </c>
      <c r="C26" s="34"/>
      <c r="D26" s="34"/>
      <c r="E26" s="34"/>
      <c r="F26" s="34"/>
      <c r="G26" s="34"/>
      <c r="H26" s="34"/>
      <c r="I26" s="34"/>
      <c r="J26" s="41"/>
      <c r="K26" s="41"/>
    </row>
    <row r="27" spans="1:12">
      <c r="A27" s="40"/>
      <c r="B27" s="40" t="s">
        <v>50</v>
      </c>
      <c r="C27" s="58">
        <v>228844181.39999989</v>
      </c>
      <c r="D27" s="58">
        <v>195844181.39999989</v>
      </c>
      <c r="E27" s="58"/>
      <c r="F27" s="58">
        <v>33000000</v>
      </c>
      <c r="G27" s="58"/>
      <c r="H27" s="58"/>
      <c r="I27" s="58"/>
      <c r="J27" s="59"/>
      <c r="K27" s="41"/>
    </row>
    <row r="28" spans="1:12">
      <c r="A28" s="40"/>
      <c r="B28" s="40" t="s">
        <v>120</v>
      </c>
      <c r="C28" s="58">
        <v>26449007.939999927</v>
      </c>
      <c r="D28" s="34"/>
      <c r="E28" s="34"/>
      <c r="F28" s="34"/>
      <c r="G28" s="34"/>
      <c r="H28" s="34"/>
      <c r="I28" s="34"/>
      <c r="J28" s="41"/>
      <c r="K28" s="41"/>
    </row>
    <row r="29" spans="1:12">
      <c r="A29" s="40"/>
      <c r="B29" s="40" t="s">
        <v>175</v>
      </c>
      <c r="C29" s="58">
        <v>11290557.599999994</v>
      </c>
      <c r="D29" s="34"/>
      <c r="E29" s="34"/>
      <c r="F29" s="34"/>
      <c r="G29" s="34"/>
      <c r="H29" s="34"/>
      <c r="I29" s="34"/>
      <c r="J29" s="41"/>
      <c r="K29" s="41"/>
    </row>
    <row r="30" spans="1:12">
      <c r="A30" s="40"/>
      <c r="B30" s="40" t="s">
        <v>26</v>
      </c>
      <c r="C30" s="58">
        <v>11290557.6</v>
      </c>
      <c r="D30" s="58">
        <v>11290557.6</v>
      </c>
      <c r="E30" s="58"/>
      <c r="F30" s="58">
        <v>0</v>
      </c>
      <c r="G30" s="58"/>
      <c r="H30" s="58"/>
      <c r="I30" s="58"/>
      <c r="J30" s="59"/>
      <c r="K30" s="41"/>
    </row>
    <row r="31" spans="1:12">
      <c r="A31" s="40"/>
      <c r="B31" s="40" t="s">
        <v>25</v>
      </c>
      <c r="C31" s="58"/>
      <c r="D31" s="58">
        <f>IF(ISNUMBER(D30),D30/D24,"")</f>
        <v>995.64</v>
      </c>
      <c r="E31" s="58"/>
      <c r="F31" s="58">
        <f>IF(ISNUMBER(F30),F30/F24,"")</f>
        <v>0</v>
      </c>
      <c r="G31" s="58"/>
      <c r="H31" s="58"/>
      <c r="I31" s="58"/>
      <c r="J31" s="59"/>
      <c r="K31" s="41"/>
    </row>
    <row r="32" spans="1:12">
      <c r="A32" s="40"/>
      <c r="B32" s="40" t="s">
        <v>51</v>
      </c>
      <c r="C32" s="58">
        <f>+C27-C30</f>
        <v>217553623.79999989</v>
      </c>
      <c r="D32" s="58">
        <f>D27-D30</f>
        <v>184553623.79999989</v>
      </c>
      <c r="E32" s="34"/>
      <c r="F32" s="58">
        <f>F27-F30</f>
        <v>33000000</v>
      </c>
      <c r="G32" s="34"/>
      <c r="H32" s="58"/>
      <c r="I32" s="34"/>
      <c r="J32" s="59"/>
      <c r="K32" s="41"/>
    </row>
    <row r="33" spans="1:11">
      <c r="A33" s="40"/>
      <c r="B33" s="40" t="s">
        <v>27</v>
      </c>
      <c r="C33" s="34"/>
      <c r="D33" s="66">
        <f>+D32/$C$32</f>
        <v>0.84831325985938366</v>
      </c>
      <c r="E33" s="34"/>
      <c r="F33" s="66">
        <f>+F32/$C$32</f>
        <v>0.15168674014061639</v>
      </c>
      <c r="G33" s="34"/>
      <c r="H33" s="66"/>
      <c r="I33" s="34"/>
      <c r="J33" s="67"/>
      <c r="K33" s="41"/>
    </row>
    <row r="34" spans="1:11">
      <c r="A34" s="40"/>
      <c r="B34" s="60" t="s">
        <v>30</v>
      </c>
      <c r="C34" s="61"/>
      <c r="D34" s="68">
        <f>D32/D22</f>
        <v>0.32549139999999982</v>
      </c>
      <c r="E34" s="61"/>
      <c r="F34" s="68">
        <f>F32/F22</f>
        <v>1</v>
      </c>
      <c r="G34" s="61"/>
      <c r="H34" s="68"/>
      <c r="I34" s="61"/>
      <c r="J34" s="69"/>
      <c r="K34" s="41"/>
    </row>
    <row r="35" spans="1:11">
      <c r="A35" s="40"/>
      <c r="B35" s="34"/>
      <c r="C35" s="34"/>
      <c r="D35" s="34"/>
      <c r="E35" s="34"/>
      <c r="F35" s="34"/>
      <c r="G35" s="34"/>
      <c r="H35" s="34"/>
      <c r="I35" s="34"/>
      <c r="J35" s="34"/>
      <c r="K35" s="41"/>
    </row>
    <row r="36" spans="1:11" ht="18">
      <c r="A36" s="40"/>
      <c r="B36" s="47" t="s">
        <v>29</v>
      </c>
      <c r="C36" s="48" t="s">
        <v>10</v>
      </c>
      <c r="D36" s="48" t="s">
        <v>8</v>
      </c>
      <c r="E36" s="48"/>
      <c r="F36" s="48" t="s">
        <v>9</v>
      </c>
      <c r="G36" s="48"/>
      <c r="H36" s="48"/>
      <c r="I36" s="48"/>
      <c r="J36" s="48"/>
      <c r="K36" s="41"/>
    </row>
    <row r="37" spans="1:11">
      <c r="A37" s="40"/>
      <c r="B37" s="35" t="s">
        <v>31</v>
      </c>
      <c r="C37" s="591">
        <v>1.1999999999999999E-3</v>
      </c>
      <c r="D37" s="558">
        <v>105</v>
      </c>
      <c r="E37" s="36"/>
      <c r="F37" s="558">
        <v>150</v>
      </c>
      <c r="G37" s="36"/>
      <c r="H37" s="450"/>
      <c r="I37" s="36"/>
      <c r="J37" s="70"/>
      <c r="K37" s="41"/>
    </row>
    <row r="38" spans="1:11">
      <c r="A38" s="40"/>
      <c r="B38" s="40" t="s">
        <v>66</v>
      </c>
      <c r="C38" s="336"/>
      <c r="D38" s="130" t="s">
        <v>64</v>
      </c>
      <c r="E38" s="34"/>
      <c r="F38" s="130" t="s">
        <v>64</v>
      </c>
      <c r="G38" s="34"/>
      <c r="H38" s="128"/>
      <c r="I38" s="34"/>
      <c r="J38" s="129"/>
      <c r="K38" s="41"/>
    </row>
    <row r="39" spans="1:11">
      <c r="A39" s="40"/>
      <c r="B39" s="40" t="s">
        <v>155</v>
      </c>
      <c r="C39" s="127">
        <v>33</v>
      </c>
      <c r="D39" s="130"/>
      <c r="E39" s="34"/>
      <c r="F39" s="130"/>
      <c r="G39" s="34"/>
      <c r="H39" s="128"/>
      <c r="I39" s="34"/>
      <c r="J39" s="129"/>
      <c r="K39" s="41"/>
    </row>
    <row r="40" spans="1:11">
      <c r="A40" s="40"/>
      <c r="B40" s="40" t="s">
        <v>32</v>
      </c>
      <c r="C40" s="58"/>
      <c r="D40" s="58">
        <f>D27/D24</f>
        <v>17270.209999999988</v>
      </c>
      <c r="E40" s="34"/>
      <c r="F40" s="58">
        <f>F27/F24</f>
        <v>50000</v>
      </c>
      <c r="G40" s="34"/>
      <c r="H40" s="58"/>
      <c r="I40" s="34"/>
      <c r="J40" s="59"/>
      <c r="K40" s="41"/>
    </row>
    <row r="41" spans="1:11">
      <c r="A41" s="40"/>
      <c r="B41" s="40" t="s">
        <v>34</v>
      </c>
      <c r="C41" s="336"/>
      <c r="D41" s="71">
        <f>+D31</f>
        <v>995.64</v>
      </c>
      <c r="E41" s="72"/>
      <c r="F41" s="71">
        <f>+F31</f>
        <v>0</v>
      </c>
      <c r="G41" s="72"/>
      <c r="H41" s="71"/>
      <c r="I41" s="72"/>
      <c r="J41" s="73"/>
      <c r="K41" s="41"/>
    </row>
    <row r="42" spans="1:11">
      <c r="A42" s="40"/>
      <c r="B42" s="40" t="s">
        <v>33</v>
      </c>
      <c r="C42" s="336"/>
      <c r="D42" s="58">
        <f>D40-D41</f>
        <v>16274.569999999989</v>
      </c>
      <c r="E42" s="34"/>
      <c r="F42" s="58">
        <f>F40-F41</f>
        <v>50000</v>
      </c>
      <c r="G42" s="34"/>
      <c r="H42" s="58"/>
      <c r="I42" s="34"/>
      <c r="J42" s="59"/>
      <c r="K42" s="41"/>
    </row>
    <row r="43" spans="1:11">
      <c r="A43" s="40"/>
      <c r="B43" s="40" t="s">
        <v>140</v>
      </c>
      <c r="C43" s="71"/>
      <c r="D43" s="71">
        <f>-'19. PoP + Transaction Costs'!D35</f>
        <v>210016.8</v>
      </c>
      <c r="E43" s="71"/>
      <c r="F43" s="71">
        <f>-'19. PoP + Transaction Costs'!F35</f>
        <v>49005</v>
      </c>
      <c r="G43" s="34"/>
      <c r="H43" s="58"/>
      <c r="I43" s="34"/>
      <c r="J43" s="59"/>
      <c r="K43" s="41"/>
    </row>
    <row r="44" spans="1:11">
      <c r="A44" s="40"/>
      <c r="B44" s="40" t="s">
        <v>154</v>
      </c>
      <c r="C44" s="71"/>
      <c r="D44" s="71">
        <v>210016.8</v>
      </c>
      <c r="E44" s="71"/>
      <c r="F44" s="71">
        <v>49005</v>
      </c>
      <c r="G44" s="34"/>
      <c r="H44" s="58"/>
      <c r="I44" s="34"/>
      <c r="J44" s="59"/>
      <c r="K44" s="41"/>
    </row>
    <row r="45" spans="1:11">
      <c r="A45" s="40"/>
      <c r="B45" s="60" t="s">
        <v>141</v>
      </c>
      <c r="C45" s="61"/>
      <c r="D45" s="74">
        <v>18.52</v>
      </c>
      <c r="E45" s="74"/>
      <c r="F45" s="74">
        <v>74.25</v>
      </c>
      <c r="G45" s="61"/>
      <c r="H45" s="423"/>
      <c r="I45" s="61"/>
      <c r="J45" s="424"/>
      <c r="K45" s="41"/>
    </row>
    <row r="46" spans="1:11">
      <c r="A46" s="40"/>
      <c r="B46" s="34"/>
      <c r="C46" s="34"/>
      <c r="D46" s="34"/>
      <c r="E46" s="34"/>
      <c r="F46" s="34"/>
      <c r="G46" s="425"/>
      <c r="H46" s="425"/>
      <c r="I46" s="425"/>
      <c r="J46" s="425"/>
      <c r="K46" s="41"/>
    </row>
    <row r="47" spans="1:11">
      <c r="A47" s="40"/>
      <c r="B47" s="34"/>
      <c r="C47" s="58"/>
      <c r="D47" s="58"/>
      <c r="E47" s="34"/>
      <c r="F47" s="58"/>
      <c r="G47" s="34"/>
      <c r="H47" s="58"/>
      <c r="I47" s="34"/>
      <c r="J47" s="58"/>
      <c r="K47" s="41"/>
    </row>
    <row r="48" spans="1:11" ht="18">
      <c r="A48" s="40"/>
      <c r="B48" s="47" t="s">
        <v>35</v>
      </c>
      <c r="C48" s="34"/>
      <c r="D48" s="48" t="s">
        <v>8</v>
      </c>
      <c r="E48" s="48"/>
      <c r="F48" s="48" t="s">
        <v>9</v>
      </c>
      <c r="G48" s="34"/>
      <c r="H48" s="34"/>
      <c r="I48" s="34"/>
      <c r="J48" s="34"/>
      <c r="K48" s="41"/>
    </row>
    <row r="49" spans="1:11">
      <c r="A49" s="40"/>
      <c r="B49" s="35" t="s">
        <v>62</v>
      </c>
      <c r="C49" s="36"/>
      <c r="D49" s="75">
        <v>8.5000000000000006E-2</v>
      </c>
      <c r="E49" s="75"/>
      <c r="F49" s="75">
        <f>D49-F17</f>
        <v>3.0000000000000006E-2</v>
      </c>
      <c r="G49" s="75"/>
      <c r="H49" s="75"/>
      <c r="I49" s="75"/>
      <c r="J49" s="76"/>
      <c r="K49" s="41"/>
    </row>
    <row r="50" spans="1:11">
      <c r="A50" s="40"/>
      <c r="B50" s="40" t="s">
        <v>173</v>
      </c>
      <c r="C50" s="34"/>
      <c r="D50" s="336">
        <f>'2. Reserve Accounts'!C22+'5. Outstanding Notes'!F33+('14. Customer Yield'!E31-'20. Swap Counterparty Data'!C32)</f>
        <v>0.26537202621126388</v>
      </c>
      <c r="E50" s="336"/>
      <c r="F50" s="336">
        <f>D50-F33</f>
        <v>0.11368528607064748</v>
      </c>
      <c r="G50" s="336"/>
      <c r="H50" s="336"/>
      <c r="I50" s="336"/>
      <c r="J50" s="488"/>
      <c r="K50" s="41"/>
    </row>
    <row r="51" spans="1:11">
      <c r="A51" s="40"/>
      <c r="B51" s="60" t="s">
        <v>174</v>
      </c>
      <c r="C51" s="61"/>
      <c r="D51" s="77">
        <f>'2. Reserve Accounts'!C22+'5. Outstanding Notes'!F33</f>
        <v>0.21168674014980957</v>
      </c>
      <c r="E51" s="77"/>
      <c r="F51" s="77">
        <f>+D51-F33</f>
        <v>6.0000000009193172E-2</v>
      </c>
      <c r="G51" s="77"/>
      <c r="H51" s="77"/>
      <c r="I51" s="77"/>
      <c r="J51" s="78"/>
      <c r="K51" s="41"/>
    </row>
    <row r="52" spans="1:11">
      <c r="A52" s="40"/>
      <c r="B52" s="34"/>
      <c r="C52" s="34"/>
      <c r="D52" s="336"/>
      <c r="E52" s="336"/>
      <c r="F52" s="336"/>
      <c r="G52" s="336"/>
      <c r="H52" s="336"/>
      <c r="I52" s="336"/>
      <c r="J52" s="336"/>
      <c r="K52" s="41"/>
    </row>
    <row r="53" spans="1:11">
      <c r="A53" s="40"/>
      <c r="B53" s="34"/>
      <c r="C53" s="34"/>
      <c r="D53" s="34"/>
      <c r="E53" s="34"/>
      <c r="F53" s="34"/>
      <c r="G53" s="34"/>
      <c r="H53" s="34"/>
      <c r="I53" s="34"/>
      <c r="J53" s="34"/>
      <c r="K53" s="41"/>
    </row>
    <row r="54" spans="1:11" ht="18">
      <c r="A54" s="40"/>
      <c r="B54" s="47" t="s">
        <v>273</v>
      </c>
      <c r="C54" s="34"/>
      <c r="D54" s="48" t="s">
        <v>8</v>
      </c>
      <c r="E54" s="48"/>
      <c r="F54" s="48" t="s">
        <v>9</v>
      </c>
      <c r="G54" s="34"/>
      <c r="H54" s="34"/>
      <c r="I54" s="34"/>
      <c r="J54" s="34"/>
      <c r="K54" s="41"/>
    </row>
    <row r="55" spans="1:11">
      <c r="A55" s="40"/>
      <c r="B55" s="35" t="s">
        <v>275</v>
      </c>
      <c r="C55" s="36"/>
      <c r="D55" s="734">
        <v>100</v>
      </c>
      <c r="E55" s="36"/>
      <c r="F55" s="734">
        <v>100</v>
      </c>
      <c r="G55" s="36"/>
      <c r="H55" s="36"/>
      <c r="I55" s="36"/>
      <c r="J55" s="37"/>
      <c r="K55" s="41"/>
    </row>
    <row r="56" spans="1:11">
      <c r="A56" s="40"/>
      <c r="B56" s="60" t="s">
        <v>588</v>
      </c>
      <c r="C56" s="61"/>
      <c r="D56" s="735" t="s">
        <v>587</v>
      </c>
      <c r="E56" s="61"/>
      <c r="F56" s="735" t="s">
        <v>586</v>
      </c>
      <c r="G56" s="61"/>
      <c r="H56" s="61"/>
      <c r="I56" s="61"/>
      <c r="J56" s="79"/>
      <c r="K56" s="41"/>
    </row>
    <row r="57" spans="1:11">
      <c r="A57" s="40"/>
      <c r="B57" s="34"/>
      <c r="C57" s="34"/>
      <c r="D57" s="34"/>
      <c r="E57" s="34"/>
      <c r="F57" s="34"/>
      <c r="G57" s="34"/>
      <c r="H57" s="34"/>
      <c r="I57" s="34"/>
      <c r="J57" s="34"/>
      <c r="K57" s="41"/>
    </row>
    <row r="58" spans="1:11">
      <c r="A58" s="40"/>
      <c r="B58" s="34" t="s">
        <v>282</v>
      </c>
      <c r="C58" s="34"/>
      <c r="D58" s="34"/>
      <c r="E58" s="34"/>
      <c r="F58" s="34"/>
      <c r="G58" s="34"/>
      <c r="H58" s="34"/>
      <c r="I58" s="34"/>
      <c r="J58" s="34"/>
      <c r="K58" s="41"/>
    </row>
    <row r="59" spans="1:11">
      <c r="A59" s="60"/>
      <c r="B59" s="61" t="s">
        <v>274</v>
      </c>
      <c r="C59" s="61"/>
      <c r="D59" s="61"/>
      <c r="E59" s="61"/>
      <c r="F59" s="61"/>
      <c r="G59" s="61"/>
      <c r="H59" s="61"/>
      <c r="I59" s="61"/>
      <c r="J59" s="61"/>
      <c r="K59" s="79"/>
    </row>
  </sheetData>
  <sheetProtection password="8B10" sheet="1" objects="1" scenarios="1"/>
  <phoneticPr fontId="2" type="noConversion"/>
  <pageMargins left="0.70866141732283472" right="0.70866141732283472" top="1.0236220472440944" bottom="1.0236220472440944" header="0.39370078740157483" footer="0.39370078740157483"/>
  <pageSetup paperSize="9" scale="58" orientation="landscape" r:id="rId1"/>
  <headerFooter alignWithMargins="0">
    <oddFooter>&amp;L&amp;"Frutiger 57Cn,Standard"&amp;8
Santander Consumer Bank AG
Santander-Platz 1
41061 Mönchengladbach
Tel.: +49 180 / 5556 - 499
Fax.: +49 180 / 5556 - 498</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R5712"/>
  <sheetViews>
    <sheetView view="pageBreakPreview" zoomScale="70" zoomScaleNormal="75" zoomScaleSheetLayoutView="70" workbookViewId="0">
      <selection activeCell="B3" sqref="B3"/>
    </sheetView>
  </sheetViews>
  <sheetFormatPr defaultRowHeight="12.75"/>
  <cols>
    <col min="1" max="1" width="1.28515625" style="31" customWidth="1"/>
    <col min="2" max="2" width="26" style="31" customWidth="1"/>
    <col min="3" max="3" width="14.85546875" style="31" bestFit="1" customWidth="1"/>
    <col min="4" max="4" width="25.28515625" style="31" bestFit="1" customWidth="1"/>
    <col min="5" max="5" width="18.5703125" style="31" customWidth="1"/>
    <col min="6" max="6" width="17.28515625" style="31" customWidth="1"/>
    <col min="7" max="8" width="19" style="31" customWidth="1"/>
    <col min="9" max="9" width="9.28515625" style="31" customWidth="1"/>
    <col min="10" max="10" width="15.42578125" style="31" customWidth="1"/>
    <col min="11" max="11" width="1.28515625" style="31" customWidth="1"/>
    <col min="12" max="12" width="4.28515625" style="31" customWidth="1"/>
    <col min="13" max="13" width="22" style="31" customWidth="1"/>
    <col min="14" max="14" width="18.5703125" style="31" customWidth="1"/>
    <col min="15" max="15" width="17.28515625" style="31" customWidth="1"/>
    <col min="16" max="17" width="19" style="31" customWidth="1"/>
    <col min="18" max="256" width="11.42578125" style="31" customWidth="1"/>
    <col min="257" max="16384" width="9.140625" style="31"/>
  </cols>
  <sheetData>
    <row r="1" spans="1:18" ht="6" customHeight="1">
      <c r="A1" s="35"/>
      <c r="B1" s="36"/>
      <c r="C1" s="36"/>
      <c r="D1" s="36"/>
      <c r="E1" s="36"/>
      <c r="F1" s="36"/>
      <c r="G1" s="36"/>
      <c r="H1" s="36"/>
      <c r="I1" s="36"/>
      <c r="J1" s="36"/>
      <c r="K1" s="37"/>
      <c r="M1" s="34"/>
      <c r="N1" s="34"/>
      <c r="O1" s="34"/>
      <c r="P1" s="34"/>
      <c r="Q1" s="34"/>
      <c r="R1" s="34"/>
    </row>
    <row r="2" spans="1:18" s="27" customFormat="1" ht="18">
      <c r="A2" s="5"/>
      <c r="B2" s="7" t="str">
        <f>'Cover Sheet'!B2</f>
        <v>SC Germany Auto 10-1</v>
      </c>
      <c r="C2" s="7"/>
      <c r="D2" s="108" t="s">
        <v>54</v>
      </c>
      <c r="E2" s="109"/>
      <c r="F2" s="110">
        <f>'Cover Sheet'!F2</f>
        <v>41191</v>
      </c>
      <c r="G2" s="109"/>
      <c r="H2" s="109"/>
      <c r="I2" s="109"/>
      <c r="J2" s="111"/>
      <c r="K2" s="88"/>
      <c r="M2" s="28"/>
      <c r="N2" s="34"/>
      <c r="O2" s="372"/>
      <c r="P2" s="34"/>
      <c r="Q2" s="34"/>
      <c r="R2" s="34"/>
    </row>
    <row r="3" spans="1:18" s="27" customFormat="1" ht="18">
      <c r="A3" s="5"/>
      <c r="B3" s="7" t="str">
        <f>'Cover Sheet'!B3</f>
        <v>Monthly Investor Report</v>
      </c>
      <c r="C3" s="7"/>
      <c r="D3" s="112" t="s">
        <v>4</v>
      </c>
      <c r="E3" s="113"/>
      <c r="F3" s="114">
        <f>'Cover Sheet'!F3</f>
        <v>41197</v>
      </c>
      <c r="G3" s="113"/>
      <c r="H3" s="113"/>
      <c r="I3" s="113"/>
      <c r="J3" s="115"/>
      <c r="K3" s="90"/>
      <c r="M3" s="28"/>
      <c r="N3" s="34"/>
      <c r="O3" s="372"/>
      <c r="P3" s="34"/>
      <c r="Q3" s="34"/>
      <c r="R3" s="34"/>
    </row>
    <row r="4" spans="1:18" s="27" customFormat="1">
      <c r="A4" s="5"/>
      <c r="B4" s="42"/>
      <c r="C4" s="12"/>
      <c r="D4" s="112" t="s">
        <v>5</v>
      </c>
      <c r="E4" s="113"/>
      <c r="F4" s="122">
        <f>'Cover Sheet'!F4</f>
        <v>27</v>
      </c>
      <c r="G4" s="113"/>
      <c r="H4" s="117"/>
      <c r="I4" s="113"/>
      <c r="J4" s="118"/>
      <c r="K4" s="88"/>
      <c r="M4" s="28"/>
      <c r="N4" s="34"/>
      <c r="O4" s="45"/>
      <c r="P4" s="34"/>
      <c r="Q4" s="28"/>
      <c r="R4" s="34"/>
    </row>
    <row r="5" spans="1:18" s="27" customFormat="1" ht="18">
      <c r="A5" s="5"/>
      <c r="B5" s="105" t="s">
        <v>386</v>
      </c>
      <c r="C5" s="14"/>
      <c r="D5" s="112" t="s">
        <v>3</v>
      </c>
      <c r="E5" s="113"/>
      <c r="F5" s="123">
        <f>'Cover Sheet'!F5</f>
        <v>41197</v>
      </c>
      <c r="G5" s="113"/>
      <c r="H5" s="117"/>
      <c r="I5" s="113"/>
      <c r="J5" s="118"/>
      <c r="K5" s="90"/>
      <c r="M5" s="28"/>
      <c r="N5" s="34"/>
      <c r="O5" s="373"/>
      <c r="P5" s="34"/>
      <c r="Q5" s="28"/>
      <c r="R5" s="34"/>
    </row>
    <row r="6" spans="1:18" s="27" customFormat="1" ht="15" customHeight="1">
      <c r="A6" s="5"/>
      <c r="B6" s="43"/>
      <c r="C6" s="89"/>
      <c r="D6" s="552" t="str">
        <f>'Cover Sheet'!D6</f>
        <v>Interest Period</v>
      </c>
      <c r="E6" s="114" t="s">
        <v>38</v>
      </c>
      <c r="F6" s="114">
        <f>'Cover Sheet'!F6</f>
        <v>41164</v>
      </c>
      <c r="G6" s="114" t="s">
        <v>6</v>
      </c>
      <c r="H6" s="114">
        <f>'Cover Sheet'!H6</f>
        <v>41197</v>
      </c>
      <c r="I6" s="116" t="s">
        <v>18</v>
      </c>
      <c r="J6" s="542" t="str">
        <f>'Cover Sheet'!J6</f>
        <v>33 days</v>
      </c>
      <c r="K6" s="90"/>
      <c r="M6" s="28"/>
      <c r="N6" s="45"/>
      <c r="O6" s="372"/>
      <c r="P6" s="45"/>
      <c r="Q6" s="372"/>
      <c r="R6" s="34"/>
    </row>
    <row r="7" spans="1:18" s="27" customFormat="1">
      <c r="A7" s="5"/>
      <c r="B7" s="4"/>
      <c r="C7" s="4"/>
      <c r="D7" s="553" t="str">
        <f>'Cover Sheet'!D7</f>
        <v>Collection Period</v>
      </c>
      <c r="E7" s="121" t="s">
        <v>38</v>
      </c>
      <c r="F7" s="121" t="str">
        <f>'Cover Sheet'!F7</f>
        <v>01.09.2012</v>
      </c>
      <c r="G7" s="121" t="s">
        <v>6</v>
      </c>
      <c r="H7" s="121">
        <f>'Cover Sheet'!H7</f>
        <v>41182</v>
      </c>
      <c r="I7" s="543"/>
      <c r="J7" s="544"/>
      <c r="K7" s="90"/>
      <c r="M7" s="28"/>
      <c r="N7" s="34"/>
      <c r="O7" s="374"/>
      <c r="P7" s="45"/>
      <c r="Q7" s="372"/>
      <c r="R7" s="34"/>
    </row>
    <row r="8" spans="1:18" s="27" customFormat="1">
      <c r="A8" s="5"/>
      <c r="B8" s="4"/>
      <c r="C8" s="4"/>
      <c r="D8" s="4"/>
      <c r="E8" s="9"/>
      <c r="F8" s="15"/>
      <c r="G8" s="9"/>
      <c r="H8" s="4"/>
      <c r="I8" s="16"/>
      <c r="J8" s="4"/>
      <c r="K8" s="90"/>
      <c r="M8" s="34"/>
      <c r="N8" s="44"/>
      <c r="O8" s="45"/>
      <c r="P8" s="44"/>
      <c r="Q8" s="34"/>
      <c r="R8" s="34"/>
    </row>
    <row r="9" spans="1:18" s="27" customFormat="1">
      <c r="A9" s="5"/>
      <c r="K9" s="8"/>
      <c r="M9" s="34"/>
      <c r="N9" s="34"/>
      <c r="O9" s="34"/>
      <c r="P9" s="34"/>
      <c r="Q9" s="34"/>
      <c r="R9" s="34"/>
    </row>
    <row r="10" spans="1:18" s="27" customFormat="1">
      <c r="A10" s="5"/>
      <c r="B10" s="4"/>
      <c r="C10" s="4"/>
      <c r="D10" s="4"/>
      <c r="E10" s="4"/>
      <c r="F10" s="18"/>
      <c r="G10" s="4"/>
      <c r="H10" s="4"/>
      <c r="I10" s="34"/>
      <c r="J10" s="34"/>
      <c r="K10" s="8"/>
      <c r="M10" s="34"/>
      <c r="N10" s="34"/>
      <c r="O10" s="102"/>
      <c r="P10" s="34"/>
      <c r="Q10" s="34"/>
      <c r="R10" s="34"/>
    </row>
    <row r="11" spans="1:18" s="27" customFormat="1" ht="18">
      <c r="A11" s="5"/>
      <c r="B11" s="125"/>
      <c r="C11" s="4"/>
      <c r="D11" s="4"/>
      <c r="E11" s="4"/>
      <c r="F11" s="34"/>
      <c r="G11" s="100"/>
      <c r="H11" s="100"/>
      <c r="I11" s="34"/>
      <c r="K11" s="8"/>
      <c r="M11" s="47"/>
      <c r="N11" s="34"/>
      <c r="O11" s="34"/>
      <c r="P11" s="137"/>
      <c r="Q11" s="137"/>
      <c r="R11" s="34"/>
    </row>
    <row r="12" spans="1:18" s="27" customFormat="1" ht="13.5" thickBot="1">
      <c r="A12" s="5"/>
      <c r="B12" s="4"/>
      <c r="C12" s="4"/>
      <c r="D12" s="4"/>
      <c r="E12" s="4"/>
      <c r="F12" s="34"/>
      <c r="G12" s="100"/>
      <c r="H12" s="100"/>
      <c r="I12" s="34"/>
      <c r="K12" s="8"/>
      <c r="M12" s="34"/>
      <c r="N12" s="34"/>
      <c r="O12" s="34"/>
      <c r="P12" s="137"/>
      <c r="Q12" s="137"/>
      <c r="R12" s="34"/>
    </row>
    <row r="13" spans="1:18" s="27" customFormat="1" ht="45" customHeight="1" thickBot="1">
      <c r="A13" s="5"/>
      <c r="B13" s="127"/>
      <c r="C13" s="34"/>
      <c r="D13" s="268" t="s">
        <v>87</v>
      </c>
      <c r="E13" s="269" t="s">
        <v>88</v>
      </c>
      <c r="F13" s="270" t="s">
        <v>70</v>
      </c>
      <c r="G13" s="269" t="s">
        <v>71</v>
      </c>
      <c r="H13" s="271" t="s">
        <v>72</v>
      </c>
      <c r="I13" s="102"/>
      <c r="K13" s="8"/>
      <c r="M13" s="375"/>
      <c r="N13" s="328"/>
      <c r="O13" s="327"/>
      <c r="P13" s="328"/>
      <c r="Q13" s="328"/>
      <c r="R13" s="34"/>
    </row>
    <row r="14" spans="1:18" s="27" customFormat="1">
      <c r="A14" s="5"/>
      <c r="B14" s="138"/>
      <c r="C14" s="138"/>
      <c r="D14" s="588" t="s">
        <v>477</v>
      </c>
      <c r="E14" s="272">
        <v>6298.5599999999995</v>
      </c>
      <c r="F14" s="273">
        <v>1.4173781548208005E-5</v>
      </c>
      <c r="G14" s="274">
        <v>7</v>
      </c>
      <c r="H14" s="275">
        <v>1.6621945717474414E-4</v>
      </c>
      <c r="I14" s="102"/>
      <c r="K14" s="8"/>
      <c r="M14" s="156"/>
      <c r="N14" s="157"/>
      <c r="O14" s="141"/>
      <c r="P14" s="158"/>
      <c r="Q14" s="141"/>
      <c r="R14" s="34"/>
    </row>
    <row r="15" spans="1:18">
      <c r="A15" s="40"/>
      <c r="B15" s="139"/>
      <c r="C15" s="140"/>
      <c r="D15" s="588" t="s">
        <v>478</v>
      </c>
      <c r="E15" s="272">
        <v>296520.07000000007</v>
      </c>
      <c r="F15" s="273">
        <v>6.6726532681110401E-4</v>
      </c>
      <c r="G15" s="274">
        <v>176</v>
      </c>
      <c r="H15" s="275">
        <v>4.1792320661078524E-3</v>
      </c>
      <c r="I15" s="102"/>
      <c r="K15" s="41"/>
      <c r="M15" s="156"/>
      <c r="N15" s="157"/>
      <c r="O15" s="141"/>
      <c r="P15" s="158"/>
      <c r="Q15" s="141"/>
      <c r="R15" s="34"/>
    </row>
    <row r="16" spans="1:18">
      <c r="A16" s="40"/>
      <c r="B16" s="139"/>
      <c r="C16" s="140"/>
      <c r="D16" s="588" t="s">
        <v>479</v>
      </c>
      <c r="E16" s="272">
        <v>2007950.3900000001</v>
      </c>
      <c r="F16" s="273">
        <v>4.5185328372674182E-3</v>
      </c>
      <c r="G16" s="274">
        <v>764</v>
      </c>
      <c r="H16" s="275">
        <v>1.8141666468786361E-2</v>
      </c>
      <c r="I16" s="102"/>
      <c r="K16" s="41"/>
      <c r="M16" s="156"/>
      <c r="N16" s="157"/>
      <c r="O16" s="141"/>
      <c r="P16" s="158"/>
      <c r="Q16" s="141"/>
      <c r="R16" s="34"/>
    </row>
    <row r="17" spans="1:18">
      <c r="A17" s="40"/>
      <c r="B17" s="139"/>
      <c r="C17" s="140"/>
      <c r="D17" s="588" t="s">
        <v>480</v>
      </c>
      <c r="E17" s="272">
        <v>5825918.6399999997</v>
      </c>
      <c r="F17" s="273">
        <v>1.3110186792059308E-2</v>
      </c>
      <c r="G17" s="274">
        <v>1639</v>
      </c>
      <c r="H17" s="275">
        <v>3.891909861562938E-2</v>
      </c>
      <c r="I17" s="102"/>
      <c r="K17" s="41"/>
      <c r="M17" s="156"/>
      <c r="N17" s="157"/>
      <c r="O17" s="141"/>
      <c r="P17" s="158"/>
      <c r="Q17" s="141"/>
      <c r="R17" s="34"/>
    </row>
    <row r="18" spans="1:18">
      <c r="A18" s="40"/>
      <c r="B18" s="139"/>
      <c r="C18" s="140"/>
      <c r="D18" s="588" t="s">
        <v>481</v>
      </c>
      <c r="E18" s="272">
        <v>10872159.829999996</v>
      </c>
      <c r="F18" s="273">
        <v>2.4465849080999823E-2</v>
      </c>
      <c r="G18" s="274">
        <v>2395</v>
      </c>
      <c r="H18" s="275">
        <v>5.6870799990501743E-2</v>
      </c>
      <c r="I18" s="102"/>
      <c r="K18" s="41"/>
      <c r="M18" s="156"/>
      <c r="N18" s="157"/>
      <c r="O18" s="141"/>
      <c r="P18" s="158"/>
      <c r="Q18" s="141"/>
      <c r="R18" s="34"/>
    </row>
    <row r="19" spans="1:18">
      <c r="A19" s="40"/>
      <c r="B19" s="139"/>
      <c r="C19" s="140"/>
      <c r="D19" s="588" t="s">
        <v>482</v>
      </c>
      <c r="E19" s="272">
        <v>17617795.86999999</v>
      </c>
      <c r="F19" s="273">
        <v>3.9645695210064058E-2</v>
      </c>
      <c r="G19" s="274">
        <v>3199</v>
      </c>
      <c r="H19" s="275">
        <v>7.5962291928858075E-2</v>
      </c>
      <c r="I19" s="102"/>
      <c r="K19" s="41"/>
      <c r="M19" s="156"/>
      <c r="N19" s="157"/>
      <c r="O19" s="141"/>
      <c r="P19" s="158"/>
      <c r="Q19" s="141"/>
      <c r="R19" s="34"/>
    </row>
    <row r="20" spans="1:18">
      <c r="A20" s="40"/>
      <c r="B20" s="139"/>
      <c r="C20" s="140"/>
      <c r="D20" s="588" t="s">
        <v>483</v>
      </c>
      <c r="E20" s="272">
        <v>22082005.070000004</v>
      </c>
      <c r="F20" s="273">
        <v>4.9691598715992498E-2</v>
      </c>
      <c r="G20" s="274">
        <v>3398</v>
      </c>
      <c r="H20" s="275">
        <v>8.0687673639968649E-2</v>
      </c>
      <c r="I20" s="102"/>
      <c r="K20" s="41"/>
      <c r="M20" s="156"/>
      <c r="N20" s="157"/>
      <c r="O20" s="141"/>
      <c r="P20" s="158"/>
      <c r="Q20" s="141"/>
      <c r="R20" s="34"/>
    </row>
    <row r="21" spans="1:18">
      <c r="A21" s="40"/>
      <c r="B21" s="139"/>
      <c r="C21" s="140"/>
      <c r="D21" s="588" t="s">
        <v>484</v>
      </c>
      <c r="E21" s="272">
        <v>26963318.999999929</v>
      </c>
      <c r="F21" s="273">
        <v>6.0676121735864286E-2</v>
      </c>
      <c r="G21" s="274">
        <v>3596</v>
      </c>
      <c r="H21" s="275">
        <v>8.5389309714339987E-2</v>
      </c>
      <c r="I21" s="102"/>
      <c r="K21" s="41"/>
      <c r="M21" s="156"/>
      <c r="N21" s="157"/>
      <c r="O21" s="141"/>
      <c r="P21" s="158"/>
      <c r="Q21" s="141"/>
      <c r="R21" s="34"/>
    </row>
    <row r="22" spans="1:18">
      <c r="A22" s="40"/>
      <c r="B22" s="139"/>
      <c r="C22" s="140"/>
      <c r="D22" s="588" t="s">
        <v>485</v>
      </c>
      <c r="E22" s="272">
        <v>27917363.480000027</v>
      </c>
      <c r="F22" s="273">
        <v>6.2823028020284069E-2</v>
      </c>
      <c r="G22" s="274">
        <v>3289</v>
      </c>
      <c r="H22" s="275">
        <v>7.8099399235390499E-2</v>
      </c>
      <c r="I22" s="102"/>
      <c r="K22" s="41"/>
      <c r="M22" s="156"/>
      <c r="N22" s="157"/>
      <c r="O22" s="141"/>
      <c r="P22" s="158"/>
      <c r="Q22" s="141"/>
      <c r="R22" s="34"/>
    </row>
    <row r="23" spans="1:18">
      <c r="A23" s="40"/>
      <c r="B23" s="139"/>
      <c r="C23" s="140"/>
      <c r="D23" s="588" t="s">
        <v>486</v>
      </c>
      <c r="E23" s="272">
        <v>28029332.119999953</v>
      </c>
      <c r="F23" s="273">
        <v>6.3074993397070012E-2</v>
      </c>
      <c r="G23" s="274">
        <v>2950</v>
      </c>
      <c r="H23" s="275">
        <v>7.0049628380785031E-2</v>
      </c>
      <c r="I23" s="102"/>
      <c r="K23" s="41"/>
      <c r="M23" s="156"/>
      <c r="N23" s="157"/>
      <c r="O23" s="141"/>
      <c r="P23" s="158"/>
      <c r="Q23" s="141"/>
      <c r="R23" s="34"/>
    </row>
    <row r="24" spans="1:18">
      <c r="A24" s="40"/>
      <c r="B24" s="139"/>
      <c r="C24" s="140"/>
      <c r="D24" s="588" t="s">
        <v>487</v>
      </c>
      <c r="E24" s="272">
        <v>29632193.550000016</v>
      </c>
      <c r="F24" s="273">
        <v>6.6681946059403821E-2</v>
      </c>
      <c r="G24" s="274">
        <v>2836</v>
      </c>
      <c r="H24" s="275">
        <v>6.734262579251063E-2</v>
      </c>
      <c r="I24" s="102"/>
      <c r="K24" s="41"/>
      <c r="M24" s="156"/>
      <c r="N24" s="157"/>
      <c r="O24" s="141"/>
      <c r="P24" s="158"/>
      <c r="Q24" s="141"/>
      <c r="R24" s="34"/>
    </row>
    <row r="25" spans="1:18">
      <c r="A25" s="40"/>
      <c r="B25" s="139"/>
      <c r="C25" s="140"/>
      <c r="D25" s="588" t="s">
        <v>488</v>
      </c>
      <c r="E25" s="272">
        <v>29958617.81000004</v>
      </c>
      <c r="F25" s="273">
        <v>6.741650541158524E-2</v>
      </c>
      <c r="G25" s="274">
        <v>2601</v>
      </c>
      <c r="H25" s="275">
        <v>6.1762401158787075E-2</v>
      </c>
      <c r="I25" s="102"/>
      <c r="K25" s="41"/>
      <c r="M25" s="156"/>
      <c r="N25" s="157"/>
      <c r="O25" s="141"/>
      <c r="P25" s="158"/>
      <c r="Q25" s="141"/>
      <c r="R25" s="34"/>
    </row>
    <row r="26" spans="1:18">
      <c r="A26" s="40"/>
      <c r="B26" s="139"/>
      <c r="C26" s="140"/>
      <c r="D26" s="588" t="s">
        <v>489</v>
      </c>
      <c r="E26" s="272">
        <v>39340356.439999945</v>
      </c>
      <c r="F26" s="273">
        <v>8.852842843589602E-2</v>
      </c>
      <c r="G26" s="274">
        <v>3142</v>
      </c>
      <c r="H26" s="275">
        <v>7.4608790634720867E-2</v>
      </c>
      <c r="I26" s="102"/>
      <c r="K26" s="41"/>
      <c r="M26" s="156"/>
      <c r="N26" s="157"/>
      <c r="O26" s="141"/>
      <c r="P26" s="158"/>
      <c r="Q26" s="141"/>
      <c r="R26" s="34"/>
    </row>
    <row r="27" spans="1:18">
      <c r="A27" s="40"/>
      <c r="B27" s="139"/>
      <c r="C27" s="140"/>
      <c r="D27" s="588" t="s">
        <v>490</v>
      </c>
      <c r="E27" s="272">
        <v>41539389.459999993</v>
      </c>
      <c r="F27" s="273">
        <v>9.3476958519403491E-2</v>
      </c>
      <c r="G27" s="274">
        <v>3077</v>
      </c>
      <c r="H27" s="275">
        <v>7.3065324246669672E-2</v>
      </c>
      <c r="I27" s="102"/>
      <c r="K27" s="41"/>
      <c r="M27" s="156"/>
      <c r="N27" s="157"/>
      <c r="O27" s="141"/>
      <c r="P27" s="158"/>
      <c r="Q27" s="141"/>
      <c r="R27" s="34"/>
    </row>
    <row r="28" spans="1:18">
      <c r="A28" s="40"/>
      <c r="B28" s="139"/>
      <c r="C28" s="140"/>
      <c r="D28" s="588" t="s">
        <v>491</v>
      </c>
      <c r="E28" s="272">
        <v>31313442.029999975</v>
      </c>
      <c r="F28" s="273">
        <v>7.0465294742876897E-2</v>
      </c>
      <c r="G28" s="274">
        <v>2161</v>
      </c>
      <c r="H28" s="275">
        <v>5.1314320993517439E-2</v>
      </c>
      <c r="I28" s="102"/>
      <c r="K28" s="41"/>
      <c r="M28" s="156"/>
      <c r="N28" s="157"/>
      <c r="O28" s="141"/>
      <c r="P28" s="158"/>
      <c r="Q28" s="141"/>
      <c r="R28" s="34"/>
    </row>
    <row r="29" spans="1:18">
      <c r="A29" s="40"/>
      <c r="B29" s="139"/>
      <c r="C29" s="140"/>
      <c r="D29" s="588" t="s">
        <v>492</v>
      </c>
      <c r="E29" s="272">
        <v>25709693.109999996</v>
      </c>
      <c r="F29" s="273">
        <v>5.7855061127084356E-2</v>
      </c>
      <c r="G29" s="274">
        <v>1663</v>
      </c>
      <c r="H29" s="275">
        <v>3.9488993897371358E-2</v>
      </c>
      <c r="I29" s="102"/>
      <c r="K29" s="41"/>
      <c r="M29" s="156"/>
      <c r="N29" s="157"/>
      <c r="O29" s="141"/>
      <c r="P29" s="158"/>
      <c r="Q29" s="141"/>
      <c r="R29" s="34"/>
    </row>
    <row r="30" spans="1:18">
      <c r="A30" s="40"/>
      <c r="B30" s="139"/>
      <c r="C30" s="140"/>
      <c r="D30" s="588" t="s">
        <v>493</v>
      </c>
      <c r="E30" s="272">
        <v>18658361.95000001</v>
      </c>
      <c r="F30" s="273">
        <v>4.1987302863939771E-2</v>
      </c>
      <c r="G30" s="274">
        <v>1131</v>
      </c>
      <c r="H30" s="275">
        <v>2.6856315152090804E-2</v>
      </c>
      <c r="I30" s="102"/>
      <c r="K30" s="41"/>
      <c r="M30" s="156"/>
      <c r="N30" s="157"/>
      <c r="O30" s="141"/>
      <c r="P30" s="158"/>
      <c r="Q30" s="141"/>
      <c r="R30" s="34"/>
    </row>
    <row r="31" spans="1:18">
      <c r="A31" s="40"/>
      <c r="B31" s="139"/>
      <c r="C31" s="140"/>
      <c r="D31" s="588" t="s">
        <v>494</v>
      </c>
      <c r="E31" s="272">
        <v>14692228.900000008</v>
      </c>
      <c r="F31" s="273">
        <v>3.3062230555058379E-2</v>
      </c>
      <c r="G31" s="274">
        <v>840</v>
      </c>
      <c r="H31" s="275">
        <v>1.9946334860969295E-2</v>
      </c>
      <c r="I31" s="102"/>
      <c r="K31" s="41"/>
      <c r="M31" s="156"/>
      <c r="N31" s="157"/>
      <c r="O31" s="141"/>
      <c r="P31" s="158"/>
      <c r="Q31" s="141"/>
      <c r="R31" s="34"/>
    </row>
    <row r="32" spans="1:18">
      <c r="A32" s="40"/>
      <c r="B32" s="139"/>
      <c r="C32" s="140"/>
      <c r="D32" s="588" t="s">
        <v>495</v>
      </c>
      <c r="E32" s="272">
        <v>12762758.480000004</v>
      </c>
      <c r="F32" s="273">
        <v>2.8720302838753511E-2</v>
      </c>
      <c r="G32" s="274">
        <v>690</v>
      </c>
      <c r="H32" s="275">
        <v>1.6384489350081924E-2</v>
      </c>
      <c r="I32" s="102"/>
      <c r="K32" s="41"/>
      <c r="M32" s="156"/>
      <c r="N32" s="157"/>
      <c r="O32" s="141"/>
      <c r="P32" s="158"/>
      <c r="Q32" s="141"/>
      <c r="R32" s="34"/>
    </row>
    <row r="33" spans="1:18">
      <c r="A33" s="40"/>
      <c r="B33" s="139"/>
      <c r="C33" s="140"/>
      <c r="D33" s="588" t="s">
        <v>496</v>
      </c>
      <c r="E33" s="272">
        <v>10218461.830000008</v>
      </c>
      <c r="F33" s="273">
        <v>2.2994818773993092E-2</v>
      </c>
      <c r="G33" s="274">
        <v>524</v>
      </c>
      <c r="H33" s="275">
        <v>1.2442713651366561E-2</v>
      </c>
      <c r="I33" s="102"/>
      <c r="K33" s="41"/>
      <c r="M33" s="156"/>
      <c r="N33" s="157"/>
      <c r="O33" s="141"/>
      <c r="P33" s="158"/>
      <c r="Q33" s="141"/>
      <c r="R33" s="34"/>
    </row>
    <row r="34" spans="1:18">
      <c r="A34" s="40"/>
      <c r="B34" s="139"/>
      <c r="C34" s="140"/>
      <c r="D34" s="588" t="s">
        <v>497</v>
      </c>
      <c r="E34" s="272">
        <v>10035685.899999997</v>
      </c>
      <c r="F34" s="273">
        <v>2.2583514268821953E-2</v>
      </c>
      <c r="G34" s="274">
        <v>491</v>
      </c>
      <c r="H34" s="275">
        <v>1.165910763897134E-2</v>
      </c>
      <c r="I34" s="102"/>
      <c r="K34" s="41"/>
      <c r="M34" s="156"/>
      <c r="N34" s="157"/>
      <c r="O34" s="141"/>
      <c r="P34" s="158"/>
      <c r="Q34" s="141"/>
      <c r="R34" s="34"/>
    </row>
    <row r="35" spans="1:18">
      <c r="A35" s="40"/>
      <c r="B35" s="139"/>
      <c r="C35" s="140"/>
      <c r="D35" s="588" t="s">
        <v>498</v>
      </c>
      <c r="E35" s="272">
        <v>7536208.3499999996</v>
      </c>
      <c r="F35" s="273">
        <v>1.6958887563932247E-2</v>
      </c>
      <c r="G35" s="274">
        <v>351</v>
      </c>
      <c r="H35" s="275">
        <v>8.3347184954764564E-3</v>
      </c>
      <c r="I35" s="102"/>
      <c r="K35" s="41"/>
      <c r="M35" s="156"/>
      <c r="N35" s="157"/>
      <c r="O35" s="141"/>
      <c r="P35" s="158"/>
      <c r="Q35" s="141"/>
      <c r="R35" s="34"/>
    </row>
    <row r="36" spans="1:18">
      <c r="A36" s="40"/>
      <c r="B36" s="139"/>
      <c r="C36" s="140"/>
      <c r="D36" s="588" t="s">
        <v>499</v>
      </c>
      <c r="E36" s="272">
        <v>5732553.9099999983</v>
      </c>
      <c r="F36" s="273">
        <v>1.2900086183773059E-2</v>
      </c>
      <c r="G36" s="274">
        <v>255</v>
      </c>
      <c r="H36" s="275">
        <v>6.0551373685085366E-3</v>
      </c>
      <c r="I36" s="102"/>
      <c r="K36" s="41"/>
      <c r="M36" s="156"/>
      <c r="N36" s="157"/>
      <c r="O36" s="141"/>
      <c r="P36" s="158"/>
      <c r="Q36" s="141"/>
      <c r="R36" s="34"/>
    </row>
    <row r="37" spans="1:18">
      <c r="A37" s="40"/>
      <c r="B37" s="139"/>
      <c r="C37" s="140"/>
      <c r="D37" s="588" t="s">
        <v>500</v>
      </c>
      <c r="E37" s="272">
        <v>5115480.1199999982</v>
      </c>
      <c r="F37" s="273">
        <v>1.1511472103954055E-2</v>
      </c>
      <c r="G37" s="274">
        <v>218</v>
      </c>
      <c r="H37" s="275">
        <v>5.1765488091563179E-3</v>
      </c>
      <c r="I37" s="102"/>
      <c r="K37" s="41"/>
      <c r="M37" s="156"/>
      <c r="N37" s="157"/>
      <c r="O37" s="141"/>
      <c r="P37" s="158"/>
      <c r="Q37" s="141"/>
      <c r="R37" s="34"/>
    </row>
    <row r="38" spans="1:18">
      <c r="A38" s="40"/>
      <c r="B38" s="139"/>
      <c r="C38" s="140"/>
      <c r="D38" s="588" t="s">
        <v>501</v>
      </c>
      <c r="E38" s="272">
        <v>3771475.0900000012</v>
      </c>
      <c r="F38" s="273">
        <v>8.4870294226248779E-3</v>
      </c>
      <c r="G38" s="274">
        <v>154</v>
      </c>
      <c r="H38" s="275">
        <v>3.6568280578443712E-3</v>
      </c>
      <c r="I38" s="102"/>
      <c r="K38" s="41"/>
      <c r="M38" s="156"/>
      <c r="N38" s="157"/>
      <c r="O38" s="141"/>
      <c r="P38" s="158"/>
      <c r="Q38" s="141"/>
      <c r="R38" s="34"/>
    </row>
    <row r="39" spans="1:18">
      <c r="A39" s="40"/>
      <c r="B39" s="139"/>
      <c r="C39" s="140"/>
      <c r="D39" s="588" t="s">
        <v>502</v>
      </c>
      <c r="E39" s="272">
        <v>3231889.76</v>
      </c>
      <c r="F39" s="273">
        <v>7.2727892480392974E-3</v>
      </c>
      <c r="G39" s="274">
        <v>127</v>
      </c>
      <c r="H39" s="275">
        <v>3.0156958658846436E-3</v>
      </c>
      <c r="I39" s="102"/>
      <c r="K39" s="41"/>
      <c r="M39" s="156"/>
      <c r="N39" s="157"/>
      <c r="O39" s="141"/>
      <c r="P39" s="158"/>
      <c r="Q39" s="141"/>
      <c r="R39" s="34"/>
    </row>
    <row r="40" spans="1:18">
      <c r="A40" s="40"/>
      <c r="B40" s="139"/>
      <c r="C40" s="140"/>
      <c r="D40" s="588" t="s">
        <v>503</v>
      </c>
      <c r="E40" s="272">
        <v>2303337.63</v>
      </c>
      <c r="F40" s="273">
        <v>5.1832489329921693E-3</v>
      </c>
      <c r="G40" s="274">
        <v>87</v>
      </c>
      <c r="H40" s="275">
        <v>2.0658703963146773E-3</v>
      </c>
      <c r="I40" s="102"/>
      <c r="K40" s="41"/>
      <c r="M40" s="156"/>
      <c r="N40" s="157"/>
      <c r="O40" s="141"/>
      <c r="P40" s="158"/>
      <c r="Q40" s="141"/>
      <c r="R40" s="34"/>
    </row>
    <row r="41" spans="1:18">
      <c r="A41" s="40"/>
      <c r="B41" s="139"/>
      <c r="C41" s="140"/>
      <c r="D41" s="588" t="s">
        <v>504</v>
      </c>
      <c r="E41" s="272">
        <v>2088981.5399999998</v>
      </c>
      <c r="F41" s="273">
        <v>4.700878932041473E-3</v>
      </c>
      <c r="G41" s="274">
        <v>76</v>
      </c>
      <c r="H41" s="275">
        <v>1.8046683921829365E-3</v>
      </c>
      <c r="I41" s="102"/>
      <c r="K41" s="41"/>
      <c r="M41" s="156"/>
      <c r="N41" s="157"/>
      <c r="O41" s="141"/>
      <c r="P41" s="158"/>
      <c r="Q41" s="141"/>
      <c r="R41" s="34"/>
    </row>
    <row r="42" spans="1:18">
      <c r="A42" s="40"/>
      <c r="B42" s="139"/>
      <c r="C42" s="140"/>
      <c r="D42" s="588" t="s">
        <v>505</v>
      </c>
      <c r="E42" s="272">
        <v>1766444.05</v>
      </c>
      <c r="F42" s="273">
        <v>3.9750660598346001E-3</v>
      </c>
      <c r="G42" s="274">
        <v>62</v>
      </c>
      <c r="H42" s="275">
        <v>1.4722294778334482E-3</v>
      </c>
      <c r="I42" s="102"/>
      <c r="K42" s="41"/>
      <c r="M42" s="156"/>
      <c r="N42" s="157"/>
      <c r="O42" s="141"/>
      <c r="P42" s="158"/>
      <c r="Q42" s="141"/>
      <c r="R42" s="34"/>
    </row>
    <row r="43" spans="1:18">
      <c r="A43" s="40"/>
      <c r="B43" s="139"/>
      <c r="C43" s="140"/>
      <c r="D43" s="588" t="s">
        <v>506</v>
      </c>
      <c r="E43" s="272">
        <v>1120805.2299999997</v>
      </c>
      <c r="F43" s="273">
        <v>2.5221714944541336E-3</v>
      </c>
      <c r="G43" s="274">
        <v>38</v>
      </c>
      <c r="H43" s="275">
        <v>9.0233419609146823E-4</v>
      </c>
      <c r="I43" s="102"/>
      <c r="K43" s="41"/>
      <c r="M43" s="156"/>
      <c r="N43" s="157"/>
      <c r="O43" s="141"/>
      <c r="P43" s="158"/>
      <c r="Q43" s="141"/>
      <c r="R43" s="34"/>
    </row>
    <row r="44" spans="1:18">
      <c r="A44" s="40"/>
      <c r="B44" s="139"/>
      <c r="C44" s="140"/>
      <c r="D44" s="588" t="s">
        <v>507</v>
      </c>
      <c r="E44" s="272">
        <v>1065863.3499999999</v>
      </c>
      <c r="F44" s="273">
        <v>2.3985346306363946E-3</v>
      </c>
      <c r="G44" s="274">
        <v>35</v>
      </c>
      <c r="H44" s="275">
        <v>8.3109728587372068E-4</v>
      </c>
      <c r="I44" s="102"/>
      <c r="K44" s="41"/>
      <c r="M44" s="156"/>
      <c r="N44" s="157"/>
      <c r="O44" s="141"/>
      <c r="P44" s="158"/>
      <c r="Q44" s="141"/>
      <c r="R44" s="34"/>
    </row>
    <row r="45" spans="1:18">
      <c r="A45" s="40"/>
      <c r="B45" s="139"/>
      <c r="C45" s="140"/>
      <c r="D45" s="588" t="s">
        <v>508</v>
      </c>
      <c r="E45" s="272">
        <v>821734.67</v>
      </c>
      <c r="F45" s="273">
        <v>1.8491667465529893E-3</v>
      </c>
      <c r="G45" s="274">
        <v>26</v>
      </c>
      <c r="H45" s="275">
        <v>6.1738655522047825E-4</v>
      </c>
      <c r="I45" s="102"/>
      <c r="K45" s="41"/>
      <c r="M45" s="156"/>
      <c r="N45" s="157"/>
      <c r="O45" s="141"/>
      <c r="P45" s="158"/>
      <c r="Q45" s="141"/>
      <c r="R45" s="34"/>
    </row>
    <row r="46" spans="1:18">
      <c r="A46" s="40"/>
      <c r="B46" s="139"/>
      <c r="C46" s="140"/>
      <c r="D46" s="588" t="s">
        <v>509</v>
      </c>
      <c r="E46" s="272">
        <v>583964.8600000001</v>
      </c>
      <c r="F46" s="273">
        <v>1.3141083608745291E-3</v>
      </c>
      <c r="G46" s="274">
        <v>18</v>
      </c>
      <c r="H46" s="275">
        <v>4.2742146130648491E-4</v>
      </c>
      <c r="I46" s="102"/>
      <c r="K46" s="41"/>
      <c r="M46" s="156"/>
      <c r="N46" s="157"/>
      <c r="O46" s="141"/>
      <c r="P46" s="158"/>
      <c r="Q46" s="141"/>
      <c r="R46" s="34"/>
    </row>
    <row r="47" spans="1:18">
      <c r="A47" s="40"/>
      <c r="B47" s="139"/>
      <c r="C47" s="140"/>
      <c r="D47" s="588" t="s">
        <v>510</v>
      </c>
      <c r="E47" s="272">
        <v>502149.08</v>
      </c>
      <c r="F47" s="273">
        <v>1.1299965967703136E-3</v>
      </c>
      <c r="G47" s="274">
        <v>15</v>
      </c>
      <c r="H47" s="275">
        <v>3.5618455108873742E-4</v>
      </c>
      <c r="I47" s="102"/>
      <c r="K47" s="41"/>
      <c r="M47" s="156"/>
      <c r="N47" s="157"/>
      <c r="O47" s="141"/>
      <c r="P47" s="158"/>
      <c r="Q47" s="141"/>
      <c r="R47" s="34"/>
    </row>
    <row r="48" spans="1:18">
      <c r="A48" s="40"/>
      <c r="B48" s="139"/>
      <c r="C48" s="140"/>
      <c r="D48" s="588" t="s">
        <v>511</v>
      </c>
      <c r="E48" s="272">
        <v>516930.61</v>
      </c>
      <c r="F48" s="273">
        <v>1.1632597834619197E-3</v>
      </c>
      <c r="G48" s="274">
        <v>15</v>
      </c>
      <c r="H48" s="275">
        <v>3.5618455108873742E-4</v>
      </c>
      <c r="I48" s="102"/>
      <c r="K48" s="41"/>
      <c r="M48" s="156"/>
      <c r="N48" s="157"/>
      <c r="O48" s="141"/>
      <c r="P48" s="158"/>
      <c r="Q48" s="141"/>
      <c r="R48" s="34"/>
    </row>
    <row r="49" spans="1:18">
      <c r="A49" s="40"/>
      <c r="B49" s="139"/>
      <c r="C49" s="140"/>
      <c r="D49" s="588" t="s">
        <v>568</v>
      </c>
      <c r="E49" s="272">
        <v>245000</v>
      </c>
      <c r="F49" s="273">
        <v>5.5132863373707033E-4</v>
      </c>
      <c r="G49" s="274">
        <v>7</v>
      </c>
      <c r="H49" s="275">
        <v>1.6621945717474414E-4</v>
      </c>
      <c r="I49" s="102"/>
      <c r="K49" s="41"/>
      <c r="M49" s="156"/>
      <c r="N49" s="157"/>
      <c r="O49" s="141"/>
      <c r="P49" s="158"/>
      <c r="Q49" s="141"/>
      <c r="R49" s="34"/>
    </row>
    <row r="50" spans="1:18" ht="13.5" thickBot="1">
      <c r="A50" s="40"/>
      <c r="B50" s="139"/>
      <c r="C50" s="140"/>
      <c r="D50" s="588" t="s">
        <v>512</v>
      </c>
      <c r="E50" s="272">
        <v>2498384.42</v>
      </c>
      <c r="F50" s="273">
        <v>5.622166811545236E-3</v>
      </c>
      <c r="G50" s="274">
        <v>60</v>
      </c>
      <c r="H50" s="275">
        <v>1.4247382043549497E-3</v>
      </c>
      <c r="I50" s="102"/>
      <c r="K50" s="41"/>
      <c r="M50" s="156"/>
      <c r="N50" s="157"/>
      <c r="O50" s="141"/>
      <c r="P50" s="158"/>
      <c r="Q50" s="141"/>
      <c r="R50" s="34"/>
    </row>
    <row r="51" spans="1:18" ht="14.25" thickTop="1" thickBot="1">
      <c r="A51" s="40"/>
      <c r="B51" s="145"/>
      <c r="C51" s="146"/>
      <c r="D51" s="443" t="s">
        <v>40</v>
      </c>
      <c r="E51" s="444">
        <f>SUM(E14:E50)</f>
        <v>444381055.15999997</v>
      </c>
      <c r="F51" s="445">
        <f>SUM(F14:F50)</f>
        <v>1.0000000000000018</v>
      </c>
      <c r="G51" s="446">
        <f>SUM(G14:G50)</f>
        <v>42113</v>
      </c>
      <c r="H51" s="447">
        <f>SUM(H14:H50)</f>
        <v>0.99999999999999989</v>
      </c>
      <c r="I51" s="102"/>
      <c r="J51" s="34"/>
      <c r="K51" s="41"/>
      <c r="M51" s="342"/>
      <c r="N51" s="343"/>
      <c r="O51" s="344"/>
      <c r="P51" s="345"/>
      <c r="Q51" s="344"/>
      <c r="R51" s="34"/>
    </row>
    <row r="52" spans="1:18">
      <c r="A52" s="40"/>
      <c r="B52" s="145"/>
      <c r="C52" s="146"/>
      <c r="D52" s="342"/>
      <c r="E52" s="343"/>
      <c r="F52" s="344"/>
      <c r="G52" s="345"/>
      <c r="H52" s="344"/>
      <c r="I52" s="102"/>
      <c r="J52" s="34"/>
      <c r="K52" s="41"/>
      <c r="M52" s="342"/>
      <c r="N52" s="343"/>
      <c r="O52" s="344"/>
      <c r="P52" s="345"/>
      <c r="Q52" s="344"/>
      <c r="R52" s="34"/>
    </row>
    <row r="53" spans="1:18">
      <c r="A53" s="40"/>
      <c r="B53" s="145"/>
      <c r="C53" s="146"/>
      <c r="D53" s="342"/>
      <c r="E53" s="343"/>
      <c r="F53" s="344"/>
      <c r="G53" s="345"/>
      <c r="H53" s="344"/>
      <c r="I53" s="102"/>
      <c r="J53" s="34"/>
      <c r="K53" s="41"/>
      <c r="M53" s="342"/>
      <c r="N53" s="343"/>
      <c r="O53" s="344"/>
      <c r="P53" s="345"/>
      <c r="Q53" s="344"/>
      <c r="R53" s="34"/>
    </row>
    <row r="54" spans="1:18" ht="13.5" thickBot="1">
      <c r="A54" s="40"/>
      <c r="B54" s="147"/>
      <c r="C54" s="146"/>
      <c r="D54" s="276" t="s">
        <v>89</v>
      </c>
      <c r="E54" s="276" t="s">
        <v>68</v>
      </c>
      <c r="F54" s="132"/>
      <c r="G54" s="132"/>
      <c r="H54" s="132"/>
      <c r="I54" s="102"/>
      <c r="J54" s="34"/>
      <c r="K54" s="41"/>
      <c r="M54" s="376"/>
      <c r="N54" s="376"/>
      <c r="O54" s="148"/>
      <c r="P54" s="148"/>
      <c r="Q54" s="148"/>
      <c r="R54" s="34"/>
    </row>
    <row r="55" spans="1:18" ht="13.5" thickBot="1">
      <c r="A55" s="40"/>
      <c r="B55" s="147"/>
      <c r="C55" s="146"/>
      <c r="D55" s="489" t="s">
        <v>69</v>
      </c>
      <c r="E55" s="741">
        <v>10552.111109633584</v>
      </c>
      <c r="F55" s="132"/>
      <c r="G55" s="132"/>
      <c r="H55" s="132"/>
      <c r="I55" s="102"/>
      <c r="J55" s="34"/>
      <c r="K55" s="41"/>
      <c r="M55" s="145"/>
      <c r="N55" s="146"/>
      <c r="O55" s="148"/>
      <c r="P55" s="148"/>
      <c r="Q55" s="148"/>
      <c r="R55" s="34"/>
    </row>
    <row r="56" spans="1:18">
      <c r="A56" s="40"/>
      <c r="B56" s="34"/>
      <c r="I56" s="124"/>
      <c r="J56" s="34"/>
      <c r="K56" s="41"/>
      <c r="M56" s="34"/>
      <c r="N56" s="34"/>
      <c r="O56" s="34"/>
      <c r="P56" s="34"/>
      <c r="Q56" s="34"/>
      <c r="R56" s="34"/>
    </row>
    <row r="57" spans="1:18">
      <c r="A57" s="60"/>
      <c r="B57" s="61"/>
      <c r="C57" s="61"/>
      <c r="D57" s="61"/>
      <c r="E57" s="61"/>
      <c r="F57" s="61"/>
      <c r="G57" s="61"/>
      <c r="H57" s="61"/>
      <c r="I57" s="126"/>
      <c r="J57" s="61"/>
      <c r="K57" s="79"/>
      <c r="M57" s="34"/>
      <c r="N57" s="34"/>
      <c r="O57" s="34"/>
      <c r="P57" s="34"/>
      <c r="Q57" s="34"/>
      <c r="R57" s="34"/>
    </row>
    <row r="58" spans="1:18">
      <c r="I58" s="124"/>
      <c r="M58" s="34"/>
      <c r="N58" s="34"/>
      <c r="O58" s="34"/>
      <c r="P58" s="34"/>
      <c r="Q58" s="34"/>
      <c r="R58" s="34"/>
    </row>
    <row r="59" spans="1:18">
      <c r="I59" s="124"/>
      <c r="M59" s="34"/>
      <c r="N59" s="34"/>
      <c r="O59" s="34"/>
      <c r="P59" s="34"/>
      <c r="Q59" s="34"/>
      <c r="R59" s="34"/>
    </row>
    <row r="60" spans="1:18">
      <c r="I60" s="124"/>
      <c r="M60" s="34"/>
      <c r="N60" s="34"/>
      <c r="O60" s="34"/>
      <c r="P60" s="34"/>
      <c r="Q60" s="34"/>
      <c r="R60" s="34"/>
    </row>
    <row r="61" spans="1:18">
      <c r="I61" s="124"/>
      <c r="M61" s="34"/>
      <c r="N61" s="34"/>
      <c r="O61" s="34"/>
      <c r="P61" s="34"/>
      <c r="Q61" s="34"/>
      <c r="R61" s="34"/>
    </row>
    <row r="62" spans="1:18">
      <c r="I62" s="124"/>
      <c r="M62" s="34"/>
      <c r="N62" s="34"/>
      <c r="O62" s="34"/>
      <c r="P62" s="34"/>
      <c r="Q62" s="34"/>
      <c r="R62" s="34"/>
    </row>
    <row r="63" spans="1:18">
      <c r="I63" s="124"/>
      <c r="M63" s="34"/>
      <c r="N63" s="34"/>
      <c r="O63" s="34"/>
      <c r="P63" s="34"/>
      <c r="Q63" s="34"/>
      <c r="R63" s="34"/>
    </row>
    <row r="64" spans="1:18">
      <c r="I64" s="124"/>
      <c r="M64" s="34"/>
      <c r="N64" s="34"/>
      <c r="O64" s="34"/>
      <c r="P64" s="34"/>
      <c r="Q64" s="34"/>
      <c r="R64" s="34"/>
    </row>
    <row r="65" spans="9:18">
      <c r="I65" s="124"/>
      <c r="M65" s="34"/>
      <c r="N65" s="34"/>
      <c r="O65" s="34"/>
      <c r="P65" s="34"/>
      <c r="Q65" s="34"/>
      <c r="R65" s="34"/>
    </row>
    <row r="66" spans="9:18">
      <c r="I66" s="124"/>
      <c r="M66" s="34"/>
      <c r="N66" s="34"/>
      <c r="O66" s="34"/>
      <c r="P66" s="34"/>
      <c r="Q66" s="34"/>
      <c r="R66" s="34"/>
    </row>
    <row r="67" spans="9:18">
      <c r="I67" s="124"/>
      <c r="M67" s="34"/>
      <c r="N67" s="34"/>
      <c r="O67" s="34"/>
      <c r="P67" s="34"/>
      <c r="Q67" s="34"/>
      <c r="R67" s="34"/>
    </row>
    <row r="68" spans="9:18">
      <c r="I68" s="124"/>
      <c r="M68" s="34"/>
      <c r="N68" s="34"/>
      <c r="O68" s="34"/>
      <c r="P68" s="34"/>
      <c r="Q68" s="34"/>
      <c r="R68" s="34"/>
    </row>
    <row r="69" spans="9:18">
      <c r="I69" s="124"/>
      <c r="M69" s="34"/>
      <c r="N69" s="34"/>
      <c r="O69" s="34"/>
      <c r="P69" s="34"/>
      <c r="Q69" s="34"/>
      <c r="R69" s="34"/>
    </row>
    <row r="70" spans="9:18">
      <c r="I70" s="124"/>
      <c r="M70" s="34"/>
      <c r="N70" s="34"/>
      <c r="O70" s="34"/>
      <c r="P70" s="34"/>
      <c r="Q70" s="34"/>
      <c r="R70" s="34"/>
    </row>
    <row r="71" spans="9:18">
      <c r="I71" s="124"/>
      <c r="M71" s="34"/>
      <c r="N71" s="34"/>
      <c r="O71" s="34"/>
      <c r="P71" s="34"/>
      <c r="Q71" s="34"/>
      <c r="R71" s="34"/>
    </row>
    <row r="72" spans="9:18">
      <c r="I72" s="124"/>
      <c r="M72" s="34"/>
      <c r="N72" s="34"/>
      <c r="O72" s="34"/>
      <c r="P72" s="34"/>
      <c r="Q72" s="34"/>
      <c r="R72" s="34"/>
    </row>
    <row r="73" spans="9:18">
      <c r="I73" s="124"/>
      <c r="M73" s="34"/>
      <c r="N73" s="34"/>
      <c r="O73" s="34"/>
      <c r="P73" s="34"/>
      <c r="Q73" s="34"/>
      <c r="R73" s="34"/>
    </row>
    <row r="74" spans="9:18">
      <c r="I74" s="124"/>
      <c r="M74" s="34"/>
      <c r="N74" s="34"/>
      <c r="O74" s="34"/>
      <c r="P74" s="34"/>
      <c r="Q74" s="34"/>
      <c r="R74" s="34"/>
    </row>
    <row r="75" spans="9:18">
      <c r="I75" s="124"/>
      <c r="M75" s="34"/>
      <c r="N75" s="34"/>
      <c r="O75" s="34"/>
      <c r="P75" s="34"/>
      <c r="Q75" s="34"/>
      <c r="R75" s="34"/>
    </row>
    <row r="76" spans="9:18">
      <c r="I76" s="124"/>
      <c r="M76" s="34"/>
      <c r="N76" s="34"/>
      <c r="O76" s="34"/>
      <c r="P76" s="34"/>
      <c r="Q76" s="34"/>
      <c r="R76" s="34"/>
    </row>
    <row r="77" spans="9:18">
      <c r="I77" s="124"/>
      <c r="M77" s="34"/>
      <c r="N77" s="34"/>
      <c r="O77" s="34"/>
      <c r="P77" s="34"/>
      <c r="Q77" s="34"/>
      <c r="R77" s="34"/>
    </row>
    <row r="78" spans="9:18">
      <c r="I78" s="124"/>
      <c r="M78" s="34"/>
      <c r="N78" s="34"/>
      <c r="O78" s="34"/>
      <c r="P78" s="34"/>
      <c r="Q78" s="34"/>
      <c r="R78" s="34"/>
    </row>
    <row r="79" spans="9:18">
      <c r="I79" s="124"/>
      <c r="M79" s="34"/>
      <c r="N79" s="34"/>
      <c r="O79" s="34"/>
      <c r="P79" s="34"/>
      <c r="Q79" s="34"/>
      <c r="R79" s="34"/>
    </row>
    <row r="80" spans="9:18">
      <c r="I80" s="124"/>
      <c r="M80" s="34"/>
      <c r="N80" s="34"/>
      <c r="O80" s="34"/>
      <c r="P80" s="34"/>
      <c r="Q80" s="34"/>
      <c r="R80" s="34"/>
    </row>
    <row r="81" spans="9:18">
      <c r="I81" s="124"/>
      <c r="M81" s="34"/>
      <c r="N81" s="34"/>
      <c r="O81" s="34"/>
      <c r="P81" s="34"/>
      <c r="Q81" s="34"/>
      <c r="R81" s="34"/>
    </row>
    <row r="82" spans="9:18">
      <c r="I82" s="124"/>
      <c r="M82" s="34"/>
      <c r="N82" s="34"/>
      <c r="O82" s="34"/>
      <c r="P82" s="34"/>
      <c r="Q82" s="34"/>
      <c r="R82" s="34"/>
    </row>
    <row r="83" spans="9:18">
      <c r="I83" s="124"/>
      <c r="M83" s="34"/>
      <c r="N83" s="34"/>
      <c r="O83" s="34"/>
      <c r="P83" s="34"/>
      <c r="Q83" s="34"/>
      <c r="R83" s="34"/>
    </row>
    <row r="84" spans="9:18">
      <c r="I84" s="124"/>
      <c r="M84" s="34"/>
      <c r="N84" s="34"/>
      <c r="O84" s="34"/>
      <c r="P84" s="34"/>
      <c r="Q84" s="34"/>
      <c r="R84" s="34"/>
    </row>
    <row r="85" spans="9:18">
      <c r="I85" s="124"/>
      <c r="M85" s="34"/>
      <c r="N85" s="34"/>
      <c r="O85" s="34"/>
      <c r="P85" s="34"/>
      <c r="Q85" s="34"/>
      <c r="R85" s="34"/>
    </row>
    <row r="86" spans="9:18">
      <c r="I86" s="124"/>
      <c r="M86" s="34"/>
      <c r="N86" s="34"/>
      <c r="O86" s="34"/>
      <c r="P86" s="34"/>
      <c r="Q86" s="34"/>
      <c r="R86" s="34"/>
    </row>
    <row r="87" spans="9:18">
      <c r="I87" s="124"/>
      <c r="M87" s="34"/>
      <c r="N87" s="34"/>
      <c r="O87" s="34"/>
      <c r="P87" s="34"/>
      <c r="Q87" s="34"/>
      <c r="R87" s="34"/>
    </row>
    <row r="88" spans="9:18">
      <c r="I88" s="124"/>
      <c r="M88" s="34"/>
      <c r="N88" s="34"/>
      <c r="O88" s="34"/>
      <c r="P88" s="34"/>
      <c r="Q88" s="34"/>
      <c r="R88" s="34"/>
    </row>
    <row r="89" spans="9:18">
      <c r="I89" s="124"/>
      <c r="M89" s="34"/>
      <c r="N89" s="34"/>
      <c r="O89" s="34"/>
      <c r="P89" s="34"/>
      <c r="Q89" s="34"/>
      <c r="R89" s="34"/>
    </row>
    <row r="90" spans="9:18">
      <c r="I90" s="124"/>
      <c r="M90" s="34"/>
      <c r="N90" s="34"/>
      <c r="O90" s="34"/>
      <c r="P90" s="34"/>
      <c r="Q90" s="34"/>
      <c r="R90" s="34"/>
    </row>
    <row r="91" spans="9:18">
      <c r="I91" s="124"/>
      <c r="M91" s="34"/>
      <c r="N91" s="34"/>
      <c r="O91" s="34"/>
      <c r="P91" s="34"/>
      <c r="Q91" s="34"/>
      <c r="R91" s="34"/>
    </row>
    <row r="92" spans="9:18">
      <c r="I92" s="124"/>
      <c r="M92" s="34"/>
      <c r="N92" s="34"/>
      <c r="O92" s="34"/>
      <c r="P92" s="34"/>
      <c r="Q92" s="34"/>
      <c r="R92" s="34"/>
    </row>
    <row r="93" spans="9:18">
      <c r="I93" s="124"/>
      <c r="M93" s="34"/>
      <c r="N93" s="34"/>
      <c r="O93" s="34"/>
      <c r="P93" s="34"/>
      <c r="Q93" s="34"/>
      <c r="R93" s="34"/>
    </row>
    <row r="94" spans="9:18">
      <c r="I94" s="124"/>
      <c r="M94" s="34"/>
      <c r="N94" s="34"/>
      <c r="O94" s="34"/>
      <c r="P94" s="34"/>
      <c r="Q94" s="34"/>
      <c r="R94" s="34"/>
    </row>
    <row r="95" spans="9:18">
      <c r="I95" s="124"/>
      <c r="M95" s="34"/>
      <c r="N95" s="34"/>
      <c r="O95" s="34"/>
      <c r="P95" s="34"/>
      <c r="Q95" s="34"/>
      <c r="R95" s="34"/>
    </row>
    <row r="96" spans="9:18">
      <c r="I96" s="124"/>
      <c r="M96" s="34"/>
      <c r="N96" s="34"/>
      <c r="O96" s="34"/>
      <c r="P96" s="34"/>
      <c r="Q96" s="34"/>
      <c r="R96" s="34"/>
    </row>
    <row r="97" spans="9:18">
      <c r="I97" s="124"/>
      <c r="M97" s="34"/>
      <c r="N97" s="34"/>
      <c r="O97" s="34"/>
      <c r="P97" s="34"/>
      <c r="Q97" s="34"/>
      <c r="R97" s="34"/>
    </row>
    <row r="98" spans="9:18">
      <c r="I98" s="124"/>
      <c r="M98" s="34"/>
      <c r="N98" s="34"/>
      <c r="O98" s="34"/>
      <c r="P98" s="34"/>
      <c r="Q98" s="34"/>
      <c r="R98" s="34"/>
    </row>
    <row r="99" spans="9:18">
      <c r="I99" s="124"/>
      <c r="M99" s="34"/>
      <c r="N99" s="34"/>
      <c r="O99" s="34"/>
      <c r="P99" s="34"/>
      <c r="Q99" s="34"/>
      <c r="R99" s="34"/>
    </row>
    <row r="100" spans="9:18">
      <c r="I100" s="124"/>
      <c r="M100" s="34"/>
      <c r="N100" s="34"/>
      <c r="O100" s="34"/>
      <c r="P100" s="34"/>
      <c r="Q100" s="34"/>
      <c r="R100" s="34"/>
    </row>
    <row r="101" spans="9:18">
      <c r="I101" s="124"/>
      <c r="M101" s="34"/>
      <c r="N101" s="34"/>
      <c r="O101" s="34"/>
      <c r="P101" s="34"/>
      <c r="Q101" s="34"/>
      <c r="R101" s="34"/>
    </row>
    <row r="102" spans="9:18">
      <c r="I102" s="124"/>
      <c r="M102" s="34"/>
      <c r="N102" s="34"/>
      <c r="O102" s="34"/>
      <c r="P102" s="34"/>
      <c r="Q102" s="34"/>
      <c r="R102" s="34"/>
    </row>
    <row r="103" spans="9:18">
      <c r="I103" s="124"/>
      <c r="M103" s="34"/>
      <c r="N103" s="34"/>
      <c r="O103" s="34"/>
      <c r="P103" s="34"/>
      <c r="Q103" s="34"/>
      <c r="R103" s="34"/>
    </row>
    <row r="104" spans="9:18">
      <c r="I104" s="124"/>
      <c r="M104" s="34"/>
      <c r="N104" s="34"/>
      <c r="O104" s="34"/>
      <c r="P104" s="34"/>
      <c r="Q104" s="34"/>
      <c r="R104" s="34"/>
    </row>
    <row r="105" spans="9:18">
      <c r="I105" s="124"/>
      <c r="M105" s="34"/>
      <c r="N105" s="34"/>
      <c r="O105" s="34"/>
      <c r="P105" s="34"/>
      <c r="Q105" s="34"/>
      <c r="R105" s="34"/>
    </row>
    <row r="106" spans="9:18">
      <c r="I106" s="124"/>
      <c r="M106" s="34"/>
      <c r="N106" s="34"/>
      <c r="O106" s="34"/>
      <c r="P106" s="34"/>
      <c r="Q106" s="34"/>
      <c r="R106" s="34"/>
    </row>
    <row r="107" spans="9:18">
      <c r="I107" s="124"/>
      <c r="M107" s="34"/>
      <c r="N107" s="34"/>
      <c r="O107" s="34"/>
      <c r="P107" s="34"/>
      <c r="Q107" s="34"/>
      <c r="R107" s="34"/>
    </row>
    <row r="108" spans="9:18">
      <c r="I108" s="124"/>
      <c r="M108" s="34"/>
      <c r="N108" s="34"/>
      <c r="O108" s="34"/>
      <c r="P108" s="34"/>
      <c r="Q108" s="34"/>
      <c r="R108" s="34"/>
    </row>
    <row r="109" spans="9:18">
      <c r="I109" s="124"/>
      <c r="M109" s="34"/>
      <c r="N109" s="34"/>
      <c r="O109" s="34"/>
      <c r="P109" s="34"/>
      <c r="Q109" s="34"/>
      <c r="R109" s="34"/>
    </row>
    <row r="110" spans="9:18">
      <c r="I110" s="124"/>
      <c r="M110" s="34"/>
      <c r="N110" s="34"/>
      <c r="O110" s="34"/>
      <c r="P110" s="34"/>
      <c r="Q110" s="34"/>
      <c r="R110" s="34"/>
    </row>
    <row r="111" spans="9:18">
      <c r="I111" s="124"/>
      <c r="M111" s="34"/>
      <c r="N111" s="34"/>
      <c r="O111" s="34"/>
      <c r="P111" s="34"/>
      <c r="Q111" s="34"/>
      <c r="R111" s="34"/>
    </row>
    <row r="112" spans="9:18">
      <c r="I112" s="124"/>
      <c r="M112" s="34"/>
      <c r="N112" s="34"/>
      <c r="O112" s="34"/>
      <c r="P112" s="34"/>
      <c r="Q112" s="34"/>
      <c r="R112" s="34"/>
    </row>
    <row r="113" spans="9:18">
      <c r="I113" s="124"/>
      <c r="M113" s="34"/>
      <c r="N113" s="34"/>
      <c r="O113" s="34"/>
      <c r="P113" s="34"/>
      <c r="Q113" s="34"/>
      <c r="R113" s="34"/>
    </row>
    <row r="114" spans="9:18">
      <c r="I114" s="124"/>
      <c r="M114" s="34"/>
      <c r="N114" s="34"/>
      <c r="O114" s="34"/>
      <c r="P114" s="34"/>
      <c r="Q114" s="34"/>
      <c r="R114" s="34"/>
    </row>
    <row r="115" spans="9:18">
      <c r="I115" s="124"/>
      <c r="M115" s="34"/>
      <c r="N115" s="34"/>
      <c r="O115" s="34"/>
      <c r="P115" s="34"/>
      <c r="Q115" s="34"/>
      <c r="R115" s="34"/>
    </row>
    <row r="116" spans="9:18">
      <c r="I116" s="124"/>
      <c r="M116" s="34"/>
      <c r="N116" s="34"/>
      <c r="O116" s="34"/>
      <c r="P116" s="34"/>
      <c r="Q116" s="34"/>
      <c r="R116" s="34"/>
    </row>
    <row r="117" spans="9:18">
      <c r="I117" s="124"/>
      <c r="M117" s="34"/>
      <c r="N117" s="34"/>
      <c r="O117" s="34"/>
      <c r="P117" s="34"/>
      <c r="Q117" s="34"/>
      <c r="R117" s="34"/>
    </row>
    <row r="118" spans="9:18">
      <c r="I118" s="124"/>
      <c r="M118" s="34"/>
      <c r="N118" s="34"/>
      <c r="O118" s="34"/>
      <c r="P118" s="34"/>
      <c r="Q118" s="34"/>
      <c r="R118" s="34"/>
    </row>
    <row r="119" spans="9:18">
      <c r="I119" s="124"/>
      <c r="M119" s="34"/>
      <c r="N119" s="34"/>
      <c r="O119" s="34"/>
      <c r="P119" s="34"/>
      <c r="Q119" s="34"/>
      <c r="R119" s="34"/>
    </row>
    <row r="120" spans="9:18">
      <c r="I120" s="124"/>
      <c r="M120" s="34"/>
      <c r="N120" s="34"/>
      <c r="O120" s="34"/>
      <c r="P120" s="34"/>
      <c r="Q120" s="34"/>
      <c r="R120" s="34"/>
    </row>
    <row r="121" spans="9:18">
      <c r="I121" s="124"/>
      <c r="M121" s="34"/>
      <c r="N121" s="34"/>
      <c r="O121" s="34"/>
      <c r="P121" s="34"/>
      <c r="Q121" s="34"/>
      <c r="R121" s="34"/>
    </row>
    <row r="122" spans="9:18">
      <c r="I122" s="124"/>
      <c r="M122" s="34"/>
      <c r="N122" s="34"/>
      <c r="O122" s="34"/>
      <c r="P122" s="34"/>
      <c r="Q122" s="34"/>
      <c r="R122" s="34"/>
    </row>
    <row r="123" spans="9:18">
      <c r="I123" s="124"/>
      <c r="M123" s="34"/>
      <c r="N123" s="34"/>
      <c r="O123" s="34"/>
      <c r="P123" s="34"/>
      <c r="Q123" s="34"/>
      <c r="R123" s="34"/>
    </row>
    <row r="124" spans="9:18">
      <c r="I124" s="124"/>
      <c r="M124" s="34"/>
      <c r="N124" s="34"/>
      <c r="O124" s="34"/>
      <c r="P124" s="34"/>
      <c r="Q124" s="34"/>
      <c r="R124" s="34"/>
    </row>
    <row r="125" spans="9:18">
      <c r="I125" s="124"/>
      <c r="M125" s="34"/>
      <c r="N125" s="34"/>
      <c r="O125" s="34"/>
      <c r="P125" s="34"/>
      <c r="Q125" s="34"/>
      <c r="R125" s="34"/>
    </row>
    <row r="126" spans="9:18">
      <c r="I126" s="124"/>
      <c r="M126" s="34"/>
      <c r="N126" s="34"/>
      <c r="O126" s="34"/>
      <c r="P126" s="34"/>
      <c r="Q126" s="34"/>
      <c r="R126" s="34"/>
    </row>
    <row r="127" spans="9:18">
      <c r="I127" s="124"/>
      <c r="M127" s="34"/>
      <c r="N127" s="34"/>
      <c r="O127" s="34"/>
      <c r="P127" s="34"/>
      <c r="Q127" s="34"/>
      <c r="R127" s="34"/>
    </row>
    <row r="128" spans="9:18">
      <c r="I128" s="124"/>
      <c r="M128" s="34"/>
      <c r="N128" s="34"/>
      <c r="O128" s="34"/>
      <c r="P128" s="34"/>
      <c r="Q128" s="34"/>
      <c r="R128" s="34"/>
    </row>
    <row r="129" spans="9:18">
      <c r="I129" s="124"/>
      <c r="M129" s="34"/>
      <c r="N129" s="34"/>
      <c r="O129" s="34"/>
      <c r="P129" s="34"/>
      <c r="Q129" s="34"/>
      <c r="R129" s="34"/>
    </row>
    <row r="130" spans="9:18">
      <c r="I130" s="124"/>
      <c r="M130" s="34"/>
      <c r="N130" s="34"/>
      <c r="O130" s="34"/>
      <c r="P130" s="34"/>
      <c r="Q130" s="34"/>
      <c r="R130" s="34"/>
    </row>
    <row r="131" spans="9:18">
      <c r="I131" s="124"/>
      <c r="M131" s="34"/>
      <c r="N131" s="34"/>
      <c r="O131" s="34"/>
      <c r="P131" s="34"/>
      <c r="Q131" s="34"/>
      <c r="R131" s="34"/>
    </row>
    <row r="132" spans="9:18">
      <c r="I132" s="124"/>
      <c r="M132" s="34"/>
      <c r="N132" s="34"/>
      <c r="O132" s="34"/>
      <c r="P132" s="34"/>
      <c r="Q132" s="34"/>
      <c r="R132" s="34"/>
    </row>
    <row r="133" spans="9:18">
      <c r="I133" s="124"/>
      <c r="M133" s="34"/>
      <c r="N133" s="34"/>
      <c r="O133" s="34"/>
      <c r="P133" s="34"/>
      <c r="Q133" s="34"/>
      <c r="R133" s="34"/>
    </row>
    <row r="134" spans="9:18">
      <c r="I134" s="124"/>
      <c r="M134" s="34"/>
      <c r="N134" s="34"/>
      <c r="O134" s="34"/>
      <c r="P134" s="34"/>
      <c r="Q134" s="34"/>
      <c r="R134" s="34"/>
    </row>
    <row r="135" spans="9:18">
      <c r="I135" s="124"/>
      <c r="M135" s="34"/>
      <c r="N135" s="34"/>
      <c r="O135" s="34"/>
      <c r="P135" s="34"/>
      <c r="Q135" s="34"/>
      <c r="R135" s="34"/>
    </row>
    <row r="136" spans="9:18">
      <c r="I136" s="124"/>
      <c r="M136" s="34"/>
      <c r="N136" s="34"/>
      <c r="O136" s="34"/>
      <c r="P136" s="34"/>
      <c r="Q136" s="34"/>
      <c r="R136" s="34"/>
    </row>
    <row r="137" spans="9:18">
      <c r="I137" s="124"/>
      <c r="M137" s="34"/>
      <c r="N137" s="34"/>
      <c r="O137" s="34"/>
      <c r="P137" s="34"/>
      <c r="Q137" s="34"/>
      <c r="R137" s="34"/>
    </row>
    <row r="138" spans="9:18">
      <c r="I138" s="124"/>
      <c r="M138" s="34"/>
      <c r="N138" s="34"/>
      <c r="O138" s="34"/>
      <c r="P138" s="34"/>
      <c r="Q138" s="34"/>
      <c r="R138" s="34"/>
    </row>
    <row r="139" spans="9:18">
      <c r="I139" s="124"/>
      <c r="M139" s="34"/>
      <c r="N139" s="34"/>
      <c r="O139" s="34"/>
      <c r="P139" s="34"/>
      <c r="Q139" s="34"/>
      <c r="R139" s="34"/>
    </row>
    <row r="140" spans="9:18">
      <c r="I140" s="124"/>
      <c r="M140" s="34"/>
      <c r="N140" s="34"/>
      <c r="O140" s="34"/>
      <c r="P140" s="34"/>
      <c r="Q140" s="34"/>
      <c r="R140" s="34"/>
    </row>
    <row r="141" spans="9:18">
      <c r="I141" s="124"/>
      <c r="M141" s="34"/>
      <c r="N141" s="34"/>
      <c r="O141" s="34"/>
      <c r="P141" s="34"/>
      <c r="Q141" s="34"/>
      <c r="R141" s="34"/>
    </row>
    <row r="142" spans="9:18">
      <c r="I142" s="124"/>
      <c r="M142" s="34"/>
      <c r="N142" s="34"/>
      <c r="O142" s="34"/>
      <c r="P142" s="34"/>
      <c r="Q142" s="34"/>
      <c r="R142" s="34"/>
    </row>
    <row r="143" spans="9:18">
      <c r="I143" s="124"/>
      <c r="M143" s="34"/>
      <c r="N143" s="34"/>
      <c r="O143" s="34"/>
      <c r="P143" s="34"/>
      <c r="Q143" s="34"/>
      <c r="R143" s="34"/>
    </row>
    <row r="144" spans="9:18">
      <c r="I144" s="124"/>
      <c r="M144" s="34"/>
      <c r="N144" s="34"/>
      <c r="O144" s="34"/>
      <c r="P144" s="34"/>
      <c r="Q144" s="34"/>
      <c r="R144" s="34"/>
    </row>
    <row r="145" spans="9:18">
      <c r="I145" s="124"/>
      <c r="M145" s="34"/>
      <c r="N145" s="34"/>
      <c r="O145" s="34"/>
      <c r="P145" s="34"/>
      <c r="Q145" s="34"/>
      <c r="R145" s="34"/>
    </row>
    <row r="146" spans="9:18">
      <c r="I146" s="124"/>
      <c r="M146" s="34"/>
      <c r="N146" s="34"/>
      <c r="O146" s="34"/>
      <c r="P146" s="34"/>
      <c r="Q146" s="34"/>
      <c r="R146" s="34"/>
    </row>
    <row r="147" spans="9:18">
      <c r="I147" s="124"/>
      <c r="M147" s="34"/>
      <c r="N147" s="34"/>
      <c r="O147" s="34"/>
      <c r="P147" s="34"/>
      <c r="Q147" s="34"/>
      <c r="R147" s="34"/>
    </row>
    <row r="148" spans="9:18">
      <c r="I148" s="124"/>
      <c r="M148" s="34"/>
      <c r="N148" s="34"/>
      <c r="O148" s="34"/>
      <c r="P148" s="34"/>
      <c r="Q148" s="34"/>
      <c r="R148" s="34"/>
    </row>
    <row r="149" spans="9:18">
      <c r="I149" s="124"/>
      <c r="M149" s="34"/>
      <c r="N149" s="34"/>
      <c r="O149" s="34"/>
      <c r="P149" s="34"/>
      <c r="Q149" s="34"/>
      <c r="R149" s="34"/>
    </row>
    <row r="150" spans="9:18">
      <c r="I150" s="124"/>
      <c r="M150" s="34"/>
      <c r="N150" s="34"/>
      <c r="O150" s="34"/>
      <c r="P150" s="34"/>
      <c r="Q150" s="34"/>
      <c r="R150" s="34"/>
    </row>
    <row r="151" spans="9:18">
      <c r="I151" s="124"/>
      <c r="M151" s="34"/>
      <c r="N151" s="34"/>
      <c r="O151" s="34"/>
      <c r="P151" s="34"/>
      <c r="Q151" s="34"/>
      <c r="R151" s="34"/>
    </row>
    <row r="152" spans="9:18">
      <c r="I152" s="124"/>
      <c r="M152" s="34"/>
      <c r="N152" s="34"/>
      <c r="O152" s="34"/>
      <c r="P152" s="34"/>
      <c r="Q152" s="34"/>
      <c r="R152" s="34"/>
    </row>
    <row r="153" spans="9:18">
      <c r="I153" s="124"/>
      <c r="M153" s="34"/>
      <c r="N153" s="34"/>
      <c r="O153" s="34"/>
      <c r="P153" s="34"/>
      <c r="Q153" s="34"/>
      <c r="R153" s="34"/>
    </row>
    <row r="154" spans="9:18">
      <c r="I154" s="124"/>
      <c r="M154" s="34"/>
      <c r="N154" s="34"/>
      <c r="O154" s="34"/>
      <c r="P154" s="34"/>
      <c r="Q154" s="34"/>
      <c r="R154" s="34"/>
    </row>
    <row r="155" spans="9:18">
      <c r="I155" s="124"/>
      <c r="M155" s="34"/>
      <c r="N155" s="34"/>
      <c r="O155" s="34"/>
      <c r="P155" s="34"/>
      <c r="Q155" s="34"/>
      <c r="R155" s="34"/>
    </row>
    <row r="156" spans="9:18">
      <c r="I156" s="124"/>
      <c r="M156" s="34"/>
      <c r="N156" s="34"/>
      <c r="O156" s="34"/>
      <c r="P156" s="34"/>
      <c r="Q156" s="34"/>
      <c r="R156" s="34"/>
    </row>
    <row r="157" spans="9:18">
      <c r="I157" s="124"/>
      <c r="M157" s="34"/>
      <c r="N157" s="34"/>
      <c r="O157" s="34"/>
      <c r="P157" s="34"/>
      <c r="Q157" s="34"/>
      <c r="R157" s="34"/>
    </row>
    <row r="158" spans="9:18">
      <c r="I158" s="124"/>
      <c r="M158" s="34"/>
      <c r="N158" s="34"/>
      <c r="O158" s="34"/>
      <c r="P158" s="34"/>
      <c r="Q158" s="34"/>
      <c r="R158" s="34"/>
    </row>
    <row r="159" spans="9:18">
      <c r="I159" s="124"/>
      <c r="M159" s="34"/>
      <c r="N159" s="34"/>
      <c r="O159" s="34"/>
      <c r="P159" s="34"/>
      <c r="Q159" s="34"/>
      <c r="R159" s="34"/>
    </row>
    <row r="160" spans="9:18">
      <c r="I160" s="124"/>
      <c r="M160" s="34"/>
      <c r="N160" s="34"/>
      <c r="O160" s="34"/>
      <c r="P160" s="34"/>
      <c r="Q160" s="34"/>
      <c r="R160" s="34"/>
    </row>
    <row r="161" spans="9:18">
      <c r="I161" s="124"/>
      <c r="M161" s="34"/>
      <c r="N161" s="34"/>
      <c r="O161" s="34"/>
      <c r="P161" s="34"/>
      <c r="Q161" s="34"/>
      <c r="R161" s="34"/>
    </row>
    <row r="162" spans="9:18">
      <c r="I162" s="124"/>
      <c r="M162" s="34"/>
      <c r="N162" s="34"/>
      <c r="O162" s="34"/>
      <c r="P162" s="34"/>
      <c r="Q162" s="34"/>
      <c r="R162" s="34"/>
    </row>
    <row r="163" spans="9:18">
      <c r="I163" s="124"/>
      <c r="M163" s="34"/>
      <c r="N163" s="34"/>
      <c r="O163" s="34"/>
      <c r="P163" s="34"/>
      <c r="Q163" s="34"/>
      <c r="R163" s="34"/>
    </row>
    <row r="164" spans="9:18">
      <c r="I164" s="124"/>
      <c r="M164" s="34"/>
      <c r="N164" s="34"/>
      <c r="O164" s="34"/>
      <c r="P164" s="34"/>
      <c r="Q164" s="34"/>
      <c r="R164" s="34"/>
    </row>
    <row r="165" spans="9:18">
      <c r="I165" s="124"/>
      <c r="M165" s="34"/>
      <c r="N165" s="34"/>
      <c r="O165" s="34"/>
      <c r="P165" s="34"/>
      <c r="Q165" s="34"/>
      <c r="R165" s="34"/>
    </row>
    <row r="166" spans="9:18">
      <c r="I166" s="124"/>
      <c r="M166" s="34"/>
      <c r="N166" s="34"/>
      <c r="O166" s="34"/>
      <c r="P166" s="34"/>
      <c r="Q166" s="34"/>
      <c r="R166" s="34"/>
    </row>
    <row r="167" spans="9:18">
      <c r="I167" s="124"/>
      <c r="M167" s="34"/>
      <c r="N167" s="34"/>
      <c r="O167" s="34"/>
      <c r="P167" s="34"/>
      <c r="Q167" s="34"/>
      <c r="R167" s="34"/>
    </row>
    <row r="168" spans="9:18">
      <c r="I168" s="124"/>
      <c r="M168" s="34"/>
      <c r="N168" s="34"/>
      <c r="O168" s="34"/>
      <c r="P168" s="34"/>
      <c r="Q168" s="34"/>
      <c r="R168" s="34"/>
    </row>
    <row r="169" spans="9:18">
      <c r="I169" s="124"/>
      <c r="M169" s="34"/>
      <c r="N169" s="34"/>
      <c r="O169" s="34"/>
      <c r="P169" s="34"/>
      <c r="Q169" s="34"/>
      <c r="R169" s="34"/>
    </row>
    <row r="170" spans="9:18">
      <c r="I170" s="124"/>
      <c r="M170" s="34"/>
      <c r="N170" s="34"/>
      <c r="O170" s="34"/>
      <c r="P170" s="34"/>
      <c r="Q170" s="34"/>
      <c r="R170" s="34"/>
    </row>
    <row r="171" spans="9:18">
      <c r="I171" s="124"/>
      <c r="M171" s="34"/>
      <c r="N171" s="34"/>
      <c r="O171" s="34"/>
      <c r="P171" s="34"/>
      <c r="Q171" s="34"/>
      <c r="R171" s="34"/>
    </row>
    <row r="172" spans="9:18">
      <c r="I172" s="124"/>
      <c r="M172" s="34"/>
      <c r="N172" s="34"/>
      <c r="O172" s="34"/>
      <c r="P172" s="34"/>
      <c r="Q172" s="34"/>
      <c r="R172" s="34"/>
    </row>
    <row r="173" spans="9:18">
      <c r="I173" s="124"/>
      <c r="M173" s="34"/>
      <c r="N173" s="34"/>
      <c r="O173" s="34"/>
      <c r="P173" s="34"/>
      <c r="Q173" s="34"/>
      <c r="R173" s="34"/>
    </row>
    <row r="174" spans="9:18">
      <c r="I174" s="124"/>
      <c r="M174" s="34"/>
      <c r="N174" s="34"/>
      <c r="O174" s="34"/>
      <c r="P174" s="34"/>
      <c r="Q174" s="34"/>
      <c r="R174" s="34"/>
    </row>
    <row r="175" spans="9:18">
      <c r="I175" s="124"/>
      <c r="M175" s="34"/>
      <c r="N175" s="34"/>
      <c r="O175" s="34"/>
      <c r="P175" s="34"/>
      <c r="Q175" s="34"/>
      <c r="R175" s="34"/>
    </row>
    <row r="176" spans="9:18">
      <c r="I176" s="124"/>
      <c r="M176" s="34"/>
      <c r="N176" s="34"/>
      <c r="O176" s="34"/>
      <c r="P176" s="34"/>
      <c r="Q176" s="34"/>
      <c r="R176" s="34"/>
    </row>
    <row r="177" spans="9:18">
      <c r="I177" s="124"/>
      <c r="M177" s="34"/>
      <c r="N177" s="34"/>
      <c r="O177" s="34"/>
      <c r="P177" s="34"/>
      <c r="Q177" s="34"/>
      <c r="R177" s="34"/>
    </row>
    <row r="178" spans="9:18">
      <c r="I178" s="124"/>
      <c r="M178" s="34"/>
      <c r="N178" s="34"/>
      <c r="O178" s="34"/>
      <c r="P178" s="34"/>
      <c r="Q178" s="34"/>
      <c r="R178" s="34"/>
    </row>
    <row r="179" spans="9:18">
      <c r="I179" s="124"/>
      <c r="M179" s="34"/>
      <c r="N179" s="34"/>
      <c r="O179" s="34"/>
      <c r="P179" s="34"/>
      <c r="Q179" s="34"/>
      <c r="R179" s="34"/>
    </row>
    <row r="180" spans="9:18">
      <c r="I180" s="124"/>
      <c r="M180" s="34"/>
      <c r="N180" s="34"/>
      <c r="O180" s="34"/>
      <c r="P180" s="34"/>
      <c r="Q180" s="34"/>
      <c r="R180" s="34"/>
    </row>
    <row r="181" spans="9:18">
      <c r="I181" s="124"/>
      <c r="M181" s="34"/>
      <c r="N181" s="34"/>
      <c r="O181" s="34"/>
      <c r="P181" s="34"/>
      <c r="Q181" s="34"/>
      <c r="R181" s="34"/>
    </row>
    <row r="182" spans="9:18">
      <c r="I182" s="124"/>
      <c r="M182" s="34"/>
      <c r="N182" s="34"/>
      <c r="O182" s="34"/>
      <c r="P182" s="34"/>
      <c r="Q182" s="34"/>
      <c r="R182" s="34"/>
    </row>
    <row r="183" spans="9:18">
      <c r="I183" s="124"/>
      <c r="M183" s="34"/>
      <c r="N183" s="34"/>
      <c r="O183" s="34"/>
      <c r="P183" s="34"/>
      <c r="Q183" s="34"/>
      <c r="R183" s="34"/>
    </row>
    <row r="184" spans="9:18">
      <c r="I184" s="124"/>
      <c r="M184" s="34"/>
      <c r="N184" s="34"/>
      <c r="O184" s="34"/>
      <c r="P184" s="34"/>
      <c r="Q184" s="34"/>
      <c r="R184" s="34"/>
    </row>
    <row r="185" spans="9:18">
      <c r="I185" s="124"/>
      <c r="M185" s="34"/>
      <c r="N185" s="34"/>
      <c r="O185" s="34"/>
      <c r="P185" s="34"/>
      <c r="Q185" s="34"/>
      <c r="R185" s="34"/>
    </row>
    <row r="186" spans="9:18">
      <c r="I186" s="124"/>
      <c r="M186" s="34"/>
      <c r="N186" s="34"/>
      <c r="O186" s="34"/>
      <c r="P186" s="34"/>
      <c r="Q186" s="34"/>
      <c r="R186" s="34"/>
    </row>
    <row r="187" spans="9:18">
      <c r="I187" s="124"/>
      <c r="M187" s="34"/>
      <c r="N187" s="34"/>
      <c r="O187" s="34"/>
      <c r="P187" s="34"/>
      <c r="Q187" s="34"/>
      <c r="R187" s="34"/>
    </row>
    <row r="188" spans="9:18">
      <c r="I188" s="124"/>
      <c r="M188" s="34"/>
      <c r="N188" s="34"/>
      <c r="O188" s="34"/>
      <c r="P188" s="34"/>
      <c r="Q188" s="34"/>
      <c r="R188" s="34"/>
    </row>
    <row r="189" spans="9:18">
      <c r="I189" s="124"/>
      <c r="M189" s="34"/>
      <c r="N189" s="34"/>
      <c r="O189" s="34"/>
      <c r="P189" s="34"/>
      <c r="Q189" s="34"/>
      <c r="R189" s="34"/>
    </row>
    <row r="190" spans="9:18">
      <c r="I190" s="124"/>
      <c r="M190" s="34"/>
      <c r="N190" s="34"/>
      <c r="O190" s="34"/>
      <c r="P190" s="34"/>
      <c r="Q190" s="34"/>
      <c r="R190" s="34"/>
    </row>
    <row r="191" spans="9:18">
      <c r="I191" s="124"/>
      <c r="M191" s="34"/>
      <c r="N191" s="34"/>
      <c r="O191" s="34"/>
      <c r="P191" s="34"/>
      <c r="Q191" s="34"/>
      <c r="R191" s="34"/>
    </row>
    <row r="192" spans="9:18">
      <c r="I192" s="124"/>
      <c r="M192" s="34"/>
      <c r="N192" s="34"/>
      <c r="O192" s="34"/>
      <c r="P192" s="34"/>
      <c r="Q192" s="34"/>
      <c r="R192" s="34"/>
    </row>
    <row r="193" spans="9:18">
      <c r="I193" s="124"/>
      <c r="M193" s="34"/>
      <c r="N193" s="34"/>
      <c r="O193" s="34"/>
      <c r="P193" s="34"/>
      <c r="Q193" s="34"/>
      <c r="R193" s="34"/>
    </row>
    <row r="194" spans="9:18">
      <c r="I194" s="124"/>
      <c r="M194" s="34"/>
      <c r="N194" s="34"/>
      <c r="O194" s="34"/>
      <c r="P194" s="34"/>
      <c r="Q194" s="34"/>
      <c r="R194" s="34"/>
    </row>
    <row r="195" spans="9:18">
      <c r="I195" s="124"/>
      <c r="M195" s="34"/>
      <c r="N195" s="34"/>
      <c r="O195" s="34"/>
      <c r="P195" s="34"/>
      <c r="Q195" s="34"/>
      <c r="R195" s="34"/>
    </row>
    <row r="196" spans="9:18">
      <c r="I196" s="124"/>
      <c r="M196" s="34"/>
      <c r="N196" s="34"/>
      <c r="O196" s="34"/>
      <c r="P196" s="34"/>
      <c r="Q196" s="34"/>
      <c r="R196" s="34"/>
    </row>
    <row r="197" spans="9:18">
      <c r="I197" s="124"/>
      <c r="M197" s="34"/>
      <c r="N197" s="34"/>
      <c r="O197" s="34"/>
      <c r="P197" s="34"/>
      <c r="Q197" s="34"/>
      <c r="R197" s="34"/>
    </row>
    <row r="198" spans="9:18">
      <c r="I198" s="124"/>
      <c r="M198" s="34"/>
      <c r="N198" s="34"/>
      <c r="O198" s="34"/>
      <c r="P198" s="34"/>
      <c r="Q198" s="34"/>
      <c r="R198" s="34"/>
    </row>
    <row r="199" spans="9:18">
      <c r="I199" s="124"/>
      <c r="M199" s="34"/>
      <c r="N199" s="34"/>
      <c r="O199" s="34"/>
      <c r="P199" s="34"/>
      <c r="Q199" s="34"/>
      <c r="R199" s="34"/>
    </row>
    <row r="200" spans="9:18">
      <c r="I200" s="124"/>
      <c r="M200" s="34"/>
      <c r="N200" s="34"/>
      <c r="O200" s="34"/>
      <c r="P200" s="34"/>
      <c r="Q200" s="34"/>
      <c r="R200" s="34"/>
    </row>
    <row r="201" spans="9:18">
      <c r="I201" s="124"/>
      <c r="M201" s="34"/>
      <c r="N201" s="34"/>
      <c r="O201" s="34"/>
      <c r="P201" s="34"/>
      <c r="Q201" s="34"/>
      <c r="R201" s="34"/>
    </row>
    <row r="202" spans="9:18">
      <c r="I202" s="124"/>
      <c r="M202" s="34"/>
      <c r="N202" s="34"/>
      <c r="O202" s="34"/>
      <c r="P202" s="34"/>
      <c r="Q202" s="34"/>
      <c r="R202" s="34"/>
    </row>
    <row r="203" spans="9:18">
      <c r="I203" s="124"/>
      <c r="M203" s="34"/>
      <c r="N203" s="34"/>
      <c r="O203" s="34"/>
      <c r="P203" s="34"/>
      <c r="Q203" s="34"/>
      <c r="R203" s="34"/>
    </row>
    <row r="204" spans="9:18">
      <c r="I204" s="124"/>
      <c r="M204" s="34"/>
      <c r="N204" s="34"/>
      <c r="O204" s="34"/>
      <c r="P204" s="34"/>
      <c r="Q204" s="34"/>
      <c r="R204" s="34"/>
    </row>
    <row r="205" spans="9:18">
      <c r="I205" s="124"/>
      <c r="M205" s="34"/>
      <c r="N205" s="34"/>
      <c r="O205" s="34"/>
      <c r="P205" s="34"/>
      <c r="Q205" s="34"/>
      <c r="R205" s="34"/>
    </row>
    <row r="206" spans="9:18">
      <c r="I206" s="124"/>
      <c r="M206" s="34"/>
      <c r="N206" s="34"/>
      <c r="O206" s="34"/>
      <c r="P206" s="34"/>
      <c r="Q206" s="34"/>
      <c r="R206" s="34"/>
    </row>
    <row r="207" spans="9:18">
      <c r="I207" s="124"/>
      <c r="M207" s="34"/>
      <c r="N207" s="34"/>
      <c r="O207" s="34"/>
      <c r="P207" s="34"/>
      <c r="Q207" s="34"/>
      <c r="R207" s="34"/>
    </row>
    <row r="208" spans="9:18">
      <c r="I208" s="124"/>
      <c r="M208" s="34"/>
      <c r="N208" s="34"/>
      <c r="O208" s="34"/>
      <c r="P208" s="34"/>
      <c r="Q208" s="34"/>
      <c r="R208" s="34"/>
    </row>
    <row r="209" spans="9:18">
      <c r="I209" s="124"/>
      <c r="M209" s="34"/>
      <c r="N209" s="34"/>
      <c r="O209" s="34"/>
      <c r="P209" s="34"/>
      <c r="Q209" s="34"/>
      <c r="R209" s="34"/>
    </row>
    <row r="210" spans="9:18">
      <c r="I210" s="124"/>
      <c r="M210" s="34"/>
      <c r="N210" s="34"/>
      <c r="O210" s="34"/>
      <c r="P210" s="34"/>
      <c r="Q210" s="34"/>
      <c r="R210" s="34"/>
    </row>
    <row r="211" spans="9:18">
      <c r="I211" s="124"/>
      <c r="M211" s="34"/>
      <c r="N211" s="34"/>
      <c r="O211" s="34"/>
      <c r="P211" s="34"/>
      <c r="Q211" s="34"/>
      <c r="R211" s="34"/>
    </row>
    <row r="212" spans="9:18">
      <c r="I212" s="124"/>
      <c r="M212" s="34"/>
      <c r="N212" s="34"/>
      <c r="O212" s="34"/>
      <c r="P212" s="34"/>
      <c r="Q212" s="34"/>
      <c r="R212" s="34"/>
    </row>
    <row r="213" spans="9:18">
      <c r="I213" s="124"/>
      <c r="M213" s="34"/>
      <c r="N213" s="34"/>
      <c r="O213" s="34"/>
      <c r="P213" s="34"/>
      <c r="Q213" s="34"/>
      <c r="R213" s="34"/>
    </row>
    <row r="214" spans="9:18">
      <c r="I214" s="124"/>
      <c r="M214" s="34"/>
      <c r="N214" s="34"/>
      <c r="O214" s="34"/>
      <c r="P214" s="34"/>
      <c r="Q214" s="34"/>
      <c r="R214" s="34"/>
    </row>
    <row r="215" spans="9:18">
      <c r="I215" s="124"/>
      <c r="M215" s="34"/>
      <c r="N215" s="34"/>
      <c r="O215" s="34"/>
      <c r="P215" s="34"/>
      <c r="Q215" s="34"/>
      <c r="R215" s="34"/>
    </row>
    <row r="216" spans="9:18">
      <c r="I216" s="124"/>
      <c r="M216" s="34"/>
      <c r="N216" s="34"/>
      <c r="O216" s="34"/>
      <c r="P216" s="34"/>
      <c r="Q216" s="34"/>
      <c r="R216" s="34"/>
    </row>
    <row r="217" spans="9:18">
      <c r="I217" s="124"/>
      <c r="M217" s="34"/>
      <c r="N217" s="34"/>
      <c r="O217" s="34"/>
      <c r="P217" s="34"/>
      <c r="Q217" s="34"/>
      <c r="R217" s="34"/>
    </row>
    <row r="218" spans="9:18">
      <c r="I218" s="124"/>
      <c r="M218" s="34"/>
      <c r="N218" s="34"/>
      <c r="O218" s="34"/>
      <c r="P218" s="34"/>
      <c r="Q218" s="34"/>
      <c r="R218" s="34"/>
    </row>
    <row r="219" spans="9:18">
      <c r="I219" s="124"/>
      <c r="M219" s="34"/>
      <c r="N219" s="34"/>
      <c r="O219" s="34"/>
      <c r="P219" s="34"/>
      <c r="Q219" s="34"/>
      <c r="R219" s="34"/>
    </row>
    <row r="220" spans="9:18">
      <c r="I220" s="124"/>
      <c r="M220" s="34"/>
      <c r="N220" s="34"/>
      <c r="O220" s="34"/>
      <c r="P220" s="34"/>
      <c r="Q220" s="34"/>
      <c r="R220" s="34"/>
    </row>
    <row r="221" spans="9:18">
      <c r="I221" s="124"/>
      <c r="M221" s="34"/>
      <c r="N221" s="34"/>
      <c r="O221" s="34"/>
      <c r="P221" s="34"/>
      <c r="Q221" s="34"/>
      <c r="R221" s="34"/>
    </row>
    <row r="222" spans="9:18">
      <c r="I222" s="124"/>
      <c r="M222" s="34"/>
      <c r="N222" s="34"/>
      <c r="O222" s="34"/>
      <c r="P222" s="34"/>
      <c r="Q222" s="34"/>
      <c r="R222" s="34"/>
    </row>
    <row r="223" spans="9:18">
      <c r="I223" s="124"/>
      <c r="M223" s="34"/>
      <c r="N223" s="34"/>
      <c r="O223" s="34"/>
      <c r="P223" s="34"/>
      <c r="Q223" s="34"/>
      <c r="R223" s="34"/>
    </row>
    <row r="224" spans="9:18">
      <c r="I224" s="124"/>
      <c r="M224" s="34"/>
      <c r="N224" s="34"/>
      <c r="O224" s="34"/>
      <c r="P224" s="34"/>
      <c r="Q224" s="34"/>
      <c r="R224" s="34"/>
    </row>
    <row r="225" spans="9:18">
      <c r="I225" s="124"/>
      <c r="M225" s="34"/>
      <c r="N225" s="34"/>
      <c r="O225" s="34"/>
      <c r="P225" s="34"/>
      <c r="Q225" s="34"/>
      <c r="R225" s="34"/>
    </row>
    <row r="226" spans="9:18">
      <c r="I226" s="124"/>
      <c r="M226" s="34"/>
      <c r="N226" s="34"/>
      <c r="O226" s="34"/>
      <c r="P226" s="34"/>
      <c r="Q226" s="34"/>
      <c r="R226" s="34"/>
    </row>
    <row r="227" spans="9:18">
      <c r="I227" s="124"/>
      <c r="M227" s="34"/>
      <c r="N227" s="34"/>
      <c r="O227" s="34"/>
      <c r="P227" s="34"/>
      <c r="Q227" s="34"/>
      <c r="R227" s="34"/>
    </row>
    <row r="228" spans="9:18">
      <c r="I228" s="124"/>
      <c r="M228" s="34"/>
      <c r="N228" s="34"/>
      <c r="O228" s="34"/>
      <c r="P228" s="34"/>
      <c r="Q228" s="34"/>
      <c r="R228" s="34"/>
    </row>
    <row r="229" spans="9:18">
      <c r="I229" s="124"/>
      <c r="M229" s="34"/>
      <c r="N229" s="34"/>
      <c r="O229" s="34"/>
      <c r="P229" s="34"/>
      <c r="Q229" s="34"/>
      <c r="R229" s="34"/>
    </row>
    <row r="230" spans="9:18">
      <c r="I230" s="124"/>
      <c r="M230" s="34"/>
      <c r="N230" s="34"/>
      <c r="O230" s="34"/>
      <c r="P230" s="34"/>
      <c r="Q230" s="34"/>
      <c r="R230" s="34"/>
    </row>
    <row r="231" spans="9:18">
      <c r="I231" s="124"/>
      <c r="M231" s="34"/>
      <c r="N231" s="34"/>
      <c r="O231" s="34"/>
      <c r="P231" s="34"/>
      <c r="Q231" s="34"/>
      <c r="R231" s="34"/>
    </row>
    <row r="232" spans="9:18">
      <c r="I232" s="124"/>
      <c r="M232" s="34"/>
      <c r="N232" s="34"/>
      <c r="O232" s="34"/>
      <c r="P232" s="34"/>
      <c r="Q232" s="34"/>
      <c r="R232" s="34"/>
    </row>
    <row r="233" spans="9:18">
      <c r="I233" s="124"/>
      <c r="M233" s="34"/>
      <c r="N233" s="34"/>
      <c r="O233" s="34"/>
      <c r="P233" s="34"/>
      <c r="Q233" s="34"/>
      <c r="R233" s="34"/>
    </row>
    <row r="234" spans="9:18">
      <c r="I234" s="124"/>
      <c r="M234" s="34"/>
      <c r="N234" s="34"/>
      <c r="O234" s="34"/>
      <c r="P234" s="34"/>
      <c r="Q234" s="34"/>
      <c r="R234" s="34"/>
    </row>
    <row r="235" spans="9:18">
      <c r="I235" s="124"/>
      <c r="M235" s="34"/>
      <c r="N235" s="34"/>
      <c r="O235" s="34"/>
      <c r="P235" s="34"/>
      <c r="Q235" s="34"/>
      <c r="R235" s="34"/>
    </row>
    <row r="236" spans="9:18">
      <c r="I236" s="124"/>
      <c r="M236" s="34"/>
      <c r="N236" s="34"/>
      <c r="O236" s="34"/>
      <c r="P236" s="34"/>
      <c r="Q236" s="34"/>
      <c r="R236" s="34"/>
    </row>
    <row r="237" spans="9:18">
      <c r="I237" s="124"/>
      <c r="M237" s="34"/>
      <c r="N237" s="34"/>
      <c r="O237" s="34"/>
      <c r="P237" s="34"/>
      <c r="Q237" s="34"/>
      <c r="R237" s="34"/>
    </row>
    <row r="238" spans="9:18">
      <c r="I238" s="124"/>
      <c r="M238" s="34"/>
      <c r="N238" s="34"/>
      <c r="O238" s="34"/>
      <c r="P238" s="34"/>
      <c r="Q238" s="34"/>
      <c r="R238" s="34"/>
    </row>
    <row r="239" spans="9:18">
      <c r="I239" s="124"/>
      <c r="M239" s="34"/>
      <c r="N239" s="34"/>
      <c r="O239" s="34"/>
      <c r="P239" s="34"/>
      <c r="Q239" s="34"/>
      <c r="R239" s="34"/>
    </row>
    <row r="240" spans="9:18">
      <c r="I240" s="124"/>
      <c r="M240" s="34"/>
      <c r="N240" s="34"/>
      <c r="O240" s="34"/>
      <c r="P240" s="34"/>
      <c r="Q240" s="34"/>
      <c r="R240" s="34"/>
    </row>
    <row r="241" spans="9:18">
      <c r="I241" s="124"/>
      <c r="M241" s="34"/>
      <c r="N241" s="34"/>
      <c r="O241" s="34"/>
      <c r="P241" s="34"/>
      <c r="Q241" s="34"/>
      <c r="R241" s="34"/>
    </row>
    <row r="242" spans="9:18">
      <c r="I242" s="124"/>
      <c r="M242" s="34"/>
      <c r="N242" s="34"/>
      <c r="O242" s="34"/>
      <c r="P242" s="34"/>
      <c r="Q242" s="34"/>
      <c r="R242" s="34"/>
    </row>
    <row r="243" spans="9:18">
      <c r="I243" s="124"/>
      <c r="M243" s="34"/>
      <c r="N243" s="34"/>
      <c r="O243" s="34"/>
      <c r="P243" s="34"/>
      <c r="Q243" s="34"/>
      <c r="R243" s="34"/>
    </row>
    <row r="244" spans="9:18">
      <c r="I244" s="124"/>
      <c r="M244" s="34"/>
      <c r="N244" s="34"/>
      <c r="O244" s="34"/>
      <c r="P244" s="34"/>
      <c r="Q244" s="34"/>
      <c r="R244" s="34"/>
    </row>
    <row r="245" spans="9:18">
      <c r="I245" s="124"/>
      <c r="M245" s="34"/>
      <c r="N245" s="34"/>
      <c r="O245" s="34"/>
      <c r="P245" s="34"/>
      <c r="Q245" s="34"/>
      <c r="R245" s="34"/>
    </row>
    <row r="246" spans="9:18">
      <c r="I246" s="124"/>
      <c r="M246" s="34"/>
      <c r="N246" s="34"/>
      <c r="O246" s="34"/>
      <c r="P246" s="34"/>
      <c r="Q246" s="34"/>
      <c r="R246" s="34"/>
    </row>
    <row r="247" spans="9:18">
      <c r="I247" s="124"/>
      <c r="M247" s="34"/>
      <c r="N247" s="34"/>
      <c r="O247" s="34"/>
      <c r="P247" s="34"/>
      <c r="Q247" s="34"/>
      <c r="R247" s="34"/>
    </row>
    <row r="248" spans="9:18">
      <c r="I248" s="124"/>
      <c r="M248" s="34"/>
      <c r="N248" s="34"/>
      <c r="O248" s="34"/>
      <c r="P248" s="34"/>
      <c r="Q248" s="34"/>
      <c r="R248" s="34"/>
    </row>
    <row r="249" spans="9:18">
      <c r="I249" s="124"/>
      <c r="M249" s="34"/>
      <c r="N249" s="34"/>
      <c r="O249" s="34"/>
      <c r="P249" s="34"/>
      <c r="Q249" s="34"/>
      <c r="R249" s="34"/>
    </row>
    <row r="250" spans="9:18">
      <c r="I250" s="124"/>
      <c r="M250" s="34"/>
      <c r="N250" s="34"/>
      <c r="O250" s="34"/>
      <c r="P250" s="34"/>
      <c r="Q250" s="34"/>
      <c r="R250" s="34"/>
    </row>
    <row r="251" spans="9:18">
      <c r="I251" s="124"/>
      <c r="M251" s="34"/>
      <c r="N251" s="34"/>
      <c r="O251" s="34"/>
      <c r="P251" s="34"/>
      <c r="Q251" s="34"/>
      <c r="R251" s="34"/>
    </row>
    <row r="252" spans="9:18">
      <c r="I252" s="124"/>
      <c r="M252" s="34"/>
      <c r="N252" s="34"/>
      <c r="O252" s="34"/>
      <c r="P252" s="34"/>
      <c r="Q252" s="34"/>
      <c r="R252" s="34"/>
    </row>
    <row r="253" spans="9:18">
      <c r="I253" s="124"/>
      <c r="M253" s="34"/>
      <c r="N253" s="34"/>
      <c r="O253" s="34"/>
      <c r="P253" s="34"/>
      <c r="Q253" s="34"/>
      <c r="R253" s="34"/>
    </row>
    <row r="254" spans="9:18">
      <c r="I254" s="124"/>
      <c r="M254" s="34"/>
      <c r="N254" s="34"/>
      <c r="O254" s="34"/>
      <c r="P254" s="34"/>
      <c r="Q254" s="34"/>
      <c r="R254" s="34"/>
    </row>
    <row r="255" spans="9:18">
      <c r="I255" s="124"/>
      <c r="M255" s="34"/>
      <c r="N255" s="34"/>
      <c r="O255" s="34"/>
      <c r="P255" s="34"/>
      <c r="Q255" s="34"/>
      <c r="R255" s="34"/>
    </row>
    <row r="256" spans="9:18">
      <c r="I256" s="124"/>
      <c r="M256" s="34"/>
      <c r="N256" s="34"/>
      <c r="O256" s="34"/>
      <c r="P256" s="34"/>
      <c r="Q256" s="34"/>
      <c r="R256" s="34"/>
    </row>
    <row r="257" spans="9:18">
      <c r="I257" s="124"/>
      <c r="M257" s="34"/>
      <c r="N257" s="34"/>
      <c r="O257" s="34"/>
      <c r="P257" s="34"/>
      <c r="Q257" s="34"/>
      <c r="R257" s="34"/>
    </row>
    <row r="258" spans="9:18">
      <c r="I258" s="124"/>
      <c r="M258" s="34"/>
      <c r="N258" s="34"/>
      <c r="O258" s="34"/>
      <c r="P258" s="34"/>
      <c r="Q258" s="34"/>
      <c r="R258" s="34"/>
    </row>
    <row r="259" spans="9:18">
      <c r="I259" s="124"/>
      <c r="M259" s="34"/>
      <c r="N259" s="34"/>
      <c r="O259" s="34"/>
      <c r="P259" s="34"/>
      <c r="Q259" s="34"/>
      <c r="R259" s="34"/>
    </row>
    <row r="260" spans="9:18">
      <c r="I260" s="124"/>
      <c r="M260" s="34"/>
      <c r="N260" s="34"/>
      <c r="O260" s="34"/>
      <c r="P260" s="34"/>
      <c r="Q260" s="34"/>
      <c r="R260" s="34"/>
    </row>
    <row r="261" spans="9:18">
      <c r="I261" s="124"/>
      <c r="M261" s="34"/>
      <c r="N261" s="34"/>
      <c r="O261" s="34"/>
      <c r="P261" s="34"/>
      <c r="Q261" s="34"/>
      <c r="R261" s="34"/>
    </row>
    <row r="262" spans="9:18">
      <c r="I262" s="124"/>
      <c r="M262" s="34"/>
      <c r="N262" s="34"/>
      <c r="O262" s="34"/>
      <c r="P262" s="34"/>
      <c r="Q262" s="34"/>
      <c r="R262" s="34"/>
    </row>
    <row r="263" spans="9:18">
      <c r="I263" s="124"/>
      <c r="M263" s="34"/>
      <c r="N263" s="34"/>
      <c r="O263" s="34"/>
      <c r="P263" s="34"/>
      <c r="Q263" s="34"/>
      <c r="R263" s="34"/>
    </row>
    <row r="264" spans="9:18">
      <c r="I264" s="124"/>
      <c r="M264" s="34"/>
      <c r="N264" s="34"/>
      <c r="O264" s="34"/>
      <c r="P264" s="34"/>
      <c r="Q264" s="34"/>
      <c r="R264" s="34"/>
    </row>
    <row r="265" spans="9:18">
      <c r="I265" s="124"/>
      <c r="M265" s="34"/>
      <c r="N265" s="34"/>
      <c r="O265" s="34"/>
      <c r="P265" s="34"/>
      <c r="Q265" s="34"/>
      <c r="R265" s="34"/>
    </row>
    <row r="266" spans="9:18">
      <c r="I266" s="124"/>
      <c r="M266" s="34"/>
      <c r="N266" s="34"/>
      <c r="O266" s="34"/>
      <c r="P266" s="34"/>
      <c r="Q266" s="34"/>
      <c r="R266" s="34"/>
    </row>
    <row r="267" spans="9:18">
      <c r="I267" s="124"/>
      <c r="M267" s="34"/>
      <c r="N267" s="34"/>
      <c r="O267" s="34"/>
      <c r="P267" s="34"/>
      <c r="Q267" s="34"/>
      <c r="R267" s="34"/>
    </row>
    <row r="268" spans="9:18">
      <c r="I268" s="124"/>
      <c r="M268" s="34"/>
      <c r="N268" s="34"/>
      <c r="O268" s="34"/>
      <c r="P268" s="34"/>
      <c r="Q268" s="34"/>
      <c r="R268" s="34"/>
    </row>
    <row r="269" spans="9:18">
      <c r="I269" s="124"/>
      <c r="M269" s="34"/>
      <c r="N269" s="34"/>
      <c r="O269" s="34"/>
      <c r="P269" s="34"/>
      <c r="Q269" s="34"/>
      <c r="R269" s="34"/>
    </row>
    <row r="270" spans="9:18">
      <c r="I270" s="124"/>
      <c r="M270" s="34"/>
      <c r="N270" s="34"/>
      <c r="O270" s="34"/>
      <c r="P270" s="34"/>
      <c r="Q270" s="34"/>
      <c r="R270" s="34"/>
    </row>
    <row r="271" spans="9:18">
      <c r="M271" s="34"/>
      <c r="N271" s="34"/>
      <c r="O271" s="34"/>
      <c r="P271" s="34"/>
      <c r="Q271" s="34"/>
      <c r="R271" s="34"/>
    </row>
    <row r="272" spans="9:18">
      <c r="M272" s="34"/>
      <c r="N272" s="34"/>
      <c r="O272" s="34"/>
      <c r="P272" s="34"/>
      <c r="Q272" s="34"/>
      <c r="R272" s="34"/>
    </row>
    <row r="273" spans="13:18">
      <c r="M273" s="34"/>
      <c r="N273" s="34"/>
      <c r="O273" s="34"/>
      <c r="P273" s="34"/>
      <c r="Q273" s="34"/>
      <c r="R273" s="34"/>
    </row>
    <row r="274" spans="13:18">
      <c r="M274" s="34"/>
      <c r="N274" s="34"/>
      <c r="O274" s="34"/>
      <c r="P274" s="34"/>
      <c r="Q274" s="34"/>
      <c r="R274" s="34"/>
    </row>
    <row r="275" spans="13:18">
      <c r="M275" s="34"/>
      <c r="N275" s="34"/>
      <c r="O275" s="34"/>
      <c r="P275" s="34"/>
      <c r="Q275" s="34"/>
      <c r="R275" s="34"/>
    </row>
    <row r="276" spans="13:18">
      <c r="M276" s="34"/>
      <c r="N276" s="34"/>
      <c r="O276" s="34"/>
      <c r="P276" s="34"/>
      <c r="Q276" s="34"/>
      <c r="R276" s="34"/>
    </row>
    <row r="277" spans="13:18">
      <c r="M277" s="34"/>
      <c r="N277" s="34"/>
      <c r="O277" s="34"/>
      <c r="P277" s="34"/>
      <c r="Q277" s="34"/>
      <c r="R277" s="34"/>
    </row>
    <row r="278" spans="13:18">
      <c r="M278" s="34"/>
      <c r="N278" s="34"/>
      <c r="O278" s="34"/>
      <c r="P278" s="34"/>
      <c r="Q278" s="34"/>
      <c r="R278" s="34"/>
    </row>
    <row r="279" spans="13:18">
      <c r="M279" s="34"/>
      <c r="N279" s="34"/>
      <c r="O279" s="34"/>
      <c r="P279" s="34"/>
      <c r="Q279" s="34"/>
      <c r="R279" s="34"/>
    </row>
    <row r="280" spans="13:18">
      <c r="M280" s="34"/>
      <c r="N280" s="34"/>
      <c r="O280" s="34"/>
      <c r="P280" s="34"/>
      <c r="Q280" s="34"/>
      <c r="R280" s="34"/>
    </row>
    <row r="281" spans="13:18">
      <c r="M281" s="34"/>
      <c r="N281" s="34"/>
      <c r="O281" s="34"/>
      <c r="P281" s="34"/>
      <c r="Q281" s="34"/>
      <c r="R281" s="34"/>
    </row>
    <row r="282" spans="13:18">
      <c r="M282" s="34"/>
      <c r="N282" s="34"/>
      <c r="O282" s="34"/>
      <c r="P282" s="34"/>
      <c r="Q282" s="34"/>
      <c r="R282" s="34"/>
    </row>
    <row r="283" spans="13:18">
      <c r="M283" s="34"/>
      <c r="N283" s="34"/>
      <c r="O283" s="34"/>
      <c r="P283" s="34"/>
      <c r="Q283" s="34"/>
      <c r="R283" s="34"/>
    </row>
    <row r="284" spans="13:18">
      <c r="M284" s="34"/>
      <c r="N284" s="34"/>
      <c r="O284" s="34"/>
      <c r="P284" s="34"/>
      <c r="Q284" s="34"/>
      <c r="R284" s="34"/>
    </row>
    <row r="285" spans="13:18">
      <c r="M285" s="34"/>
      <c r="N285" s="34"/>
      <c r="O285" s="34"/>
      <c r="P285" s="34"/>
      <c r="Q285" s="34"/>
      <c r="R285" s="34"/>
    </row>
    <row r="286" spans="13:18">
      <c r="M286" s="34"/>
      <c r="N286" s="34"/>
      <c r="O286" s="34"/>
      <c r="P286" s="34"/>
      <c r="Q286" s="34"/>
      <c r="R286" s="34"/>
    </row>
    <row r="287" spans="13:18">
      <c r="M287" s="34"/>
      <c r="N287" s="34"/>
      <c r="O287" s="34"/>
      <c r="P287" s="34"/>
      <c r="Q287" s="34"/>
      <c r="R287" s="34"/>
    </row>
    <row r="288" spans="13:18">
      <c r="M288" s="34"/>
      <c r="N288" s="34"/>
      <c r="O288" s="34"/>
      <c r="P288" s="34"/>
      <c r="Q288" s="34"/>
      <c r="R288" s="34"/>
    </row>
    <row r="289" spans="13:18">
      <c r="M289" s="34"/>
      <c r="N289" s="34"/>
      <c r="O289" s="34"/>
      <c r="P289" s="34"/>
      <c r="Q289" s="34"/>
      <c r="R289" s="34"/>
    </row>
    <row r="290" spans="13:18">
      <c r="M290" s="34"/>
      <c r="N290" s="34"/>
      <c r="O290" s="34"/>
      <c r="P290" s="34"/>
      <c r="Q290" s="34"/>
      <c r="R290" s="34"/>
    </row>
    <row r="291" spans="13:18">
      <c r="M291" s="34"/>
      <c r="N291" s="34"/>
      <c r="O291" s="34"/>
      <c r="P291" s="34"/>
      <c r="Q291" s="34"/>
      <c r="R291" s="34"/>
    </row>
    <row r="292" spans="13:18">
      <c r="M292" s="34"/>
      <c r="N292" s="34"/>
      <c r="O292" s="34"/>
      <c r="P292" s="34"/>
      <c r="Q292" s="34"/>
      <c r="R292" s="34"/>
    </row>
    <row r="293" spans="13:18">
      <c r="M293" s="34"/>
      <c r="N293" s="34"/>
      <c r="O293" s="34"/>
      <c r="P293" s="34"/>
      <c r="Q293" s="34"/>
      <c r="R293" s="34"/>
    </row>
    <row r="294" spans="13:18">
      <c r="M294" s="34"/>
      <c r="N294" s="34"/>
      <c r="O294" s="34"/>
      <c r="P294" s="34"/>
      <c r="Q294" s="34"/>
      <c r="R294" s="34"/>
    </row>
    <row r="295" spans="13:18">
      <c r="M295" s="34"/>
      <c r="N295" s="34"/>
      <c r="O295" s="34"/>
      <c r="P295" s="34"/>
      <c r="Q295" s="34"/>
      <c r="R295" s="34"/>
    </row>
    <row r="296" spans="13:18">
      <c r="M296" s="34"/>
      <c r="N296" s="34"/>
      <c r="O296" s="34"/>
      <c r="P296" s="34"/>
      <c r="Q296" s="34"/>
      <c r="R296" s="34"/>
    </row>
    <row r="297" spans="13:18">
      <c r="M297" s="34"/>
      <c r="N297" s="34"/>
      <c r="O297" s="34"/>
      <c r="P297" s="34"/>
      <c r="Q297" s="34"/>
      <c r="R297" s="34"/>
    </row>
    <row r="298" spans="13:18">
      <c r="M298" s="34"/>
      <c r="N298" s="34"/>
      <c r="O298" s="34"/>
      <c r="P298" s="34"/>
      <c r="Q298" s="34"/>
      <c r="R298" s="34"/>
    </row>
    <row r="299" spans="13:18">
      <c r="M299" s="34"/>
      <c r="N299" s="34"/>
      <c r="O299" s="34"/>
      <c r="P299" s="34"/>
      <c r="Q299" s="34"/>
      <c r="R299" s="34"/>
    </row>
    <row r="300" spans="13:18">
      <c r="M300" s="34"/>
      <c r="N300" s="34"/>
      <c r="O300" s="34"/>
      <c r="P300" s="34"/>
      <c r="Q300" s="34"/>
      <c r="R300" s="34"/>
    </row>
    <row r="301" spans="13:18">
      <c r="M301" s="34"/>
      <c r="N301" s="34"/>
      <c r="O301" s="34"/>
      <c r="P301" s="34"/>
      <c r="Q301" s="34"/>
      <c r="R301" s="34"/>
    </row>
    <row r="302" spans="13:18">
      <c r="M302" s="34"/>
      <c r="N302" s="34"/>
      <c r="O302" s="34"/>
      <c r="P302" s="34"/>
      <c r="Q302" s="34"/>
      <c r="R302" s="34"/>
    </row>
    <row r="303" spans="13:18">
      <c r="M303" s="34"/>
      <c r="N303" s="34"/>
      <c r="O303" s="34"/>
      <c r="P303" s="34"/>
      <c r="Q303" s="34"/>
      <c r="R303" s="34"/>
    </row>
    <row r="304" spans="13:18">
      <c r="M304" s="34"/>
      <c r="N304" s="34"/>
      <c r="O304" s="34"/>
      <c r="P304" s="34"/>
      <c r="Q304" s="34"/>
      <c r="R304" s="34"/>
    </row>
    <row r="305" spans="13:18">
      <c r="M305" s="34"/>
      <c r="N305" s="34"/>
      <c r="O305" s="34"/>
      <c r="P305" s="34"/>
      <c r="Q305" s="34"/>
      <c r="R305" s="34"/>
    </row>
    <row r="306" spans="13:18">
      <c r="M306" s="34"/>
      <c r="N306" s="34"/>
      <c r="O306" s="34"/>
      <c r="P306" s="34"/>
      <c r="Q306" s="34"/>
      <c r="R306" s="34"/>
    </row>
    <row r="307" spans="13:18">
      <c r="M307" s="34"/>
      <c r="N307" s="34"/>
      <c r="O307" s="34"/>
      <c r="P307" s="34"/>
      <c r="Q307" s="34"/>
      <c r="R307" s="34"/>
    </row>
    <row r="308" spans="13:18">
      <c r="M308" s="34"/>
      <c r="N308" s="34"/>
      <c r="O308" s="34"/>
      <c r="P308" s="34"/>
      <c r="Q308" s="34"/>
      <c r="R308" s="34"/>
    </row>
    <row r="309" spans="13:18">
      <c r="M309" s="34"/>
      <c r="N309" s="34"/>
      <c r="O309" s="34"/>
      <c r="P309" s="34"/>
      <c r="Q309" s="34"/>
      <c r="R309" s="34"/>
    </row>
    <row r="310" spans="13:18">
      <c r="M310" s="34"/>
      <c r="N310" s="34"/>
      <c r="O310" s="34"/>
      <c r="P310" s="34"/>
      <c r="Q310" s="34"/>
      <c r="R310" s="34"/>
    </row>
    <row r="311" spans="13:18">
      <c r="M311" s="34"/>
      <c r="N311" s="34"/>
      <c r="O311" s="34"/>
      <c r="P311" s="34"/>
      <c r="Q311" s="34"/>
      <c r="R311" s="34"/>
    </row>
    <row r="312" spans="13:18">
      <c r="M312" s="34"/>
      <c r="N312" s="34"/>
      <c r="O312" s="34"/>
      <c r="P312" s="34"/>
      <c r="Q312" s="34"/>
      <c r="R312" s="34"/>
    </row>
    <row r="313" spans="13:18">
      <c r="M313" s="34"/>
      <c r="N313" s="34"/>
      <c r="O313" s="34"/>
      <c r="P313" s="34"/>
      <c r="Q313" s="34"/>
      <c r="R313" s="34"/>
    </row>
    <row r="314" spans="13:18">
      <c r="M314" s="34"/>
      <c r="N314" s="34"/>
      <c r="O314" s="34"/>
      <c r="P314" s="34"/>
      <c r="Q314" s="34"/>
      <c r="R314" s="34"/>
    </row>
    <row r="315" spans="13:18">
      <c r="M315" s="34"/>
      <c r="N315" s="34"/>
      <c r="O315" s="34"/>
      <c r="P315" s="34"/>
      <c r="Q315" s="34"/>
      <c r="R315" s="34"/>
    </row>
    <row r="316" spans="13:18">
      <c r="M316" s="34"/>
      <c r="N316" s="34"/>
      <c r="O316" s="34"/>
      <c r="P316" s="34"/>
      <c r="Q316" s="34"/>
      <c r="R316" s="34"/>
    </row>
    <row r="317" spans="13:18">
      <c r="M317" s="34"/>
      <c r="N317" s="34"/>
      <c r="O317" s="34"/>
      <c r="P317" s="34"/>
      <c r="Q317" s="34"/>
      <c r="R317" s="34"/>
    </row>
    <row r="318" spans="13:18">
      <c r="M318" s="34"/>
      <c r="N318" s="34"/>
      <c r="O318" s="34"/>
      <c r="P318" s="34"/>
      <c r="Q318" s="34"/>
      <c r="R318" s="34"/>
    </row>
    <row r="319" spans="13:18">
      <c r="M319" s="34"/>
      <c r="N319" s="34"/>
      <c r="O319" s="34"/>
      <c r="P319" s="34"/>
      <c r="Q319" s="34"/>
      <c r="R319" s="34"/>
    </row>
    <row r="320" spans="13:18">
      <c r="M320" s="34"/>
      <c r="N320" s="34"/>
      <c r="O320" s="34"/>
      <c r="P320" s="34"/>
      <c r="Q320" s="34"/>
      <c r="R320" s="34"/>
    </row>
    <row r="321" spans="13:18">
      <c r="M321" s="34"/>
      <c r="N321" s="34"/>
      <c r="O321" s="34"/>
      <c r="P321" s="34"/>
      <c r="Q321" s="34"/>
      <c r="R321" s="34"/>
    </row>
    <row r="322" spans="13:18">
      <c r="M322" s="34"/>
      <c r="N322" s="34"/>
      <c r="O322" s="34"/>
      <c r="P322" s="34"/>
      <c r="Q322" s="34"/>
      <c r="R322" s="34"/>
    </row>
    <row r="323" spans="13:18">
      <c r="M323" s="34"/>
      <c r="N323" s="34"/>
      <c r="O323" s="34"/>
      <c r="P323" s="34"/>
      <c r="Q323" s="34"/>
      <c r="R323" s="34"/>
    </row>
    <row r="324" spans="13:18">
      <c r="M324" s="34"/>
      <c r="N324" s="34"/>
      <c r="O324" s="34"/>
      <c r="P324" s="34"/>
      <c r="Q324" s="34"/>
      <c r="R324" s="34"/>
    </row>
    <row r="325" spans="13:18">
      <c r="M325" s="34"/>
      <c r="N325" s="34"/>
      <c r="O325" s="34"/>
      <c r="P325" s="34"/>
      <c r="Q325" s="34"/>
      <c r="R325" s="34"/>
    </row>
    <row r="326" spans="13:18">
      <c r="M326" s="34"/>
      <c r="N326" s="34"/>
      <c r="O326" s="34"/>
      <c r="P326" s="34"/>
      <c r="Q326" s="34"/>
      <c r="R326" s="34"/>
    </row>
    <row r="327" spans="13:18">
      <c r="M327" s="34"/>
      <c r="N327" s="34"/>
      <c r="O327" s="34"/>
      <c r="P327" s="34"/>
      <c r="Q327" s="34"/>
      <c r="R327" s="34"/>
    </row>
    <row r="328" spans="13:18">
      <c r="M328" s="34"/>
      <c r="N328" s="34"/>
      <c r="O328" s="34"/>
      <c r="P328" s="34"/>
      <c r="Q328" s="34"/>
      <c r="R328" s="34"/>
    </row>
    <row r="329" spans="13:18">
      <c r="M329" s="34"/>
      <c r="N329" s="34"/>
      <c r="O329" s="34"/>
      <c r="P329" s="34"/>
      <c r="Q329" s="34"/>
      <c r="R329" s="34"/>
    </row>
    <row r="330" spans="13:18">
      <c r="M330" s="34"/>
      <c r="N330" s="34"/>
      <c r="O330" s="34"/>
      <c r="P330" s="34"/>
      <c r="Q330" s="34"/>
      <c r="R330" s="34"/>
    </row>
    <row r="331" spans="13:18">
      <c r="M331" s="34"/>
      <c r="N331" s="34"/>
      <c r="O331" s="34"/>
      <c r="P331" s="34"/>
      <c r="Q331" s="34"/>
      <c r="R331" s="34"/>
    </row>
    <row r="332" spans="13:18">
      <c r="M332" s="34"/>
      <c r="N332" s="34"/>
      <c r="O332" s="34"/>
      <c r="P332" s="34"/>
      <c r="Q332" s="34"/>
      <c r="R332" s="34"/>
    </row>
    <row r="333" spans="13:18">
      <c r="M333" s="34"/>
      <c r="N333" s="34"/>
      <c r="O333" s="34"/>
      <c r="P333" s="34"/>
      <c r="Q333" s="34"/>
      <c r="R333" s="34"/>
    </row>
    <row r="334" spans="13:18">
      <c r="M334" s="34"/>
      <c r="N334" s="34"/>
      <c r="O334" s="34"/>
      <c r="P334" s="34"/>
      <c r="Q334" s="34"/>
      <c r="R334" s="34"/>
    </row>
    <row r="335" spans="13:18">
      <c r="M335" s="34"/>
      <c r="N335" s="34"/>
      <c r="O335" s="34"/>
      <c r="P335" s="34"/>
      <c r="Q335" s="34"/>
      <c r="R335" s="34"/>
    </row>
    <row r="336" spans="13:18">
      <c r="M336" s="34"/>
      <c r="N336" s="34"/>
      <c r="O336" s="34"/>
      <c r="P336" s="34"/>
      <c r="Q336" s="34"/>
      <c r="R336" s="34"/>
    </row>
    <row r="337" spans="13:18">
      <c r="M337" s="34"/>
      <c r="N337" s="34"/>
      <c r="O337" s="34"/>
      <c r="P337" s="34"/>
      <c r="Q337" s="34"/>
      <c r="R337" s="34"/>
    </row>
    <row r="338" spans="13:18">
      <c r="M338" s="34"/>
      <c r="N338" s="34"/>
      <c r="O338" s="34"/>
      <c r="P338" s="34"/>
      <c r="Q338" s="34"/>
      <c r="R338" s="34"/>
    </row>
    <row r="339" spans="13:18">
      <c r="M339" s="34"/>
      <c r="N339" s="34"/>
      <c r="O339" s="34"/>
      <c r="P339" s="34"/>
      <c r="Q339" s="34"/>
      <c r="R339" s="34"/>
    </row>
    <row r="340" spans="13:18">
      <c r="M340" s="34"/>
      <c r="N340" s="34"/>
      <c r="O340" s="34"/>
      <c r="P340" s="34"/>
      <c r="Q340" s="34"/>
      <c r="R340" s="34"/>
    </row>
    <row r="341" spans="13:18">
      <c r="M341" s="34"/>
      <c r="N341" s="34"/>
      <c r="O341" s="34"/>
      <c r="P341" s="34"/>
      <c r="Q341" s="34"/>
      <c r="R341" s="34"/>
    </row>
    <row r="342" spans="13:18">
      <c r="M342" s="34"/>
      <c r="N342" s="34"/>
      <c r="O342" s="34"/>
      <c r="P342" s="34"/>
      <c r="Q342" s="34"/>
      <c r="R342" s="34"/>
    </row>
    <row r="343" spans="13:18">
      <c r="M343" s="34"/>
      <c r="N343" s="34"/>
      <c r="O343" s="34"/>
      <c r="P343" s="34"/>
      <c r="Q343" s="34"/>
      <c r="R343" s="34"/>
    </row>
    <row r="344" spans="13:18">
      <c r="M344" s="34"/>
      <c r="N344" s="34"/>
      <c r="O344" s="34"/>
      <c r="P344" s="34"/>
      <c r="Q344" s="34"/>
      <c r="R344" s="34"/>
    </row>
    <row r="345" spans="13:18">
      <c r="M345" s="34"/>
      <c r="N345" s="34"/>
      <c r="O345" s="34"/>
      <c r="P345" s="34"/>
      <c r="Q345" s="34"/>
      <c r="R345" s="34"/>
    </row>
    <row r="346" spans="13:18">
      <c r="M346" s="34"/>
      <c r="N346" s="34"/>
      <c r="O346" s="34"/>
      <c r="P346" s="34"/>
      <c r="Q346" s="34"/>
      <c r="R346" s="34"/>
    </row>
    <row r="347" spans="13:18">
      <c r="M347" s="34"/>
      <c r="N347" s="34"/>
      <c r="O347" s="34"/>
      <c r="P347" s="34"/>
      <c r="Q347" s="34"/>
      <c r="R347" s="34"/>
    </row>
    <row r="348" spans="13:18">
      <c r="M348" s="34"/>
      <c r="N348" s="34"/>
      <c r="O348" s="34"/>
      <c r="P348" s="34"/>
      <c r="Q348" s="34"/>
      <c r="R348" s="34"/>
    </row>
    <row r="349" spans="13:18">
      <c r="M349" s="34"/>
      <c r="N349" s="34"/>
      <c r="O349" s="34"/>
      <c r="P349" s="34"/>
      <c r="Q349" s="34"/>
      <c r="R349" s="34"/>
    </row>
    <row r="350" spans="13:18">
      <c r="M350" s="34"/>
      <c r="N350" s="34"/>
      <c r="O350" s="34"/>
      <c r="P350" s="34"/>
      <c r="Q350" s="34"/>
      <c r="R350" s="34"/>
    </row>
    <row r="351" spans="13:18">
      <c r="M351" s="34"/>
      <c r="N351" s="34"/>
      <c r="O351" s="34"/>
      <c r="P351" s="34"/>
      <c r="Q351" s="34"/>
      <c r="R351" s="34"/>
    </row>
    <row r="352" spans="13:18">
      <c r="M352" s="34"/>
      <c r="N352" s="34"/>
      <c r="O352" s="34"/>
      <c r="P352" s="34"/>
      <c r="Q352" s="34"/>
      <c r="R352" s="34"/>
    </row>
    <row r="353" spans="13:18">
      <c r="M353" s="34"/>
      <c r="N353" s="34"/>
      <c r="O353" s="34"/>
      <c r="P353" s="34"/>
      <c r="Q353" s="34"/>
      <c r="R353" s="34"/>
    </row>
    <row r="354" spans="13:18">
      <c r="M354" s="34"/>
      <c r="N354" s="34"/>
      <c r="O354" s="34"/>
      <c r="P354" s="34"/>
      <c r="Q354" s="34"/>
      <c r="R354" s="34"/>
    </row>
    <row r="355" spans="13:18">
      <c r="M355" s="34"/>
      <c r="N355" s="34"/>
      <c r="O355" s="34"/>
      <c r="P355" s="34"/>
      <c r="Q355" s="34"/>
      <c r="R355" s="34"/>
    </row>
    <row r="356" spans="13:18">
      <c r="M356" s="34"/>
      <c r="N356" s="34"/>
      <c r="O356" s="34"/>
      <c r="P356" s="34"/>
      <c r="Q356" s="34"/>
      <c r="R356" s="34"/>
    </row>
    <row r="357" spans="13:18">
      <c r="M357" s="34"/>
      <c r="N357" s="34"/>
      <c r="O357" s="34"/>
      <c r="P357" s="34"/>
      <c r="Q357" s="34"/>
      <c r="R357" s="34"/>
    </row>
    <row r="358" spans="13:18">
      <c r="M358" s="34"/>
      <c r="N358" s="34"/>
      <c r="O358" s="34"/>
      <c r="P358" s="34"/>
      <c r="Q358" s="34"/>
      <c r="R358" s="34"/>
    </row>
    <row r="359" spans="13:18">
      <c r="M359" s="34"/>
      <c r="N359" s="34"/>
      <c r="O359" s="34"/>
      <c r="P359" s="34"/>
      <c r="Q359" s="34"/>
      <c r="R359" s="34"/>
    </row>
    <row r="360" spans="13:18">
      <c r="M360" s="34"/>
      <c r="N360" s="34"/>
      <c r="O360" s="34"/>
      <c r="P360" s="34"/>
      <c r="Q360" s="34"/>
      <c r="R360" s="34"/>
    </row>
    <row r="361" spans="13:18">
      <c r="M361" s="34"/>
      <c r="N361" s="34"/>
      <c r="O361" s="34"/>
      <c r="P361" s="34"/>
      <c r="Q361" s="34"/>
      <c r="R361" s="34"/>
    </row>
    <row r="362" spans="13:18">
      <c r="M362" s="34"/>
      <c r="N362" s="34"/>
      <c r="O362" s="34"/>
      <c r="P362" s="34"/>
      <c r="Q362" s="34"/>
      <c r="R362" s="34"/>
    </row>
    <row r="363" spans="13:18">
      <c r="M363" s="34"/>
      <c r="N363" s="34"/>
      <c r="O363" s="34"/>
      <c r="P363" s="34"/>
      <c r="Q363" s="34"/>
      <c r="R363" s="34"/>
    </row>
    <row r="364" spans="13:18">
      <c r="M364" s="34"/>
      <c r="N364" s="34"/>
      <c r="O364" s="34"/>
      <c r="P364" s="34"/>
      <c r="Q364" s="34"/>
      <c r="R364" s="34"/>
    </row>
    <row r="365" spans="13:18">
      <c r="M365" s="34"/>
      <c r="N365" s="34"/>
      <c r="O365" s="34"/>
      <c r="P365" s="34"/>
      <c r="Q365" s="34"/>
      <c r="R365" s="34"/>
    </row>
    <row r="366" spans="13:18">
      <c r="M366" s="34"/>
      <c r="N366" s="34"/>
      <c r="O366" s="34"/>
      <c r="P366" s="34"/>
      <c r="Q366" s="34"/>
      <c r="R366" s="34"/>
    </row>
    <row r="367" spans="13:18">
      <c r="M367" s="34"/>
      <c r="N367" s="34"/>
      <c r="O367" s="34"/>
      <c r="P367" s="34"/>
      <c r="Q367" s="34"/>
      <c r="R367" s="34"/>
    </row>
    <row r="368" spans="13:18">
      <c r="M368" s="34"/>
      <c r="N368" s="34"/>
      <c r="O368" s="34"/>
      <c r="P368" s="34"/>
      <c r="Q368" s="34"/>
      <c r="R368" s="34"/>
    </row>
    <row r="369" spans="13:18">
      <c r="M369" s="34"/>
      <c r="N369" s="34"/>
      <c r="O369" s="34"/>
      <c r="P369" s="34"/>
      <c r="Q369" s="34"/>
      <c r="R369" s="34"/>
    </row>
    <row r="370" spans="13:18">
      <c r="M370" s="34"/>
      <c r="N370" s="34"/>
      <c r="O370" s="34"/>
      <c r="P370" s="34"/>
      <c r="Q370" s="34"/>
      <c r="R370" s="34"/>
    </row>
    <row r="371" spans="13:18">
      <c r="M371" s="34"/>
      <c r="N371" s="34"/>
      <c r="O371" s="34"/>
      <c r="P371" s="34"/>
      <c r="Q371" s="34"/>
      <c r="R371" s="34"/>
    </row>
    <row r="372" spans="13:18">
      <c r="M372" s="34"/>
      <c r="N372" s="34"/>
      <c r="O372" s="34"/>
      <c r="P372" s="34"/>
      <c r="Q372" s="34"/>
      <c r="R372" s="34"/>
    </row>
    <row r="373" spans="13:18">
      <c r="M373" s="34"/>
      <c r="N373" s="34"/>
      <c r="O373" s="34"/>
      <c r="P373" s="34"/>
      <c r="Q373" s="34"/>
      <c r="R373" s="34"/>
    </row>
    <row r="374" spans="13:18">
      <c r="M374" s="34"/>
      <c r="N374" s="34"/>
      <c r="O374" s="34"/>
      <c r="P374" s="34"/>
      <c r="Q374" s="34"/>
      <c r="R374" s="34"/>
    </row>
    <row r="375" spans="13:18">
      <c r="M375" s="34"/>
      <c r="N375" s="34"/>
      <c r="O375" s="34"/>
      <c r="P375" s="34"/>
      <c r="Q375" s="34"/>
      <c r="R375" s="34"/>
    </row>
    <row r="376" spans="13:18">
      <c r="M376" s="34"/>
      <c r="N376" s="34"/>
      <c r="O376" s="34"/>
      <c r="P376" s="34"/>
      <c r="Q376" s="34"/>
      <c r="R376" s="34"/>
    </row>
    <row r="377" spans="13:18">
      <c r="M377" s="34"/>
      <c r="N377" s="34"/>
      <c r="O377" s="34"/>
      <c r="P377" s="34"/>
      <c r="Q377" s="34"/>
      <c r="R377" s="34"/>
    </row>
    <row r="378" spans="13:18">
      <c r="M378" s="34"/>
      <c r="N378" s="34"/>
      <c r="O378" s="34"/>
      <c r="P378" s="34"/>
      <c r="Q378" s="34"/>
      <c r="R378" s="34"/>
    </row>
    <row r="379" spans="13:18">
      <c r="M379" s="34"/>
      <c r="N379" s="34"/>
      <c r="O379" s="34"/>
      <c r="P379" s="34"/>
      <c r="Q379" s="34"/>
      <c r="R379" s="34"/>
    </row>
    <row r="380" spans="13:18">
      <c r="M380" s="34"/>
      <c r="N380" s="34"/>
      <c r="O380" s="34"/>
      <c r="P380" s="34"/>
      <c r="Q380" s="34"/>
      <c r="R380" s="34"/>
    </row>
    <row r="381" spans="13:18">
      <c r="M381" s="34"/>
      <c r="N381" s="34"/>
      <c r="O381" s="34"/>
      <c r="P381" s="34"/>
      <c r="Q381" s="34"/>
      <c r="R381" s="34"/>
    </row>
    <row r="382" spans="13:18">
      <c r="M382" s="34"/>
      <c r="N382" s="34"/>
      <c r="O382" s="34"/>
      <c r="P382" s="34"/>
      <c r="Q382" s="34"/>
      <c r="R382" s="34"/>
    </row>
    <row r="383" spans="13:18">
      <c r="M383" s="34"/>
      <c r="N383" s="34"/>
      <c r="O383" s="34"/>
      <c r="P383" s="34"/>
      <c r="Q383" s="34"/>
      <c r="R383" s="34"/>
    </row>
    <row r="384" spans="13:18">
      <c r="M384" s="34"/>
      <c r="N384" s="34"/>
      <c r="O384" s="34"/>
      <c r="P384" s="34"/>
      <c r="Q384" s="34"/>
      <c r="R384" s="34"/>
    </row>
    <row r="385" spans="13:18">
      <c r="M385" s="34"/>
      <c r="N385" s="34"/>
      <c r="O385" s="34"/>
      <c r="P385" s="34"/>
      <c r="Q385" s="34"/>
      <c r="R385" s="34"/>
    </row>
    <row r="386" spans="13:18">
      <c r="M386" s="34"/>
      <c r="N386" s="34"/>
      <c r="O386" s="34"/>
      <c r="P386" s="34"/>
      <c r="Q386" s="34"/>
      <c r="R386" s="34"/>
    </row>
    <row r="387" spans="13:18">
      <c r="M387" s="34"/>
      <c r="N387" s="34"/>
      <c r="O387" s="34"/>
      <c r="P387" s="34"/>
      <c r="Q387" s="34"/>
      <c r="R387" s="34"/>
    </row>
    <row r="388" spans="13:18">
      <c r="M388" s="34"/>
      <c r="N388" s="34"/>
      <c r="O388" s="34"/>
      <c r="P388" s="34"/>
      <c r="Q388" s="34"/>
      <c r="R388" s="34"/>
    </row>
    <row r="389" spans="13:18">
      <c r="M389" s="34"/>
      <c r="N389" s="34"/>
      <c r="O389" s="34"/>
      <c r="P389" s="34"/>
      <c r="Q389" s="34"/>
      <c r="R389" s="34"/>
    </row>
    <row r="390" spans="13:18">
      <c r="M390" s="34"/>
      <c r="N390" s="34"/>
      <c r="O390" s="34"/>
      <c r="P390" s="34"/>
      <c r="Q390" s="34"/>
      <c r="R390" s="34"/>
    </row>
    <row r="391" spans="13:18">
      <c r="M391" s="34"/>
      <c r="N391" s="34"/>
      <c r="O391" s="34"/>
      <c r="P391" s="34"/>
      <c r="Q391" s="34"/>
      <c r="R391" s="34"/>
    </row>
    <row r="392" spans="13:18">
      <c r="M392" s="34"/>
      <c r="N392" s="34"/>
      <c r="O392" s="34"/>
      <c r="P392" s="34"/>
      <c r="Q392" s="34"/>
      <c r="R392" s="34"/>
    </row>
    <row r="393" spans="13:18">
      <c r="M393" s="34"/>
      <c r="N393" s="34"/>
      <c r="O393" s="34"/>
      <c r="P393" s="34"/>
      <c r="Q393" s="34"/>
      <c r="R393" s="34"/>
    </row>
    <row r="394" spans="13:18">
      <c r="M394" s="34"/>
      <c r="N394" s="34"/>
      <c r="O394" s="34"/>
      <c r="P394" s="34"/>
      <c r="Q394" s="34"/>
      <c r="R394" s="34"/>
    </row>
    <row r="395" spans="13:18">
      <c r="M395" s="34"/>
      <c r="N395" s="34"/>
      <c r="O395" s="34"/>
      <c r="P395" s="34"/>
      <c r="Q395" s="34"/>
      <c r="R395" s="34"/>
    </row>
    <row r="396" spans="13:18">
      <c r="M396" s="34"/>
      <c r="N396" s="34"/>
      <c r="O396" s="34"/>
      <c r="P396" s="34"/>
      <c r="Q396" s="34"/>
      <c r="R396" s="34"/>
    </row>
    <row r="397" spans="13:18">
      <c r="M397" s="34"/>
      <c r="N397" s="34"/>
      <c r="O397" s="34"/>
      <c r="P397" s="34"/>
      <c r="Q397" s="34"/>
      <c r="R397" s="34"/>
    </row>
    <row r="398" spans="13:18">
      <c r="M398" s="34"/>
      <c r="N398" s="34"/>
      <c r="O398" s="34"/>
      <c r="P398" s="34"/>
      <c r="Q398" s="34"/>
      <c r="R398" s="34"/>
    </row>
    <row r="399" spans="13:18">
      <c r="M399" s="34"/>
      <c r="N399" s="34"/>
      <c r="O399" s="34"/>
      <c r="P399" s="34"/>
      <c r="Q399" s="34"/>
      <c r="R399" s="34"/>
    </row>
    <row r="400" spans="13:18">
      <c r="M400" s="34"/>
      <c r="N400" s="34"/>
      <c r="O400" s="34"/>
      <c r="P400" s="34"/>
      <c r="Q400" s="34"/>
      <c r="R400" s="34"/>
    </row>
    <row r="401" spans="13:18">
      <c r="M401" s="34"/>
      <c r="N401" s="34"/>
      <c r="O401" s="34"/>
      <c r="P401" s="34"/>
      <c r="Q401" s="34"/>
      <c r="R401" s="34"/>
    </row>
    <row r="402" spans="13:18">
      <c r="M402" s="34"/>
      <c r="N402" s="34"/>
      <c r="O402" s="34"/>
      <c r="P402" s="34"/>
      <c r="Q402" s="34"/>
      <c r="R402" s="34"/>
    </row>
    <row r="403" spans="13:18">
      <c r="M403" s="34"/>
      <c r="N403" s="34"/>
      <c r="O403" s="34"/>
      <c r="P403" s="34"/>
      <c r="Q403" s="34"/>
      <c r="R403" s="34"/>
    </row>
    <row r="404" spans="13:18">
      <c r="M404" s="34"/>
      <c r="N404" s="34"/>
      <c r="O404" s="34"/>
      <c r="P404" s="34"/>
      <c r="Q404" s="34"/>
      <c r="R404" s="34"/>
    </row>
    <row r="405" spans="13:18">
      <c r="M405" s="34"/>
      <c r="N405" s="34"/>
      <c r="O405" s="34"/>
      <c r="P405" s="34"/>
      <c r="Q405" s="34"/>
      <c r="R405" s="34"/>
    </row>
    <row r="406" spans="13:18">
      <c r="M406" s="34"/>
      <c r="N406" s="34"/>
      <c r="O406" s="34"/>
      <c r="P406" s="34"/>
      <c r="Q406" s="34"/>
      <c r="R406" s="34"/>
    </row>
    <row r="407" spans="13:18">
      <c r="M407" s="34"/>
      <c r="N407" s="34"/>
      <c r="O407" s="34"/>
      <c r="P407" s="34"/>
      <c r="Q407" s="34"/>
      <c r="R407" s="34"/>
    </row>
    <row r="408" spans="13:18">
      <c r="M408" s="34"/>
      <c r="N408" s="34"/>
      <c r="O408" s="34"/>
      <c r="P408" s="34"/>
      <c r="Q408" s="34"/>
      <c r="R408" s="34"/>
    </row>
    <row r="409" spans="13:18">
      <c r="M409" s="34"/>
      <c r="N409" s="34"/>
      <c r="O409" s="34"/>
      <c r="P409" s="34"/>
      <c r="Q409" s="34"/>
      <c r="R409" s="34"/>
    </row>
    <row r="410" spans="13:18">
      <c r="M410" s="34"/>
      <c r="N410" s="34"/>
      <c r="O410" s="34"/>
      <c r="P410" s="34"/>
      <c r="Q410" s="34"/>
      <c r="R410" s="34"/>
    </row>
    <row r="411" spans="13:18">
      <c r="M411" s="34"/>
      <c r="N411" s="34"/>
      <c r="O411" s="34"/>
      <c r="P411" s="34"/>
      <c r="Q411" s="34"/>
      <c r="R411" s="34"/>
    </row>
    <row r="412" spans="13:18">
      <c r="M412" s="34"/>
      <c r="N412" s="34"/>
      <c r="O412" s="34"/>
      <c r="P412" s="34"/>
      <c r="Q412" s="34"/>
      <c r="R412" s="34"/>
    </row>
    <row r="413" spans="13:18">
      <c r="M413" s="34"/>
      <c r="N413" s="34"/>
      <c r="O413" s="34"/>
      <c r="P413" s="34"/>
      <c r="Q413" s="34"/>
      <c r="R413" s="34"/>
    </row>
    <row r="414" spans="13:18">
      <c r="M414" s="34"/>
      <c r="N414" s="34"/>
      <c r="O414" s="34"/>
      <c r="P414" s="34"/>
      <c r="Q414" s="34"/>
      <c r="R414" s="34"/>
    </row>
    <row r="415" spans="13:18">
      <c r="M415" s="34"/>
      <c r="N415" s="34"/>
      <c r="O415" s="34"/>
      <c r="P415" s="34"/>
      <c r="Q415" s="34"/>
      <c r="R415" s="34"/>
    </row>
    <row r="416" spans="13:18">
      <c r="M416" s="34"/>
      <c r="N416" s="34"/>
      <c r="O416" s="34"/>
      <c r="P416" s="34"/>
      <c r="Q416" s="34"/>
      <c r="R416" s="34"/>
    </row>
    <row r="417" spans="13:18">
      <c r="M417" s="34"/>
      <c r="N417" s="34"/>
      <c r="O417" s="34"/>
      <c r="P417" s="34"/>
      <c r="Q417" s="34"/>
      <c r="R417" s="34"/>
    </row>
    <row r="418" spans="13:18">
      <c r="M418" s="34"/>
      <c r="N418" s="34"/>
      <c r="O418" s="34"/>
      <c r="P418" s="34"/>
      <c r="Q418" s="34"/>
      <c r="R418" s="34"/>
    </row>
    <row r="419" spans="13:18">
      <c r="M419" s="34"/>
      <c r="N419" s="34"/>
      <c r="O419" s="34"/>
      <c r="P419" s="34"/>
      <c r="Q419" s="34"/>
      <c r="R419" s="34"/>
    </row>
    <row r="420" spans="13:18">
      <c r="M420" s="34"/>
      <c r="N420" s="34"/>
      <c r="O420" s="34"/>
      <c r="P420" s="34"/>
      <c r="Q420" s="34"/>
      <c r="R420" s="34"/>
    </row>
    <row r="421" spans="13:18">
      <c r="M421" s="34"/>
      <c r="N421" s="34"/>
      <c r="O421" s="34"/>
      <c r="P421" s="34"/>
      <c r="Q421" s="34"/>
      <c r="R421" s="34"/>
    </row>
    <row r="422" spans="13:18">
      <c r="M422" s="34"/>
      <c r="N422" s="34"/>
      <c r="O422" s="34"/>
      <c r="P422" s="34"/>
      <c r="Q422" s="34"/>
      <c r="R422" s="34"/>
    </row>
    <row r="423" spans="13:18">
      <c r="M423" s="34"/>
      <c r="N423" s="34"/>
      <c r="O423" s="34"/>
      <c r="P423" s="34"/>
      <c r="Q423" s="34"/>
      <c r="R423" s="34"/>
    </row>
    <row r="424" spans="13:18">
      <c r="M424" s="34"/>
      <c r="N424" s="34"/>
      <c r="O424" s="34"/>
      <c r="P424" s="34"/>
      <c r="Q424" s="34"/>
      <c r="R424" s="34"/>
    </row>
    <row r="425" spans="13:18">
      <c r="M425" s="34"/>
      <c r="N425" s="34"/>
      <c r="O425" s="34"/>
      <c r="P425" s="34"/>
      <c r="Q425" s="34"/>
      <c r="R425" s="34"/>
    </row>
    <row r="426" spans="13:18">
      <c r="M426" s="34"/>
      <c r="N426" s="34"/>
      <c r="O426" s="34"/>
      <c r="P426" s="34"/>
      <c r="Q426" s="34"/>
      <c r="R426" s="34"/>
    </row>
    <row r="427" spans="13:18">
      <c r="M427" s="34"/>
      <c r="N427" s="34"/>
      <c r="O427" s="34"/>
      <c r="P427" s="34"/>
      <c r="Q427" s="34"/>
      <c r="R427" s="34"/>
    </row>
    <row r="428" spans="13:18">
      <c r="M428" s="34"/>
      <c r="N428" s="34"/>
      <c r="O428" s="34"/>
      <c r="P428" s="34"/>
      <c r="Q428" s="34"/>
      <c r="R428" s="34"/>
    </row>
    <row r="429" spans="13:18">
      <c r="M429" s="34"/>
      <c r="N429" s="34"/>
      <c r="O429" s="34"/>
      <c r="P429" s="34"/>
      <c r="Q429" s="34"/>
      <c r="R429" s="34"/>
    </row>
    <row r="430" spans="13:18">
      <c r="M430" s="34"/>
      <c r="N430" s="34"/>
      <c r="O430" s="34"/>
      <c r="P430" s="34"/>
      <c r="Q430" s="34"/>
      <c r="R430" s="34"/>
    </row>
    <row r="431" spans="13:18">
      <c r="M431" s="34"/>
      <c r="N431" s="34"/>
      <c r="O431" s="34"/>
      <c r="P431" s="34"/>
      <c r="Q431" s="34"/>
      <c r="R431" s="34"/>
    </row>
    <row r="432" spans="13:18">
      <c r="M432" s="34"/>
      <c r="N432" s="34"/>
      <c r="O432" s="34"/>
      <c r="P432" s="34"/>
      <c r="Q432" s="34"/>
      <c r="R432" s="34"/>
    </row>
    <row r="433" spans="13:18">
      <c r="M433" s="34"/>
      <c r="N433" s="34"/>
      <c r="O433" s="34"/>
      <c r="P433" s="34"/>
      <c r="Q433" s="34"/>
      <c r="R433" s="34"/>
    </row>
    <row r="434" spans="13:18">
      <c r="M434" s="34"/>
      <c r="N434" s="34"/>
      <c r="O434" s="34"/>
      <c r="P434" s="34"/>
      <c r="Q434" s="34"/>
      <c r="R434" s="34"/>
    </row>
    <row r="435" spans="13:18">
      <c r="M435" s="34"/>
      <c r="N435" s="34"/>
      <c r="O435" s="34"/>
      <c r="P435" s="34"/>
      <c r="Q435" s="34"/>
      <c r="R435" s="34"/>
    </row>
    <row r="436" spans="13:18">
      <c r="M436" s="34"/>
      <c r="N436" s="34"/>
      <c r="O436" s="34"/>
      <c r="P436" s="34"/>
      <c r="Q436" s="34"/>
      <c r="R436" s="34"/>
    </row>
    <row r="437" spans="13:18">
      <c r="M437" s="34"/>
      <c r="N437" s="34"/>
      <c r="O437" s="34"/>
      <c r="P437" s="34"/>
      <c r="Q437" s="34"/>
      <c r="R437" s="34"/>
    </row>
    <row r="438" spans="13:18">
      <c r="M438" s="34"/>
      <c r="N438" s="34"/>
      <c r="O438" s="34"/>
      <c r="P438" s="34"/>
      <c r="Q438" s="34"/>
      <c r="R438" s="34"/>
    </row>
    <row r="439" spans="13:18">
      <c r="M439" s="34"/>
      <c r="N439" s="34"/>
      <c r="O439" s="34"/>
      <c r="P439" s="34"/>
      <c r="Q439" s="34"/>
      <c r="R439" s="34"/>
    </row>
    <row r="440" spans="13:18">
      <c r="M440" s="34"/>
      <c r="N440" s="34"/>
      <c r="O440" s="34"/>
      <c r="P440" s="34"/>
      <c r="Q440" s="34"/>
      <c r="R440" s="34"/>
    </row>
    <row r="441" spans="13:18">
      <c r="M441" s="34"/>
      <c r="N441" s="34"/>
      <c r="O441" s="34"/>
      <c r="P441" s="34"/>
      <c r="Q441" s="34"/>
      <c r="R441" s="34"/>
    </row>
    <row r="442" spans="13:18">
      <c r="M442" s="34"/>
      <c r="N442" s="34"/>
      <c r="O442" s="34"/>
      <c r="P442" s="34"/>
      <c r="Q442" s="34"/>
      <c r="R442" s="34"/>
    </row>
    <row r="443" spans="13:18">
      <c r="M443" s="34"/>
      <c r="N443" s="34"/>
      <c r="O443" s="34"/>
      <c r="P443" s="34"/>
      <c r="Q443" s="34"/>
      <c r="R443" s="34"/>
    </row>
    <row r="444" spans="13:18">
      <c r="M444" s="34"/>
      <c r="N444" s="34"/>
      <c r="O444" s="34"/>
      <c r="P444" s="34"/>
      <c r="Q444" s="34"/>
      <c r="R444" s="34"/>
    </row>
    <row r="445" spans="13:18">
      <c r="M445" s="34"/>
      <c r="N445" s="34"/>
      <c r="O445" s="34"/>
      <c r="P445" s="34"/>
      <c r="Q445" s="34"/>
      <c r="R445" s="34"/>
    </row>
    <row r="446" spans="13:18">
      <c r="M446" s="34"/>
      <c r="N446" s="34"/>
      <c r="O446" s="34"/>
      <c r="P446" s="34"/>
      <c r="Q446" s="34"/>
      <c r="R446" s="34"/>
    </row>
    <row r="447" spans="13:18">
      <c r="M447" s="34"/>
      <c r="N447" s="34"/>
      <c r="O447" s="34"/>
      <c r="P447" s="34"/>
      <c r="Q447" s="34"/>
      <c r="R447" s="34"/>
    </row>
    <row r="448" spans="13:18">
      <c r="M448" s="34"/>
      <c r="N448" s="34"/>
      <c r="O448" s="34"/>
      <c r="P448" s="34"/>
      <c r="Q448" s="34"/>
      <c r="R448" s="34"/>
    </row>
    <row r="449" spans="13:18">
      <c r="M449" s="34"/>
      <c r="N449" s="34"/>
      <c r="O449" s="34"/>
      <c r="P449" s="34"/>
      <c r="Q449" s="34"/>
      <c r="R449" s="34"/>
    </row>
    <row r="450" spans="13:18">
      <c r="M450" s="34"/>
      <c r="N450" s="34"/>
      <c r="O450" s="34"/>
      <c r="P450" s="34"/>
      <c r="Q450" s="34"/>
      <c r="R450" s="34"/>
    </row>
    <row r="451" spans="13:18">
      <c r="M451" s="34"/>
      <c r="N451" s="34"/>
      <c r="O451" s="34"/>
      <c r="P451" s="34"/>
      <c r="Q451" s="34"/>
      <c r="R451" s="34"/>
    </row>
    <row r="452" spans="13:18">
      <c r="M452" s="34"/>
      <c r="N452" s="34"/>
      <c r="O452" s="34"/>
      <c r="P452" s="34"/>
      <c r="Q452" s="34"/>
      <c r="R452" s="34"/>
    </row>
    <row r="453" spans="13:18">
      <c r="M453" s="34"/>
      <c r="N453" s="34"/>
      <c r="O453" s="34"/>
      <c r="P453" s="34"/>
      <c r="Q453" s="34"/>
      <c r="R453" s="34"/>
    </row>
    <row r="454" spans="13:18">
      <c r="M454" s="34"/>
      <c r="N454" s="34"/>
      <c r="O454" s="34"/>
      <c r="P454" s="34"/>
      <c r="Q454" s="34"/>
      <c r="R454" s="34"/>
    </row>
    <row r="455" spans="13:18">
      <c r="M455" s="34"/>
      <c r="N455" s="34"/>
      <c r="O455" s="34"/>
      <c r="P455" s="34"/>
      <c r="Q455" s="34"/>
      <c r="R455" s="34"/>
    </row>
    <row r="456" spans="13:18">
      <c r="M456" s="34"/>
      <c r="N456" s="34"/>
      <c r="O456" s="34"/>
      <c r="P456" s="34"/>
      <c r="Q456" s="34"/>
      <c r="R456" s="34"/>
    </row>
    <row r="457" spans="13:18">
      <c r="M457" s="34"/>
      <c r="N457" s="34"/>
      <c r="O457" s="34"/>
      <c r="P457" s="34"/>
      <c r="Q457" s="34"/>
      <c r="R457" s="34"/>
    </row>
    <row r="458" spans="13:18">
      <c r="M458" s="34"/>
      <c r="N458" s="34"/>
      <c r="O458" s="34"/>
      <c r="P458" s="34"/>
      <c r="Q458" s="34"/>
      <c r="R458" s="34"/>
    </row>
    <row r="459" spans="13:18">
      <c r="M459" s="34"/>
      <c r="N459" s="34"/>
      <c r="O459" s="34"/>
      <c r="P459" s="34"/>
      <c r="Q459" s="34"/>
      <c r="R459" s="34"/>
    </row>
    <row r="460" spans="13:18">
      <c r="M460" s="34"/>
      <c r="N460" s="34"/>
      <c r="O460" s="34"/>
      <c r="P460" s="34"/>
      <c r="Q460" s="34"/>
      <c r="R460" s="34"/>
    </row>
    <row r="461" spans="13:18">
      <c r="M461" s="34"/>
      <c r="N461" s="34"/>
      <c r="O461" s="34"/>
      <c r="P461" s="34"/>
      <c r="Q461" s="34"/>
      <c r="R461" s="34"/>
    </row>
    <row r="462" spans="13:18">
      <c r="M462" s="34"/>
      <c r="N462" s="34"/>
      <c r="O462" s="34"/>
      <c r="P462" s="34"/>
      <c r="Q462" s="34"/>
      <c r="R462" s="34"/>
    </row>
    <row r="463" spans="13:18">
      <c r="M463" s="34"/>
      <c r="N463" s="34"/>
      <c r="O463" s="34"/>
      <c r="P463" s="34"/>
      <c r="Q463" s="34"/>
      <c r="R463" s="34"/>
    </row>
    <row r="464" spans="13:18">
      <c r="M464" s="34"/>
      <c r="N464" s="34"/>
      <c r="O464" s="34"/>
      <c r="P464" s="34"/>
      <c r="Q464" s="34"/>
      <c r="R464" s="34"/>
    </row>
    <row r="465" spans="13:18">
      <c r="M465" s="34"/>
      <c r="N465" s="34"/>
      <c r="O465" s="34"/>
      <c r="P465" s="34"/>
      <c r="Q465" s="34"/>
      <c r="R465" s="34"/>
    </row>
    <row r="466" spans="13:18">
      <c r="M466" s="34"/>
      <c r="N466" s="34"/>
      <c r="O466" s="34"/>
      <c r="P466" s="34"/>
      <c r="Q466" s="34"/>
      <c r="R466" s="34"/>
    </row>
    <row r="467" spans="13:18">
      <c r="M467" s="34"/>
      <c r="N467" s="34"/>
      <c r="O467" s="34"/>
      <c r="P467" s="34"/>
      <c r="Q467" s="34"/>
      <c r="R467" s="34"/>
    </row>
    <row r="468" spans="13:18">
      <c r="M468" s="34"/>
      <c r="N468" s="34"/>
      <c r="O468" s="34"/>
      <c r="P468" s="34"/>
      <c r="Q468" s="34"/>
      <c r="R468" s="34"/>
    </row>
    <row r="469" spans="13:18">
      <c r="M469" s="34"/>
      <c r="N469" s="34"/>
      <c r="O469" s="34"/>
      <c r="P469" s="34"/>
      <c r="Q469" s="34"/>
      <c r="R469" s="34"/>
    </row>
    <row r="470" spans="13:18">
      <c r="M470" s="34"/>
      <c r="N470" s="34"/>
      <c r="O470" s="34"/>
      <c r="P470" s="34"/>
      <c r="Q470" s="34"/>
      <c r="R470" s="34"/>
    </row>
    <row r="471" spans="13:18">
      <c r="M471" s="34"/>
      <c r="N471" s="34"/>
      <c r="O471" s="34"/>
      <c r="P471" s="34"/>
      <c r="Q471" s="34"/>
      <c r="R471" s="34"/>
    </row>
    <row r="472" spans="13:18">
      <c r="M472" s="34"/>
      <c r="N472" s="34"/>
      <c r="O472" s="34"/>
      <c r="P472" s="34"/>
      <c r="Q472" s="34"/>
      <c r="R472" s="34"/>
    </row>
    <row r="473" spans="13:18">
      <c r="M473" s="34"/>
      <c r="N473" s="34"/>
      <c r="O473" s="34"/>
      <c r="P473" s="34"/>
      <c r="Q473" s="34"/>
      <c r="R473" s="34"/>
    </row>
    <row r="474" spans="13:18">
      <c r="M474" s="34"/>
      <c r="N474" s="34"/>
      <c r="O474" s="34"/>
      <c r="P474" s="34"/>
      <c r="Q474" s="34"/>
      <c r="R474" s="34"/>
    </row>
    <row r="475" spans="13:18">
      <c r="M475" s="34"/>
      <c r="N475" s="34"/>
      <c r="O475" s="34"/>
      <c r="P475" s="34"/>
      <c r="Q475" s="34"/>
      <c r="R475" s="34"/>
    </row>
    <row r="476" spans="13:18">
      <c r="M476" s="34"/>
      <c r="N476" s="34"/>
      <c r="O476" s="34"/>
      <c r="P476" s="34"/>
      <c r="Q476" s="34"/>
      <c r="R476" s="34"/>
    </row>
    <row r="477" spans="13:18">
      <c r="M477" s="34"/>
      <c r="N477" s="34"/>
      <c r="O477" s="34"/>
      <c r="P477" s="34"/>
      <c r="Q477" s="34"/>
      <c r="R477" s="34"/>
    </row>
    <row r="478" spans="13:18">
      <c r="M478" s="34"/>
      <c r="N478" s="34"/>
      <c r="O478" s="34"/>
      <c r="P478" s="34"/>
      <c r="Q478" s="34"/>
      <c r="R478" s="34"/>
    </row>
    <row r="479" spans="13:18">
      <c r="M479" s="34"/>
      <c r="N479" s="34"/>
      <c r="O479" s="34"/>
      <c r="P479" s="34"/>
      <c r="Q479" s="34"/>
      <c r="R479" s="34"/>
    </row>
    <row r="480" spans="13:18">
      <c r="M480" s="34"/>
      <c r="N480" s="34"/>
      <c r="O480" s="34"/>
      <c r="P480" s="34"/>
      <c r="Q480" s="34"/>
      <c r="R480" s="34"/>
    </row>
    <row r="481" spans="13:18">
      <c r="M481" s="34"/>
      <c r="N481" s="34"/>
      <c r="O481" s="34"/>
      <c r="P481" s="34"/>
      <c r="Q481" s="34"/>
      <c r="R481" s="34"/>
    </row>
    <row r="482" spans="13:18">
      <c r="M482" s="34"/>
      <c r="N482" s="34"/>
      <c r="O482" s="34"/>
      <c r="P482" s="34"/>
      <c r="Q482" s="34"/>
      <c r="R482" s="34"/>
    </row>
    <row r="483" spans="13:18">
      <c r="M483" s="34"/>
      <c r="N483" s="34"/>
      <c r="O483" s="34"/>
      <c r="P483" s="34"/>
      <c r="Q483" s="34"/>
      <c r="R483" s="34"/>
    </row>
    <row r="484" spans="13:18">
      <c r="M484" s="34"/>
      <c r="N484" s="34"/>
      <c r="O484" s="34"/>
      <c r="P484" s="34"/>
      <c r="Q484" s="34"/>
      <c r="R484" s="34"/>
    </row>
    <row r="485" spans="13:18">
      <c r="M485" s="34"/>
      <c r="N485" s="34"/>
      <c r="O485" s="34"/>
      <c r="P485" s="34"/>
      <c r="Q485" s="34"/>
      <c r="R485" s="34"/>
    </row>
    <row r="486" spans="13:18">
      <c r="M486" s="34"/>
      <c r="N486" s="34"/>
      <c r="O486" s="34"/>
      <c r="P486" s="34"/>
      <c r="Q486" s="34"/>
      <c r="R486" s="34"/>
    </row>
    <row r="487" spans="13:18">
      <c r="M487" s="34"/>
      <c r="N487" s="34"/>
      <c r="O487" s="34"/>
      <c r="P487" s="34"/>
      <c r="Q487" s="34"/>
      <c r="R487" s="34"/>
    </row>
    <row r="488" spans="13:18">
      <c r="M488" s="34"/>
      <c r="N488" s="34"/>
      <c r="O488" s="34"/>
      <c r="P488" s="34"/>
      <c r="Q488" s="34"/>
      <c r="R488" s="34"/>
    </row>
    <row r="489" spans="13:18">
      <c r="M489" s="34"/>
      <c r="N489" s="34"/>
      <c r="O489" s="34"/>
      <c r="P489" s="34"/>
      <c r="Q489" s="34"/>
      <c r="R489" s="34"/>
    </row>
    <row r="490" spans="13:18">
      <c r="M490" s="34"/>
      <c r="N490" s="34"/>
      <c r="O490" s="34"/>
      <c r="P490" s="34"/>
      <c r="Q490" s="34"/>
      <c r="R490" s="34"/>
    </row>
    <row r="491" spans="13:18">
      <c r="M491" s="34"/>
      <c r="N491" s="34"/>
      <c r="O491" s="34"/>
      <c r="P491" s="34"/>
      <c r="Q491" s="34"/>
      <c r="R491" s="34"/>
    </row>
    <row r="492" spans="13:18">
      <c r="M492" s="34"/>
      <c r="N492" s="34"/>
      <c r="O492" s="34"/>
      <c r="P492" s="34"/>
      <c r="Q492" s="34"/>
      <c r="R492" s="34"/>
    </row>
    <row r="493" spans="13:18">
      <c r="M493" s="34"/>
      <c r="N493" s="34"/>
      <c r="O493" s="34"/>
      <c r="P493" s="34"/>
      <c r="Q493" s="34"/>
      <c r="R493" s="34"/>
    </row>
    <row r="494" spans="13:18">
      <c r="M494" s="34"/>
      <c r="N494" s="34"/>
      <c r="O494" s="34"/>
      <c r="P494" s="34"/>
      <c r="Q494" s="34"/>
      <c r="R494" s="34"/>
    </row>
    <row r="495" spans="13:18">
      <c r="M495" s="34"/>
      <c r="N495" s="34"/>
      <c r="O495" s="34"/>
      <c r="P495" s="34"/>
      <c r="Q495" s="34"/>
      <c r="R495" s="34"/>
    </row>
    <row r="496" spans="13:18">
      <c r="M496" s="34"/>
      <c r="N496" s="34"/>
      <c r="O496" s="34"/>
      <c r="P496" s="34"/>
      <c r="Q496" s="34"/>
      <c r="R496" s="34"/>
    </row>
    <row r="497" spans="13:18">
      <c r="M497" s="34"/>
      <c r="N497" s="34"/>
      <c r="O497" s="34"/>
      <c r="P497" s="34"/>
      <c r="Q497" s="34"/>
      <c r="R497" s="34"/>
    </row>
    <row r="498" spans="13:18">
      <c r="M498" s="34"/>
      <c r="N498" s="34"/>
      <c r="O498" s="34"/>
      <c r="P498" s="34"/>
      <c r="Q498" s="34"/>
      <c r="R498" s="34"/>
    </row>
    <row r="499" spans="13:18">
      <c r="M499" s="34"/>
      <c r="N499" s="34"/>
      <c r="O499" s="34"/>
      <c r="P499" s="34"/>
      <c r="Q499" s="34"/>
      <c r="R499" s="34"/>
    </row>
    <row r="500" spans="13:18">
      <c r="M500" s="34"/>
      <c r="N500" s="34"/>
      <c r="O500" s="34"/>
      <c r="P500" s="34"/>
      <c r="Q500" s="34"/>
      <c r="R500" s="34"/>
    </row>
    <row r="501" spans="13:18">
      <c r="M501" s="34"/>
      <c r="N501" s="34"/>
      <c r="O501" s="34"/>
      <c r="P501" s="34"/>
      <c r="Q501" s="34"/>
      <c r="R501" s="34"/>
    </row>
    <row r="502" spans="13:18">
      <c r="M502" s="34"/>
      <c r="N502" s="34"/>
      <c r="O502" s="34"/>
      <c r="P502" s="34"/>
      <c r="Q502" s="34"/>
      <c r="R502" s="34"/>
    </row>
    <row r="503" spans="13:18">
      <c r="M503" s="34"/>
      <c r="N503" s="34"/>
      <c r="O503" s="34"/>
      <c r="P503" s="34"/>
      <c r="Q503" s="34"/>
      <c r="R503" s="34"/>
    </row>
    <row r="504" spans="13:18">
      <c r="M504" s="34"/>
      <c r="N504" s="34"/>
      <c r="O504" s="34"/>
      <c r="P504" s="34"/>
      <c r="Q504" s="34"/>
      <c r="R504" s="34"/>
    </row>
    <row r="505" spans="13:18">
      <c r="M505" s="34"/>
      <c r="N505" s="34"/>
      <c r="O505" s="34"/>
      <c r="P505" s="34"/>
      <c r="Q505" s="34"/>
      <c r="R505" s="34"/>
    </row>
    <row r="506" spans="13:18">
      <c r="M506" s="34"/>
      <c r="N506" s="34"/>
      <c r="O506" s="34"/>
      <c r="P506" s="34"/>
      <c r="Q506" s="34"/>
      <c r="R506" s="34"/>
    </row>
    <row r="507" spans="13:18">
      <c r="M507" s="34"/>
      <c r="N507" s="34"/>
      <c r="O507" s="34"/>
      <c r="P507" s="34"/>
      <c r="Q507" s="34"/>
      <c r="R507" s="34"/>
    </row>
    <row r="508" spans="13:18">
      <c r="M508" s="34"/>
      <c r="N508" s="34"/>
      <c r="O508" s="34"/>
      <c r="P508" s="34"/>
      <c r="Q508" s="34"/>
      <c r="R508" s="34"/>
    </row>
    <row r="509" spans="13:18">
      <c r="M509" s="34"/>
      <c r="N509" s="34"/>
      <c r="O509" s="34"/>
      <c r="P509" s="34"/>
      <c r="Q509" s="34"/>
      <c r="R509" s="34"/>
    </row>
    <row r="510" spans="13:18">
      <c r="M510" s="34"/>
      <c r="N510" s="34"/>
      <c r="O510" s="34"/>
      <c r="P510" s="34"/>
      <c r="Q510" s="34"/>
      <c r="R510" s="34"/>
    </row>
    <row r="511" spans="13:18">
      <c r="M511" s="34"/>
      <c r="N511" s="34"/>
      <c r="O511" s="34"/>
      <c r="P511" s="34"/>
      <c r="Q511" s="34"/>
      <c r="R511" s="34"/>
    </row>
    <row r="512" spans="13:18">
      <c r="M512" s="34"/>
      <c r="N512" s="34"/>
      <c r="O512" s="34"/>
      <c r="P512" s="34"/>
      <c r="Q512" s="34"/>
      <c r="R512" s="34"/>
    </row>
    <row r="513" spans="13:18">
      <c r="M513" s="34"/>
      <c r="N513" s="34"/>
      <c r="O513" s="34"/>
      <c r="P513" s="34"/>
      <c r="Q513" s="34"/>
      <c r="R513" s="34"/>
    </row>
    <row r="514" spans="13:18">
      <c r="M514" s="34"/>
      <c r="N514" s="34"/>
      <c r="O514" s="34"/>
      <c r="P514" s="34"/>
      <c r="Q514" s="34"/>
      <c r="R514" s="34"/>
    </row>
    <row r="515" spans="13:18">
      <c r="M515" s="34"/>
      <c r="N515" s="34"/>
      <c r="O515" s="34"/>
      <c r="P515" s="34"/>
      <c r="Q515" s="34"/>
      <c r="R515" s="34"/>
    </row>
    <row r="516" spans="13:18">
      <c r="M516" s="34"/>
      <c r="N516" s="34"/>
      <c r="O516" s="34"/>
      <c r="P516" s="34"/>
      <c r="Q516" s="34"/>
      <c r="R516" s="34"/>
    </row>
    <row r="517" spans="13:18">
      <c r="M517" s="34"/>
      <c r="N517" s="34"/>
      <c r="O517" s="34"/>
      <c r="P517" s="34"/>
      <c r="Q517" s="34"/>
      <c r="R517" s="34"/>
    </row>
    <row r="518" spans="13:18">
      <c r="M518" s="34"/>
      <c r="N518" s="34"/>
      <c r="O518" s="34"/>
      <c r="P518" s="34"/>
      <c r="Q518" s="34"/>
      <c r="R518" s="34"/>
    </row>
    <row r="519" spans="13:18">
      <c r="M519" s="34"/>
      <c r="N519" s="34"/>
      <c r="O519" s="34"/>
      <c r="P519" s="34"/>
      <c r="Q519" s="34"/>
      <c r="R519" s="34"/>
    </row>
    <row r="520" spans="13:18">
      <c r="M520" s="34"/>
      <c r="N520" s="34"/>
      <c r="O520" s="34"/>
      <c r="P520" s="34"/>
      <c r="Q520" s="34"/>
      <c r="R520" s="34"/>
    </row>
    <row r="521" spans="13:18">
      <c r="M521" s="34"/>
      <c r="N521" s="34"/>
      <c r="O521" s="34"/>
      <c r="P521" s="34"/>
      <c r="Q521" s="34"/>
      <c r="R521" s="34"/>
    </row>
    <row r="522" spans="13:18">
      <c r="M522" s="34"/>
      <c r="N522" s="34"/>
      <c r="O522" s="34"/>
      <c r="P522" s="34"/>
      <c r="Q522" s="34"/>
      <c r="R522" s="34"/>
    </row>
    <row r="523" spans="13:18">
      <c r="M523" s="34"/>
      <c r="N523" s="34"/>
      <c r="O523" s="34"/>
      <c r="P523" s="34"/>
      <c r="Q523" s="34"/>
      <c r="R523" s="34"/>
    </row>
    <row r="524" spans="13:18">
      <c r="M524" s="34"/>
      <c r="N524" s="34"/>
      <c r="O524" s="34"/>
      <c r="P524" s="34"/>
      <c r="Q524" s="34"/>
      <c r="R524" s="34"/>
    </row>
    <row r="525" spans="13:18">
      <c r="M525" s="34"/>
      <c r="N525" s="34"/>
      <c r="O525" s="34"/>
      <c r="P525" s="34"/>
      <c r="Q525" s="34"/>
      <c r="R525" s="34"/>
    </row>
    <row r="526" spans="13:18">
      <c r="M526" s="34"/>
      <c r="N526" s="34"/>
      <c r="O526" s="34"/>
      <c r="P526" s="34"/>
      <c r="Q526" s="34"/>
      <c r="R526" s="34"/>
    </row>
    <row r="527" spans="13:18">
      <c r="M527" s="34"/>
      <c r="N527" s="34"/>
      <c r="O527" s="34"/>
      <c r="P527" s="34"/>
      <c r="Q527" s="34"/>
      <c r="R527" s="34"/>
    </row>
    <row r="528" spans="13:18">
      <c r="M528" s="34"/>
      <c r="N528" s="34"/>
      <c r="O528" s="34"/>
      <c r="P528" s="34"/>
      <c r="Q528" s="34"/>
      <c r="R528" s="34"/>
    </row>
    <row r="529" spans="13:18">
      <c r="M529" s="34"/>
      <c r="N529" s="34"/>
      <c r="O529" s="34"/>
      <c r="P529" s="34"/>
      <c r="Q529" s="34"/>
      <c r="R529" s="34"/>
    </row>
    <row r="530" spans="13:18">
      <c r="M530" s="34"/>
      <c r="N530" s="34"/>
      <c r="O530" s="34"/>
      <c r="P530" s="34"/>
      <c r="Q530" s="34"/>
      <c r="R530" s="34"/>
    </row>
    <row r="531" spans="13:18">
      <c r="M531" s="34"/>
      <c r="N531" s="34"/>
      <c r="O531" s="34"/>
      <c r="P531" s="34"/>
      <c r="Q531" s="34"/>
      <c r="R531" s="34"/>
    </row>
    <row r="532" spans="13:18">
      <c r="M532" s="34"/>
      <c r="N532" s="34"/>
      <c r="O532" s="34"/>
      <c r="P532" s="34"/>
      <c r="Q532" s="34"/>
      <c r="R532" s="34"/>
    </row>
    <row r="533" spans="13:18">
      <c r="M533" s="34"/>
      <c r="N533" s="34"/>
      <c r="O533" s="34"/>
      <c r="P533" s="34"/>
      <c r="Q533" s="34"/>
      <c r="R533" s="34"/>
    </row>
    <row r="534" spans="13:18">
      <c r="M534" s="34"/>
      <c r="N534" s="34"/>
      <c r="O534" s="34"/>
      <c r="P534" s="34"/>
      <c r="Q534" s="34"/>
      <c r="R534" s="34"/>
    </row>
    <row r="535" spans="13:18">
      <c r="M535" s="34"/>
      <c r="N535" s="34"/>
      <c r="O535" s="34"/>
      <c r="P535" s="34"/>
      <c r="Q535" s="34"/>
      <c r="R535" s="34"/>
    </row>
    <row r="536" spans="13:18">
      <c r="M536" s="34"/>
      <c r="N536" s="34"/>
      <c r="O536" s="34"/>
      <c r="P536" s="34"/>
      <c r="Q536" s="34"/>
      <c r="R536" s="34"/>
    </row>
    <row r="537" spans="13:18">
      <c r="M537" s="34"/>
      <c r="N537" s="34"/>
      <c r="O537" s="34"/>
      <c r="P537" s="34"/>
      <c r="Q537" s="34"/>
      <c r="R537" s="34"/>
    </row>
    <row r="538" spans="13:18">
      <c r="M538" s="34"/>
      <c r="N538" s="34"/>
      <c r="O538" s="34"/>
      <c r="P538" s="34"/>
      <c r="Q538" s="34"/>
      <c r="R538" s="34"/>
    </row>
    <row r="539" spans="13:18">
      <c r="M539" s="34"/>
      <c r="N539" s="34"/>
      <c r="O539" s="34"/>
      <c r="P539" s="34"/>
      <c r="Q539" s="34"/>
      <c r="R539" s="34"/>
    </row>
    <row r="540" spans="13:18">
      <c r="M540" s="34"/>
      <c r="N540" s="34"/>
      <c r="O540" s="34"/>
      <c r="P540" s="34"/>
      <c r="Q540" s="34"/>
      <c r="R540" s="34"/>
    </row>
    <row r="541" spans="13:18">
      <c r="M541" s="34"/>
      <c r="N541" s="34"/>
      <c r="O541" s="34"/>
      <c r="P541" s="34"/>
      <c r="Q541" s="34"/>
      <c r="R541" s="34"/>
    </row>
    <row r="542" spans="13:18">
      <c r="M542" s="34"/>
      <c r="N542" s="34"/>
      <c r="O542" s="34"/>
      <c r="P542" s="34"/>
      <c r="Q542" s="34"/>
      <c r="R542" s="34"/>
    </row>
    <row r="543" spans="13:18">
      <c r="M543" s="34"/>
      <c r="N543" s="34"/>
      <c r="O543" s="34"/>
      <c r="P543" s="34"/>
      <c r="Q543" s="34"/>
      <c r="R543" s="34"/>
    </row>
    <row r="544" spans="13:18">
      <c r="M544" s="34"/>
      <c r="N544" s="34"/>
      <c r="O544" s="34"/>
      <c r="P544" s="34"/>
      <c r="Q544" s="34"/>
      <c r="R544" s="34"/>
    </row>
    <row r="545" spans="13:18">
      <c r="M545" s="34"/>
      <c r="N545" s="34"/>
      <c r="O545" s="34"/>
      <c r="P545" s="34"/>
      <c r="Q545" s="34"/>
      <c r="R545" s="34"/>
    </row>
    <row r="546" spans="13:18">
      <c r="M546" s="34"/>
      <c r="N546" s="34"/>
      <c r="O546" s="34"/>
      <c r="P546" s="34"/>
      <c r="Q546" s="34"/>
      <c r="R546" s="34"/>
    </row>
    <row r="547" spans="13:18">
      <c r="M547" s="34"/>
      <c r="N547" s="34"/>
      <c r="O547" s="34"/>
      <c r="P547" s="34"/>
      <c r="Q547" s="34"/>
      <c r="R547" s="34"/>
    </row>
    <row r="548" spans="13:18">
      <c r="M548" s="34"/>
      <c r="N548" s="34"/>
      <c r="O548" s="34"/>
      <c r="P548" s="34"/>
      <c r="Q548" s="34"/>
      <c r="R548" s="34"/>
    </row>
    <row r="549" spans="13:18">
      <c r="M549" s="34"/>
      <c r="N549" s="34"/>
      <c r="O549" s="34"/>
      <c r="P549" s="34"/>
      <c r="Q549" s="34"/>
      <c r="R549" s="34"/>
    </row>
    <row r="550" spans="13:18">
      <c r="M550" s="34"/>
      <c r="N550" s="34"/>
      <c r="O550" s="34"/>
      <c r="P550" s="34"/>
      <c r="Q550" s="34"/>
      <c r="R550" s="34"/>
    </row>
    <row r="551" spans="13:18">
      <c r="M551" s="34"/>
      <c r="N551" s="34"/>
      <c r="O551" s="34"/>
      <c r="P551" s="34"/>
      <c r="Q551" s="34"/>
      <c r="R551" s="34"/>
    </row>
    <row r="552" spans="13:18">
      <c r="M552" s="34"/>
      <c r="N552" s="34"/>
      <c r="O552" s="34"/>
      <c r="P552" s="34"/>
      <c r="Q552" s="34"/>
      <c r="R552" s="34"/>
    </row>
    <row r="553" spans="13:18">
      <c r="M553" s="34"/>
      <c r="N553" s="34"/>
      <c r="O553" s="34"/>
      <c r="P553" s="34"/>
      <c r="Q553" s="34"/>
      <c r="R553" s="34"/>
    </row>
    <row r="554" spans="13:18">
      <c r="M554" s="34"/>
      <c r="N554" s="34"/>
      <c r="O554" s="34"/>
      <c r="P554" s="34"/>
      <c r="Q554" s="34"/>
      <c r="R554" s="34"/>
    </row>
    <row r="555" spans="13:18">
      <c r="M555" s="34"/>
      <c r="N555" s="34"/>
      <c r="O555" s="34"/>
      <c r="P555" s="34"/>
      <c r="Q555" s="34"/>
      <c r="R555" s="34"/>
    </row>
    <row r="556" spans="13:18">
      <c r="M556" s="34"/>
      <c r="N556" s="34"/>
      <c r="O556" s="34"/>
      <c r="P556" s="34"/>
      <c r="Q556" s="34"/>
      <c r="R556" s="34"/>
    </row>
    <row r="557" spans="13:18">
      <c r="M557" s="34"/>
      <c r="N557" s="34"/>
      <c r="O557" s="34"/>
      <c r="P557" s="34"/>
      <c r="Q557" s="34"/>
      <c r="R557" s="34"/>
    </row>
    <row r="558" spans="13:18">
      <c r="M558" s="34"/>
      <c r="N558" s="34"/>
      <c r="O558" s="34"/>
      <c r="P558" s="34"/>
      <c r="Q558" s="34"/>
      <c r="R558" s="34"/>
    </row>
    <row r="559" spans="13:18">
      <c r="M559" s="34"/>
      <c r="N559" s="34"/>
      <c r="O559" s="34"/>
      <c r="P559" s="34"/>
      <c r="Q559" s="34"/>
      <c r="R559" s="34"/>
    </row>
    <row r="560" spans="13:18">
      <c r="M560" s="34"/>
      <c r="N560" s="34"/>
      <c r="O560" s="34"/>
      <c r="P560" s="34"/>
      <c r="Q560" s="34"/>
      <c r="R560" s="34"/>
    </row>
    <row r="561" spans="13:18">
      <c r="M561" s="34"/>
      <c r="N561" s="34"/>
      <c r="O561" s="34"/>
      <c r="P561" s="34"/>
      <c r="Q561" s="34"/>
      <c r="R561" s="34"/>
    </row>
    <row r="562" spans="13:18">
      <c r="M562" s="34"/>
      <c r="N562" s="34"/>
      <c r="O562" s="34"/>
      <c r="P562" s="34"/>
      <c r="Q562" s="34"/>
      <c r="R562" s="34"/>
    </row>
    <row r="563" spans="13:18">
      <c r="M563" s="34"/>
      <c r="N563" s="34"/>
      <c r="O563" s="34"/>
      <c r="P563" s="34"/>
      <c r="Q563" s="34"/>
      <c r="R563" s="34"/>
    </row>
    <row r="564" spans="13:18">
      <c r="M564" s="34"/>
      <c r="N564" s="34"/>
      <c r="O564" s="34"/>
      <c r="P564" s="34"/>
      <c r="Q564" s="34"/>
      <c r="R564" s="34"/>
    </row>
    <row r="565" spans="13:18">
      <c r="M565" s="34"/>
      <c r="N565" s="34"/>
      <c r="O565" s="34"/>
      <c r="P565" s="34"/>
      <c r="Q565" s="34"/>
      <c r="R565" s="34"/>
    </row>
    <row r="566" spans="13:18">
      <c r="M566" s="34"/>
      <c r="N566" s="34"/>
      <c r="O566" s="34"/>
      <c r="P566" s="34"/>
      <c r="Q566" s="34"/>
      <c r="R566" s="34"/>
    </row>
    <row r="567" spans="13:18">
      <c r="M567" s="34"/>
      <c r="N567" s="34"/>
      <c r="O567" s="34"/>
      <c r="P567" s="34"/>
      <c r="Q567" s="34"/>
      <c r="R567" s="34"/>
    </row>
    <row r="568" spans="13:18">
      <c r="M568" s="34"/>
      <c r="N568" s="34"/>
      <c r="O568" s="34"/>
      <c r="P568" s="34"/>
      <c r="Q568" s="34"/>
      <c r="R568" s="34"/>
    </row>
    <row r="569" spans="13:18">
      <c r="M569" s="34"/>
      <c r="N569" s="34"/>
      <c r="O569" s="34"/>
      <c r="P569" s="34"/>
      <c r="Q569" s="34"/>
      <c r="R569" s="34"/>
    </row>
    <row r="570" spans="13:18">
      <c r="M570" s="34"/>
      <c r="N570" s="34"/>
      <c r="O570" s="34"/>
      <c r="P570" s="34"/>
      <c r="Q570" s="34"/>
      <c r="R570" s="34"/>
    </row>
    <row r="571" spans="13:18">
      <c r="M571" s="34"/>
      <c r="N571" s="34"/>
      <c r="O571" s="34"/>
      <c r="P571" s="34"/>
      <c r="Q571" s="34"/>
      <c r="R571" s="34"/>
    </row>
    <row r="572" spans="13:18">
      <c r="M572" s="34"/>
      <c r="N572" s="34"/>
      <c r="O572" s="34"/>
      <c r="P572" s="34"/>
      <c r="Q572" s="34"/>
      <c r="R572" s="34"/>
    </row>
    <row r="573" spans="13:18">
      <c r="M573" s="34"/>
      <c r="N573" s="34"/>
      <c r="O573" s="34"/>
      <c r="P573" s="34"/>
      <c r="Q573" s="34"/>
      <c r="R573" s="34"/>
    </row>
    <row r="574" spans="13:18">
      <c r="M574" s="34"/>
      <c r="N574" s="34"/>
      <c r="O574" s="34"/>
      <c r="P574" s="34"/>
      <c r="Q574" s="34"/>
      <c r="R574" s="34"/>
    </row>
    <row r="575" spans="13:18">
      <c r="M575" s="34"/>
      <c r="N575" s="34"/>
      <c r="O575" s="34"/>
      <c r="P575" s="34"/>
      <c r="Q575" s="34"/>
      <c r="R575" s="34"/>
    </row>
    <row r="576" spans="13:18">
      <c r="M576" s="34"/>
      <c r="N576" s="34"/>
      <c r="O576" s="34"/>
      <c r="P576" s="34"/>
      <c r="Q576" s="34"/>
      <c r="R576" s="34"/>
    </row>
    <row r="577" spans="13:18">
      <c r="M577" s="34"/>
      <c r="N577" s="34"/>
      <c r="O577" s="34"/>
      <c r="P577" s="34"/>
      <c r="Q577" s="34"/>
      <c r="R577" s="34"/>
    </row>
    <row r="578" spans="13:18">
      <c r="M578" s="34"/>
      <c r="N578" s="34"/>
      <c r="O578" s="34"/>
      <c r="P578" s="34"/>
      <c r="Q578" s="34"/>
      <c r="R578" s="34"/>
    </row>
    <row r="579" spans="13:18">
      <c r="M579" s="34"/>
      <c r="N579" s="34"/>
      <c r="O579" s="34"/>
      <c r="P579" s="34"/>
      <c r="Q579" s="34"/>
      <c r="R579" s="34"/>
    </row>
    <row r="580" spans="13:18">
      <c r="M580" s="34"/>
      <c r="N580" s="34"/>
      <c r="O580" s="34"/>
      <c r="P580" s="34"/>
      <c r="Q580" s="34"/>
      <c r="R580" s="34"/>
    </row>
    <row r="581" spans="13:18">
      <c r="M581" s="34"/>
      <c r="N581" s="34"/>
      <c r="O581" s="34"/>
      <c r="P581" s="34"/>
      <c r="Q581" s="34"/>
      <c r="R581" s="34"/>
    </row>
    <row r="582" spans="13:18">
      <c r="M582" s="34"/>
      <c r="N582" s="34"/>
      <c r="O582" s="34"/>
      <c r="P582" s="34"/>
      <c r="Q582" s="34"/>
      <c r="R582" s="34"/>
    </row>
    <row r="583" spans="13:18">
      <c r="M583" s="34"/>
      <c r="N583" s="34"/>
      <c r="O583" s="34"/>
      <c r="P583" s="34"/>
      <c r="Q583" s="34"/>
      <c r="R583" s="34"/>
    </row>
    <row r="584" spans="13:18">
      <c r="M584" s="34"/>
      <c r="N584" s="34"/>
      <c r="O584" s="34"/>
      <c r="P584" s="34"/>
      <c r="Q584" s="34"/>
      <c r="R584" s="34"/>
    </row>
    <row r="585" spans="13:18">
      <c r="M585" s="34"/>
      <c r="N585" s="34"/>
      <c r="O585" s="34"/>
      <c r="P585" s="34"/>
      <c r="Q585" s="34"/>
      <c r="R585" s="34"/>
    </row>
    <row r="586" spans="13:18">
      <c r="M586" s="34"/>
      <c r="N586" s="34"/>
      <c r="O586" s="34"/>
      <c r="P586" s="34"/>
      <c r="Q586" s="34"/>
      <c r="R586" s="34"/>
    </row>
    <row r="587" spans="13:18">
      <c r="M587" s="34"/>
      <c r="N587" s="34"/>
      <c r="O587" s="34"/>
      <c r="P587" s="34"/>
      <c r="Q587" s="34"/>
      <c r="R587" s="34"/>
    </row>
    <row r="588" spans="13:18">
      <c r="M588" s="34"/>
      <c r="N588" s="34"/>
      <c r="O588" s="34"/>
      <c r="P588" s="34"/>
      <c r="Q588" s="34"/>
      <c r="R588" s="34"/>
    </row>
    <row r="589" spans="13:18">
      <c r="M589" s="34"/>
      <c r="N589" s="34"/>
      <c r="O589" s="34"/>
      <c r="P589" s="34"/>
      <c r="Q589" s="34"/>
      <c r="R589" s="34"/>
    </row>
    <row r="590" spans="13:18">
      <c r="M590" s="34"/>
      <c r="N590" s="34"/>
      <c r="O590" s="34"/>
      <c r="P590" s="34"/>
      <c r="Q590" s="34"/>
      <c r="R590" s="34"/>
    </row>
    <row r="591" spans="13:18">
      <c r="M591" s="34"/>
      <c r="N591" s="34"/>
      <c r="O591" s="34"/>
      <c r="P591" s="34"/>
      <c r="Q591" s="34"/>
      <c r="R591" s="34"/>
    </row>
    <row r="592" spans="13:18">
      <c r="M592" s="34"/>
      <c r="N592" s="34"/>
      <c r="O592" s="34"/>
      <c r="P592" s="34"/>
      <c r="Q592" s="34"/>
      <c r="R592" s="34"/>
    </row>
    <row r="593" spans="13:18">
      <c r="M593" s="34"/>
      <c r="N593" s="34"/>
      <c r="O593" s="34"/>
      <c r="P593" s="34"/>
      <c r="Q593" s="34"/>
      <c r="R593" s="34"/>
    </row>
    <row r="594" spans="13:18">
      <c r="M594" s="34"/>
      <c r="N594" s="34"/>
      <c r="O594" s="34"/>
      <c r="P594" s="34"/>
      <c r="Q594" s="34"/>
      <c r="R594" s="34"/>
    </row>
    <row r="595" spans="13:18">
      <c r="M595" s="34"/>
      <c r="N595" s="34"/>
      <c r="O595" s="34"/>
      <c r="P595" s="34"/>
      <c r="Q595" s="34"/>
      <c r="R595" s="34"/>
    </row>
    <row r="596" spans="13:18">
      <c r="M596" s="34"/>
      <c r="N596" s="34"/>
      <c r="O596" s="34"/>
      <c r="P596" s="34"/>
      <c r="Q596" s="34"/>
      <c r="R596" s="34"/>
    </row>
    <row r="597" spans="13:18">
      <c r="M597" s="34"/>
      <c r="N597" s="34"/>
      <c r="O597" s="34"/>
      <c r="P597" s="34"/>
      <c r="Q597" s="34"/>
      <c r="R597" s="34"/>
    </row>
    <row r="598" spans="13:18">
      <c r="M598" s="34"/>
      <c r="N598" s="34"/>
      <c r="O598" s="34"/>
      <c r="P598" s="34"/>
      <c r="Q598" s="34"/>
      <c r="R598" s="34"/>
    </row>
    <row r="599" spans="13:18">
      <c r="M599" s="34"/>
      <c r="N599" s="34"/>
      <c r="O599" s="34"/>
      <c r="P599" s="34"/>
      <c r="Q599" s="34"/>
      <c r="R599" s="34"/>
    </row>
    <row r="600" spans="13:18">
      <c r="M600" s="34"/>
      <c r="N600" s="34"/>
      <c r="O600" s="34"/>
      <c r="P600" s="34"/>
      <c r="Q600" s="34"/>
      <c r="R600" s="34"/>
    </row>
    <row r="601" spans="13:18">
      <c r="M601" s="34"/>
      <c r="N601" s="34"/>
      <c r="O601" s="34"/>
      <c r="P601" s="34"/>
      <c r="Q601" s="34"/>
      <c r="R601" s="34"/>
    </row>
    <row r="602" spans="13:18">
      <c r="M602" s="34"/>
      <c r="N602" s="34"/>
      <c r="O602" s="34"/>
      <c r="P602" s="34"/>
      <c r="Q602" s="34"/>
      <c r="R602" s="34"/>
    </row>
    <row r="603" spans="13:18">
      <c r="M603" s="34"/>
      <c r="N603" s="34"/>
      <c r="O603" s="34"/>
      <c r="P603" s="34"/>
      <c r="Q603" s="34"/>
      <c r="R603" s="34"/>
    </row>
    <row r="604" spans="13:18">
      <c r="M604" s="34"/>
      <c r="N604" s="34"/>
      <c r="O604" s="34"/>
      <c r="P604" s="34"/>
      <c r="Q604" s="34"/>
      <c r="R604" s="34"/>
    </row>
    <row r="605" spans="13:18">
      <c r="M605" s="34"/>
      <c r="N605" s="34"/>
      <c r="O605" s="34"/>
      <c r="P605" s="34"/>
      <c r="Q605" s="34"/>
      <c r="R605" s="34"/>
    </row>
    <row r="606" spans="13:18">
      <c r="M606" s="34"/>
      <c r="N606" s="34"/>
      <c r="O606" s="34"/>
      <c r="P606" s="34"/>
      <c r="Q606" s="34"/>
      <c r="R606" s="34"/>
    </row>
    <row r="607" spans="13:18">
      <c r="M607" s="34"/>
      <c r="N607" s="34"/>
      <c r="O607" s="34"/>
      <c r="P607" s="34"/>
      <c r="Q607" s="34"/>
      <c r="R607" s="34"/>
    </row>
    <row r="608" spans="13:18">
      <c r="M608" s="34"/>
      <c r="N608" s="34"/>
      <c r="O608" s="34"/>
      <c r="P608" s="34"/>
      <c r="Q608" s="34"/>
      <c r="R608" s="34"/>
    </row>
    <row r="609" spans="13:18">
      <c r="M609" s="34"/>
      <c r="N609" s="34"/>
      <c r="O609" s="34"/>
      <c r="P609" s="34"/>
      <c r="Q609" s="34"/>
      <c r="R609" s="34"/>
    </row>
    <row r="610" spans="13:18">
      <c r="M610" s="34"/>
      <c r="N610" s="34"/>
      <c r="O610" s="34"/>
      <c r="P610" s="34"/>
      <c r="Q610" s="34"/>
      <c r="R610" s="34"/>
    </row>
    <row r="611" spans="13:18">
      <c r="M611" s="34"/>
      <c r="N611" s="34"/>
      <c r="O611" s="34"/>
      <c r="P611" s="34"/>
      <c r="Q611" s="34"/>
      <c r="R611" s="34"/>
    </row>
    <row r="612" spans="13:18">
      <c r="M612" s="34"/>
      <c r="N612" s="34"/>
      <c r="O612" s="34"/>
      <c r="P612" s="34"/>
      <c r="Q612" s="34"/>
      <c r="R612" s="34"/>
    </row>
    <row r="613" spans="13:18">
      <c r="M613" s="34"/>
      <c r="N613" s="34"/>
      <c r="O613" s="34"/>
      <c r="P613" s="34"/>
      <c r="Q613" s="34"/>
      <c r="R613" s="34"/>
    </row>
    <row r="614" spans="13:18">
      <c r="M614" s="34"/>
      <c r="N614" s="34"/>
      <c r="O614" s="34"/>
      <c r="P614" s="34"/>
      <c r="Q614" s="34"/>
      <c r="R614" s="34"/>
    </row>
    <row r="615" spans="13:18">
      <c r="M615" s="34"/>
      <c r="N615" s="34"/>
      <c r="O615" s="34"/>
      <c r="P615" s="34"/>
      <c r="Q615" s="34"/>
      <c r="R615" s="34"/>
    </row>
    <row r="616" spans="13:18">
      <c r="M616" s="34"/>
      <c r="N616" s="34"/>
      <c r="O616" s="34"/>
      <c r="P616" s="34"/>
      <c r="Q616" s="34"/>
      <c r="R616" s="34"/>
    </row>
    <row r="617" spans="13:18">
      <c r="M617" s="34"/>
      <c r="N617" s="34"/>
      <c r="O617" s="34"/>
      <c r="P617" s="34"/>
      <c r="Q617" s="34"/>
      <c r="R617" s="34"/>
    </row>
    <row r="618" spans="13:18">
      <c r="M618" s="34"/>
      <c r="N618" s="34"/>
      <c r="O618" s="34"/>
      <c r="P618" s="34"/>
      <c r="Q618" s="34"/>
      <c r="R618" s="34"/>
    </row>
    <row r="619" spans="13:18">
      <c r="M619" s="34"/>
      <c r="N619" s="34"/>
      <c r="O619" s="34"/>
      <c r="P619" s="34"/>
      <c r="Q619" s="34"/>
      <c r="R619" s="34"/>
    </row>
    <row r="620" spans="13:18">
      <c r="M620" s="34"/>
      <c r="N620" s="34"/>
      <c r="O620" s="34"/>
      <c r="P620" s="34"/>
      <c r="Q620" s="34"/>
      <c r="R620" s="34"/>
    </row>
    <row r="621" spans="13:18">
      <c r="M621" s="34"/>
      <c r="N621" s="34"/>
      <c r="O621" s="34"/>
      <c r="P621" s="34"/>
      <c r="Q621" s="34"/>
      <c r="R621" s="34"/>
    </row>
    <row r="622" spans="13:18">
      <c r="M622" s="34"/>
      <c r="N622" s="34"/>
      <c r="O622" s="34"/>
      <c r="P622" s="34"/>
      <c r="Q622" s="34"/>
      <c r="R622" s="34"/>
    </row>
    <row r="623" spans="13:18">
      <c r="M623" s="34"/>
      <c r="N623" s="34"/>
      <c r="O623" s="34"/>
      <c r="P623" s="34"/>
      <c r="Q623" s="34"/>
      <c r="R623" s="34"/>
    </row>
    <row r="624" spans="13:18">
      <c r="M624" s="34"/>
      <c r="N624" s="34"/>
      <c r="O624" s="34"/>
      <c r="P624" s="34"/>
      <c r="Q624" s="34"/>
      <c r="R624" s="34"/>
    </row>
    <row r="625" spans="13:18">
      <c r="M625" s="34"/>
      <c r="N625" s="34"/>
      <c r="O625" s="34"/>
      <c r="P625" s="34"/>
      <c r="Q625" s="34"/>
      <c r="R625" s="34"/>
    </row>
    <row r="626" spans="13:18">
      <c r="M626" s="34"/>
      <c r="N626" s="34"/>
      <c r="O626" s="34"/>
      <c r="P626" s="34"/>
      <c r="Q626" s="34"/>
      <c r="R626" s="34"/>
    </row>
    <row r="627" spans="13:18">
      <c r="M627" s="34"/>
      <c r="N627" s="34"/>
      <c r="O627" s="34"/>
      <c r="P627" s="34"/>
      <c r="Q627" s="34"/>
      <c r="R627" s="34"/>
    </row>
    <row r="628" spans="13:18">
      <c r="M628" s="34"/>
      <c r="N628" s="34"/>
      <c r="O628" s="34"/>
      <c r="P628" s="34"/>
      <c r="Q628" s="34"/>
      <c r="R628" s="34"/>
    </row>
    <row r="629" spans="13:18">
      <c r="M629" s="34"/>
      <c r="N629" s="34"/>
      <c r="O629" s="34"/>
      <c r="P629" s="34"/>
      <c r="Q629" s="34"/>
      <c r="R629" s="34"/>
    </row>
    <row r="630" spans="13:18">
      <c r="M630" s="34"/>
      <c r="N630" s="34"/>
      <c r="O630" s="34"/>
      <c r="P630" s="34"/>
      <c r="Q630" s="34"/>
      <c r="R630" s="34"/>
    </row>
    <row r="631" spans="13:18">
      <c r="M631" s="34"/>
      <c r="N631" s="34"/>
      <c r="O631" s="34"/>
      <c r="P631" s="34"/>
      <c r="Q631" s="34"/>
      <c r="R631" s="34"/>
    </row>
    <row r="632" spans="13:18">
      <c r="M632" s="34"/>
      <c r="N632" s="34"/>
      <c r="O632" s="34"/>
      <c r="P632" s="34"/>
      <c r="Q632" s="34"/>
      <c r="R632" s="34"/>
    </row>
    <row r="633" spans="13:18">
      <c r="M633" s="34"/>
      <c r="N633" s="34"/>
      <c r="O633" s="34"/>
      <c r="P633" s="34"/>
      <c r="Q633" s="34"/>
      <c r="R633" s="34"/>
    </row>
    <row r="634" spans="13:18">
      <c r="M634" s="34"/>
      <c r="N634" s="34"/>
      <c r="O634" s="34"/>
      <c r="P634" s="34"/>
      <c r="Q634" s="34"/>
      <c r="R634" s="34"/>
    </row>
    <row r="635" spans="13:18">
      <c r="M635" s="34"/>
      <c r="N635" s="34"/>
      <c r="O635" s="34"/>
      <c r="P635" s="34"/>
      <c r="Q635" s="34"/>
      <c r="R635" s="34"/>
    </row>
    <row r="636" spans="13:18">
      <c r="M636" s="34"/>
      <c r="N636" s="34"/>
      <c r="O636" s="34"/>
      <c r="P636" s="34"/>
      <c r="Q636" s="34"/>
      <c r="R636" s="34"/>
    </row>
    <row r="637" spans="13:18">
      <c r="M637" s="34"/>
      <c r="N637" s="34"/>
      <c r="O637" s="34"/>
      <c r="P637" s="34"/>
      <c r="Q637" s="34"/>
      <c r="R637" s="34"/>
    </row>
    <row r="638" spans="13:18">
      <c r="M638" s="34"/>
      <c r="N638" s="34"/>
      <c r="O638" s="34"/>
      <c r="P638" s="34"/>
      <c r="Q638" s="34"/>
      <c r="R638" s="34"/>
    </row>
    <row r="639" spans="13:18">
      <c r="M639" s="34"/>
      <c r="N639" s="34"/>
      <c r="O639" s="34"/>
      <c r="P639" s="34"/>
      <c r="Q639" s="34"/>
      <c r="R639" s="34"/>
    </row>
    <row r="640" spans="13:18">
      <c r="M640" s="34"/>
      <c r="N640" s="34"/>
      <c r="O640" s="34"/>
      <c r="P640" s="34"/>
      <c r="Q640" s="34"/>
      <c r="R640" s="34"/>
    </row>
    <row r="641" spans="13:18">
      <c r="M641" s="34"/>
      <c r="N641" s="34"/>
      <c r="O641" s="34"/>
      <c r="P641" s="34"/>
      <c r="Q641" s="34"/>
      <c r="R641" s="34"/>
    </row>
    <row r="642" spans="13:18">
      <c r="M642" s="34"/>
      <c r="N642" s="34"/>
      <c r="O642" s="34"/>
      <c r="P642" s="34"/>
      <c r="Q642" s="34"/>
      <c r="R642" s="34"/>
    </row>
    <row r="643" spans="13:18">
      <c r="M643" s="34"/>
      <c r="N643" s="34"/>
      <c r="O643" s="34"/>
      <c r="P643" s="34"/>
      <c r="Q643" s="34"/>
      <c r="R643" s="34"/>
    </row>
    <row r="644" spans="13:18">
      <c r="M644" s="34"/>
      <c r="N644" s="34"/>
      <c r="O644" s="34"/>
      <c r="P644" s="34"/>
      <c r="Q644" s="34"/>
      <c r="R644" s="34"/>
    </row>
    <row r="645" spans="13:18">
      <c r="M645" s="34"/>
      <c r="N645" s="34"/>
      <c r="O645" s="34"/>
      <c r="P645" s="34"/>
      <c r="Q645" s="34"/>
      <c r="R645" s="34"/>
    </row>
    <row r="646" spans="13:18">
      <c r="M646" s="34"/>
      <c r="N646" s="34"/>
      <c r="O646" s="34"/>
      <c r="P646" s="34"/>
      <c r="Q646" s="34"/>
      <c r="R646" s="34"/>
    </row>
    <row r="647" spans="13:18">
      <c r="M647" s="34"/>
      <c r="N647" s="34"/>
      <c r="O647" s="34"/>
      <c r="P647" s="34"/>
      <c r="Q647" s="34"/>
      <c r="R647" s="34"/>
    </row>
    <row r="648" spans="13:18">
      <c r="M648" s="34"/>
      <c r="N648" s="34"/>
      <c r="O648" s="34"/>
      <c r="P648" s="34"/>
      <c r="Q648" s="34"/>
      <c r="R648" s="34"/>
    </row>
    <row r="649" spans="13:18">
      <c r="M649" s="34"/>
      <c r="N649" s="34"/>
      <c r="O649" s="34"/>
      <c r="P649" s="34"/>
      <c r="Q649" s="34"/>
      <c r="R649" s="34"/>
    </row>
    <row r="650" spans="13:18">
      <c r="M650" s="34"/>
      <c r="N650" s="34"/>
      <c r="O650" s="34"/>
      <c r="P650" s="34"/>
      <c r="Q650" s="34"/>
      <c r="R650" s="34"/>
    </row>
    <row r="651" spans="13:18">
      <c r="M651" s="34"/>
      <c r="N651" s="34"/>
      <c r="O651" s="34"/>
      <c r="P651" s="34"/>
      <c r="Q651" s="34"/>
      <c r="R651" s="34"/>
    </row>
    <row r="652" spans="13:18">
      <c r="M652" s="34"/>
      <c r="N652" s="34"/>
      <c r="O652" s="34"/>
      <c r="P652" s="34"/>
      <c r="Q652" s="34"/>
      <c r="R652" s="34"/>
    </row>
    <row r="653" spans="13:18">
      <c r="M653" s="34"/>
      <c r="N653" s="34"/>
      <c r="O653" s="34"/>
      <c r="P653" s="34"/>
      <c r="Q653" s="34"/>
      <c r="R653" s="34"/>
    </row>
    <row r="654" spans="13:18">
      <c r="M654" s="34"/>
      <c r="N654" s="34"/>
      <c r="O654" s="34"/>
      <c r="P654" s="34"/>
      <c r="Q654" s="34"/>
      <c r="R654" s="34"/>
    </row>
    <row r="655" spans="13:18">
      <c r="M655" s="34"/>
      <c r="N655" s="34"/>
      <c r="O655" s="34"/>
      <c r="P655" s="34"/>
      <c r="Q655" s="34"/>
      <c r="R655" s="34"/>
    </row>
    <row r="656" spans="13:18">
      <c r="M656" s="34"/>
      <c r="N656" s="34"/>
      <c r="O656" s="34"/>
      <c r="P656" s="34"/>
      <c r="Q656" s="34"/>
      <c r="R656" s="34"/>
    </row>
    <row r="657" spans="13:18">
      <c r="M657" s="34"/>
      <c r="N657" s="34"/>
      <c r="O657" s="34"/>
      <c r="P657" s="34"/>
      <c r="Q657" s="34"/>
      <c r="R657" s="34"/>
    </row>
    <row r="658" spans="13:18">
      <c r="M658" s="34"/>
      <c r="N658" s="34"/>
      <c r="O658" s="34"/>
      <c r="P658" s="34"/>
      <c r="Q658" s="34"/>
      <c r="R658" s="34"/>
    </row>
    <row r="659" spans="13:18">
      <c r="M659" s="34"/>
      <c r="N659" s="34"/>
      <c r="O659" s="34"/>
      <c r="P659" s="34"/>
      <c r="Q659" s="34"/>
      <c r="R659" s="34"/>
    </row>
    <row r="660" spans="13:18">
      <c r="M660" s="34"/>
      <c r="N660" s="34"/>
      <c r="O660" s="34"/>
      <c r="P660" s="34"/>
      <c r="Q660" s="34"/>
      <c r="R660" s="34"/>
    </row>
    <row r="661" spans="13:18">
      <c r="M661" s="34"/>
      <c r="N661" s="34"/>
      <c r="O661" s="34"/>
      <c r="P661" s="34"/>
      <c r="Q661" s="34"/>
      <c r="R661" s="34"/>
    </row>
    <row r="662" spans="13:18">
      <c r="M662" s="34"/>
      <c r="N662" s="34"/>
      <c r="O662" s="34"/>
      <c r="P662" s="34"/>
      <c r="Q662" s="34"/>
      <c r="R662" s="34"/>
    </row>
    <row r="663" spans="13:18">
      <c r="M663" s="34"/>
      <c r="N663" s="34"/>
      <c r="O663" s="34"/>
      <c r="P663" s="34"/>
      <c r="Q663" s="34"/>
      <c r="R663" s="34"/>
    </row>
    <row r="664" spans="13:18">
      <c r="M664" s="34"/>
      <c r="N664" s="34"/>
      <c r="O664" s="34"/>
      <c r="P664" s="34"/>
      <c r="Q664" s="34"/>
      <c r="R664" s="34"/>
    </row>
    <row r="665" spans="13:18">
      <c r="M665" s="34"/>
      <c r="N665" s="34"/>
      <c r="O665" s="34"/>
      <c r="P665" s="34"/>
      <c r="Q665" s="34"/>
      <c r="R665" s="34"/>
    </row>
    <row r="666" spans="13:18">
      <c r="M666" s="34"/>
      <c r="N666" s="34"/>
      <c r="O666" s="34"/>
      <c r="P666" s="34"/>
      <c r="Q666" s="34"/>
      <c r="R666" s="34"/>
    </row>
    <row r="667" spans="13:18">
      <c r="M667" s="34"/>
      <c r="N667" s="34"/>
      <c r="O667" s="34"/>
      <c r="P667" s="34"/>
      <c r="Q667" s="34"/>
      <c r="R667" s="34"/>
    </row>
    <row r="668" spans="13:18">
      <c r="M668" s="34"/>
      <c r="N668" s="34"/>
      <c r="O668" s="34"/>
      <c r="P668" s="34"/>
      <c r="Q668" s="34"/>
      <c r="R668" s="34"/>
    </row>
    <row r="669" spans="13:18">
      <c r="M669" s="34"/>
      <c r="N669" s="34"/>
      <c r="O669" s="34"/>
      <c r="P669" s="34"/>
      <c r="Q669" s="34"/>
      <c r="R669" s="34"/>
    </row>
    <row r="670" spans="13:18">
      <c r="M670" s="34"/>
      <c r="N670" s="34"/>
      <c r="O670" s="34"/>
      <c r="P670" s="34"/>
      <c r="Q670" s="34"/>
      <c r="R670" s="34"/>
    </row>
    <row r="671" spans="13:18">
      <c r="M671" s="34"/>
      <c r="N671" s="34"/>
      <c r="O671" s="34"/>
      <c r="P671" s="34"/>
      <c r="Q671" s="34"/>
      <c r="R671" s="34"/>
    </row>
    <row r="672" spans="13:18">
      <c r="M672" s="34"/>
      <c r="N672" s="34"/>
      <c r="O672" s="34"/>
      <c r="P672" s="34"/>
      <c r="Q672" s="34"/>
      <c r="R672" s="34"/>
    </row>
    <row r="673" spans="13:18">
      <c r="M673" s="34"/>
      <c r="N673" s="34"/>
      <c r="O673" s="34"/>
      <c r="P673" s="34"/>
      <c r="Q673" s="34"/>
      <c r="R673" s="34"/>
    </row>
    <row r="674" spans="13:18">
      <c r="M674" s="34"/>
      <c r="N674" s="34"/>
      <c r="O674" s="34"/>
      <c r="P674" s="34"/>
      <c r="Q674" s="34"/>
      <c r="R674" s="34"/>
    </row>
    <row r="675" spans="13:18">
      <c r="M675" s="34"/>
      <c r="N675" s="34"/>
      <c r="O675" s="34"/>
      <c r="P675" s="34"/>
      <c r="Q675" s="34"/>
      <c r="R675" s="34"/>
    </row>
    <row r="676" spans="13:18">
      <c r="M676" s="34"/>
      <c r="N676" s="34"/>
      <c r="O676" s="34"/>
      <c r="P676" s="34"/>
      <c r="Q676" s="34"/>
      <c r="R676" s="34"/>
    </row>
    <row r="677" spans="13:18">
      <c r="M677" s="34"/>
      <c r="N677" s="34"/>
      <c r="O677" s="34"/>
      <c r="P677" s="34"/>
      <c r="Q677" s="34"/>
      <c r="R677" s="34"/>
    </row>
    <row r="678" spans="13:18">
      <c r="M678" s="34"/>
      <c r="N678" s="34"/>
      <c r="O678" s="34"/>
      <c r="P678" s="34"/>
      <c r="Q678" s="34"/>
      <c r="R678" s="34"/>
    </row>
    <row r="679" spans="13:18">
      <c r="M679" s="34"/>
      <c r="N679" s="34"/>
      <c r="O679" s="34"/>
      <c r="P679" s="34"/>
      <c r="Q679" s="34"/>
      <c r="R679" s="34"/>
    </row>
    <row r="680" spans="13:18">
      <c r="M680" s="34"/>
      <c r="N680" s="34"/>
      <c r="O680" s="34"/>
      <c r="P680" s="34"/>
      <c r="Q680" s="34"/>
      <c r="R680" s="34"/>
    </row>
    <row r="681" spans="13:18">
      <c r="M681" s="34"/>
      <c r="N681" s="34"/>
      <c r="O681" s="34"/>
      <c r="P681" s="34"/>
      <c r="Q681" s="34"/>
      <c r="R681" s="34"/>
    </row>
    <row r="682" spans="13:18">
      <c r="M682" s="34"/>
      <c r="N682" s="34"/>
      <c r="O682" s="34"/>
      <c r="P682" s="34"/>
      <c r="Q682" s="34"/>
      <c r="R682" s="34"/>
    </row>
    <row r="683" spans="13:18">
      <c r="M683" s="34"/>
      <c r="N683" s="34"/>
      <c r="O683" s="34"/>
      <c r="P683" s="34"/>
      <c r="Q683" s="34"/>
      <c r="R683" s="34"/>
    </row>
    <row r="684" spans="13:18">
      <c r="M684" s="34"/>
      <c r="N684" s="34"/>
      <c r="O684" s="34"/>
      <c r="P684" s="34"/>
      <c r="Q684" s="34"/>
      <c r="R684" s="34"/>
    </row>
    <row r="685" spans="13:18">
      <c r="M685" s="34"/>
      <c r="N685" s="34"/>
      <c r="O685" s="34"/>
      <c r="P685" s="34"/>
      <c r="Q685" s="34"/>
      <c r="R685" s="34"/>
    </row>
    <row r="686" spans="13:18">
      <c r="M686" s="34"/>
      <c r="N686" s="34"/>
      <c r="O686" s="34"/>
      <c r="P686" s="34"/>
      <c r="Q686" s="34"/>
      <c r="R686" s="34"/>
    </row>
    <row r="687" spans="13:18">
      <c r="M687" s="34"/>
      <c r="N687" s="34"/>
      <c r="O687" s="34"/>
      <c r="P687" s="34"/>
      <c r="Q687" s="34"/>
      <c r="R687" s="34"/>
    </row>
    <row r="688" spans="13:18">
      <c r="M688" s="34"/>
      <c r="N688" s="34"/>
      <c r="O688" s="34"/>
      <c r="P688" s="34"/>
      <c r="Q688" s="34"/>
      <c r="R688" s="34"/>
    </row>
    <row r="689" spans="13:18">
      <c r="M689" s="34"/>
      <c r="N689" s="34"/>
      <c r="O689" s="34"/>
      <c r="P689" s="34"/>
      <c r="Q689" s="34"/>
      <c r="R689" s="34"/>
    </row>
    <row r="690" spans="13:18">
      <c r="M690" s="34"/>
      <c r="N690" s="34"/>
      <c r="O690" s="34"/>
      <c r="P690" s="34"/>
      <c r="Q690" s="34"/>
      <c r="R690" s="34"/>
    </row>
    <row r="691" spans="13:18">
      <c r="M691" s="34"/>
      <c r="N691" s="34"/>
      <c r="O691" s="34"/>
      <c r="P691" s="34"/>
      <c r="Q691" s="34"/>
      <c r="R691" s="34"/>
    </row>
    <row r="692" spans="13:18">
      <c r="M692" s="34"/>
      <c r="N692" s="34"/>
      <c r="O692" s="34"/>
      <c r="P692" s="34"/>
      <c r="Q692" s="34"/>
      <c r="R692" s="34"/>
    </row>
    <row r="693" spans="13:18">
      <c r="M693" s="34"/>
      <c r="N693" s="34"/>
      <c r="O693" s="34"/>
      <c r="P693" s="34"/>
      <c r="Q693" s="34"/>
      <c r="R693" s="34"/>
    </row>
    <row r="694" spans="13:18">
      <c r="M694" s="34"/>
      <c r="N694" s="34"/>
      <c r="O694" s="34"/>
      <c r="P694" s="34"/>
      <c r="Q694" s="34"/>
      <c r="R694" s="34"/>
    </row>
    <row r="695" spans="13:18">
      <c r="M695" s="34"/>
      <c r="N695" s="34"/>
      <c r="O695" s="34"/>
      <c r="P695" s="34"/>
      <c r="Q695" s="34"/>
      <c r="R695" s="34"/>
    </row>
    <row r="696" spans="13:18">
      <c r="M696" s="34"/>
      <c r="N696" s="34"/>
      <c r="O696" s="34"/>
      <c r="P696" s="34"/>
      <c r="Q696" s="34"/>
      <c r="R696" s="34"/>
    </row>
    <row r="697" spans="13:18">
      <c r="M697" s="34"/>
      <c r="N697" s="34"/>
      <c r="O697" s="34"/>
      <c r="P697" s="34"/>
      <c r="Q697" s="34"/>
      <c r="R697" s="34"/>
    </row>
    <row r="698" spans="13:18">
      <c r="M698" s="34"/>
      <c r="N698" s="34"/>
      <c r="O698" s="34"/>
      <c r="P698" s="34"/>
      <c r="Q698" s="34"/>
      <c r="R698" s="34"/>
    </row>
    <row r="699" spans="13:18">
      <c r="M699" s="34"/>
      <c r="N699" s="34"/>
      <c r="O699" s="34"/>
      <c r="P699" s="34"/>
      <c r="Q699" s="34"/>
      <c r="R699" s="34"/>
    </row>
    <row r="700" spans="13:18">
      <c r="M700" s="34"/>
      <c r="N700" s="34"/>
      <c r="O700" s="34"/>
      <c r="P700" s="34"/>
      <c r="Q700" s="34"/>
      <c r="R700" s="34"/>
    </row>
    <row r="701" spans="13:18">
      <c r="M701" s="34"/>
      <c r="N701" s="34"/>
      <c r="O701" s="34"/>
      <c r="P701" s="34"/>
      <c r="Q701" s="34"/>
      <c r="R701" s="34"/>
    </row>
    <row r="702" spans="13:18">
      <c r="M702" s="34"/>
      <c r="N702" s="34"/>
      <c r="O702" s="34"/>
      <c r="P702" s="34"/>
      <c r="Q702" s="34"/>
      <c r="R702" s="34"/>
    </row>
    <row r="703" spans="13:18">
      <c r="M703" s="34"/>
      <c r="N703" s="34"/>
      <c r="O703" s="34"/>
      <c r="P703" s="34"/>
      <c r="Q703" s="34"/>
      <c r="R703" s="34"/>
    </row>
    <row r="704" spans="13:18">
      <c r="M704" s="34"/>
      <c r="N704" s="34"/>
      <c r="O704" s="34"/>
      <c r="P704" s="34"/>
      <c r="Q704" s="34"/>
      <c r="R704" s="34"/>
    </row>
    <row r="705" spans="13:18">
      <c r="M705" s="34"/>
      <c r="N705" s="34"/>
      <c r="O705" s="34"/>
      <c r="P705" s="34"/>
      <c r="Q705" s="34"/>
      <c r="R705" s="34"/>
    </row>
    <row r="706" spans="13:18">
      <c r="M706" s="34"/>
      <c r="N706" s="34"/>
      <c r="O706" s="34"/>
      <c r="P706" s="34"/>
      <c r="Q706" s="34"/>
      <c r="R706" s="34"/>
    </row>
    <row r="707" spans="13:18">
      <c r="M707" s="34"/>
      <c r="N707" s="34"/>
      <c r="O707" s="34"/>
      <c r="P707" s="34"/>
      <c r="Q707" s="34"/>
      <c r="R707" s="34"/>
    </row>
    <row r="708" spans="13:18">
      <c r="M708" s="34"/>
      <c r="N708" s="34"/>
      <c r="O708" s="34"/>
      <c r="P708" s="34"/>
      <c r="Q708" s="34"/>
      <c r="R708" s="34"/>
    </row>
    <row r="709" spans="13:18">
      <c r="M709" s="34"/>
      <c r="N709" s="34"/>
      <c r="O709" s="34"/>
      <c r="P709" s="34"/>
      <c r="Q709" s="34"/>
      <c r="R709" s="34"/>
    </row>
    <row r="710" spans="13:18">
      <c r="M710" s="34"/>
      <c r="N710" s="34"/>
      <c r="O710" s="34"/>
      <c r="P710" s="34"/>
      <c r="Q710" s="34"/>
      <c r="R710" s="34"/>
    </row>
    <row r="711" spans="13:18">
      <c r="M711" s="34"/>
      <c r="N711" s="34"/>
      <c r="O711" s="34"/>
      <c r="P711" s="34"/>
      <c r="Q711" s="34"/>
      <c r="R711" s="34"/>
    </row>
    <row r="712" spans="13:18">
      <c r="M712" s="34"/>
      <c r="N712" s="34"/>
      <c r="O712" s="34"/>
      <c r="P712" s="34"/>
      <c r="Q712" s="34"/>
      <c r="R712" s="34"/>
    </row>
    <row r="713" spans="13:18">
      <c r="M713" s="34"/>
      <c r="N713" s="34"/>
      <c r="O713" s="34"/>
      <c r="P713" s="34"/>
      <c r="Q713" s="34"/>
      <c r="R713" s="34"/>
    </row>
    <row r="714" spans="13:18">
      <c r="M714" s="34"/>
      <c r="N714" s="34"/>
      <c r="O714" s="34"/>
      <c r="P714" s="34"/>
      <c r="Q714" s="34"/>
      <c r="R714" s="34"/>
    </row>
    <row r="715" spans="13:18">
      <c r="M715" s="34"/>
      <c r="N715" s="34"/>
      <c r="O715" s="34"/>
      <c r="P715" s="34"/>
      <c r="Q715" s="34"/>
      <c r="R715" s="34"/>
    </row>
    <row r="716" spans="13:18">
      <c r="M716" s="34"/>
      <c r="N716" s="34"/>
      <c r="O716" s="34"/>
      <c r="P716" s="34"/>
      <c r="Q716" s="34"/>
      <c r="R716" s="34"/>
    </row>
    <row r="717" spans="13:18">
      <c r="M717" s="34"/>
      <c r="N717" s="34"/>
      <c r="O717" s="34"/>
      <c r="P717" s="34"/>
      <c r="Q717" s="34"/>
      <c r="R717" s="34"/>
    </row>
    <row r="718" spans="13:18">
      <c r="M718" s="34"/>
      <c r="N718" s="34"/>
      <c r="O718" s="34"/>
      <c r="P718" s="34"/>
      <c r="Q718" s="34"/>
      <c r="R718" s="34"/>
    </row>
    <row r="719" spans="13:18">
      <c r="M719" s="34"/>
      <c r="N719" s="34"/>
      <c r="O719" s="34"/>
      <c r="P719" s="34"/>
      <c r="Q719" s="34"/>
      <c r="R719" s="34"/>
    </row>
    <row r="720" spans="13:18">
      <c r="M720" s="34"/>
      <c r="N720" s="34"/>
      <c r="O720" s="34"/>
      <c r="P720" s="34"/>
      <c r="Q720" s="34"/>
      <c r="R720" s="34"/>
    </row>
    <row r="721" spans="13:18">
      <c r="M721" s="34"/>
      <c r="N721" s="34"/>
      <c r="O721" s="34"/>
      <c r="P721" s="34"/>
      <c r="Q721" s="34"/>
      <c r="R721" s="34"/>
    </row>
    <row r="722" spans="13:18">
      <c r="M722" s="34"/>
      <c r="N722" s="34"/>
      <c r="O722" s="34"/>
      <c r="P722" s="34"/>
      <c r="Q722" s="34"/>
      <c r="R722" s="34"/>
    </row>
    <row r="723" spans="13:18">
      <c r="M723" s="34"/>
      <c r="N723" s="34"/>
      <c r="O723" s="34"/>
      <c r="P723" s="34"/>
      <c r="Q723" s="34"/>
      <c r="R723" s="34"/>
    </row>
    <row r="724" spans="13:18">
      <c r="M724" s="34"/>
      <c r="N724" s="34"/>
      <c r="O724" s="34"/>
      <c r="P724" s="34"/>
      <c r="Q724" s="34"/>
      <c r="R724" s="34"/>
    </row>
    <row r="725" spans="13:18">
      <c r="M725" s="34"/>
      <c r="N725" s="34"/>
      <c r="O725" s="34"/>
      <c r="P725" s="34"/>
      <c r="Q725" s="34"/>
      <c r="R725" s="34"/>
    </row>
    <row r="726" spans="13:18">
      <c r="M726" s="34"/>
      <c r="N726" s="34"/>
      <c r="O726" s="34"/>
      <c r="P726" s="34"/>
      <c r="Q726" s="34"/>
      <c r="R726" s="34"/>
    </row>
    <row r="727" spans="13:18">
      <c r="M727" s="34"/>
      <c r="N727" s="34"/>
      <c r="O727" s="34"/>
      <c r="P727" s="34"/>
      <c r="Q727" s="34"/>
      <c r="R727" s="34"/>
    </row>
    <row r="728" spans="13:18">
      <c r="M728" s="34"/>
      <c r="N728" s="34"/>
      <c r="O728" s="34"/>
      <c r="P728" s="34"/>
      <c r="Q728" s="34"/>
      <c r="R728" s="34"/>
    </row>
    <row r="729" spans="13:18">
      <c r="M729" s="34"/>
      <c r="N729" s="34"/>
      <c r="O729" s="34"/>
      <c r="P729" s="34"/>
      <c r="Q729" s="34"/>
      <c r="R729" s="34"/>
    </row>
    <row r="730" spans="13:18">
      <c r="M730" s="34"/>
      <c r="N730" s="34"/>
      <c r="O730" s="34"/>
      <c r="P730" s="34"/>
      <c r="Q730" s="34"/>
      <c r="R730" s="34"/>
    </row>
    <row r="731" spans="13:18">
      <c r="M731" s="34"/>
      <c r="N731" s="34"/>
      <c r="O731" s="34"/>
      <c r="P731" s="34"/>
      <c r="Q731" s="34"/>
      <c r="R731" s="34"/>
    </row>
    <row r="732" spans="13:18">
      <c r="M732" s="34"/>
      <c r="N732" s="34"/>
      <c r="O732" s="34"/>
      <c r="P732" s="34"/>
      <c r="Q732" s="34"/>
      <c r="R732" s="34"/>
    </row>
    <row r="733" spans="13:18">
      <c r="M733" s="34"/>
      <c r="N733" s="34"/>
      <c r="O733" s="34"/>
      <c r="P733" s="34"/>
      <c r="Q733" s="34"/>
      <c r="R733" s="34"/>
    </row>
    <row r="734" spans="13:18">
      <c r="M734" s="34"/>
      <c r="N734" s="34"/>
      <c r="O734" s="34"/>
      <c r="P734" s="34"/>
      <c r="Q734" s="34"/>
      <c r="R734" s="34"/>
    </row>
    <row r="735" spans="13:18">
      <c r="M735" s="34"/>
      <c r="N735" s="34"/>
      <c r="O735" s="34"/>
      <c r="P735" s="34"/>
      <c r="Q735" s="34"/>
      <c r="R735" s="34"/>
    </row>
    <row r="736" spans="13:18">
      <c r="M736" s="34"/>
      <c r="N736" s="34"/>
      <c r="O736" s="34"/>
      <c r="P736" s="34"/>
      <c r="Q736" s="34"/>
      <c r="R736" s="34"/>
    </row>
    <row r="737" spans="13:18">
      <c r="M737" s="34"/>
      <c r="N737" s="34"/>
      <c r="O737" s="34"/>
      <c r="P737" s="34"/>
      <c r="Q737" s="34"/>
      <c r="R737" s="34"/>
    </row>
    <row r="738" spans="13:18">
      <c r="M738" s="34"/>
      <c r="N738" s="34"/>
      <c r="O738" s="34"/>
      <c r="P738" s="34"/>
      <c r="Q738" s="34"/>
      <c r="R738" s="34"/>
    </row>
    <row r="739" spans="13:18">
      <c r="M739" s="34"/>
      <c r="N739" s="34"/>
      <c r="O739" s="34"/>
      <c r="P739" s="34"/>
      <c r="Q739" s="34"/>
      <c r="R739" s="34"/>
    </row>
    <row r="740" spans="13:18">
      <c r="M740" s="34"/>
      <c r="N740" s="34"/>
      <c r="O740" s="34"/>
      <c r="P740" s="34"/>
      <c r="Q740" s="34"/>
      <c r="R740" s="34"/>
    </row>
    <row r="741" spans="13:18">
      <c r="M741" s="34"/>
      <c r="N741" s="34"/>
      <c r="O741" s="34"/>
      <c r="P741" s="34"/>
      <c r="Q741" s="34"/>
      <c r="R741" s="34"/>
    </row>
    <row r="742" spans="13:18">
      <c r="M742" s="34"/>
      <c r="N742" s="34"/>
      <c r="O742" s="34"/>
      <c r="P742" s="34"/>
      <c r="Q742" s="34"/>
      <c r="R742" s="34"/>
    </row>
    <row r="743" spans="13:18">
      <c r="M743" s="34"/>
      <c r="N743" s="34"/>
      <c r="O743" s="34"/>
      <c r="P743" s="34"/>
      <c r="Q743" s="34"/>
      <c r="R743" s="34"/>
    </row>
    <row r="744" spans="13:18">
      <c r="M744" s="34"/>
      <c r="N744" s="34"/>
      <c r="O744" s="34"/>
      <c r="P744" s="34"/>
      <c r="Q744" s="34"/>
      <c r="R744" s="34"/>
    </row>
    <row r="745" spans="13:18">
      <c r="M745" s="34"/>
      <c r="N745" s="34"/>
      <c r="O745" s="34"/>
      <c r="P745" s="34"/>
      <c r="Q745" s="34"/>
      <c r="R745" s="34"/>
    </row>
    <row r="746" spans="13:18">
      <c r="M746" s="34"/>
      <c r="N746" s="34"/>
      <c r="O746" s="34"/>
      <c r="P746" s="34"/>
      <c r="Q746" s="34"/>
      <c r="R746" s="34"/>
    </row>
    <row r="747" spans="13:18">
      <c r="M747" s="34"/>
      <c r="N747" s="34"/>
      <c r="O747" s="34"/>
      <c r="P747" s="34"/>
      <c r="Q747" s="34"/>
      <c r="R747" s="34"/>
    </row>
    <row r="748" spans="13:18">
      <c r="M748" s="34"/>
      <c r="N748" s="34"/>
      <c r="O748" s="34"/>
      <c r="P748" s="34"/>
      <c r="Q748" s="34"/>
      <c r="R748" s="34"/>
    </row>
    <row r="749" spans="13:18">
      <c r="M749" s="34"/>
      <c r="N749" s="34"/>
      <c r="O749" s="34"/>
      <c r="P749" s="34"/>
      <c r="Q749" s="34"/>
      <c r="R749" s="34"/>
    </row>
    <row r="750" spans="13:18">
      <c r="M750" s="34"/>
      <c r="N750" s="34"/>
      <c r="O750" s="34"/>
      <c r="P750" s="34"/>
      <c r="Q750" s="34"/>
      <c r="R750" s="34"/>
    </row>
    <row r="751" spans="13:18">
      <c r="M751" s="34"/>
      <c r="N751" s="34"/>
      <c r="O751" s="34"/>
      <c r="P751" s="34"/>
      <c r="Q751" s="34"/>
      <c r="R751" s="34"/>
    </row>
    <row r="752" spans="13:18">
      <c r="M752" s="34"/>
      <c r="N752" s="34"/>
      <c r="O752" s="34"/>
      <c r="P752" s="34"/>
      <c r="Q752" s="34"/>
      <c r="R752" s="34"/>
    </row>
    <row r="753" spans="13:18">
      <c r="M753" s="34"/>
      <c r="N753" s="34"/>
      <c r="O753" s="34"/>
      <c r="P753" s="34"/>
      <c r="Q753" s="34"/>
      <c r="R753" s="34"/>
    </row>
    <row r="754" spans="13:18">
      <c r="M754" s="34"/>
      <c r="N754" s="34"/>
      <c r="O754" s="34"/>
      <c r="P754" s="34"/>
      <c r="Q754" s="34"/>
      <c r="R754" s="34"/>
    </row>
    <row r="755" spans="13:18">
      <c r="M755" s="34"/>
      <c r="N755" s="34"/>
      <c r="O755" s="34"/>
      <c r="P755" s="34"/>
      <c r="Q755" s="34"/>
      <c r="R755" s="34"/>
    </row>
    <row r="756" spans="13:18">
      <c r="M756" s="34"/>
      <c r="N756" s="34"/>
      <c r="O756" s="34"/>
      <c r="P756" s="34"/>
      <c r="Q756" s="34"/>
      <c r="R756" s="34"/>
    </row>
    <row r="757" spans="13:18">
      <c r="M757" s="34"/>
      <c r="N757" s="34"/>
      <c r="O757" s="34"/>
      <c r="P757" s="34"/>
      <c r="Q757" s="34"/>
      <c r="R757" s="34"/>
    </row>
    <row r="758" spans="13:18">
      <c r="M758" s="34"/>
      <c r="N758" s="34"/>
      <c r="O758" s="34"/>
      <c r="P758" s="34"/>
      <c r="Q758" s="34"/>
      <c r="R758" s="34"/>
    </row>
    <row r="759" spans="13:18">
      <c r="M759" s="34"/>
      <c r="N759" s="34"/>
      <c r="O759" s="34"/>
      <c r="P759" s="34"/>
      <c r="Q759" s="34"/>
      <c r="R759" s="34"/>
    </row>
    <row r="760" spans="13:18">
      <c r="M760" s="34"/>
      <c r="N760" s="34"/>
      <c r="O760" s="34"/>
      <c r="P760" s="34"/>
      <c r="Q760" s="34"/>
      <c r="R760" s="34"/>
    </row>
    <row r="761" spans="13:18">
      <c r="M761" s="34"/>
      <c r="N761" s="34"/>
      <c r="O761" s="34"/>
      <c r="P761" s="34"/>
      <c r="Q761" s="34"/>
      <c r="R761" s="34"/>
    </row>
    <row r="762" spans="13:18">
      <c r="M762" s="34"/>
      <c r="N762" s="34"/>
      <c r="O762" s="34"/>
      <c r="P762" s="34"/>
      <c r="Q762" s="34"/>
      <c r="R762" s="34"/>
    </row>
    <row r="763" spans="13:18">
      <c r="M763" s="34"/>
      <c r="N763" s="34"/>
      <c r="O763" s="34"/>
      <c r="P763" s="34"/>
      <c r="Q763" s="34"/>
      <c r="R763" s="34"/>
    </row>
    <row r="764" spans="13:18">
      <c r="M764" s="34"/>
      <c r="N764" s="34"/>
      <c r="O764" s="34"/>
      <c r="P764" s="34"/>
      <c r="Q764" s="34"/>
      <c r="R764" s="34"/>
    </row>
    <row r="765" spans="13:18">
      <c r="M765" s="34"/>
      <c r="N765" s="34"/>
      <c r="O765" s="34"/>
      <c r="P765" s="34"/>
      <c r="Q765" s="34"/>
      <c r="R765" s="34"/>
    </row>
    <row r="766" spans="13:18">
      <c r="M766" s="34"/>
      <c r="N766" s="34"/>
      <c r="O766" s="34"/>
      <c r="P766" s="34"/>
      <c r="Q766" s="34"/>
      <c r="R766" s="34"/>
    </row>
    <row r="767" spans="13:18">
      <c r="M767" s="34"/>
      <c r="N767" s="34"/>
      <c r="O767" s="34"/>
      <c r="P767" s="34"/>
      <c r="Q767" s="34"/>
      <c r="R767" s="34"/>
    </row>
    <row r="768" spans="13:18">
      <c r="M768" s="34"/>
      <c r="N768" s="34"/>
      <c r="O768" s="34"/>
      <c r="P768" s="34"/>
      <c r="Q768" s="34"/>
      <c r="R768" s="34"/>
    </row>
    <row r="769" spans="13:18">
      <c r="M769" s="34"/>
      <c r="N769" s="34"/>
      <c r="O769" s="34"/>
      <c r="P769" s="34"/>
      <c r="Q769" s="34"/>
      <c r="R769" s="34"/>
    </row>
    <row r="770" spans="13:18">
      <c r="M770" s="34"/>
      <c r="N770" s="34"/>
      <c r="O770" s="34"/>
      <c r="P770" s="34"/>
      <c r="Q770" s="34"/>
      <c r="R770" s="34"/>
    </row>
    <row r="771" spans="13:18">
      <c r="M771" s="34"/>
      <c r="N771" s="34"/>
      <c r="O771" s="34"/>
      <c r="P771" s="34"/>
      <c r="Q771" s="34"/>
      <c r="R771" s="34"/>
    </row>
    <row r="772" spans="13:18">
      <c r="M772" s="34"/>
      <c r="N772" s="34"/>
      <c r="O772" s="34"/>
      <c r="P772" s="34"/>
      <c r="Q772" s="34"/>
      <c r="R772" s="34"/>
    </row>
    <row r="773" spans="13:18">
      <c r="M773" s="34"/>
      <c r="N773" s="34"/>
      <c r="O773" s="34"/>
      <c r="P773" s="34"/>
      <c r="Q773" s="34"/>
      <c r="R773" s="34"/>
    </row>
    <row r="774" spans="13:18">
      <c r="M774" s="34"/>
      <c r="N774" s="34"/>
      <c r="O774" s="34"/>
      <c r="P774" s="34"/>
      <c r="Q774" s="34"/>
      <c r="R774" s="34"/>
    </row>
    <row r="775" spans="13:18">
      <c r="M775" s="34"/>
      <c r="N775" s="34"/>
      <c r="O775" s="34"/>
      <c r="P775" s="34"/>
      <c r="Q775" s="34"/>
      <c r="R775" s="34"/>
    </row>
    <row r="776" spans="13:18">
      <c r="M776" s="34"/>
      <c r="N776" s="34"/>
      <c r="O776" s="34"/>
      <c r="P776" s="34"/>
      <c r="Q776" s="34"/>
      <c r="R776" s="34"/>
    </row>
    <row r="777" spans="13:18">
      <c r="M777" s="34"/>
      <c r="N777" s="34"/>
      <c r="O777" s="34"/>
      <c r="P777" s="34"/>
      <c r="Q777" s="34"/>
      <c r="R777" s="34"/>
    </row>
    <row r="778" spans="13:18">
      <c r="M778" s="34"/>
      <c r="N778" s="34"/>
      <c r="O778" s="34"/>
      <c r="P778" s="34"/>
      <c r="Q778" s="34"/>
      <c r="R778" s="34"/>
    </row>
    <row r="779" spans="13:18">
      <c r="M779" s="34"/>
      <c r="N779" s="34"/>
      <c r="O779" s="34"/>
      <c r="P779" s="34"/>
      <c r="Q779" s="34"/>
      <c r="R779" s="34"/>
    </row>
    <row r="780" spans="13:18">
      <c r="M780" s="34"/>
      <c r="N780" s="34"/>
      <c r="O780" s="34"/>
      <c r="P780" s="34"/>
      <c r="Q780" s="34"/>
      <c r="R780" s="34"/>
    </row>
    <row r="781" spans="13:18">
      <c r="M781" s="34"/>
      <c r="N781" s="34"/>
      <c r="O781" s="34"/>
      <c r="P781" s="34"/>
      <c r="Q781" s="34"/>
      <c r="R781" s="34"/>
    </row>
    <row r="782" spans="13:18">
      <c r="M782" s="34"/>
      <c r="N782" s="34"/>
      <c r="O782" s="34"/>
      <c r="P782" s="34"/>
      <c r="Q782" s="34"/>
      <c r="R782" s="34"/>
    </row>
    <row r="783" spans="13:18">
      <c r="M783" s="34"/>
      <c r="N783" s="34"/>
      <c r="O783" s="34"/>
      <c r="P783" s="34"/>
      <c r="Q783" s="34"/>
      <c r="R783" s="34"/>
    </row>
    <row r="784" spans="13:18">
      <c r="M784" s="34"/>
      <c r="N784" s="34"/>
      <c r="O784" s="34"/>
      <c r="P784" s="34"/>
      <c r="Q784" s="34"/>
      <c r="R784" s="34"/>
    </row>
    <row r="785" spans="13:18">
      <c r="M785" s="34"/>
      <c r="N785" s="34"/>
      <c r="O785" s="34"/>
      <c r="P785" s="34"/>
      <c r="Q785" s="34"/>
      <c r="R785" s="34"/>
    </row>
    <row r="786" spans="13:18">
      <c r="M786" s="34"/>
      <c r="N786" s="34"/>
      <c r="O786" s="34"/>
      <c r="P786" s="34"/>
      <c r="Q786" s="34"/>
      <c r="R786" s="34"/>
    </row>
    <row r="787" spans="13:18">
      <c r="M787" s="34"/>
      <c r="N787" s="34"/>
      <c r="O787" s="34"/>
      <c r="P787" s="34"/>
      <c r="Q787" s="34"/>
      <c r="R787" s="34"/>
    </row>
    <row r="788" spans="13:18">
      <c r="M788" s="34"/>
      <c r="N788" s="34"/>
      <c r="O788" s="34"/>
      <c r="P788" s="34"/>
      <c r="Q788" s="34"/>
      <c r="R788" s="34"/>
    </row>
    <row r="789" spans="13:18">
      <c r="M789" s="34"/>
      <c r="N789" s="34"/>
      <c r="O789" s="34"/>
      <c r="P789" s="34"/>
      <c r="Q789" s="34"/>
      <c r="R789" s="34"/>
    </row>
    <row r="790" spans="13:18">
      <c r="M790" s="34"/>
      <c r="N790" s="34"/>
      <c r="O790" s="34"/>
      <c r="P790" s="34"/>
      <c r="Q790" s="34"/>
      <c r="R790" s="34"/>
    </row>
    <row r="791" spans="13:18">
      <c r="M791" s="34"/>
      <c r="N791" s="34"/>
      <c r="O791" s="34"/>
      <c r="P791" s="34"/>
      <c r="Q791" s="34"/>
      <c r="R791" s="34"/>
    </row>
    <row r="792" spans="13:18">
      <c r="M792" s="34"/>
      <c r="N792" s="34"/>
      <c r="O792" s="34"/>
      <c r="P792" s="34"/>
      <c r="Q792" s="34"/>
      <c r="R792" s="34"/>
    </row>
    <row r="793" spans="13:18">
      <c r="M793" s="34"/>
      <c r="N793" s="34"/>
      <c r="O793" s="34"/>
      <c r="P793" s="34"/>
      <c r="Q793" s="34"/>
      <c r="R793" s="34"/>
    </row>
    <row r="794" spans="13:18">
      <c r="M794" s="34"/>
      <c r="N794" s="34"/>
      <c r="O794" s="34"/>
      <c r="P794" s="34"/>
      <c r="Q794" s="34"/>
      <c r="R794" s="34"/>
    </row>
    <row r="795" spans="13:18">
      <c r="M795" s="34"/>
      <c r="N795" s="34"/>
      <c r="O795" s="34"/>
      <c r="P795" s="34"/>
      <c r="Q795" s="34"/>
      <c r="R795" s="34"/>
    </row>
    <row r="796" spans="13:18">
      <c r="M796" s="34"/>
      <c r="N796" s="34"/>
      <c r="O796" s="34"/>
      <c r="P796" s="34"/>
      <c r="Q796" s="34"/>
      <c r="R796" s="34"/>
    </row>
    <row r="797" spans="13:18">
      <c r="M797" s="34"/>
      <c r="N797" s="34"/>
      <c r="O797" s="34"/>
      <c r="P797" s="34"/>
      <c r="Q797" s="34"/>
      <c r="R797" s="34"/>
    </row>
    <row r="798" spans="13:18">
      <c r="M798" s="34"/>
      <c r="N798" s="34"/>
      <c r="O798" s="34"/>
      <c r="P798" s="34"/>
      <c r="Q798" s="34"/>
      <c r="R798" s="34"/>
    </row>
    <row r="799" spans="13:18">
      <c r="M799" s="34"/>
      <c r="N799" s="34"/>
      <c r="O799" s="34"/>
      <c r="P799" s="34"/>
      <c r="Q799" s="34"/>
      <c r="R799" s="34"/>
    </row>
    <row r="800" spans="13:18">
      <c r="M800" s="34"/>
      <c r="N800" s="34"/>
      <c r="O800" s="34"/>
      <c r="P800" s="34"/>
      <c r="Q800" s="34"/>
      <c r="R800" s="34"/>
    </row>
    <row r="801" spans="13:18">
      <c r="M801" s="34"/>
      <c r="N801" s="34"/>
      <c r="O801" s="34"/>
      <c r="P801" s="34"/>
      <c r="Q801" s="34"/>
      <c r="R801" s="34"/>
    </row>
    <row r="802" spans="13:18">
      <c r="M802" s="34"/>
      <c r="N802" s="34"/>
      <c r="O802" s="34"/>
      <c r="P802" s="34"/>
      <c r="Q802" s="34"/>
      <c r="R802" s="34"/>
    </row>
    <row r="803" spans="13:18">
      <c r="M803" s="34"/>
      <c r="N803" s="34"/>
      <c r="O803" s="34"/>
      <c r="P803" s="34"/>
      <c r="Q803" s="34"/>
      <c r="R803" s="34"/>
    </row>
    <row r="804" spans="13:18">
      <c r="M804" s="34"/>
      <c r="N804" s="34"/>
      <c r="O804" s="34"/>
      <c r="P804" s="34"/>
      <c r="Q804" s="34"/>
      <c r="R804" s="34"/>
    </row>
    <row r="805" spans="13:18">
      <c r="M805" s="34"/>
      <c r="N805" s="34"/>
      <c r="O805" s="34"/>
      <c r="P805" s="34"/>
      <c r="Q805" s="34"/>
      <c r="R805" s="34"/>
    </row>
    <row r="806" spans="13:18">
      <c r="M806" s="34"/>
      <c r="N806" s="34"/>
      <c r="O806" s="34"/>
      <c r="P806" s="34"/>
      <c r="Q806" s="34"/>
      <c r="R806" s="34"/>
    </row>
    <row r="807" spans="13:18">
      <c r="M807" s="34"/>
      <c r="N807" s="34"/>
      <c r="O807" s="34"/>
      <c r="P807" s="34"/>
      <c r="Q807" s="34"/>
      <c r="R807" s="34"/>
    </row>
    <row r="808" spans="13:18">
      <c r="M808" s="34"/>
      <c r="N808" s="34"/>
      <c r="O808" s="34"/>
      <c r="P808" s="34"/>
      <c r="Q808" s="34"/>
      <c r="R808" s="34"/>
    </row>
    <row r="809" spans="13:18">
      <c r="M809" s="34"/>
      <c r="N809" s="34"/>
      <c r="O809" s="34"/>
      <c r="P809" s="34"/>
      <c r="Q809" s="34"/>
      <c r="R809" s="34"/>
    </row>
    <row r="810" spans="13:18">
      <c r="M810" s="34"/>
      <c r="N810" s="34"/>
      <c r="O810" s="34"/>
      <c r="P810" s="34"/>
      <c r="Q810" s="34"/>
      <c r="R810" s="34"/>
    </row>
    <row r="811" spans="13:18">
      <c r="M811" s="34"/>
      <c r="N811" s="34"/>
      <c r="O811" s="34"/>
      <c r="P811" s="34"/>
      <c r="Q811" s="34"/>
      <c r="R811" s="34"/>
    </row>
    <row r="812" spans="13:18">
      <c r="M812" s="34"/>
      <c r="N812" s="34"/>
      <c r="O812" s="34"/>
      <c r="P812" s="34"/>
      <c r="Q812" s="34"/>
      <c r="R812" s="34"/>
    </row>
    <row r="813" spans="13:18">
      <c r="M813" s="34"/>
      <c r="N813" s="34"/>
      <c r="O813" s="34"/>
      <c r="P813" s="34"/>
      <c r="Q813" s="34"/>
      <c r="R813" s="34"/>
    </row>
    <row r="814" spans="13:18">
      <c r="M814" s="34"/>
      <c r="N814" s="34"/>
      <c r="O814" s="34"/>
      <c r="P814" s="34"/>
      <c r="Q814" s="34"/>
      <c r="R814" s="34"/>
    </row>
    <row r="815" spans="13:18">
      <c r="M815" s="34"/>
      <c r="N815" s="34"/>
      <c r="O815" s="34"/>
      <c r="P815" s="34"/>
      <c r="Q815" s="34"/>
      <c r="R815" s="34"/>
    </row>
    <row r="816" spans="13:18">
      <c r="M816" s="34"/>
      <c r="N816" s="34"/>
      <c r="O816" s="34"/>
      <c r="P816" s="34"/>
      <c r="Q816" s="34"/>
      <c r="R816" s="34"/>
    </row>
    <row r="817" spans="13:18">
      <c r="M817" s="34"/>
      <c r="N817" s="34"/>
      <c r="O817" s="34"/>
      <c r="P817" s="34"/>
      <c r="Q817" s="34"/>
      <c r="R817" s="34"/>
    </row>
    <row r="818" spans="13:18">
      <c r="M818" s="34"/>
      <c r="N818" s="34"/>
      <c r="O818" s="34"/>
      <c r="P818" s="34"/>
      <c r="Q818" s="34"/>
      <c r="R818" s="34"/>
    </row>
    <row r="819" spans="13:18">
      <c r="M819" s="34"/>
      <c r="N819" s="34"/>
      <c r="O819" s="34"/>
      <c r="P819" s="34"/>
      <c r="Q819" s="34"/>
      <c r="R819" s="34"/>
    </row>
    <row r="820" spans="13:18">
      <c r="M820" s="34"/>
      <c r="N820" s="34"/>
      <c r="O820" s="34"/>
      <c r="P820" s="34"/>
      <c r="Q820" s="34"/>
      <c r="R820" s="34"/>
    </row>
    <row r="821" spans="13:18">
      <c r="M821" s="34"/>
      <c r="N821" s="34"/>
      <c r="O821" s="34"/>
      <c r="P821" s="34"/>
      <c r="Q821" s="34"/>
      <c r="R821" s="34"/>
    </row>
    <row r="822" spans="13:18">
      <c r="M822" s="34"/>
      <c r="N822" s="34"/>
      <c r="O822" s="34"/>
      <c r="P822" s="34"/>
      <c r="Q822" s="34"/>
      <c r="R822" s="34"/>
    </row>
    <row r="823" spans="13:18">
      <c r="M823" s="34"/>
      <c r="N823" s="34"/>
      <c r="O823" s="34"/>
      <c r="P823" s="34"/>
      <c r="Q823" s="34"/>
      <c r="R823" s="34"/>
    </row>
    <row r="824" spans="13:18">
      <c r="M824" s="34"/>
      <c r="N824" s="34"/>
      <c r="O824" s="34"/>
      <c r="P824" s="34"/>
      <c r="Q824" s="34"/>
      <c r="R824" s="34"/>
    </row>
    <row r="825" spans="13:18">
      <c r="M825" s="34"/>
      <c r="N825" s="34"/>
      <c r="O825" s="34"/>
      <c r="P825" s="34"/>
      <c r="Q825" s="34"/>
      <c r="R825" s="34"/>
    </row>
    <row r="826" spans="13:18">
      <c r="M826" s="34"/>
      <c r="N826" s="34"/>
      <c r="O826" s="34"/>
      <c r="P826" s="34"/>
      <c r="Q826" s="34"/>
      <c r="R826" s="34"/>
    </row>
    <row r="827" spans="13:18">
      <c r="M827" s="34"/>
      <c r="N827" s="34"/>
      <c r="O827" s="34"/>
      <c r="P827" s="34"/>
      <c r="Q827" s="34"/>
      <c r="R827" s="34"/>
    </row>
    <row r="828" spans="13:18">
      <c r="M828" s="34"/>
      <c r="N828" s="34"/>
      <c r="O828" s="34"/>
      <c r="P828" s="34"/>
      <c r="Q828" s="34"/>
      <c r="R828" s="34"/>
    </row>
    <row r="829" spans="13:18">
      <c r="M829" s="34"/>
      <c r="N829" s="34"/>
      <c r="O829" s="34"/>
      <c r="P829" s="34"/>
      <c r="Q829" s="34"/>
      <c r="R829" s="34"/>
    </row>
    <row r="830" spans="13:18">
      <c r="M830" s="34"/>
      <c r="N830" s="34"/>
      <c r="O830" s="34"/>
      <c r="P830" s="34"/>
      <c r="Q830" s="34"/>
      <c r="R830" s="34"/>
    </row>
    <row r="831" spans="13:18">
      <c r="M831" s="34"/>
      <c r="N831" s="34"/>
      <c r="O831" s="34"/>
      <c r="P831" s="34"/>
      <c r="Q831" s="34"/>
      <c r="R831" s="34"/>
    </row>
    <row r="832" spans="13:18">
      <c r="M832" s="34"/>
      <c r="N832" s="34"/>
      <c r="O832" s="34"/>
      <c r="P832" s="34"/>
      <c r="Q832" s="34"/>
      <c r="R832" s="34"/>
    </row>
    <row r="833" spans="13:18">
      <c r="M833" s="34"/>
      <c r="N833" s="34"/>
      <c r="O833" s="34"/>
      <c r="P833" s="34"/>
      <c r="Q833" s="34"/>
      <c r="R833" s="34"/>
    </row>
    <row r="834" spans="13:18">
      <c r="M834" s="34"/>
      <c r="N834" s="34"/>
      <c r="O834" s="34"/>
      <c r="P834" s="34"/>
      <c r="Q834" s="34"/>
      <c r="R834" s="34"/>
    </row>
    <row r="835" spans="13:18">
      <c r="M835" s="34"/>
      <c r="N835" s="34"/>
      <c r="O835" s="34"/>
      <c r="P835" s="34"/>
      <c r="Q835" s="34"/>
      <c r="R835" s="34"/>
    </row>
    <row r="836" spans="13:18">
      <c r="M836" s="34"/>
      <c r="N836" s="34"/>
      <c r="O836" s="34"/>
      <c r="P836" s="34"/>
      <c r="Q836" s="34"/>
      <c r="R836" s="34"/>
    </row>
    <row r="837" spans="13:18">
      <c r="M837" s="34"/>
      <c r="N837" s="34"/>
      <c r="O837" s="34"/>
      <c r="P837" s="34"/>
      <c r="Q837" s="34"/>
      <c r="R837" s="34"/>
    </row>
    <row r="838" spans="13:18">
      <c r="M838" s="34"/>
      <c r="N838" s="34"/>
      <c r="O838" s="34"/>
      <c r="P838" s="34"/>
      <c r="Q838" s="34"/>
      <c r="R838" s="34"/>
    </row>
    <row r="839" spans="13:18">
      <c r="M839" s="34"/>
      <c r="N839" s="34"/>
      <c r="O839" s="34"/>
      <c r="P839" s="34"/>
      <c r="Q839" s="34"/>
      <c r="R839" s="34"/>
    </row>
    <row r="840" spans="13:18">
      <c r="M840" s="34"/>
      <c r="N840" s="34"/>
      <c r="O840" s="34"/>
      <c r="P840" s="34"/>
      <c r="Q840" s="34"/>
      <c r="R840" s="34"/>
    </row>
    <row r="841" spans="13:18">
      <c r="M841" s="34"/>
      <c r="N841" s="34"/>
      <c r="O841" s="34"/>
      <c r="P841" s="34"/>
      <c r="Q841" s="34"/>
      <c r="R841" s="34"/>
    </row>
    <row r="842" spans="13:18">
      <c r="M842" s="34"/>
      <c r="N842" s="34"/>
      <c r="O842" s="34"/>
      <c r="P842" s="34"/>
      <c r="Q842" s="34"/>
      <c r="R842" s="34"/>
    </row>
    <row r="843" spans="13:18">
      <c r="M843" s="34"/>
      <c r="N843" s="34"/>
      <c r="O843" s="34"/>
      <c r="P843" s="34"/>
      <c r="Q843" s="34"/>
      <c r="R843" s="34"/>
    </row>
    <row r="844" spans="13:18">
      <c r="M844" s="34"/>
      <c r="N844" s="34"/>
      <c r="O844" s="34"/>
      <c r="P844" s="34"/>
      <c r="Q844" s="34"/>
      <c r="R844" s="34"/>
    </row>
    <row r="845" spans="13:18">
      <c r="M845" s="34"/>
      <c r="N845" s="34"/>
      <c r="O845" s="34"/>
      <c r="P845" s="34"/>
      <c r="Q845" s="34"/>
      <c r="R845" s="34"/>
    </row>
    <row r="846" spans="13:18">
      <c r="M846" s="34"/>
      <c r="N846" s="34"/>
      <c r="O846" s="34"/>
      <c r="P846" s="34"/>
      <c r="Q846" s="34"/>
      <c r="R846" s="34"/>
    </row>
    <row r="847" spans="13:18">
      <c r="M847" s="34"/>
      <c r="N847" s="34"/>
      <c r="O847" s="34"/>
      <c r="P847" s="34"/>
      <c r="Q847" s="34"/>
      <c r="R847" s="34"/>
    </row>
    <row r="848" spans="13:18">
      <c r="M848" s="34"/>
      <c r="N848" s="34"/>
      <c r="O848" s="34"/>
      <c r="P848" s="34"/>
      <c r="Q848" s="34"/>
      <c r="R848" s="34"/>
    </row>
    <row r="849" spans="13:18">
      <c r="M849" s="34"/>
      <c r="N849" s="34"/>
      <c r="O849" s="34"/>
      <c r="P849" s="34"/>
      <c r="Q849" s="34"/>
      <c r="R849" s="34"/>
    </row>
    <row r="850" spans="13:18">
      <c r="M850" s="34"/>
      <c r="N850" s="34"/>
      <c r="O850" s="34"/>
      <c r="P850" s="34"/>
      <c r="Q850" s="34"/>
      <c r="R850" s="34"/>
    </row>
    <row r="851" spans="13:18">
      <c r="M851" s="34"/>
      <c r="N851" s="34"/>
      <c r="O851" s="34"/>
      <c r="P851" s="34"/>
      <c r="Q851" s="34"/>
      <c r="R851" s="34"/>
    </row>
    <row r="852" spans="13:18">
      <c r="M852" s="34"/>
      <c r="N852" s="34"/>
      <c r="O852" s="34"/>
      <c r="P852" s="34"/>
      <c r="Q852" s="34"/>
      <c r="R852" s="34"/>
    </row>
    <row r="853" spans="13:18">
      <c r="M853" s="34"/>
      <c r="N853" s="34"/>
      <c r="O853" s="34"/>
      <c r="P853" s="34"/>
      <c r="Q853" s="34"/>
      <c r="R853" s="34"/>
    </row>
    <row r="854" spans="13:18">
      <c r="M854" s="34"/>
      <c r="N854" s="34"/>
      <c r="O854" s="34"/>
      <c r="P854" s="34"/>
      <c r="Q854" s="34"/>
      <c r="R854" s="34"/>
    </row>
    <row r="855" spans="13:18">
      <c r="M855" s="34"/>
      <c r="N855" s="34"/>
      <c r="O855" s="34"/>
      <c r="P855" s="34"/>
      <c r="Q855" s="34"/>
      <c r="R855" s="34"/>
    </row>
    <row r="856" spans="13:18">
      <c r="M856" s="34"/>
      <c r="N856" s="34"/>
      <c r="O856" s="34"/>
      <c r="P856" s="34"/>
      <c r="Q856" s="34"/>
      <c r="R856" s="34"/>
    </row>
    <row r="857" spans="13:18">
      <c r="M857" s="34"/>
      <c r="N857" s="34"/>
      <c r="O857" s="34"/>
      <c r="P857" s="34"/>
      <c r="Q857" s="34"/>
      <c r="R857" s="34"/>
    </row>
    <row r="858" spans="13:18">
      <c r="M858" s="34"/>
      <c r="N858" s="34"/>
      <c r="O858" s="34"/>
      <c r="P858" s="34"/>
      <c r="Q858" s="34"/>
      <c r="R858" s="34"/>
    </row>
    <row r="859" spans="13:18">
      <c r="M859" s="34"/>
      <c r="N859" s="34"/>
      <c r="O859" s="34"/>
      <c r="P859" s="34"/>
      <c r="Q859" s="34"/>
      <c r="R859" s="34"/>
    </row>
    <row r="860" spans="13:18">
      <c r="M860" s="34"/>
      <c r="N860" s="34"/>
      <c r="O860" s="34"/>
      <c r="P860" s="34"/>
      <c r="Q860" s="34"/>
      <c r="R860" s="34"/>
    </row>
    <row r="861" spans="13:18">
      <c r="M861" s="34"/>
      <c r="N861" s="34"/>
      <c r="O861" s="34"/>
      <c r="P861" s="34"/>
      <c r="Q861" s="34"/>
      <c r="R861" s="34"/>
    </row>
    <row r="862" spans="13:18">
      <c r="M862" s="34"/>
      <c r="N862" s="34"/>
      <c r="O862" s="34"/>
      <c r="P862" s="34"/>
      <c r="Q862" s="34"/>
      <c r="R862" s="34"/>
    </row>
    <row r="863" spans="13:18">
      <c r="M863" s="34"/>
      <c r="N863" s="34"/>
      <c r="O863" s="34"/>
      <c r="P863" s="34"/>
      <c r="Q863" s="34"/>
      <c r="R863" s="34"/>
    </row>
    <row r="864" spans="13:18">
      <c r="M864" s="34"/>
      <c r="N864" s="34"/>
      <c r="O864" s="34"/>
      <c r="P864" s="34"/>
      <c r="Q864" s="34"/>
      <c r="R864" s="34"/>
    </row>
    <row r="865" spans="13:18">
      <c r="M865" s="34"/>
      <c r="N865" s="34"/>
      <c r="O865" s="34"/>
      <c r="P865" s="34"/>
      <c r="Q865" s="34"/>
      <c r="R865" s="34"/>
    </row>
    <row r="866" spans="13:18">
      <c r="M866" s="34"/>
      <c r="N866" s="34"/>
      <c r="O866" s="34"/>
      <c r="P866" s="34"/>
      <c r="Q866" s="34"/>
      <c r="R866" s="34"/>
    </row>
    <row r="867" spans="13:18">
      <c r="M867" s="34"/>
      <c r="N867" s="34"/>
      <c r="O867" s="34"/>
      <c r="P867" s="34"/>
      <c r="Q867" s="34"/>
      <c r="R867" s="34"/>
    </row>
    <row r="868" spans="13:18">
      <c r="M868" s="34"/>
      <c r="N868" s="34"/>
      <c r="O868" s="34"/>
      <c r="P868" s="34"/>
      <c r="Q868" s="34"/>
      <c r="R868" s="34"/>
    </row>
    <row r="869" spans="13:18">
      <c r="M869" s="34"/>
      <c r="N869" s="34"/>
      <c r="O869" s="34"/>
      <c r="P869" s="34"/>
      <c r="Q869" s="34"/>
      <c r="R869" s="34"/>
    </row>
    <row r="870" spans="13:18">
      <c r="M870" s="34"/>
      <c r="N870" s="34"/>
      <c r="O870" s="34"/>
      <c r="P870" s="34"/>
      <c r="Q870" s="34"/>
      <c r="R870" s="34"/>
    </row>
    <row r="871" spans="13:18">
      <c r="M871" s="34"/>
      <c r="N871" s="34"/>
      <c r="O871" s="34"/>
      <c r="P871" s="34"/>
      <c r="Q871" s="34"/>
      <c r="R871" s="34"/>
    </row>
    <row r="872" spans="13:18">
      <c r="M872" s="34"/>
      <c r="N872" s="34"/>
      <c r="O872" s="34"/>
      <c r="P872" s="34"/>
      <c r="Q872" s="34"/>
      <c r="R872" s="34"/>
    </row>
    <row r="873" spans="13:18">
      <c r="M873" s="34"/>
      <c r="N873" s="34"/>
      <c r="O873" s="34"/>
      <c r="P873" s="34"/>
      <c r="Q873" s="34"/>
      <c r="R873" s="34"/>
    </row>
    <row r="874" spans="13:18">
      <c r="M874" s="34"/>
      <c r="N874" s="34"/>
      <c r="O874" s="34"/>
      <c r="P874" s="34"/>
      <c r="Q874" s="34"/>
      <c r="R874" s="34"/>
    </row>
    <row r="875" spans="13:18">
      <c r="M875" s="34"/>
      <c r="N875" s="34"/>
      <c r="O875" s="34"/>
      <c r="P875" s="34"/>
      <c r="Q875" s="34"/>
      <c r="R875" s="34"/>
    </row>
    <row r="876" spans="13:18">
      <c r="M876" s="34"/>
      <c r="N876" s="34"/>
      <c r="O876" s="34"/>
      <c r="P876" s="34"/>
      <c r="Q876" s="34"/>
      <c r="R876" s="34"/>
    </row>
    <row r="877" spans="13:18">
      <c r="M877" s="34"/>
      <c r="N877" s="34"/>
      <c r="O877" s="34"/>
      <c r="P877" s="34"/>
      <c r="Q877" s="34"/>
      <c r="R877" s="34"/>
    </row>
    <row r="878" spans="13:18">
      <c r="M878" s="34"/>
      <c r="N878" s="34"/>
      <c r="O878" s="34"/>
      <c r="P878" s="34"/>
      <c r="Q878" s="34"/>
      <c r="R878" s="34"/>
    </row>
    <row r="879" spans="13:18">
      <c r="M879" s="34"/>
      <c r="N879" s="34"/>
      <c r="O879" s="34"/>
      <c r="P879" s="34"/>
      <c r="Q879" s="34"/>
      <c r="R879" s="34"/>
    </row>
    <row r="880" spans="13:18">
      <c r="M880" s="34"/>
      <c r="N880" s="34"/>
      <c r="O880" s="34"/>
      <c r="P880" s="34"/>
      <c r="Q880" s="34"/>
      <c r="R880" s="34"/>
    </row>
    <row r="881" spans="13:18">
      <c r="M881" s="34"/>
      <c r="N881" s="34"/>
      <c r="O881" s="34"/>
      <c r="P881" s="34"/>
      <c r="Q881" s="34"/>
      <c r="R881" s="34"/>
    </row>
    <row r="882" spans="13:18">
      <c r="M882" s="34"/>
      <c r="N882" s="34"/>
      <c r="O882" s="34"/>
      <c r="P882" s="34"/>
      <c r="Q882" s="34"/>
      <c r="R882" s="34"/>
    </row>
    <row r="883" spans="13:18">
      <c r="M883" s="34"/>
      <c r="N883" s="34"/>
      <c r="O883" s="34"/>
      <c r="P883" s="34"/>
      <c r="Q883" s="34"/>
      <c r="R883" s="34"/>
    </row>
    <row r="884" spans="13:18">
      <c r="M884" s="34"/>
      <c r="N884" s="34"/>
      <c r="O884" s="34"/>
      <c r="P884" s="34"/>
      <c r="Q884" s="34"/>
      <c r="R884" s="34"/>
    </row>
    <row r="885" spans="13:18">
      <c r="M885" s="34"/>
      <c r="N885" s="34"/>
      <c r="O885" s="34"/>
      <c r="P885" s="34"/>
      <c r="Q885" s="34"/>
      <c r="R885" s="34"/>
    </row>
    <row r="886" spans="13:18">
      <c r="M886" s="34"/>
      <c r="N886" s="34"/>
      <c r="O886" s="34"/>
      <c r="P886" s="34"/>
      <c r="Q886" s="34"/>
      <c r="R886" s="34"/>
    </row>
    <row r="887" spans="13:18">
      <c r="M887" s="34"/>
      <c r="N887" s="34"/>
      <c r="O887" s="34"/>
      <c r="P887" s="34"/>
      <c r="Q887" s="34"/>
      <c r="R887" s="34"/>
    </row>
    <row r="888" spans="13:18">
      <c r="M888" s="34"/>
      <c r="N888" s="34"/>
      <c r="O888" s="34"/>
      <c r="P888" s="34"/>
      <c r="Q888" s="34"/>
      <c r="R888" s="34"/>
    </row>
    <row r="889" spans="13:18">
      <c r="M889" s="34"/>
      <c r="N889" s="34"/>
      <c r="O889" s="34"/>
      <c r="P889" s="34"/>
      <c r="Q889" s="34"/>
      <c r="R889" s="34"/>
    </row>
    <row r="890" spans="13:18">
      <c r="M890" s="34"/>
      <c r="N890" s="34"/>
      <c r="O890" s="34"/>
      <c r="P890" s="34"/>
      <c r="Q890" s="34"/>
      <c r="R890" s="34"/>
    </row>
    <row r="891" spans="13:18">
      <c r="M891" s="34"/>
      <c r="N891" s="34"/>
      <c r="O891" s="34"/>
      <c r="P891" s="34"/>
      <c r="Q891" s="34"/>
      <c r="R891" s="34"/>
    </row>
    <row r="892" spans="13:18">
      <c r="M892" s="34"/>
      <c r="N892" s="34"/>
      <c r="O892" s="34"/>
      <c r="P892" s="34"/>
      <c r="Q892" s="34"/>
      <c r="R892" s="34"/>
    </row>
    <row r="893" spans="13:18">
      <c r="M893" s="34"/>
      <c r="N893" s="34"/>
      <c r="O893" s="34"/>
      <c r="P893" s="34"/>
      <c r="Q893" s="34"/>
      <c r="R893" s="34"/>
    </row>
    <row r="894" spans="13:18">
      <c r="M894" s="34"/>
      <c r="N894" s="34"/>
      <c r="O894" s="34"/>
      <c r="P894" s="34"/>
      <c r="Q894" s="34"/>
      <c r="R894" s="34"/>
    </row>
    <row r="895" spans="13:18">
      <c r="M895" s="34"/>
      <c r="N895" s="34"/>
      <c r="O895" s="34"/>
      <c r="P895" s="34"/>
      <c r="Q895" s="34"/>
      <c r="R895" s="34"/>
    </row>
    <row r="896" spans="13:18">
      <c r="M896" s="34"/>
      <c r="N896" s="34"/>
      <c r="O896" s="34"/>
      <c r="P896" s="34"/>
      <c r="Q896" s="34"/>
      <c r="R896" s="34"/>
    </row>
    <row r="897" spans="13:18">
      <c r="M897" s="34"/>
      <c r="N897" s="34"/>
      <c r="O897" s="34"/>
      <c r="P897" s="34"/>
      <c r="Q897" s="34"/>
      <c r="R897" s="34"/>
    </row>
    <row r="898" spans="13:18">
      <c r="M898" s="34"/>
      <c r="N898" s="34"/>
      <c r="O898" s="34"/>
      <c r="P898" s="34"/>
      <c r="Q898" s="34"/>
      <c r="R898" s="34"/>
    </row>
    <row r="899" spans="13:18">
      <c r="M899" s="34"/>
      <c r="N899" s="34"/>
      <c r="O899" s="34"/>
      <c r="P899" s="34"/>
      <c r="Q899" s="34"/>
      <c r="R899" s="34"/>
    </row>
    <row r="900" spans="13:18">
      <c r="M900" s="34"/>
      <c r="N900" s="34"/>
      <c r="O900" s="34"/>
      <c r="P900" s="34"/>
      <c r="Q900" s="34"/>
      <c r="R900" s="34"/>
    </row>
    <row r="901" spans="13:18">
      <c r="M901" s="34"/>
      <c r="N901" s="34"/>
      <c r="O901" s="34"/>
      <c r="P901" s="34"/>
      <c r="Q901" s="34"/>
      <c r="R901" s="34"/>
    </row>
    <row r="902" spans="13:18">
      <c r="M902" s="34"/>
      <c r="N902" s="34"/>
      <c r="O902" s="34"/>
      <c r="P902" s="34"/>
      <c r="Q902" s="34"/>
      <c r="R902" s="34"/>
    </row>
    <row r="903" spans="13:18">
      <c r="M903" s="34"/>
      <c r="N903" s="34"/>
      <c r="O903" s="34"/>
      <c r="P903" s="34"/>
      <c r="Q903" s="34"/>
      <c r="R903" s="34"/>
    </row>
    <row r="904" spans="13:18">
      <c r="M904" s="34"/>
      <c r="N904" s="34"/>
      <c r="O904" s="34"/>
      <c r="P904" s="34"/>
      <c r="Q904" s="34"/>
      <c r="R904" s="34"/>
    </row>
    <row r="905" spans="13:18">
      <c r="M905" s="34"/>
      <c r="N905" s="34"/>
      <c r="O905" s="34"/>
      <c r="P905" s="34"/>
      <c r="Q905" s="34"/>
      <c r="R905" s="34"/>
    </row>
    <row r="906" spans="13:18">
      <c r="M906" s="34"/>
      <c r="N906" s="34"/>
      <c r="O906" s="34"/>
      <c r="P906" s="34"/>
      <c r="Q906" s="34"/>
      <c r="R906" s="34"/>
    </row>
    <row r="907" spans="13:18">
      <c r="M907" s="34"/>
      <c r="N907" s="34"/>
      <c r="O907" s="34"/>
      <c r="P907" s="34"/>
      <c r="Q907" s="34"/>
      <c r="R907" s="34"/>
    </row>
    <row r="908" spans="13:18">
      <c r="M908" s="34"/>
      <c r="N908" s="34"/>
      <c r="O908" s="34"/>
      <c r="P908" s="34"/>
      <c r="Q908" s="34"/>
      <c r="R908" s="34"/>
    </row>
    <row r="909" spans="13:18">
      <c r="M909" s="34"/>
      <c r="N909" s="34"/>
      <c r="O909" s="34"/>
      <c r="P909" s="34"/>
      <c r="Q909" s="34"/>
      <c r="R909" s="34"/>
    </row>
    <row r="910" spans="13:18">
      <c r="M910" s="34"/>
      <c r="N910" s="34"/>
      <c r="O910" s="34"/>
      <c r="P910" s="34"/>
      <c r="Q910" s="34"/>
      <c r="R910" s="34"/>
    </row>
    <row r="911" spans="13:18">
      <c r="M911" s="34"/>
      <c r="N911" s="34"/>
      <c r="O911" s="34"/>
      <c r="P911" s="34"/>
      <c r="Q911" s="34"/>
      <c r="R911" s="34"/>
    </row>
    <row r="912" spans="13:18">
      <c r="M912" s="34"/>
      <c r="N912" s="34"/>
      <c r="O912" s="34"/>
      <c r="P912" s="34"/>
      <c r="Q912" s="34"/>
      <c r="R912" s="34"/>
    </row>
    <row r="913" spans="13:18">
      <c r="M913" s="34"/>
      <c r="N913" s="34"/>
      <c r="O913" s="34"/>
      <c r="P913" s="34"/>
      <c r="Q913" s="34"/>
      <c r="R913" s="34"/>
    </row>
    <row r="914" spans="13:18">
      <c r="M914" s="34"/>
      <c r="N914" s="34"/>
      <c r="O914" s="34"/>
      <c r="P914" s="34"/>
      <c r="Q914" s="34"/>
      <c r="R914" s="34"/>
    </row>
    <row r="915" spans="13:18">
      <c r="M915" s="34"/>
      <c r="N915" s="34"/>
      <c r="O915" s="34"/>
      <c r="P915" s="34"/>
      <c r="Q915" s="34"/>
      <c r="R915" s="34"/>
    </row>
    <row r="916" spans="13:18">
      <c r="M916" s="34"/>
      <c r="N916" s="34"/>
      <c r="O916" s="34"/>
      <c r="P916" s="34"/>
      <c r="Q916" s="34"/>
      <c r="R916" s="34"/>
    </row>
    <row r="917" spans="13:18">
      <c r="M917" s="34"/>
      <c r="N917" s="34"/>
      <c r="O917" s="34"/>
      <c r="P917" s="34"/>
      <c r="Q917" s="34"/>
      <c r="R917" s="34"/>
    </row>
    <row r="918" spans="13:18">
      <c r="M918" s="34"/>
      <c r="N918" s="34"/>
      <c r="O918" s="34"/>
      <c r="P918" s="34"/>
      <c r="Q918" s="34"/>
      <c r="R918" s="34"/>
    </row>
    <row r="919" spans="13:18">
      <c r="M919" s="34"/>
      <c r="N919" s="34"/>
      <c r="O919" s="34"/>
      <c r="P919" s="34"/>
      <c r="Q919" s="34"/>
      <c r="R919" s="34"/>
    </row>
    <row r="920" spans="13:18">
      <c r="M920" s="34"/>
      <c r="N920" s="34"/>
      <c r="O920" s="34"/>
      <c r="P920" s="34"/>
      <c r="Q920" s="34"/>
      <c r="R920" s="34"/>
    </row>
    <row r="921" spans="13:18">
      <c r="M921" s="34"/>
      <c r="N921" s="34"/>
      <c r="O921" s="34"/>
      <c r="P921" s="34"/>
      <c r="Q921" s="34"/>
      <c r="R921" s="34"/>
    </row>
    <row r="922" spans="13:18">
      <c r="M922" s="34"/>
      <c r="N922" s="34"/>
      <c r="O922" s="34"/>
      <c r="P922" s="34"/>
      <c r="Q922" s="34"/>
      <c r="R922" s="34"/>
    </row>
    <row r="923" spans="13:18">
      <c r="M923" s="34"/>
      <c r="N923" s="34"/>
      <c r="O923" s="34"/>
      <c r="P923" s="34"/>
      <c r="Q923" s="34"/>
      <c r="R923" s="34"/>
    </row>
    <row r="924" spans="13:18">
      <c r="M924" s="34"/>
      <c r="N924" s="34"/>
      <c r="O924" s="34"/>
      <c r="P924" s="34"/>
      <c r="Q924" s="34"/>
      <c r="R924" s="34"/>
    </row>
    <row r="925" spans="13:18">
      <c r="M925" s="34"/>
      <c r="N925" s="34"/>
      <c r="O925" s="34"/>
      <c r="P925" s="34"/>
      <c r="Q925" s="34"/>
      <c r="R925" s="34"/>
    </row>
    <row r="926" spans="13:18">
      <c r="M926" s="34"/>
      <c r="N926" s="34"/>
      <c r="O926" s="34"/>
      <c r="P926" s="34"/>
      <c r="Q926" s="34"/>
      <c r="R926" s="34"/>
    </row>
    <row r="927" spans="13:18">
      <c r="M927" s="34"/>
      <c r="N927" s="34"/>
      <c r="O927" s="34"/>
      <c r="P927" s="34"/>
      <c r="Q927" s="34"/>
      <c r="R927" s="34"/>
    </row>
    <row r="928" spans="13:18">
      <c r="M928" s="34"/>
      <c r="N928" s="34"/>
      <c r="O928" s="34"/>
      <c r="P928" s="34"/>
      <c r="Q928" s="34"/>
      <c r="R928" s="34"/>
    </row>
    <row r="929" spans="13:18">
      <c r="M929" s="34"/>
      <c r="N929" s="34"/>
      <c r="O929" s="34"/>
      <c r="P929" s="34"/>
      <c r="Q929" s="34"/>
      <c r="R929" s="34"/>
    </row>
    <row r="930" spans="13:18">
      <c r="M930" s="34"/>
      <c r="N930" s="34"/>
      <c r="O930" s="34"/>
      <c r="P930" s="34"/>
      <c r="Q930" s="34"/>
      <c r="R930" s="34"/>
    </row>
    <row r="931" spans="13:18">
      <c r="M931" s="34"/>
      <c r="N931" s="34"/>
      <c r="O931" s="34"/>
      <c r="P931" s="34"/>
      <c r="Q931" s="34"/>
      <c r="R931" s="34"/>
    </row>
    <row r="932" spans="13:18">
      <c r="M932" s="34"/>
      <c r="N932" s="34"/>
      <c r="O932" s="34"/>
      <c r="P932" s="34"/>
      <c r="Q932" s="34"/>
      <c r="R932" s="34"/>
    </row>
    <row r="933" spans="13:18">
      <c r="M933" s="34"/>
      <c r="N933" s="34"/>
      <c r="O933" s="34"/>
      <c r="P933" s="34"/>
      <c r="Q933" s="34"/>
      <c r="R933" s="34"/>
    </row>
    <row r="934" spans="13:18">
      <c r="M934" s="34"/>
      <c r="N934" s="34"/>
      <c r="O934" s="34"/>
      <c r="P934" s="34"/>
      <c r="Q934" s="34"/>
      <c r="R934" s="34"/>
    </row>
    <row r="935" spans="13:18">
      <c r="M935" s="34"/>
      <c r="N935" s="34"/>
      <c r="O935" s="34"/>
      <c r="P935" s="34"/>
      <c r="Q935" s="34"/>
      <c r="R935" s="34"/>
    </row>
    <row r="936" spans="13:18">
      <c r="M936" s="34"/>
      <c r="N936" s="34"/>
      <c r="O936" s="34"/>
      <c r="P936" s="34"/>
      <c r="Q936" s="34"/>
      <c r="R936" s="34"/>
    </row>
    <row r="937" spans="13:18">
      <c r="M937" s="34"/>
      <c r="N937" s="34"/>
      <c r="O937" s="34"/>
      <c r="P937" s="34"/>
      <c r="Q937" s="34"/>
      <c r="R937" s="34"/>
    </row>
    <row r="938" spans="13:18">
      <c r="M938" s="34"/>
      <c r="N938" s="34"/>
      <c r="O938" s="34"/>
      <c r="P938" s="34"/>
      <c r="Q938" s="34"/>
      <c r="R938" s="34"/>
    </row>
    <row r="939" spans="13:18">
      <c r="M939" s="34"/>
      <c r="N939" s="34"/>
      <c r="O939" s="34"/>
      <c r="P939" s="34"/>
      <c r="Q939" s="34"/>
      <c r="R939" s="34"/>
    </row>
    <row r="940" spans="13:18">
      <c r="M940" s="34"/>
      <c r="N940" s="34"/>
      <c r="O940" s="34"/>
      <c r="P940" s="34"/>
      <c r="Q940" s="34"/>
      <c r="R940" s="34"/>
    </row>
    <row r="941" spans="13:18">
      <c r="M941" s="34"/>
      <c r="N941" s="34"/>
      <c r="O941" s="34"/>
      <c r="P941" s="34"/>
      <c r="Q941" s="34"/>
      <c r="R941" s="34"/>
    </row>
    <row r="942" spans="13:18">
      <c r="M942" s="34"/>
      <c r="N942" s="34"/>
      <c r="O942" s="34"/>
      <c r="P942" s="34"/>
      <c r="Q942" s="34"/>
      <c r="R942" s="34"/>
    </row>
    <row r="943" spans="13:18">
      <c r="M943" s="34"/>
      <c r="N943" s="34"/>
      <c r="O943" s="34"/>
      <c r="P943" s="34"/>
      <c r="Q943" s="34"/>
      <c r="R943" s="34"/>
    </row>
    <row r="944" spans="13:18">
      <c r="M944" s="34"/>
      <c r="N944" s="34"/>
      <c r="O944" s="34"/>
      <c r="P944" s="34"/>
      <c r="Q944" s="34"/>
      <c r="R944" s="34"/>
    </row>
    <row r="945" spans="13:18">
      <c r="M945" s="34"/>
      <c r="N945" s="34"/>
      <c r="O945" s="34"/>
      <c r="P945" s="34"/>
      <c r="Q945" s="34"/>
      <c r="R945" s="34"/>
    </row>
    <row r="946" spans="13:18">
      <c r="M946" s="34"/>
      <c r="N946" s="34"/>
      <c r="O946" s="34"/>
      <c r="P946" s="34"/>
      <c r="Q946" s="34"/>
      <c r="R946" s="34"/>
    </row>
    <row r="947" spans="13:18">
      <c r="M947" s="34"/>
      <c r="N947" s="34"/>
      <c r="O947" s="34"/>
      <c r="P947" s="34"/>
      <c r="Q947" s="34"/>
      <c r="R947" s="34"/>
    </row>
    <row r="948" spans="13:18">
      <c r="M948" s="34"/>
      <c r="N948" s="34"/>
      <c r="O948" s="34"/>
      <c r="P948" s="34"/>
      <c r="Q948" s="34"/>
      <c r="R948" s="34"/>
    </row>
    <row r="949" spans="13:18">
      <c r="M949" s="34"/>
      <c r="N949" s="34"/>
      <c r="O949" s="34"/>
      <c r="P949" s="34"/>
      <c r="Q949" s="34"/>
      <c r="R949" s="34"/>
    </row>
    <row r="950" spans="13:18">
      <c r="M950" s="34"/>
      <c r="N950" s="34"/>
      <c r="O950" s="34"/>
      <c r="P950" s="34"/>
      <c r="Q950" s="34"/>
      <c r="R950" s="34"/>
    </row>
    <row r="951" spans="13:18">
      <c r="M951" s="34"/>
      <c r="N951" s="34"/>
      <c r="O951" s="34"/>
      <c r="P951" s="34"/>
      <c r="Q951" s="34"/>
      <c r="R951" s="34"/>
    </row>
    <row r="952" spans="13:18">
      <c r="M952" s="34"/>
      <c r="N952" s="34"/>
      <c r="O952" s="34"/>
      <c r="P952" s="34"/>
      <c r="Q952" s="34"/>
      <c r="R952" s="34"/>
    </row>
    <row r="953" spans="13:18">
      <c r="M953" s="34"/>
      <c r="N953" s="34"/>
      <c r="O953" s="34"/>
      <c r="P953" s="34"/>
      <c r="Q953" s="34"/>
      <c r="R953" s="34"/>
    </row>
    <row r="954" spans="13:18">
      <c r="M954" s="34"/>
      <c r="N954" s="34"/>
      <c r="O954" s="34"/>
      <c r="P954" s="34"/>
      <c r="Q954" s="34"/>
      <c r="R954" s="34"/>
    </row>
    <row r="955" spans="13:18">
      <c r="M955" s="34"/>
      <c r="N955" s="34"/>
      <c r="O955" s="34"/>
      <c r="P955" s="34"/>
      <c r="Q955" s="34"/>
      <c r="R955" s="34"/>
    </row>
    <row r="956" spans="13:18">
      <c r="M956" s="34"/>
      <c r="N956" s="34"/>
      <c r="O956" s="34"/>
      <c r="P956" s="34"/>
      <c r="Q956" s="34"/>
      <c r="R956" s="34"/>
    </row>
    <row r="957" spans="13:18">
      <c r="M957" s="34"/>
      <c r="N957" s="34"/>
      <c r="O957" s="34"/>
      <c r="P957" s="34"/>
      <c r="Q957" s="34"/>
      <c r="R957" s="34"/>
    </row>
    <row r="958" spans="13:18">
      <c r="M958" s="34"/>
      <c r="N958" s="34"/>
      <c r="O958" s="34"/>
      <c r="P958" s="34"/>
      <c r="Q958" s="34"/>
      <c r="R958" s="34"/>
    </row>
    <row r="959" spans="13:18">
      <c r="M959" s="34"/>
      <c r="N959" s="34"/>
      <c r="O959" s="34"/>
      <c r="P959" s="34"/>
      <c r="Q959" s="34"/>
      <c r="R959" s="34"/>
    </row>
    <row r="960" spans="13:18">
      <c r="M960" s="34"/>
      <c r="N960" s="34"/>
      <c r="O960" s="34"/>
      <c r="P960" s="34"/>
      <c r="Q960" s="34"/>
      <c r="R960" s="34"/>
    </row>
    <row r="961" spans="13:18">
      <c r="M961" s="34"/>
      <c r="N961" s="34"/>
      <c r="O961" s="34"/>
      <c r="P961" s="34"/>
      <c r="Q961" s="34"/>
      <c r="R961" s="34"/>
    </row>
    <row r="962" spans="13:18">
      <c r="M962" s="34"/>
      <c r="N962" s="34"/>
      <c r="O962" s="34"/>
      <c r="P962" s="34"/>
      <c r="Q962" s="34"/>
      <c r="R962" s="34"/>
    </row>
    <row r="963" spans="13:18">
      <c r="M963" s="34"/>
      <c r="N963" s="34"/>
      <c r="O963" s="34"/>
      <c r="P963" s="34"/>
      <c r="Q963" s="34"/>
      <c r="R963" s="34"/>
    </row>
    <row r="964" spans="13:18">
      <c r="M964" s="34"/>
      <c r="N964" s="34"/>
      <c r="O964" s="34"/>
      <c r="P964" s="34"/>
      <c r="Q964" s="34"/>
      <c r="R964" s="34"/>
    </row>
    <row r="965" spans="13:18">
      <c r="M965" s="34"/>
      <c r="N965" s="34"/>
      <c r="O965" s="34"/>
      <c r="P965" s="34"/>
      <c r="Q965" s="34"/>
      <c r="R965" s="34"/>
    </row>
    <row r="966" spans="13:18">
      <c r="M966" s="34"/>
      <c r="N966" s="34"/>
      <c r="O966" s="34"/>
      <c r="P966" s="34"/>
      <c r="Q966" s="34"/>
      <c r="R966" s="34"/>
    </row>
    <row r="967" spans="13:18">
      <c r="M967" s="34"/>
      <c r="N967" s="34"/>
      <c r="O967" s="34"/>
      <c r="P967" s="34"/>
      <c r="Q967" s="34"/>
      <c r="R967" s="34"/>
    </row>
    <row r="968" spans="13:18">
      <c r="M968" s="34"/>
      <c r="N968" s="34"/>
      <c r="O968" s="34"/>
      <c r="P968" s="34"/>
      <c r="Q968" s="34"/>
      <c r="R968" s="34"/>
    </row>
    <row r="969" spans="13:18">
      <c r="M969" s="34"/>
      <c r="N969" s="34"/>
      <c r="O969" s="34"/>
      <c r="P969" s="34"/>
      <c r="Q969" s="34"/>
      <c r="R969" s="34"/>
    </row>
    <row r="970" spans="13:18">
      <c r="M970" s="34"/>
      <c r="N970" s="34"/>
      <c r="O970" s="34"/>
      <c r="P970" s="34"/>
      <c r="Q970" s="34"/>
      <c r="R970" s="34"/>
    </row>
    <row r="971" spans="13:18">
      <c r="M971" s="34"/>
      <c r="N971" s="34"/>
      <c r="O971" s="34"/>
      <c r="P971" s="34"/>
      <c r="Q971" s="34"/>
      <c r="R971" s="34"/>
    </row>
    <row r="972" spans="13:18">
      <c r="M972" s="34"/>
      <c r="N972" s="34"/>
      <c r="O972" s="34"/>
      <c r="P972" s="34"/>
      <c r="Q972" s="34"/>
      <c r="R972" s="34"/>
    </row>
    <row r="973" spans="13:18">
      <c r="M973" s="34"/>
      <c r="N973" s="34"/>
      <c r="O973" s="34"/>
      <c r="P973" s="34"/>
      <c r="Q973" s="34"/>
      <c r="R973" s="34"/>
    </row>
    <row r="974" spans="13:18">
      <c r="M974" s="34"/>
      <c r="N974" s="34"/>
      <c r="O974" s="34"/>
      <c r="P974" s="34"/>
      <c r="Q974" s="34"/>
      <c r="R974" s="34"/>
    </row>
    <row r="975" spans="13:18">
      <c r="M975" s="34"/>
      <c r="N975" s="34"/>
      <c r="O975" s="34"/>
      <c r="P975" s="34"/>
      <c r="Q975" s="34"/>
      <c r="R975" s="34"/>
    </row>
    <row r="976" spans="13:18">
      <c r="M976" s="34"/>
      <c r="N976" s="34"/>
      <c r="O976" s="34"/>
      <c r="P976" s="34"/>
      <c r="Q976" s="34"/>
      <c r="R976" s="34"/>
    </row>
    <row r="977" spans="13:18">
      <c r="M977" s="34"/>
      <c r="N977" s="34"/>
      <c r="O977" s="34"/>
      <c r="P977" s="34"/>
      <c r="Q977" s="34"/>
      <c r="R977" s="34"/>
    </row>
    <row r="978" spans="13:18">
      <c r="M978" s="34"/>
      <c r="N978" s="34"/>
      <c r="O978" s="34"/>
      <c r="P978" s="34"/>
      <c r="Q978" s="34"/>
      <c r="R978" s="34"/>
    </row>
    <row r="979" spans="13:18">
      <c r="M979" s="34"/>
      <c r="N979" s="34"/>
      <c r="O979" s="34"/>
      <c r="P979" s="34"/>
      <c r="Q979" s="34"/>
      <c r="R979" s="34"/>
    </row>
    <row r="980" spans="13:18">
      <c r="M980" s="34"/>
      <c r="N980" s="34"/>
      <c r="O980" s="34"/>
      <c r="P980" s="34"/>
      <c r="Q980" s="34"/>
      <c r="R980" s="34"/>
    </row>
    <row r="981" spans="13:18">
      <c r="M981" s="34"/>
      <c r="N981" s="34"/>
      <c r="O981" s="34"/>
      <c r="P981" s="34"/>
      <c r="Q981" s="34"/>
      <c r="R981" s="34"/>
    </row>
    <row r="982" spans="13:18">
      <c r="M982" s="34"/>
      <c r="N982" s="34"/>
      <c r="O982" s="34"/>
      <c r="P982" s="34"/>
      <c r="Q982" s="34"/>
      <c r="R982" s="34"/>
    </row>
    <row r="983" spans="13:18">
      <c r="M983" s="34"/>
      <c r="N983" s="34"/>
      <c r="O983" s="34"/>
      <c r="P983" s="34"/>
      <c r="Q983" s="34"/>
      <c r="R983" s="34"/>
    </row>
    <row r="984" spans="13:18">
      <c r="M984" s="34"/>
      <c r="N984" s="34"/>
      <c r="O984" s="34"/>
      <c r="P984" s="34"/>
      <c r="Q984" s="34"/>
      <c r="R984" s="34"/>
    </row>
    <row r="985" spans="13:18">
      <c r="M985" s="34"/>
      <c r="N985" s="34"/>
      <c r="O985" s="34"/>
      <c r="P985" s="34"/>
      <c r="Q985" s="34"/>
      <c r="R985" s="34"/>
    </row>
    <row r="986" spans="13:18">
      <c r="M986" s="34"/>
      <c r="N986" s="34"/>
      <c r="O986" s="34"/>
      <c r="P986" s="34"/>
      <c r="Q986" s="34"/>
      <c r="R986" s="34"/>
    </row>
    <row r="987" spans="13:18">
      <c r="M987" s="34"/>
      <c r="N987" s="34"/>
      <c r="O987" s="34"/>
      <c r="P987" s="34"/>
      <c r="Q987" s="34"/>
      <c r="R987" s="34"/>
    </row>
    <row r="988" spans="13:18">
      <c r="M988" s="34"/>
      <c r="N988" s="34"/>
      <c r="O988" s="34"/>
      <c r="P988" s="34"/>
      <c r="Q988" s="34"/>
      <c r="R988" s="34"/>
    </row>
    <row r="989" spans="13:18">
      <c r="M989" s="34"/>
      <c r="N989" s="34"/>
      <c r="O989" s="34"/>
      <c r="P989" s="34"/>
      <c r="Q989" s="34"/>
      <c r="R989" s="34"/>
    </row>
    <row r="990" spans="13:18">
      <c r="M990" s="34"/>
      <c r="N990" s="34"/>
      <c r="O990" s="34"/>
      <c r="P990" s="34"/>
      <c r="Q990" s="34"/>
      <c r="R990" s="34"/>
    </row>
    <row r="991" spans="13:18">
      <c r="M991" s="34"/>
      <c r="N991" s="34"/>
      <c r="O991" s="34"/>
      <c r="P991" s="34"/>
      <c r="Q991" s="34"/>
      <c r="R991" s="34"/>
    </row>
    <row r="992" spans="13:18">
      <c r="M992" s="34"/>
      <c r="N992" s="34"/>
      <c r="O992" s="34"/>
      <c r="P992" s="34"/>
      <c r="Q992" s="34"/>
      <c r="R992" s="34"/>
    </row>
    <row r="993" spans="13:18">
      <c r="M993" s="34"/>
      <c r="N993" s="34"/>
      <c r="O993" s="34"/>
      <c r="P993" s="34"/>
      <c r="Q993" s="34"/>
      <c r="R993" s="34"/>
    </row>
    <row r="994" spans="13:18">
      <c r="M994" s="34"/>
      <c r="N994" s="34"/>
      <c r="O994" s="34"/>
      <c r="P994" s="34"/>
      <c r="Q994" s="34"/>
      <c r="R994" s="34"/>
    </row>
    <row r="995" spans="13:18">
      <c r="M995" s="34"/>
      <c r="N995" s="34"/>
      <c r="O995" s="34"/>
      <c r="P995" s="34"/>
      <c r="Q995" s="34"/>
      <c r="R995" s="34"/>
    </row>
    <row r="996" spans="13:18">
      <c r="M996" s="34"/>
      <c r="N996" s="34"/>
      <c r="O996" s="34"/>
      <c r="P996" s="34"/>
      <c r="Q996" s="34"/>
      <c r="R996" s="34"/>
    </row>
    <row r="997" spans="13:18">
      <c r="M997" s="34"/>
      <c r="N997" s="34"/>
      <c r="O997" s="34"/>
      <c r="P997" s="34"/>
      <c r="Q997" s="34"/>
      <c r="R997" s="34"/>
    </row>
    <row r="998" spans="13:18">
      <c r="M998" s="34"/>
      <c r="N998" s="34"/>
      <c r="O998" s="34"/>
      <c r="P998" s="34"/>
      <c r="Q998" s="34"/>
      <c r="R998" s="34"/>
    </row>
    <row r="999" spans="13:18">
      <c r="M999" s="34"/>
      <c r="N999" s="34"/>
      <c r="O999" s="34"/>
      <c r="P999" s="34"/>
      <c r="Q999" s="34"/>
      <c r="R999" s="34"/>
    </row>
    <row r="1000" spans="13:18">
      <c r="M1000" s="34"/>
      <c r="N1000" s="34"/>
      <c r="O1000" s="34"/>
      <c r="P1000" s="34"/>
      <c r="Q1000" s="34"/>
      <c r="R1000" s="34"/>
    </row>
    <row r="1001" spans="13:18">
      <c r="M1001" s="34"/>
      <c r="N1001" s="34"/>
      <c r="O1001" s="34"/>
      <c r="P1001" s="34"/>
      <c r="Q1001" s="34"/>
      <c r="R1001" s="34"/>
    </row>
    <row r="1002" spans="13:18">
      <c r="M1002" s="34"/>
      <c r="N1002" s="34"/>
      <c r="O1002" s="34"/>
      <c r="P1002" s="34"/>
      <c r="Q1002" s="34"/>
      <c r="R1002" s="34"/>
    </row>
    <row r="1003" spans="13:18">
      <c r="M1003" s="34"/>
      <c r="N1003" s="34"/>
      <c r="O1003" s="34"/>
      <c r="P1003" s="34"/>
      <c r="Q1003" s="34"/>
      <c r="R1003" s="34"/>
    </row>
    <row r="1004" spans="13:18">
      <c r="M1004" s="34"/>
      <c r="N1004" s="34"/>
      <c r="O1004" s="34"/>
      <c r="P1004" s="34"/>
      <c r="Q1004" s="34"/>
      <c r="R1004" s="34"/>
    </row>
    <row r="1005" spans="13:18">
      <c r="M1005" s="34"/>
      <c r="N1005" s="34"/>
      <c r="O1005" s="34"/>
      <c r="P1005" s="34"/>
      <c r="Q1005" s="34"/>
      <c r="R1005" s="34"/>
    </row>
    <row r="1006" spans="13:18">
      <c r="M1006" s="34"/>
      <c r="N1006" s="34"/>
      <c r="O1006" s="34"/>
      <c r="P1006" s="34"/>
      <c r="Q1006" s="34"/>
      <c r="R1006" s="34"/>
    </row>
    <row r="1007" spans="13:18">
      <c r="M1007" s="34"/>
      <c r="N1007" s="34"/>
      <c r="O1007" s="34"/>
      <c r="P1007" s="34"/>
      <c r="Q1007" s="34"/>
      <c r="R1007" s="34"/>
    </row>
    <row r="1008" spans="13:18">
      <c r="M1008" s="34"/>
      <c r="N1008" s="34"/>
      <c r="O1008" s="34"/>
      <c r="P1008" s="34"/>
      <c r="Q1008" s="34"/>
      <c r="R1008" s="34"/>
    </row>
    <row r="1009" spans="13:18">
      <c r="M1009" s="34"/>
      <c r="N1009" s="34"/>
      <c r="O1009" s="34"/>
      <c r="P1009" s="34"/>
      <c r="Q1009" s="34"/>
      <c r="R1009" s="34"/>
    </row>
    <row r="1010" spans="13:18">
      <c r="M1010" s="34"/>
      <c r="N1010" s="34"/>
      <c r="O1010" s="34"/>
      <c r="P1010" s="34"/>
      <c r="Q1010" s="34"/>
      <c r="R1010" s="34"/>
    </row>
    <row r="1011" spans="13:18">
      <c r="M1011" s="34"/>
      <c r="N1011" s="34"/>
      <c r="O1011" s="34"/>
      <c r="P1011" s="34"/>
      <c r="Q1011" s="34"/>
      <c r="R1011" s="34"/>
    </row>
    <row r="1012" spans="13:18">
      <c r="M1012" s="34"/>
      <c r="N1012" s="34"/>
      <c r="O1012" s="34"/>
      <c r="P1012" s="34"/>
      <c r="Q1012" s="34"/>
      <c r="R1012" s="34"/>
    </row>
    <row r="1013" spans="13:18">
      <c r="M1013" s="34"/>
      <c r="N1013" s="34"/>
      <c r="O1013" s="34"/>
      <c r="P1013" s="34"/>
      <c r="Q1013" s="34"/>
      <c r="R1013" s="34"/>
    </row>
    <row r="1014" spans="13:18">
      <c r="M1014" s="34"/>
      <c r="N1014" s="34"/>
      <c r="O1014" s="34"/>
      <c r="P1014" s="34"/>
      <c r="Q1014" s="34"/>
      <c r="R1014" s="34"/>
    </row>
    <row r="1015" spans="13:18">
      <c r="M1015" s="34"/>
      <c r="N1015" s="34"/>
      <c r="O1015" s="34"/>
      <c r="P1015" s="34"/>
      <c r="Q1015" s="34"/>
      <c r="R1015" s="34"/>
    </row>
    <row r="1016" spans="13:18">
      <c r="M1016" s="34"/>
      <c r="N1016" s="34"/>
      <c r="O1016" s="34"/>
      <c r="P1016" s="34"/>
      <c r="Q1016" s="34"/>
      <c r="R1016" s="34"/>
    </row>
    <row r="1017" spans="13:18">
      <c r="M1017" s="34"/>
      <c r="N1017" s="34"/>
      <c r="O1017" s="34"/>
      <c r="P1017" s="34"/>
      <c r="Q1017" s="34"/>
      <c r="R1017" s="34"/>
    </row>
    <row r="1018" spans="13:18">
      <c r="M1018" s="34"/>
      <c r="N1018" s="34"/>
      <c r="O1018" s="34"/>
      <c r="P1018" s="34"/>
      <c r="Q1018" s="34"/>
      <c r="R1018" s="34"/>
    </row>
    <row r="1019" spans="13:18">
      <c r="M1019" s="34"/>
      <c r="N1019" s="34"/>
      <c r="O1019" s="34"/>
      <c r="P1019" s="34"/>
      <c r="Q1019" s="34"/>
      <c r="R1019" s="34"/>
    </row>
    <row r="1020" spans="13:18">
      <c r="M1020" s="34"/>
      <c r="N1020" s="34"/>
      <c r="O1020" s="34"/>
      <c r="P1020" s="34"/>
      <c r="Q1020" s="34"/>
      <c r="R1020" s="34"/>
    </row>
    <row r="1021" spans="13:18">
      <c r="M1021" s="34"/>
      <c r="N1021" s="34"/>
      <c r="O1021" s="34"/>
      <c r="P1021" s="34"/>
      <c r="Q1021" s="34"/>
      <c r="R1021" s="34"/>
    </row>
    <row r="1022" spans="13:18">
      <c r="M1022" s="34"/>
      <c r="N1022" s="34"/>
      <c r="O1022" s="34"/>
      <c r="P1022" s="34"/>
      <c r="Q1022" s="34"/>
      <c r="R1022" s="34"/>
    </row>
    <row r="1023" spans="13:18">
      <c r="M1023" s="34"/>
      <c r="N1023" s="34"/>
      <c r="O1023" s="34"/>
      <c r="P1023" s="34"/>
      <c r="Q1023" s="34"/>
      <c r="R1023" s="34"/>
    </row>
    <row r="1024" spans="13:18">
      <c r="M1024" s="34"/>
      <c r="N1024" s="34"/>
      <c r="O1024" s="34"/>
      <c r="P1024" s="34"/>
      <c r="Q1024" s="34"/>
      <c r="R1024" s="34"/>
    </row>
    <row r="1025" spans="13:18">
      <c r="M1025" s="34"/>
      <c r="N1025" s="34"/>
      <c r="O1025" s="34"/>
      <c r="P1025" s="34"/>
      <c r="Q1025" s="34"/>
      <c r="R1025" s="34"/>
    </row>
    <row r="1026" spans="13:18">
      <c r="M1026" s="34"/>
      <c r="N1026" s="34"/>
      <c r="O1026" s="34"/>
      <c r="P1026" s="34"/>
      <c r="Q1026" s="34"/>
      <c r="R1026" s="34"/>
    </row>
    <row r="1027" spans="13:18">
      <c r="M1027" s="34"/>
      <c r="N1027" s="34"/>
      <c r="O1027" s="34"/>
      <c r="P1027" s="34"/>
      <c r="Q1027" s="34"/>
      <c r="R1027" s="34"/>
    </row>
    <row r="1028" spans="13:18">
      <c r="M1028" s="34"/>
      <c r="N1028" s="34"/>
      <c r="O1028" s="34"/>
      <c r="P1028" s="34"/>
      <c r="Q1028" s="34"/>
      <c r="R1028" s="34"/>
    </row>
    <row r="1029" spans="13:18">
      <c r="M1029" s="34"/>
      <c r="N1029" s="34"/>
      <c r="O1029" s="34"/>
      <c r="P1029" s="34"/>
      <c r="Q1029" s="34"/>
      <c r="R1029" s="34"/>
    </row>
    <row r="1030" spans="13:18">
      <c r="M1030" s="34"/>
      <c r="N1030" s="34"/>
      <c r="O1030" s="34"/>
      <c r="P1030" s="34"/>
      <c r="Q1030" s="34"/>
      <c r="R1030" s="34"/>
    </row>
    <row r="1031" spans="13:18">
      <c r="M1031" s="34"/>
      <c r="N1031" s="34"/>
      <c r="O1031" s="34"/>
      <c r="P1031" s="34"/>
      <c r="Q1031" s="34"/>
      <c r="R1031" s="34"/>
    </row>
    <row r="1032" spans="13:18">
      <c r="M1032" s="34"/>
      <c r="N1032" s="34"/>
      <c r="O1032" s="34"/>
      <c r="P1032" s="34"/>
      <c r="Q1032" s="34"/>
      <c r="R1032" s="34"/>
    </row>
    <row r="1033" spans="13:18">
      <c r="M1033" s="34"/>
      <c r="N1033" s="34"/>
      <c r="O1033" s="34"/>
      <c r="P1033" s="34"/>
      <c r="Q1033" s="34"/>
      <c r="R1033" s="34"/>
    </row>
    <row r="1034" spans="13:18">
      <c r="M1034" s="34"/>
      <c r="N1034" s="34"/>
      <c r="O1034" s="34"/>
      <c r="P1034" s="34"/>
      <c r="Q1034" s="34"/>
      <c r="R1034" s="34"/>
    </row>
    <row r="1035" spans="13:18">
      <c r="M1035" s="34"/>
      <c r="N1035" s="34"/>
      <c r="O1035" s="34"/>
      <c r="P1035" s="34"/>
      <c r="Q1035" s="34"/>
      <c r="R1035" s="34"/>
    </row>
    <row r="1036" spans="13:18">
      <c r="M1036" s="34"/>
      <c r="N1036" s="34"/>
      <c r="O1036" s="34"/>
      <c r="P1036" s="34"/>
      <c r="Q1036" s="34"/>
      <c r="R1036" s="34"/>
    </row>
    <row r="1037" spans="13:18">
      <c r="M1037" s="34"/>
      <c r="N1037" s="34"/>
      <c r="O1037" s="34"/>
      <c r="P1037" s="34"/>
      <c r="Q1037" s="34"/>
      <c r="R1037" s="34"/>
    </row>
    <row r="1038" spans="13:18">
      <c r="M1038" s="34"/>
      <c r="N1038" s="34"/>
      <c r="O1038" s="34"/>
      <c r="P1038" s="34"/>
      <c r="Q1038" s="34"/>
      <c r="R1038" s="34"/>
    </row>
    <row r="1039" spans="13:18">
      <c r="M1039" s="34"/>
      <c r="N1039" s="34"/>
      <c r="O1039" s="34"/>
      <c r="P1039" s="34"/>
      <c r="Q1039" s="34"/>
      <c r="R1039" s="34"/>
    </row>
    <row r="1040" spans="13:18">
      <c r="M1040" s="34"/>
      <c r="N1040" s="34"/>
      <c r="O1040" s="34"/>
      <c r="P1040" s="34"/>
      <c r="Q1040" s="34"/>
      <c r="R1040" s="34"/>
    </row>
    <row r="1041" spans="13:18">
      <c r="M1041" s="34"/>
      <c r="N1041" s="34"/>
      <c r="O1041" s="34"/>
      <c r="P1041" s="34"/>
      <c r="Q1041" s="34"/>
      <c r="R1041" s="34"/>
    </row>
    <row r="1042" spans="13:18">
      <c r="M1042" s="34"/>
      <c r="N1042" s="34"/>
      <c r="O1042" s="34"/>
      <c r="P1042" s="34"/>
      <c r="Q1042" s="34"/>
      <c r="R1042" s="34"/>
    </row>
    <row r="1043" spans="13:18">
      <c r="M1043" s="34"/>
      <c r="N1043" s="34"/>
      <c r="O1043" s="34"/>
      <c r="P1043" s="34"/>
      <c r="Q1043" s="34"/>
      <c r="R1043" s="34"/>
    </row>
    <row r="1044" spans="13:18">
      <c r="M1044" s="34"/>
      <c r="N1044" s="34"/>
      <c r="O1044" s="34"/>
      <c r="P1044" s="34"/>
      <c r="Q1044" s="34"/>
      <c r="R1044" s="34"/>
    </row>
    <row r="1045" spans="13:18">
      <c r="M1045" s="34"/>
      <c r="N1045" s="34"/>
      <c r="O1045" s="34"/>
      <c r="P1045" s="34"/>
      <c r="Q1045" s="34"/>
      <c r="R1045" s="34"/>
    </row>
    <row r="1046" spans="13:18">
      <c r="M1046" s="34"/>
      <c r="N1046" s="34"/>
      <c r="O1046" s="34"/>
      <c r="P1046" s="34"/>
      <c r="Q1046" s="34"/>
      <c r="R1046" s="34"/>
    </row>
    <row r="1047" spans="13:18">
      <c r="M1047" s="34"/>
      <c r="N1047" s="34"/>
      <c r="O1047" s="34"/>
      <c r="P1047" s="34"/>
      <c r="Q1047" s="34"/>
      <c r="R1047" s="34"/>
    </row>
    <row r="1048" spans="13:18">
      <c r="M1048" s="34"/>
      <c r="N1048" s="34"/>
      <c r="O1048" s="34"/>
      <c r="P1048" s="34"/>
      <c r="Q1048" s="34"/>
      <c r="R1048" s="34"/>
    </row>
    <row r="1049" spans="13:18">
      <c r="M1049" s="34"/>
      <c r="N1049" s="34"/>
      <c r="O1049" s="34"/>
      <c r="P1049" s="34"/>
      <c r="Q1049" s="34"/>
      <c r="R1049" s="34"/>
    </row>
    <row r="1050" spans="13:18">
      <c r="M1050" s="34"/>
      <c r="N1050" s="34"/>
      <c r="O1050" s="34"/>
      <c r="P1050" s="34"/>
      <c r="Q1050" s="34"/>
      <c r="R1050" s="34"/>
    </row>
    <row r="1051" spans="13:18">
      <c r="M1051" s="34"/>
      <c r="N1051" s="34"/>
      <c r="O1051" s="34"/>
      <c r="P1051" s="34"/>
      <c r="Q1051" s="34"/>
      <c r="R1051" s="34"/>
    </row>
    <row r="1052" spans="13:18">
      <c r="M1052" s="34"/>
      <c r="N1052" s="34"/>
      <c r="O1052" s="34"/>
      <c r="P1052" s="34"/>
      <c r="Q1052" s="34"/>
      <c r="R1052" s="34"/>
    </row>
    <row r="1053" spans="13:18">
      <c r="M1053" s="34"/>
      <c r="N1053" s="34"/>
      <c r="O1053" s="34"/>
      <c r="P1053" s="34"/>
      <c r="Q1053" s="34"/>
      <c r="R1053" s="34"/>
    </row>
    <row r="1054" spans="13:18">
      <c r="M1054" s="34"/>
      <c r="N1054" s="34"/>
      <c r="O1054" s="34"/>
      <c r="P1054" s="34"/>
      <c r="Q1054" s="34"/>
      <c r="R1054" s="34"/>
    </row>
    <row r="1055" spans="13:18">
      <c r="M1055" s="34"/>
      <c r="N1055" s="34"/>
      <c r="O1055" s="34"/>
      <c r="P1055" s="34"/>
      <c r="Q1055" s="34"/>
      <c r="R1055" s="34"/>
    </row>
    <row r="1056" spans="13:18">
      <c r="M1056" s="34"/>
      <c r="N1056" s="34"/>
      <c r="O1056" s="34"/>
      <c r="P1056" s="34"/>
      <c r="Q1056" s="34"/>
      <c r="R1056" s="34"/>
    </row>
    <row r="1057" spans="13:18">
      <c r="M1057" s="34"/>
      <c r="N1057" s="34"/>
      <c r="O1057" s="34"/>
      <c r="P1057" s="34"/>
      <c r="Q1057" s="34"/>
      <c r="R1057" s="34"/>
    </row>
    <row r="1058" spans="13:18">
      <c r="M1058" s="34"/>
      <c r="N1058" s="34"/>
      <c r="O1058" s="34"/>
      <c r="P1058" s="34"/>
      <c r="Q1058" s="34"/>
      <c r="R1058" s="34"/>
    </row>
    <row r="1059" spans="13:18">
      <c r="M1059" s="34"/>
      <c r="N1059" s="34"/>
      <c r="O1059" s="34"/>
      <c r="P1059" s="34"/>
      <c r="Q1059" s="34"/>
      <c r="R1059" s="34"/>
    </row>
    <row r="1060" spans="13:18">
      <c r="M1060" s="34"/>
      <c r="N1060" s="34"/>
      <c r="O1060" s="34"/>
      <c r="P1060" s="34"/>
      <c r="Q1060" s="34"/>
      <c r="R1060" s="34"/>
    </row>
    <row r="1061" spans="13:18">
      <c r="M1061" s="34"/>
      <c r="N1061" s="34"/>
      <c r="O1061" s="34"/>
      <c r="P1061" s="34"/>
      <c r="Q1061" s="34"/>
      <c r="R1061" s="34"/>
    </row>
    <row r="1062" spans="13:18">
      <c r="M1062" s="34"/>
      <c r="N1062" s="34"/>
      <c r="O1062" s="34"/>
      <c r="P1062" s="34"/>
      <c r="Q1062" s="34"/>
      <c r="R1062" s="34"/>
    </row>
    <row r="1063" spans="13:18">
      <c r="M1063" s="34"/>
      <c r="N1063" s="34"/>
      <c r="O1063" s="34"/>
      <c r="P1063" s="34"/>
      <c r="Q1063" s="34"/>
      <c r="R1063" s="34"/>
    </row>
    <row r="1064" spans="13:18">
      <c r="M1064" s="34"/>
      <c r="N1064" s="34"/>
      <c r="O1064" s="34"/>
      <c r="P1064" s="34"/>
      <c r="Q1064" s="34"/>
      <c r="R1064" s="34"/>
    </row>
    <row r="1065" spans="13:18">
      <c r="M1065" s="34"/>
      <c r="N1065" s="34"/>
      <c r="O1065" s="34"/>
      <c r="P1065" s="34"/>
      <c r="Q1065" s="34"/>
      <c r="R1065" s="34"/>
    </row>
    <row r="1066" spans="13:18">
      <c r="M1066" s="34"/>
      <c r="N1066" s="34"/>
      <c r="O1066" s="34"/>
      <c r="P1066" s="34"/>
      <c r="Q1066" s="34"/>
      <c r="R1066" s="34"/>
    </row>
    <row r="1067" spans="13:18">
      <c r="M1067" s="34"/>
      <c r="N1067" s="34"/>
      <c r="O1067" s="34"/>
      <c r="P1067" s="34"/>
      <c r="Q1067" s="34"/>
      <c r="R1067" s="34"/>
    </row>
    <row r="1068" spans="13:18">
      <c r="M1068" s="34"/>
      <c r="N1068" s="34"/>
      <c r="O1068" s="34"/>
      <c r="P1068" s="34"/>
      <c r="Q1068" s="34"/>
      <c r="R1068" s="34"/>
    </row>
    <row r="1069" spans="13:18">
      <c r="M1069" s="34"/>
      <c r="N1069" s="34"/>
      <c r="O1069" s="34"/>
      <c r="P1069" s="34"/>
      <c r="Q1069" s="34"/>
      <c r="R1069" s="34"/>
    </row>
    <row r="1070" spans="13:18">
      <c r="M1070" s="34"/>
      <c r="N1070" s="34"/>
      <c r="O1070" s="34"/>
      <c r="P1070" s="34"/>
      <c r="Q1070" s="34"/>
      <c r="R1070" s="34"/>
    </row>
    <row r="1071" spans="13:18">
      <c r="M1071" s="34"/>
      <c r="N1071" s="34"/>
      <c r="O1071" s="34"/>
      <c r="P1071" s="34"/>
      <c r="Q1071" s="34"/>
      <c r="R1071" s="34"/>
    </row>
    <row r="1072" spans="13:18">
      <c r="M1072" s="34"/>
      <c r="N1072" s="34"/>
      <c r="O1072" s="34"/>
      <c r="P1072" s="34"/>
      <c r="Q1072" s="34"/>
      <c r="R1072" s="34"/>
    </row>
    <row r="1073" spans="13:18">
      <c r="M1073" s="34"/>
      <c r="N1073" s="34"/>
      <c r="O1073" s="34"/>
      <c r="P1073" s="34"/>
      <c r="Q1073" s="34"/>
      <c r="R1073" s="34"/>
    </row>
    <row r="1074" spans="13:18">
      <c r="M1074" s="34"/>
      <c r="N1074" s="34"/>
      <c r="O1074" s="34"/>
      <c r="P1074" s="34"/>
      <c r="Q1074" s="34"/>
      <c r="R1074" s="34"/>
    </row>
    <row r="1075" spans="13:18">
      <c r="M1075" s="34"/>
      <c r="N1075" s="34"/>
      <c r="O1075" s="34"/>
      <c r="P1075" s="34"/>
      <c r="Q1075" s="34"/>
      <c r="R1075" s="34"/>
    </row>
    <row r="1076" spans="13:18">
      <c r="M1076" s="34"/>
      <c r="N1076" s="34"/>
      <c r="O1076" s="34"/>
      <c r="P1076" s="34"/>
      <c r="Q1076" s="34"/>
      <c r="R1076" s="34"/>
    </row>
    <row r="1077" spans="13:18">
      <c r="M1077" s="34"/>
      <c r="N1077" s="34"/>
      <c r="O1077" s="34"/>
      <c r="P1077" s="34"/>
      <c r="Q1077" s="34"/>
      <c r="R1077" s="34"/>
    </row>
    <row r="1078" spans="13:18">
      <c r="M1078" s="34"/>
      <c r="N1078" s="34"/>
      <c r="O1078" s="34"/>
      <c r="P1078" s="34"/>
      <c r="Q1078" s="34"/>
      <c r="R1078" s="34"/>
    </row>
    <row r="1079" spans="13:18">
      <c r="M1079" s="34"/>
      <c r="N1079" s="34"/>
      <c r="O1079" s="34"/>
      <c r="P1079" s="34"/>
      <c r="Q1079" s="34"/>
      <c r="R1079" s="34"/>
    </row>
    <row r="1080" spans="13:18">
      <c r="M1080" s="34"/>
      <c r="N1080" s="34"/>
      <c r="O1080" s="34"/>
      <c r="P1080" s="34"/>
      <c r="Q1080" s="34"/>
      <c r="R1080" s="34"/>
    </row>
    <row r="1081" spans="13:18">
      <c r="M1081" s="34"/>
      <c r="N1081" s="34"/>
      <c r="O1081" s="34"/>
      <c r="P1081" s="34"/>
      <c r="Q1081" s="34"/>
      <c r="R1081" s="34"/>
    </row>
    <row r="1082" spans="13:18">
      <c r="M1082" s="34"/>
      <c r="N1082" s="34"/>
      <c r="O1082" s="34"/>
      <c r="P1082" s="34"/>
      <c r="Q1082" s="34"/>
      <c r="R1082" s="34"/>
    </row>
    <row r="1083" spans="13:18">
      <c r="M1083" s="34"/>
      <c r="N1083" s="34"/>
      <c r="O1083" s="34"/>
      <c r="P1083" s="34"/>
      <c r="Q1083" s="34"/>
      <c r="R1083" s="34"/>
    </row>
    <row r="1084" spans="13:18">
      <c r="M1084" s="34"/>
      <c r="N1084" s="34"/>
      <c r="O1084" s="34"/>
      <c r="P1084" s="34"/>
      <c r="Q1084" s="34"/>
      <c r="R1084" s="34"/>
    </row>
    <row r="1085" spans="13:18">
      <c r="M1085" s="34"/>
      <c r="N1085" s="34"/>
      <c r="O1085" s="34"/>
      <c r="P1085" s="34"/>
      <c r="Q1085" s="34"/>
      <c r="R1085" s="34"/>
    </row>
    <row r="1086" spans="13:18">
      <c r="M1086" s="34"/>
      <c r="N1086" s="34"/>
      <c r="O1086" s="34"/>
      <c r="P1086" s="34"/>
      <c r="Q1086" s="34"/>
      <c r="R1086" s="34"/>
    </row>
    <row r="1087" spans="13:18">
      <c r="M1087" s="34"/>
      <c r="N1087" s="34"/>
      <c r="O1087" s="34"/>
      <c r="P1087" s="34"/>
      <c r="Q1087" s="34"/>
      <c r="R1087" s="34"/>
    </row>
    <row r="1088" spans="13:18">
      <c r="M1088" s="34"/>
      <c r="N1088" s="34"/>
      <c r="O1088" s="34"/>
      <c r="P1088" s="34"/>
      <c r="Q1088" s="34"/>
      <c r="R1088" s="34"/>
    </row>
    <row r="1089" spans="13:18">
      <c r="M1089" s="34"/>
      <c r="N1089" s="34"/>
      <c r="O1089" s="34"/>
      <c r="P1089" s="34"/>
      <c r="Q1089" s="34"/>
      <c r="R1089" s="34"/>
    </row>
    <row r="1090" spans="13:18">
      <c r="M1090" s="34"/>
      <c r="N1090" s="34"/>
      <c r="O1090" s="34"/>
      <c r="P1090" s="34"/>
      <c r="Q1090" s="34"/>
      <c r="R1090" s="34"/>
    </row>
    <row r="1091" spans="13:18">
      <c r="M1091" s="34"/>
      <c r="N1091" s="34"/>
      <c r="O1091" s="34"/>
      <c r="P1091" s="34"/>
      <c r="Q1091" s="34"/>
      <c r="R1091" s="34"/>
    </row>
    <row r="1092" spans="13:18">
      <c r="M1092" s="34"/>
      <c r="N1092" s="34"/>
      <c r="O1092" s="34"/>
      <c r="P1092" s="34"/>
      <c r="Q1092" s="34"/>
      <c r="R1092" s="34"/>
    </row>
    <row r="1093" spans="13:18">
      <c r="M1093" s="34"/>
      <c r="N1093" s="34"/>
      <c r="O1093" s="34"/>
      <c r="P1093" s="34"/>
      <c r="Q1093" s="34"/>
      <c r="R1093" s="34"/>
    </row>
    <row r="1094" spans="13:18">
      <c r="M1094" s="34"/>
      <c r="N1094" s="34"/>
      <c r="O1094" s="34"/>
      <c r="P1094" s="34"/>
      <c r="Q1094" s="34"/>
      <c r="R1094" s="34"/>
    </row>
    <row r="1095" spans="13:18">
      <c r="M1095" s="34"/>
      <c r="N1095" s="34"/>
      <c r="O1095" s="34"/>
      <c r="P1095" s="34"/>
      <c r="Q1095" s="34"/>
      <c r="R1095" s="34"/>
    </row>
    <row r="1096" spans="13:18">
      <c r="M1096" s="34"/>
      <c r="N1096" s="34"/>
      <c r="O1096" s="34"/>
      <c r="P1096" s="34"/>
      <c r="Q1096" s="34"/>
      <c r="R1096" s="34"/>
    </row>
    <row r="1097" spans="13:18">
      <c r="M1097" s="34"/>
      <c r="N1097" s="34"/>
      <c r="O1097" s="34"/>
      <c r="P1097" s="34"/>
      <c r="Q1097" s="34"/>
      <c r="R1097" s="34"/>
    </row>
    <row r="1098" spans="13:18">
      <c r="M1098" s="34"/>
      <c r="N1098" s="34"/>
      <c r="O1098" s="34"/>
      <c r="P1098" s="34"/>
      <c r="Q1098" s="34"/>
      <c r="R1098" s="34"/>
    </row>
    <row r="1099" spans="13:18">
      <c r="M1099" s="34"/>
      <c r="N1099" s="34"/>
      <c r="O1099" s="34"/>
      <c r="P1099" s="34"/>
      <c r="Q1099" s="34"/>
      <c r="R1099" s="34"/>
    </row>
    <row r="1100" spans="13:18">
      <c r="M1100" s="34"/>
      <c r="N1100" s="34"/>
      <c r="O1100" s="34"/>
      <c r="P1100" s="34"/>
      <c r="Q1100" s="34"/>
      <c r="R1100" s="34"/>
    </row>
    <row r="1101" spans="13:18">
      <c r="M1101" s="34"/>
      <c r="N1101" s="34"/>
      <c r="O1101" s="34"/>
      <c r="P1101" s="34"/>
      <c r="Q1101" s="34"/>
      <c r="R1101" s="34"/>
    </row>
    <row r="1102" spans="13:18">
      <c r="M1102" s="34"/>
      <c r="N1102" s="34"/>
      <c r="O1102" s="34"/>
      <c r="P1102" s="34"/>
      <c r="Q1102" s="34"/>
      <c r="R1102" s="34"/>
    </row>
    <row r="1103" spans="13:18">
      <c r="M1103" s="34"/>
      <c r="N1103" s="34"/>
      <c r="O1103" s="34"/>
      <c r="P1103" s="34"/>
      <c r="Q1103" s="34"/>
      <c r="R1103" s="34"/>
    </row>
    <row r="1104" spans="13:18">
      <c r="M1104" s="34"/>
      <c r="N1104" s="34"/>
      <c r="O1104" s="34"/>
      <c r="P1104" s="34"/>
      <c r="Q1104" s="34"/>
      <c r="R1104" s="34"/>
    </row>
    <row r="1105" spans="13:18">
      <c r="M1105" s="34"/>
      <c r="N1105" s="34"/>
      <c r="O1105" s="34"/>
      <c r="P1105" s="34"/>
      <c r="Q1105" s="34"/>
      <c r="R1105" s="34"/>
    </row>
    <row r="1106" spans="13:18">
      <c r="M1106" s="34"/>
      <c r="N1106" s="34"/>
      <c r="O1106" s="34"/>
      <c r="P1106" s="34"/>
      <c r="Q1106" s="34"/>
      <c r="R1106" s="34"/>
    </row>
    <row r="1107" spans="13:18">
      <c r="M1107" s="34"/>
      <c r="N1107" s="34"/>
      <c r="O1107" s="34"/>
      <c r="P1107" s="34"/>
      <c r="Q1107" s="34"/>
      <c r="R1107" s="34"/>
    </row>
    <row r="1108" spans="13:18">
      <c r="M1108" s="34"/>
      <c r="N1108" s="34"/>
      <c r="O1108" s="34"/>
      <c r="P1108" s="34"/>
      <c r="Q1108" s="34"/>
      <c r="R1108" s="34"/>
    </row>
    <row r="1109" spans="13:18">
      <c r="M1109" s="34"/>
      <c r="N1109" s="34"/>
      <c r="O1109" s="34"/>
      <c r="P1109" s="34"/>
      <c r="Q1109" s="34"/>
      <c r="R1109" s="34"/>
    </row>
    <row r="1110" spans="13:18">
      <c r="M1110" s="34"/>
      <c r="N1110" s="34"/>
      <c r="O1110" s="34"/>
      <c r="P1110" s="34"/>
      <c r="Q1110" s="34"/>
      <c r="R1110" s="34"/>
    </row>
    <row r="1111" spans="13:18">
      <c r="M1111" s="34"/>
      <c r="N1111" s="34"/>
      <c r="O1111" s="34"/>
      <c r="P1111" s="34"/>
      <c r="Q1111" s="34"/>
      <c r="R1111" s="34"/>
    </row>
    <row r="1112" spans="13:18">
      <c r="M1112" s="34"/>
      <c r="N1112" s="34"/>
      <c r="O1112" s="34"/>
      <c r="P1112" s="34"/>
      <c r="Q1112" s="34"/>
      <c r="R1112" s="34"/>
    </row>
    <row r="1113" spans="13:18">
      <c r="M1113" s="34"/>
      <c r="N1113" s="34"/>
      <c r="O1113" s="34"/>
      <c r="P1113" s="34"/>
      <c r="Q1113" s="34"/>
      <c r="R1113" s="34"/>
    </row>
    <row r="1114" spans="13:18">
      <c r="M1114" s="34"/>
      <c r="N1114" s="34"/>
      <c r="O1114" s="34"/>
      <c r="P1114" s="34"/>
      <c r="Q1114" s="34"/>
      <c r="R1114" s="34"/>
    </row>
    <row r="1115" spans="13:18">
      <c r="M1115" s="34"/>
      <c r="N1115" s="34"/>
      <c r="O1115" s="34"/>
      <c r="P1115" s="34"/>
      <c r="Q1115" s="34"/>
      <c r="R1115" s="34"/>
    </row>
    <row r="1116" spans="13:18">
      <c r="M1116" s="34"/>
      <c r="N1116" s="34"/>
      <c r="O1116" s="34"/>
      <c r="P1116" s="34"/>
      <c r="Q1116" s="34"/>
      <c r="R1116" s="34"/>
    </row>
    <row r="1117" spans="13:18">
      <c r="M1117" s="34"/>
      <c r="N1117" s="34"/>
      <c r="O1117" s="34"/>
      <c r="P1117" s="34"/>
      <c r="Q1117" s="34"/>
      <c r="R1117" s="34"/>
    </row>
    <row r="1118" spans="13:18">
      <c r="M1118" s="34"/>
      <c r="N1118" s="34"/>
      <c r="O1118" s="34"/>
      <c r="P1118" s="34"/>
      <c r="Q1118" s="34"/>
      <c r="R1118" s="34"/>
    </row>
    <row r="1119" spans="13:18">
      <c r="M1119" s="34"/>
      <c r="N1119" s="34"/>
      <c r="O1119" s="34"/>
      <c r="P1119" s="34"/>
      <c r="Q1119" s="34"/>
      <c r="R1119" s="34"/>
    </row>
    <row r="1120" spans="13:18">
      <c r="M1120" s="34"/>
      <c r="N1120" s="34"/>
      <c r="O1120" s="34"/>
      <c r="P1120" s="34"/>
      <c r="Q1120" s="34"/>
      <c r="R1120" s="34"/>
    </row>
    <row r="1121" spans="13:18">
      <c r="M1121" s="34"/>
      <c r="N1121" s="34"/>
      <c r="O1121" s="34"/>
      <c r="P1121" s="34"/>
      <c r="Q1121" s="34"/>
      <c r="R1121" s="34"/>
    </row>
    <row r="1122" spans="13:18">
      <c r="M1122" s="34"/>
      <c r="N1122" s="34"/>
      <c r="O1122" s="34"/>
      <c r="P1122" s="34"/>
      <c r="Q1122" s="34"/>
      <c r="R1122" s="34"/>
    </row>
    <row r="1123" spans="13:18">
      <c r="M1123" s="34"/>
      <c r="N1123" s="34"/>
      <c r="O1123" s="34"/>
      <c r="P1123" s="34"/>
      <c r="Q1123" s="34"/>
      <c r="R1123" s="34"/>
    </row>
    <row r="1124" spans="13:18">
      <c r="M1124" s="34"/>
      <c r="N1124" s="34"/>
      <c r="O1124" s="34"/>
      <c r="P1124" s="34"/>
      <c r="Q1124" s="34"/>
      <c r="R1124" s="34"/>
    </row>
    <row r="1125" spans="13:18">
      <c r="M1125" s="34"/>
      <c r="N1125" s="34"/>
      <c r="O1125" s="34"/>
      <c r="P1125" s="34"/>
      <c r="Q1125" s="34"/>
      <c r="R1125" s="34"/>
    </row>
    <row r="1126" spans="13:18">
      <c r="M1126" s="34"/>
      <c r="N1126" s="34"/>
      <c r="O1126" s="34"/>
      <c r="P1126" s="34"/>
      <c r="Q1126" s="34"/>
      <c r="R1126" s="34"/>
    </row>
    <row r="1127" spans="13:18">
      <c r="M1127" s="34"/>
      <c r="N1127" s="34"/>
      <c r="O1127" s="34"/>
      <c r="P1127" s="34"/>
      <c r="Q1127" s="34"/>
      <c r="R1127" s="34"/>
    </row>
    <row r="1128" spans="13:18">
      <c r="M1128" s="34"/>
      <c r="N1128" s="34"/>
      <c r="O1128" s="34"/>
      <c r="P1128" s="34"/>
      <c r="Q1128" s="34"/>
      <c r="R1128" s="34"/>
    </row>
    <row r="1129" spans="13:18">
      <c r="M1129" s="34"/>
      <c r="N1129" s="34"/>
      <c r="O1129" s="34"/>
      <c r="P1129" s="34"/>
      <c r="Q1129" s="34"/>
      <c r="R1129" s="34"/>
    </row>
    <row r="1130" spans="13:18">
      <c r="M1130" s="34"/>
      <c r="N1130" s="34"/>
      <c r="O1130" s="34"/>
      <c r="P1130" s="34"/>
      <c r="Q1130" s="34"/>
      <c r="R1130" s="34"/>
    </row>
    <row r="1131" spans="13:18">
      <c r="M1131" s="34"/>
      <c r="N1131" s="34"/>
      <c r="O1131" s="34"/>
      <c r="P1131" s="34"/>
      <c r="Q1131" s="34"/>
      <c r="R1131" s="34"/>
    </row>
    <row r="1132" spans="13:18">
      <c r="M1132" s="34"/>
      <c r="N1132" s="34"/>
      <c r="O1132" s="34"/>
      <c r="P1132" s="34"/>
      <c r="Q1132" s="34"/>
      <c r="R1132" s="34"/>
    </row>
    <row r="1133" spans="13:18">
      <c r="M1133" s="34"/>
      <c r="N1133" s="34"/>
      <c r="O1133" s="34"/>
      <c r="P1133" s="34"/>
      <c r="Q1133" s="34"/>
      <c r="R1133" s="34"/>
    </row>
    <row r="1134" spans="13:18">
      <c r="M1134" s="34"/>
      <c r="N1134" s="34"/>
      <c r="O1134" s="34"/>
      <c r="P1134" s="34"/>
      <c r="Q1134" s="34"/>
      <c r="R1134" s="34"/>
    </row>
    <row r="1135" spans="13:18">
      <c r="M1135" s="34"/>
      <c r="N1135" s="34"/>
      <c r="O1135" s="34"/>
      <c r="P1135" s="34"/>
      <c r="Q1135" s="34"/>
      <c r="R1135" s="34"/>
    </row>
    <row r="1136" spans="13:18">
      <c r="M1136" s="34"/>
      <c r="N1136" s="34"/>
      <c r="O1136" s="34"/>
      <c r="P1136" s="34"/>
      <c r="Q1136" s="34"/>
      <c r="R1136" s="34"/>
    </row>
    <row r="1137" spans="13:18">
      <c r="M1137" s="34"/>
      <c r="N1137" s="34"/>
      <c r="O1137" s="34"/>
      <c r="P1137" s="34"/>
      <c r="Q1137" s="34"/>
      <c r="R1137" s="34"/>
    </row>
    <row r="1138" spans="13:18">
      <c r="M1138" s="34"/>
      <c r="N1138" s="34"/>
      <c r="O1138" s="34"/>
      <c r="P1138" s="34"/>
      <c r="Q1138" s="34"/>
      <c r="R1138" s="34"/>
    </row>
    <row r="1139" spans="13:18">
      <c r="M1139" s="34"/>
      <c r="N1139" s="34"/>
      <c r="O1139" s="34"/>
      <c r="P1139" s="34"/>
      <c r="Q1139" s="34"/>
      <c r="R1139" s="34"/>
    </row>
    <row r="1140" spans="13:18">
      <c r="M1140" s="34"/>
      <c r="N1140" s="34"/>
      <c r="O1140" s="34"/>
      <c r="P1140" s="34"/>
      <c r="Q1140" s="34"/>
      <c r="R1140" s="34"/>
    </row>
    <row r="1141" spans="13:18">
      <c r="M1141" s="34"/>
      <c r="N1141" s="34"/>
      <c r="O1141" s="34"/>
      <c r="P1141" s="34"/>
      <c r="Q1141" s="34"/>
      <c r="R1141" s="34"/>
    </row>
    <row r="1142" spans="13:18">
      <c r="M1142" s="34"/>
      <c r="N1142" s="34"/>
      <c r="O1142" s="34"/>
      <c r="P1142" s="34"/>
      <c r="Q1142" s="34"/>
      <c r="R1142" s="34"/>
    </row>
    <row r="1143" spans="13:18">
      <c r="M1143" s="34"/>
      <c r="N1143" s="34"/>
      <c r="O1143" s="34"/>
      <c r="P1143" s="34"/>
      <c r="Q1143" s="34"/>
      <c r="R1143" s="34"/>
    </row>
    <row r="1144" spans="13:18">
      <c r="M1144" s="34"/>
      <c r="N1144" s="34"/>
      <c r="O1144" s="34"/>
      <c r="P1144" s="34"/>
      <c r="Q1144" s="34"/>
      <c r="R1144" s="34"/>
    </row>
    <row r="1145" spans="13:18">
      <c r="M1145" s="34"/>
      <c r="N1145" s="34"/>
      <c r="O1145" s="34"/>
      <c r="P1145" s="34"/>
      <c r="Q1145" s="34"/>
      <c r="R1145" s="34"/>
    </row>
    <row r="1146" spans="13:18">
      <c r="M1146" s="34"/>
      <c r="N1146" s="34"/>
      <c r="O1146" s="34"/>
      <c r="P1146" s="34"/>
      <c r="Q1146" s="34"/>
      <c r="R1146" s="34"/>
    </row>
    <row r="1147" spans="13:18">
      <c r="M1147" s="34"/>
      <c r="N1147" s="34"/>
      <c r="O1147" s="34"/>
      <c r="P1147" s="34"/>
      <c r="Q1147" s="34"/>
      <c r="R1147" s="34"/>
    </row>
    <row r="1148" spans="13:18">
      <c r="M1148" s="34"/>
      <c r="N1148" s="34"/>
      <c r="O1148" s="34"/>
      <c r="P1148" s="34"/>
      <c r="Q1148" s="34"/>
      <c r="R1148" s="34"/>
    </row>
    <row r="1149" spans="13:18">
      <c r="M1149" s="34"/>
      <c r="N1149" s="34"/>
      <c r="O1149" s="34"/>
      <c r="P1149" s="34"/>
      <c r="Q1149" s="34"/>
      <c r="R1149" s="34"/>
    </row>
    <row r="1150" spans="13:18">
      <c r="M1150" s="34"/>
      <c r="N1150" s="34"/>
      <c r="O1150" s="34"/>
      <c r="P1150" s="34"/>
      <c r="Q1150" s="34"/>
      <c r="R1150" s="34"/>
    </row>
    <row r="1151" spans="13:18">
      <c r="M1151" s="34"/>
      <c r="N1151" s="34"/>
      <c r="O1151" s="34"/>
      <c r="P1151" s="34"/>
      <c r="Q1151" s="34"/>
      <c r="R1151" s="34"/>
    </row>
    <row r="1152" spans="13:18">
      <c r="M1152" s="34"/>
      <c r="N1152" s="34"/>
      <c r="O1152" s="34"/>
      <c r="P1152" s="34"/>
      <c r="Q1152" s="34"/>
      <c r="R1152" s="34"/>
    </row>
    <row r="1153" spans="13:18">
      <c r="M1153" s="34"/>
      <c r="N1153" s="34"/>
      <c r="O1153" s="34"/>
      <c r="P1153" s="34"/>
      <c r="Q1153" s="34"/>
      <c r="R1153" s="34"/>
    </row>
    <row r="1154" spans="13:18">
      <c r="M1154" s="34"/>
      <c r="N1154" s="34"/>
      <c r="O1154" s="34"/>
      <c r="P1154" s="34"/>
      <c r="Q1154" s="34"/>
      <c r="R1154" s="34"/>
    </row>
    <row r="1155" spans="13:18">
      <c r="M1155" s="34"/>
      <c r="N1155" s="34"/>
      <c r="O1155" s="34"/>
      <c r="P1155" s="34"/>
      <c r="Q1155" s="34"/>
      <c r="R1155" s="34"/>
    </row>
    <row r="1156" spans="13:18">
      <c r="M1156" s="34"/>
      <c r="N1156" s="34"/>
      <c r="O1156" s="34"/>
      <c r="P1156" s="34"/>
      <c r="Q1156" s="34"/>
      <c r="R1156" s="34"/>
    </row>
    <row r="1157" spans="13:18">
      <c r="M1157" s="34"/>
      <c r="N1157" s="34"/>
      <c r="O1157" s="34"/>
      <c r="P1157" s="34"/>
      <c r="Q1157" s="34"/>
      <c r="R1157" s="34"/>
    </row>
    <row r="1158" spans="13:18">
      <c r="M1158" s="34"/>
      <c r="N1158" s="34"/>
      <c r="O1158" s="34"/>
      <c r="P1158" s="34"/>
      <c r="Q1158" s="34"/>
      <c r="R1158" s="34"/>
    </row>
    <row r="1159" spans="13:18">
      <c r="M1159" s="34"/>
      <c r="N1159" s="34"/>
      <c r="O1159" s="34"/>
      <c r="P1159" s="34"/>
      <c r="Q1159" s="34"/>
      <c r="R1159" s="34"/>
    </row>
    <row r="1160" spans="13:18">
      <c r="M1160" s="34"/>
      <c r="N1160" s="34"/>
      <c r="O1160" s="34"/>
      <c r="P1160" s="34"/>
      <c r="Q1160" s="34"/>
      <c r="R1160" s="34"/>
    </row>
    <row r="1161" spans="13:18">
      <c r="M1161" s="34"/>
      <c r="N1161" s="34"/>
      <c r="O1161" s="34"/>
      <c r="P1161" s="34"/>
      <c r="Q1161" s="34"/>
      <c r="R1161" s="34"/>
    </row>
    <row r="1162" spans="13:18">
      <c r="M1162" s="34"/>
      <c r="N1162" s="34"/>
      <c r="O1162" s="34"/>
      <c r="P1162" s="34"/>
      <c r="Q1162" s="34"/>
      <c r="R1162" s="34"/>
    </row>
    <row r="1163" spans="13:18">
      <c r="M1163" s="34"/>
      <c r="N1163" s="34"/>
      <c r="O1163" s="34"/>
      <c r="P1163" s="34"/>
      <c r="Q1163" s="34"/>
      <c r="R1163" s="34"/>
    </row>
    <row r="1164" spans="13:18">
      <c r="M1164" s="34"/>
      <c r="N1164" s="34"/>
      <c r="O1164" s="34"/>
      <c r="P1164" s="34"/>
      <c r="Q1164" s="34"/>
      <c r="R1164" s="34"/>
    </row>
    <row r="1165" spans="13:18">
      <c r="M1165" s="34"/>
      <c r="N1165" s="34"/>
      <c r="O1165" s="34"/>
      <c r="P1165" s="34"/>
      <c r="Q1165" s="34"/>
      <c r="R1165" s="34"/>
    </row>
    <row r="1166" spans="13:18">
      <c r="M1166" s="34"/>
      <c r="N1166" s="34"/>
      <c r="O1166" s="34"/>
      <c r="P1166" s="34"/>
      <c r="Q1166" s="34"/>
      <c r="R1166" s="34"/>
    </row>
    <row r="1167" spans="13:18">
      <c r="M1167" s="34"/>
      <c r="N1167" s="34"/>
      <c r="O1167" s="34"/>
      <c r="P1167" s="34"/>
      <c r="Q1167" s="34"/>
      <c r="R1167" s="34"/>
    </row>
    <row r="1168" spans="13:18">
      <c r="M1168" s="34"/>
      <c r="N1168" s="34"/>
      <c r="O1168" s="34"/>
      <c r="P1168" s="34"/>
      <c r="Q1168" s="34"/>
      <c r="R1168" s="34"/>
    </row>
    <row r="1169" spans="13:18">
      <c r="M1169" s="34"/>
      <c r="N1169" s="34"/>
      <c r="O1169" s="34"/>
      <c r="P1169" s="34"/>
      <c r="Q1169" s="34"/>
      <c r="R1169" s="34"/>
    </row>
    <row r="1170" spans="13:18">
      <c r="M1170" s="34"/>
      <c r="N1170" s="34"/>
      <c r="O1170" s="34"/>
      <c r="P1170" s="34"/>
      <c r="Q1170" s="34"/>
      <c r="R1170" s="34"/>
    </row>
    <row r="1171" spans="13:18">
      <c r="M1171" s="34"/>
      <c r="N1171" s="34"/>
      <c r="O1171" s="34"/>
      <c r="P1171" s="34"/>
      <c r="Q1171" s="34"/>
      <c r="R1171" s="34"/>
    </row>
    <row r="1172" spans="13:18">
      <c r="M1172" s="34"/>
      <c r="N1172" s="34"/>
      <c r="O1172" s="34"/>
      <c r="P1172" s="34"/>
      <c r="Q1172" s="34"/>
      <c r="R1172" s="34"/>
    </row>
    <row r="1173" spans="13:18">
      <c r="M1173" s="34"/>
      <c r="N1173" s="34"/>
      <c r="O1173" s="34"/>
      <c r="P1173" s="34"/>
      <c r="Q1173" s="34"/>
      <c r="R1173" s="34"/>
    </row>
    <row r="1174" spans="13:18">
      <c r="M1174" s="34"/>
      <c r="N1174" s="34"/>
      <c r="O1174" s="34"/>
      <c r="P1174" s="34"/>
      <c r="Q1174" s="34"/>
      <c r="R1174" s="34"/>
    </row>
    <row r="1175" spans="13:18">
      <c r="M1175" s="34"/>
      <c r="N1175" s="34"/>
      <c r="O1175" s="34"/>
      <c r="P1175" s="34"/>
      <c r="Q1175" s="34"/>
      <c r="R1175" s="34"/>
    </row>
    <row r="1176" spans="13:18">
      <c r="M1176" s="34"/>
      <c r="N1176" s="34"/>
      <c r="O1176" s="34"/>
      <c r="P1176" s="34"/>
      <c r="Q1176" s="34"/>
      <c r="R1176" s="34"/>
    </row>
    <row r="1177" spans="13:18">
      <c r="M1177" s="34"/>
      <c r="N1177" s="34"/>
      <c r="O1177" s="34"/>
      <c r="P1177" s="34"/>
      <c r="Q1177" s="34"/>
      <c r="R1177" s="34"/>
    </row>
    <row r="1178" spans="13:18">
      <c r="M1178" s="34"/>
      <c r="N1178" s="34"/>
      <c r="O1178" s="34"/>
      <c r="P1178" s="34"/>
      <c r="Q1178" s="34"/>
      <c r="R1178" s="34"/>
    </row>
    <row r="1179" spans="13:18">
      <c r="M1179" s="34"/>
      <c r="N1179" s="34"/>
      <c r="O1179" s="34"/>
      <c r="P1179" s="34"/>
      <c r="Q1179" s="34"/>
      <c r="R1179" s="34"/>
    </row>
    <row r="1180" spans="13:18">
      <c r="M1180" s="34"/>
      <c r="N1180" s="34"/>
      <c r="O1180" s="34"/>
      <c r="P1180" s="34"/>
      <c r="Q1180" s="34"/>
      <c r="R1180" s="34"/>
    </row>
    <row r="1181" spans="13:18">
      <c r="M1181" s="34"/>
      <c r="N1181" s="34"/>
      <c r="O1181" s="34"/>
      <c r="P1181" s="34"/>
      <c r="Q1181" s="34"/>
      <c r="R1181" s="34"/>
    </row>
    <row r="1182" spans="13:18">
      <c r="M1182" s="34"/>
      <c r="N1182" s="34"/>
      <c r="O1182" s="34"/>
      <c r="P1182" s="34"/>
      <c r="Q1182" s="34"/>
      <c r="R1182" s="34"/>
    </row>
    <row r="1183" spans="13:18">
      <c r="M1183" s="34"/>
      <c r="N1183" s="34"/>
      <c r="O1183" s="34"/>
      <c r="P1183" s="34"/>
      <c r="Q1183" s="34"/>
      <c r="R1183" s="34"/>
    </row>
    <row r="1184" spans="13:18">
      <c r="M1184" s="34"/>
      <c r="N1184" s="34"/>
      <c r="O1184" s="34"/>
      <c r="P1184" s="34"/>
      <c r="Q1184" s="34"/>
      <c r="R1184" s="34"/>
    </row>
    <row r="1185" spans="13:18">
      <c r="M1185" s="34"/>
      <c r="N1185" s="34"/>
      <c r="O1185" s="34"/>
      <c r="P1185" s="34"/>
      <c r="Q1185" s="34"/>
      <c r="R1185" s="34"/>
    </row>
    <row r="1186" spans="13:18">
      <c r="M1186" s="34"/>
      <c r="N1186" s="34"/>
      <c r="O1186" s="34"/>
      <c r="P1186" s="34"/>
      <c r="Q1186" s="34"/>
      <c r="R1186" s="34"/>
    </row>
    <row r="1187" spans="13:18">
      <c r="M1187" s="34"/>
      <c r="N1187" s="34"/>
      <c r="O1187" s="34"/>
      <c r="P1187" s="34"/>
      <c r="Q1187" s="34"/>
      <c r="R1187" s="34"/>
    </row>
    <row r="1188" spans="13:18">
      <c r="M1188" s="34"/>
      <c r="N1188" s="34"/>
      <c r="O1188" s="34"/>
      <c r="P1188" s="34"/>
      <c r="Q1188" s="34"/>
      <c r="R1188" s="34"/>
    </row>
    <row r="1189" spans="13:18">
      <c r="M1189" s="34"/>
      <c r="N1189" s="34"/>
      <c r="O1189" s="34"/>
      <c r="P1189" s="34"/>
      <c r="Q1189" s="34"/>
      <c r="R1189" s="34"/>
    </row>
    <row r="1190" spans="13:18">
      <c r="M1190" s="34"/>
      <c r="N1190" s="34"/>
      <c r="O1190" s="34"/>
      <c r="P1190" s="34"/>
      <c r="Q1190" s="34"/>
      <c r="R1190" s="34"/>
    </row>
    <row r="1191" spans="13:18">
      <c r="M1191" s="34"/>
      <c r="N1191" s="34"/>
      <c r="O1191" s="34"/>
      <c r="P1191" s="34"/>
      <c r="Q1191" s="34"/>
      <c r="R1191" s="34"/>
    </row>
    <row r="1192" spans="13:18">
      <c r="M1192" s="34"/>
      <c r="N1192" s="34"/>
      <c r="O1192" s="34"/>
      <c r="P1192" s="34"/>
      <c r="Q1192" s="34"/>
      <c r="R1192" s="34"/>
    </row>
    <row r="1193" spans="13:18">
      <c r="M1193" s="34"/>
      <c r="N1193" s="34"/>
      <c r="O1193" s="34"/>
      <c r="P1193" s="34"/>
      <c r="Q1193" s="34"/>
      <c r="R1193" s="34"/>
    </row>
    <row r="1194" spans="13:18">
      <c r="M1194" s="34"/>
      <c r="N1194" s="34"/>
      <c r="O1194" s="34"/>
      <c r="P1194" s="34"/>
      <c r="Q1194" s="34"/>
      <c r="R1194" s="34"/>
    </row>
    <row r="1195" spans="13:18">
      <c r="M1195" s="34"/>
      <c r="N1195" s="34"/>
      <c r="O1195" s="34"/>
      <c r="P1195" s="34"/>
      <c r="Q1195" s="34"/>
      <c r="R1195" s="34"/>
    </row>
    <row r="1196" spans="13:18">
      <c r="M1196" s="34"/>
      <c r="N1196" s="34"/>
      <c r="O1196" s="34"/>
      <c r="P1196" s="34"/>
      <c r="Q1196" s="34"/>
      <c r="R1196" s="34"/>
    </row>
    <row r="1197" spans="13:18">
      <c r="M1197" s="34"/>
      <c r="N1197" s="34"/>
      <c r="O1197" s="34"/>
      <c r="P1197" s="34"/>
      <c r="Q1197" s="34"/>
      <c r="R1197" s="34"/>
    </row>
    <row r="1198" spans="13:18">
      <c r="M1198" s="34"/>
      <c r="N1198" s="34"/>
      <c r="O1198" s="34"/>
      <c r="P1198" s="34"/>
      <c r="Q1198" s="34"/>
      <c r="R1198" s="34"/>
    </row>
    <row r="1199" spans="13:18">
      <c r="M1199" s="34"/>
      <c r="N1199" s="34"/>
      <c r="O1199" s="34"/>
      <c r="P1199" s="34"/>
      <c r="Q1199" s="34"/>
      <c r="R1199" s="34"/>
    </row>
    <row r="1200" spans="13:18">
      <c r="M1200" s="34"/>
      <c r="N1200" s="34"/>
      <c r="O1200" s="34"/>
      <c r="P1200" s="34"/>
      <c r="Q1200" s="34"/>
      <c r="R1200" s="34"/>
    </row>
    <row r="1201" spans="13:18">
      <c r="M1201" s="34"/>
      <c r="N1201" s="34"/>
      <c r="O1201" s="34"/>
      <c r="P1201" s="34"/>
      <c r="Q1201" s="34"/>
      <c r="R1201" s="34"/>
    </row>
    <row r="1202" spans="13:18">
      <c r="M1202" s="34"/>
      <c r="N1202" s="34"/>
      <c r="O1202" s="34"/>
      <c r="P1202" s="34"/>
      <c r="Q1202" s="34"/>
      <c r="R1202" s="34"/>
    </row>
    <row r="1203" spans="13:18">
      <c r="M1203" s="34"/>
      <c r="N1203" s="34"/>
      <c r="O1203" s="34"/>
      <c r="P1203" s="34"/>
      <c r="Q1203" s="34"/>
      <c r="R1203" s="34"/>
    </row>
    <row r="1204" spans="13:18">
      <c r="M1204" s="34"/>
      <c r="N1204" s="34"/>
      <c r="O1204" s="34"/>
      <c r="P1204" s="34"/>
      <c r="Q1204" s="34"/>
      <c r="R1204" s="34"/>
    </row>
    <row r="1205" spans="13:18">
      <c r="M1205" s="34"/>
      <c r="N1205" s="34"/>
      <c r="O1205" s="34"/>
      <c r="P1205" s="34"/>
      <c r="Q1205" s="34"/>
      <c r="R1205" s="34"/>
    </row>
    <row r="1206" spans="13:18">
      <c r="M1206" s="34"/>
      <c r="N1206" s="34"/>
      <c r="O1206" s="34"/>
      <c r="P1206" s="34"/>
      <c r="Q1206" s="34"/>
      <c r="R1206" s="34"/>
    </row>
    <row r="1207" spans="13:18">
      <c r="M1207" s="34"/>
      <c r="N1207" s="34"/>
      <c r="O1207" s="34"/>
      <c r="P1207" s="34"/>
      <c r="Q1207" s="34"/>
      <c r="R1207" s="34"/>
    </row>
    <row r="1208" spans="13:18">
      <c r="M1208" s="34"/>
      <c r="N1208" s="34"/>
      <c r="O1208" s="34"/>
      <c r="P1208" s="34"/>
      <c r="Q1208" s="34"/>
      <c r="R1208" s="34"/>
    </row>
    <row r="1209" spans="13:18">
      <c r="M1209" s="34"/>
      <c r="N1209" s="34"/>
      <c r="O1209" s="34"/>
      <c r="P1209" s="34"/>
      <c r="Q1209" s="34"/>
      <c r="R1209" s="34"/>
    </row>
    <row r="1210" spans="13:18">
      <c r="M1210" s="34"/>
      <c r="N1210" s="34"/>
      <c r="O1210" s="34"/>
      <c r="P1210" s="34"/>
      <c r="Q1210" s="34"/>
      <c r="R1210" s="34"/>
    </row>
    <row r="1211" spans="13:18">
      <c r="M1211" s="34"/>
      <c r="N1211" s="34"/>
      <c r="O1211" s="34"/>
      <c r="P1211" s="34"/>
      <c r="Q1211" s="34"/>
      <c r="R1211" s="34"/>
    </row>
    <row r="1212" spans="13:18">
      <c r="M1212" s="34"/>
      <c r="N1212" s="34"/>
      <c r="O1212" s="34"/>
      <c r="P1212" s="34"/>
      <c r="Q1212" s="34"/>
      <c r="R1212" s="34"/>
    </row>
    <row r="1213" spans="13:18">
      <c r="M1213" s="34"/>
      <c r="N1213" s="34"/>
      <c r="O1213" s="34"/>
      <c r="P1213" s="34"/>
      <c r="Q1213" s="34"/>
      <c r="R1213" s="34"/>
    </row>
    <row r="1214" spans="13:18">
      <c r="M1214" s="34"/>
      <c r="N1214" s="34"/>
      <c r="O1214" s="34"/>
      <c r="P1214" s="34"/>
      <c r="Q1214" s="34"/>
      <c r="R1214" s="34"/>
    </row>
    <row r="1215" spans="13:18">
      <c r="M1215" s="34"/>
      <c r="N1215" s="34"/>
      <c r="O1215" s="34"/>
      <c r="P1215" s="34"/>
      <c r="Q1215" s="34"/>
      <c r="R1215" s="34"/>
    </row>
    <row r="1216" spans="13:18">
      <c r="M1216" s="34"/>
      <c r="N1216" s="34"/>
      <c r="O1216" s="34"/>
      <c r="P1216" s="34"/>
      <c r="Q1216" s="34"/>
      <c r="R1216" s="34"/>
    </row>
    <row r="1217" spans="13:18">
      <c r="M1217" s="34"/>
      <c r="N1217" s="34"/>
      <c r="O1217" s="34"/>
      <c r="P1217" s="34"/>
      <c r="Q1217" s="34"/>
      <c r="R1217" s="34"/>
    </row>
    <row r="1218" spans="13:18">
      <c r="M1218" s="34"/>
      <c r="N1218" s="34"/>
      <c r="O1218" s="34"/>
      <c r="P1218" s="34"/>
      <c r="Q1218" s="34"/>
      <c r="R1218" s="34"/>
    </row>
    <row r="1219" spans="13:18">
      <c r="M1219" s="34"/>
      <c r="N1219" s="34"/>
      <c r="O1219" s="34"/>
      <c r="P1219" s="34"/>
      <c r="Q1219" s="34"/>
      <c r="R1219" s="34"/>
    </row>
    <row r="1220" spans="13:18">
      <c r="M1220" s="34"/>
      <c r="N1220" s="34"/>
      <c r="O1220" s="34"/>
      <c r="P1220" s="34"/>
      <c r="Q1220" s="34"/>
      <c r="R1220" s="34"/>
    </row>
    <row r="1221" spans="13:18">
      <c r="M1221" s="34"/>
      <c r="N1221" s="34"/>
      <c r="O1221" s="34"/>
      <c r="P1221" s="34"/>
      <c r="Q1221" s="34"/>
      <c r="R1221" s="34"/>
    </row>
    <row r="1222" spans="13:18">
      <c r="M1222" s="34"/>
      <c r="N1222" s="34"/>
      <c r="O1222" s="34"/>
      <c r="P1222" s="34"/>
      <c r="Q1222" s="34"/>
      <c r="R1222" s="34"/>
    </row>
    <row r="1223" spans="13:18">
      <c r="M1223" s="34"/>
      <c r="N1223" s="34"/>
      <c r="O1223" s="34"/>
      <c r="P1223" s="34"/>
      <c r="Q1223" s="34"/>
      <c r="R1223" s="34"/>
    </row>
    <row r="1224" spans="13:18">
      <c r="M1224" s="34"/>
      <c r="N1224" s="34"/>
      <c r="O1224" s="34"/>
      <c r="P1224" s="34"/>
      <c r="Q1224" s="34"/>
      <c r="R1224" s="34"/>
    </row>
    <row r="1225" spans="13:18">
      <c r="M1225" s="34"/>
      <c r="N1225" s="34"/>
      <c r="O1225" s="34"/>
      <c r="P1225" s="34"/>
      <c r="Q1225" s="34"/>
      <c r="R1225" s="34"/>
    </row>
    <row r="1226" spans="13:18">
      <c r="M1226" s="34"/>
      <c r="N1226" s="34"/>
      <c r="O1226" s="34"/>
      <c r="P1226" s="34"/>
      <c r="Q1226" s="34"/>
      <c r="R1226" s="34"/>
    </row>
    <row r="1227" spans="13:18">
      <c r="M1227" s="34"/>
      <c r="N1227" s="34"/>
      <c r="O1227" s="34"/>
      <c r="P1227" s="34"/>
      <c r="Q1227" s="34"/>
      <c r="R1227" s="34"/>
    </row>
    <row r="1228" spans="13:18">
      <c r="M1228" s="34"/>
      <c r="N1228" s="34"/>
      <c r="O1228" s="34"/>
      <c r="P1228" s="34"/>
      <c r="Q1228" s="34"/>
      <c r="R1228" s="34"/>
    </row>
    <row r="1229" spans="13:18">
      <c r="M1229" s="34"/>
      <c r="N1229" s="34"/>
      <c r="O1229" s="34"/>
      <c r="P1229" s="34"/>
      <c r="Q1229" s="34"/>
      <c r="R1229" s="34"/>
    </row>
    <row r="1230" spans="13:18">
      <c r="M1230" s="34"/>
      <c r="N1230" s="34"/>
      <c r="O1230" s="34"/>
      <c r="P1230" s="34"/>
      <c r="Q1230" s="34"/>
      <c r="R1230" s="34"/>
    </row>
    <row r="1231" spans="13:18">
      <c r="M1231" s="34"/>
      <c r="N1231" s="34"/>
      <c r="O1231" s="34"/>
      <c r="P1231" s="34"/>
      <c r="Q1231" s="34"/>
      <c r="R1231" s="34"/>
    </row>
    <row r="1232" spans="13:18">
      <c r="M1232" s="34"/>
      <c r="N1232" s="34"/>
      <c r="O1232" s="34"/>
      <c r="P1232" s="34"/>
      <c r="Q1232" s="34"/>
      <c r="R1232" s="34"/>
    </row>
    <row r="1233" spans="13:18">
      <c r="M1233" s="34"/>
      <c r="N1233" s="34"/>
      <c r="O1233" s="34"/>
      <c r="P1233" s="34"/>
      <c r="Q1233" s="34"/>
      <c r="R1233" s="34"/>
    </row>
    <row r="1234" spans="13:18">
      <c r="M1234" s="34"/>
      <c r="N1234" s="34"/>
      <c r="O1234" s="34"/>
      <c r="P1234" s="34"/>
      <c r="Q1234" s="34"/>
      <c r="R1234" s="34"/>
    </row>
    <row r="1235" spans="13:18">
      <c r="M1235" s="34"/>
      <c r="N1235" s="34"/>
      <c r="O1235" s="34"/>
      <c r="P1235" s="34"/>
      <c r="Q1235" s="34"/>
      <c r="R1235" s="34"/>
    </row>
    <row r="1236" spans="13:18">
      <c r="M1236" s="34"/>
      <c r="N1236" s="34"/>
      <c r="O1236" s="34"/>
      <c r="P1236" s="34"/>
      <c r="Q1236" s="34"/>
      <c r="R1236" s="34"/>
    </row>
    <row r="1237" spans="13:18">
      <c r="M1237" s="34"/>
      <c r="N1237" s="34"/>
      <c r="O1237" s="34"/>
      <c r="P1237" s="34"/>
      <c r="Q1237" s="34"/>
      <c r="R1237" s="34"/>
    </row>
    <row r="1238" spans="13:18">
      <c r="M1238" s="34"/>
      <c r="N1238" s="34"/>
      <c r="O1238" s="34"/>
      <c r="P1238" s="34"/>
      <c r="Q1238" s="34"/>
      <c r="R1238" s="34"/>
    </row>
    <row r="1239" spans="13:18">
      <c r="M1239" s="34"/>
      <c r="N1239" s="34"/>
      <c r="O1239" s="34"/>
      <c r="P1239" s="34"/>
      <c r="Q1239" s="34"/>
      <c r="R1239" s="34"/>
    </row>
    <row r="1240" spans="13:18">
      <c r="M1240" s="34"/>
      <c r="N1240" s="34"/>
      <c r="O1240" s="34"/>
      <c r="P1240" s="34"/>
      <c r="Q1240" s="34"/>
      <c r="R1240" s="34"/>
    </row>
    <row r="1241" spans="13:18">
      <c r="M1241" s="34"/>
      <c r="N1241" s="34"/>
      <c r="O1241" s="34"/>
      <c r="P1241" s="34"/>
      <c r="Q1241" s="34"/>
      <c r="R1241" s="34"/>
    </row>
    <row r="1242" spans="13:18">
      <c r="M1242" s="34"/>
      <c r="N1242" s="34"/>
      <c r="O1242" s="34"/>
      <c r="P1242" s="34"/>
      <c r="Q1242" s="34"/>
      <c r="R1242" s="34"/>
    </row>
    <row r="1243" spans="13:18">
      <c r="M1243" s="34"/>
      <c r="N1243" s="34"/>
      <c r="O1243" s="34"/>
      <c r="P1243" s="34"/>
      <c r="Q1243" s="34"/>
      <c r="R1243" s="34"/>
    </row>
    <row r="1244" spans="13:18">
      <c r="M1244" s="34"/>
      <c r="N1244" s="34"/>
      <c r="O1244" s="34"/>
      <c r="P1244" s="34"/>
      <c r="Q1244" s="34"/>
      <c r="R1244" s="34"/>
    </row>
    <row r="1245" spans="13:18">
      <c r="M1245" s="34"/>
      <c r="N1245" s="34"/>
      <c r="O1245" s="34"/>
      <c r="P1245" s="34"/>
      <c r="Q1245" s="34"/>
      <c r="R1245" s="34"/>
    </row>
    <row r="1246" spans="13:18">
      <c r="M1246" s="34"/>
      <c r="N1246" s="34"/>
      <c r="O1246" s="34"/>
      <c r="P1246" s="34"/>
      <c r="Q1246" s="34"/>
      <c r="R1246" s="34"/>
    </row>
    <row r="1247" spans="13:18">
      <c r="M1247" s="34"/>
      <c r="N1247" s="34"/>
      <c r="O1247" s="34"/>
      <c r="P1247" s="34"/>
      <c r="Q1247" s="34"/>
      <c r="R1247" s="34"/>
    </row>
    <row r="1248" spans="13:18">
      <c r="M1248" s="34"/>
      <c r="N1248" s="34"/>
      <c r="O1248" s="34"/>
      <c r="P1248" s="34"/>
      <c r="Q1248" s="34"/>
      <c r="R1248" s="34"/>
    </row>
    <row r="1249" spans="13:18">
      <c r="M1249" s="34"/>
      <c r="N1249" s="34"/>
      <c r="O1249" s="34"/>
      <c r="P1249" s="34"/>
      <c r="Q1249" s="34"/>
      <c r="R1249" s="34"/>
    </row>
    <row r="1250" spans="13:18">
      <c r="M1250" s="34"/>
      <c r="N1250" s="34"/>
      <c r="O1250" s="34"/>
      <c r="P1250" s="34"/>
      <c r="Q1250" s="34"/>
      <c r="R1250" s="34"/>
    </row>
    <row r="1251" spans="13:18">
      <c r="M1251" s="34"/>
      <c r="N1251" s="34"/>
      <c r="O1251" s="34"/>
      <c r="P1251" s="34"/>
      <c r="Q1251" s="34"/>
      <c r="R1251" s="34"/>
    </row>
    <row r="1252" spans="13:18">
      <c r="M1252" s="34"/>
      <c r="N1252" s="34"/>
      <c r="O1252" s="34"/>
      <c r="P1252" s="34"/>
      <c r="Q1252" s="34"/>
      <c r="R1252" s="34"/>
    </row>
    <row r="1253" spans="13:18">
      <c r="M1253" s="34"/>
      <c r="N1253" s="34"/>
      <c r="O1253" s="34"/>
      <c r="P1253" s="34"/>
      <c r="Q1253" s="34"/>
      <c r="R1253" s="34"/>
    </row>
    <row r="1254" spans="13:18">
      <c r="M1254" s="34"/>
      <c r="N1254" s="34"/>
      <c r="O1254" s="34"/>
      <c r="P1254" s="34"/>
      <c r="Q1254" s="34"/>
      <c r="R1254" s="34"/>
    </row>
    <row r="1255" spans="13:18">
      <c r="M1255" s="34"/>
      <c r="N1255" s="34"/>
      <c r="O1255" s="34"/>
      <c r="P1255" s="34"/>
      <c r="Q1255" s="34"/>
      <c r="R1255" s="34"/>
    </row>
    <row r="1256" spans="13:18">
      <c r="M1256" s="34"/>
      <c r="N1256" s="34"/>
      <c r="O1256" s="34"/>
      <c r="P1256" s="34"/>
      <c r="Q1256" s="34"/>
      <c r="R1256" s="34"/>
    </row>
    <row r="1257" spans="13:18">
      <c r="M1257" s="34"/>
      <c r="N1257" s="34"/>
      <c r="O1257" s="34"/>
      <c r="P1257" s="34"/>
      <c r="Q1257" s="34"/>
      <c r="R1257" s="34"/>
    </row>
    <row r="1258" spans="13:18">
      <c r="M1258" s="34"/>
      <c r="N1258" s="34"/>
      <c r="O1258" s="34"/>
      <c r="P1258" s="34"/>
      <c r="Q1258" s="34"/>
      <c r="R1258" s="34"/>
    </row>
    <row r="1259" spans="13:18">
      <c r="M1259" s="34"/>
      <c r="N1259" s="34"/>
      <c r="O1259" s="34"/>
      <c r="P1259" s="34"/>
      <c r="Q1259" s="34"/>
      <c r="R1259" s="34"/>
    </row>
    <row r="1260" spans="13:18">
      <c r="M1260" s="34"/>
      <c r="N1260" s="34"/>
      <c r="O1260" s="34"/>
      <c r="P1260" s="34"/>
      <c r="Q1260" s="34"/>
      <c r="R1260" s="34"/>
    </row>
    <row r="1261" spans="13:18">
      <c r="M1261" s="34"/>
      <c r="N1261" s="34"/>
      <c r="O1261" s="34"/>
      <c r="P1261" s="34"/>
      <c r="Q1261" s="34"/>
      <c r="R1261" s="34"/>
    </row>
    <row r="1262" spans="13:18">
      <c r="M1262" s="34"/>
      <c r="N1262" s="34"/>
      <c r="O1262" s="34"/>
      <c r="P1262" s="34"/>
      <c r="Q1262" s="34"/>
      <c r="R1262" s="34"/>
    </row>
    <row r="1263" spans="13:18">
      <c r="M1263" s="34"/>
      <c r="N1263" s="34"/>
      <c r="O1263" s="34"/>
      <c r="P1263" s="34"/>
      <c r="Q1263" s="34"/>
      <c r="R1263" s="34"/>
    </row>
    <row r="1264" spans="13:18">
      <c r="M1264" s="34"/>
      <c r="N1264" s="34"/>
      <c r="O1264" s="34"/>
      <c r="P1264" s="34"/>
      <c r="Q1264" s="34"/>
      <c r="R1264" s="34"/>
    </row>
    <row r="1265" spans="13:18">
      <c r="M1265" s="34"/>
      <c r="N1265" s="34"/>
      <c r="O1265" s="34"/>
      <c r="P1265" s="34"/>
      <c r="Q1265" s="34"/>
      <c r="R1265" s="34"/>
    </row>
    <row r="1266" spans="13:18">
      <c r="M1266" s="34"/>
      <c r="N1266" s="34"/>
      <c r="O1266" s="34"/>
      <c r="P1266" s="34"/>
      <c r="Q1266" s="34"/>
      <c r="R1266" s="34"/>
    </row>
    <row r="1267" spans="13:18">
      <c r="M1267" s="34"/>
      <c r="N1267" s="34"/>
      <c r="O1267" s="34"/>
      <c r="P1267" s="34"/>
      <c r="Q1267" s="34"/>
      <c r="R1267" s="34"/>
    </row>
    <row r="1268" spans="13:18">
      <c r="M1268" s="34"/>
      <c r="N1268" s="34"/>
      <c r="O1268" s="34"/>
      <c r="P1268" s="34"/>
      <c r="Q1268" s="34"/>
      <c r="R1268" s="34"/>
    </row>
    <row r="1269" spans="13:18">
      <c r="M1269" s="34"/>
      <c r="N1269" s="34"/>
      <c r="O1269" s="34"/>
      <c r="P1269" s="34"/>
      <c r="Q1269" s="34"/>
      <c r="R1269" s="34"/>
    </row>
    <row r="1270" spans="13:18">
      <c r="M1270" s="34"/>
      <c r="N1270" s="34"/>
      <c r="O1270" s="34"/>
      <c r="P1270" s="34"/>
      <c r="Q1270" s="34"/>
      <c r="R1270" s="34"/>
    </row>
    <row r="1271" spans="13:18">
      <c r="M1271" s="34"/>
      <c r="N1271" s="34"/>
      <c r="O1271" s="34"/>
      <c r="P1271" s="34"/>
      <c r="Q1271" s="34"/>
      <c r="R1271" s="34"/>
    </row>
    <row r="1272" spans="13:18">
      <c r="M1272" s="34"/>
      <c r="N1272" s="34"/>
      <c r="O1272" s="34"/>
      <c r="P1272" s="34"/>
      <c r="Q1272" s="34"/>
      <c r="R1272" s="34"/>
    </row>
    <row r="1273" spans="13:18">
      <c r="M1273" s="34"/>
      <c r="N1273" s="34"/>
      <c r="O1273" s="34"/>
      <c r="P1273" s="34"/>
      <c r="Q1273" s="34"/>
      <c r="R1273" s="34"/>
    </row>
    <row r="1274" spans="13:18">
      <c r="M1274" s="34"/>
      <c r="N1274" s="34"/>
      <c r="O1274" s="34"/>
      <c r="P1274" s="34"/>
      <c r="Q1274" s="34"/>
      <c r="R1274" s="34"/>
    </row>
    <row r="1275" spans="13:18">
      <c r="M1275" s="34"/>
      <c r="N1275" s="34"/>
      <c r="O1275" s="34"/>
      <c r="P1275" s="34"/>
      <c r="Q1275" s="34"/>
      <c r="R1275" s="34"/>
    </row>
    <row r="1276" spans="13:18">
      <c r="M1276" s="34"/>
      <c r="N1276" s="34"/>
      <c r="O1276" s="34"/>
      <c r="P1276" s="34"/>
      <c r="Q1276" s="34"/>
      <c r="R1276" s="34"/>
    </row>
    <row r="1277" spans="13:18">
      <c r="M1277" s="34"/>
      <c r="N1277" s="34"/>
      <c r="O1277" s="34"/>
      <c r="P1277" s="34"/>
      <c r="Q1277" s="34"/>
      <c r="R1277" s="34"/>
    </row>
    <row r="1278" spans="13:18">
      <c r="M1278" s="34"/>
      <c r="N1278" s="34"/>
      <c r="O1278" s="34"/>
      <c r="P1278" s="34"/>
      <c r="Q1278" s="34"/>
      <c r="R1278" s="34"/>
    </row>
    <row r="1279" spans="13:18">
      <c r="M1279" s="34"/>
      <c r="N1279" s="34"/>
      <c r="O1279" s="34"/>
      <c r="P1279" s="34"/>
      <c r="Q1279" s="34"/>
      <c r="R1279" s="34"/>
    </row>
    <row r="1280" spans="13:18">
      <c r="M1280" s="34"/>
      <c r="N1280" s="34"/>
      <c r="O1280" s="34"/>
      <c r="P1280" s="34"/>
      <c r="Q1280" s="34"/>
      <c r="R1280" s="34"/>
    </row>
    <row r="1281" spans="13:18">
      <c r="M1281" s="34"/>
      <c r="N1281" s="34"/>
      <c r="O1281" s="34"/>
      <c r="P1281" s="34"/>
      <c r="Q1281" s="34"/>
      <c r="R1281" s="34"/>
    </row>
    <row r="1282" spans="13:18">
      <c r="M1282" s="34"/>
      <c r="N1282" s="34"/>
      <c r="O1282" s="34"/>
      <c r="P1282" s="34"/>
      <c r="Q1282" s="34"/>
      <c r="R1282" s="34"/>
    </row>
    <row r="1283" spans="13:18">
      <c r="M1283" s="34"/>
      <c r="N1283" s="34"/>
      <c r="O1283" s="34"/>
      <c r="P1283" s="34"/>
      <c r="Q1283" s="34"/>
      <c r="R1283" s="34"/>
    </row>
    <row r="1284" spans="13:18">
      <c r="M1284" s="34"/>
      <c r="N1284" s="34"/>
      <c r="O1284" s="34"/>
      <c r="P1284" s="34"/>
      <c r="Q1284" s="34"/>
      <c r="R1284" s="34"/>
    </row>
    <row r="1285" spans="13:18">
      <c r="M1285" s="34"/>
      <c r="N1285" s="34"/>
      <c r="O1285" s="34"/>
      <c r="P1285" s="34"/>
      <c r="Q1285" s="34"/>
      <c r="R1285" s="34"/>
    </row>
    <row r="1286" spans="13:18">
      <c r="M1286" s="34"/>
      <c r="N1286" s="34"/>
      <c r="O1286" s="34"/>
      <c r="P1286" s="34"/>
      <c r="Q1286" s="34"/>
      <c r="R1286" s="34"/>
    </row>
    <row r="1287" spans="13:18">
      <c r="M1287" s="34"/>
      <c r="N1287" s="34"/>
      <c r="O1287" s="34"/>
      <c r="P1287" s="34"/>
      <c r="Q1287" s="34"/>
      <c r="R1287" s="34"/>
    </row>
    <row r="1288" spans="13:18">
      <c r="M1288" s="34"/>
      <c r="N1288" s="34"/>
      <c r="O1288" s="34"/>
      <c r="P1288" s="34"/>
      <c r="Q1288" s="34"/>
      <c r="R1288" s="34"/>
    </row>
    <row r="1289" spans="13:18">
      <c r="M1289" s="34"/>
      <c r="N1289" s="34"/>
      <c r="O1289" s="34"/>
      <c r="P1289" s="34"/>
      <c r="Q1289" s="34"/>
      <c r="R1289" s="34"/>
    </row>
    <row r="1290" spans="13:18">
      <c r="M1290" s="34"/>
      <c r="N1290" s="34"/>
      <c r="O1290" s="34"/>
      <c r="P1290" s="34"/>
      <c r="Q1290" s="34"/>
      <c r="R1290" s="34"/>
    </row>
    <row r="1291" spans="13:18">
      <c r="M1291" s="34"/>
      <c r="N1291" s="34"/>
      <c r="O1291" s="34"/>
      <c r="P1291" s="34"/>
      <c r="Q1291" s="34"/>
      <c r="R1291" s="34"/>
    </row>
    <row r="1292" spans="13:18">
      <c r="M1292" s="34"/>
      <c r="N1292" s="34"/>
      <c r="O1292" s="34"/>
      <c r="P1292" s="34"/>
      <c r="Q1292" s="34"/>
      <c r="R1292" s="34"/>
    </row>
    <row r="1293" spans="13:18">
      <c r="M1293" s="34"/>
      <c r="N1293" s="34"/>
      <c r="O1293" s="34"/>
      <c r="P1293" s="34"/>
      <c r="Q1293" s="34"/>
      <c r="R1293" s="34"/>
    </row>
    <row r="1294" spans="13:18">
      <c r="M1294" s="34"/>
      <c r="N1294" s="34"/>
      <c r="O1294" s="34"/>
      <c r="P1294" s="34"/>
      <c r="Q1294" s="34"/>
      <c r="R1294" s="34"/>
    </row>
    <row r="1295" spans="13:18">
      <c r="M1295" s="34"/>
      <c r="N1295" s="34"/>
      <c r="O1295" s="34"/>
      <c r="P1295" s="34"/>
      <c r="Q1295" s="34"/>
      <c r="R1295" s="34"/>
    </row>
    <row r="1296" spans="13:18">
      <c r="M1296" s="34"/>
      <c r="N1296" s="34"/>
      <c r="O1296" s="34"/>
      <c r="P1296" s="34"/>
      <c r="Q1296" s="34"/>
      <c r="R1296" s="34"/>
    </row>
    <row r="1297" spans="13:18">
      <c r="M1297" s="34"/>
      <c r="N1297" s="34"/>
      <c r="O1297" s="34"/>
      <c r="P1297" s="34"/>
      <c r="Q1297" s="34"/>
      <c r="R1297" s="34"/>
    </row>
    <row r="1298" spans="13:18">
      <c r="M1298" s="34"/>
      <c r="N1298" s="34"/>
      <c r="O1298" s="34"/>
      <c r="P1298" s="34"/>
      <c r="Q1298" s="34"/>
      <c r="R1298" s="34"/>
    </row>
    <row r="1299" spans="13:18">
      <c r="M1299" s="34"/>
      <c r="N1299" s="34"/>
      <c r="O1299" s="34"/>
      <c r="P1299" s="34"/>
      <c r="Q1299" s="34"/>
      <c r="R1299" s="34"/>
    </row>
    <row r="1300" spans="13:18">
      <c r="M1300" s="34"/>
      <c r="N1300" s="34"/>
      <c r="O1300" s="34"/>
      <c r="P1300" s="34"/>
      <c r="Q1300" s="34"/>
      <c r="R1300" s="34"/>
    </row>
    <row r="1301" spans="13:18">
      <c r="M1301" s="34"/>
      <c r="N1301" s="34"/>
      <c r="O1301" s="34"/>
      <c r="P1301" s="34"/>
      <c r="Q1301" s="34"/>
      <c r="R1301" s="34"/>
    </row>
    <row r="1302" spans="13:18">
      <c r="M1302" s="34"/>
      <c r="N1302" s="34"/>
      <c r="O1302" s="34"/>
      <c r="P1302" s="34"/>
      <c r="Q1302" s="34"/>
      <c r="R1302" s="34"/>
    </row>
    <row r="1303" spans="13:18">
      <c r="M1303" s="34"/>
      <c r="N1303" s="34"/>
      <c r="O1303" s="34"/>
      <c r="P1303" s="34"/>
      <c r="Q1303" s="34"/>
      <c r="R1303" s="34"/>
    </row>
    <row r="1304" spans="13:18">
      <c r="M1304" s="34"/>
      <c r="N1304" s="34"/>
      <c r="O1304" s="34"/>
      <c r="P1304" s="34"/>
      <c r="Q1304" s="34"/>
      <c r="R1304" s="34"/>
    </row>
    <row r="1305" spans="13:18">
      <c r="M1305" s="34"/>
      <c r="N1305" s="34"/>
      <c r="O1305" s="34"/>
      <c r="P1305" s="34"/>
      <c r="Q1305" s="34"/>
      <c r="R1305" s="34"/>
    </row>
    <row r="1306" spans="13:18">
      <c r="M1306" s="34"/>
      <c r="N1306" s="34"/>
      <c r="O1306" s="34"/>
      <c r="P1306" s="34"/>
      <c r="Q1306" s="34"/>
      <c r="R1306" s="34"/>
    </row>
    <row r="1307" spans="13:18">
      <c r="M1307" s="34"/>
      <c r="N1307" s="34"/>
      <c r="O1307" s="34"/>
      <c r="P1307" s="34"/>
      <c r="Q1307" s="34"/>
      <c r="R1307" s="34"/>
    </row>
    <row r="1308" spans="13:18">
      <c r="M1308" s="34"/>
      <c r="N1308" s="34"/>
      <c r="O1308" s="34"/>
      <c r="P1308" s="34"/>
      <c r="Q1308" s="34"/>
      <c r="R1308" s="34"/>
    </row>
    <row r="1309" spans="13:18">
      <c r="M1309" s="34"/>
      <c r="N1309" s="34"/>
      <c r="O1309" s="34"/>
      <c r="P1309" s="34"/>
      <c r="Q1309" s="34"/>
      <c r="R1309" s="34"/>
    </row>
    <row r="1310" spans="13:18">
      <c r="M1310" s="34"/>
      <c r="N1310" s="34"/>
      <c r="O1310" s="34"/>
      <c r="P1310" s="34"/>
      <c r="Q1310" s="34"/>
      <c r="R1310" s="34"/>
    </row>
    <row r="1311" spans="13:18">
      <c r="M1311" s="34"/>
      <c r="N1311" s="34"/>
      <c r="O1311" s="34"/>
      <c r="P1311" s="34"/>
      <c r="Q1311" s="34"/>
      <c r="R1311" s="34"/>
    </row>
    <row r="1312" spans="13:18">
      <c r="M1312" s="34"/>
      <c r="N1312" s="34"/>
      <c r="O1312" s="34"/>
      <c r="P1312" s="34"/>
      <c r="Q1312" s="34"/>
      <c r="R1312" s="34"/>
    </row>
    <row r="1313" spans="13:18">
      <c r="M1313" s="34"/>
      <c r="N1313" s="34"/>
      <c r="O1313" s="34"/>
      <c r="P1313" s="34"/>
      <c r="Q1313" s="34"/>
      <c r="R1313" s="34"/>
    </row>
    <row r="1314" spans="13:18">
      <c r="M1314" s="34"/>
      <c r="N1314" s="34"/>
      <c r="O1314" s="34"/>
      <c r="P1314" s="34"/>
      <c r="Q1314" s="34"/>
      <c r="R1314" s="34"/>
    </row>
    <row r="1315" spans="13:18">
      <c r="M1315" s="34"/>
      <c r="N1315" s="34"/>
      <c r="O1315" s="34"/>
      <c r="P1315" s="34"/>
      <c r="Q1315" s="34"/>
      <c r="R1315" s="34"/>
    </row>
    <row r="1316" spans="13:18">
      <c r="M1316" s="34"/>
      <c r="N1316" s="34"/>
      <c r="O1316" s="34"/>
      <c r="P1316" s="34"/>
      <c r="Q1316" s="34"/>
      <c r="R1316" s="34"/>
    </row>
    <row r="1317" spans="13:18">
      <c r="M1317" s="34"/>
      <c r="N1317" s="34"/>
      <c r="O1317" s="34"/>
      <c r="P1317" s="34"/>
      <c r="Q1317" s="34"/>
      <c r="R1317" s="34"/>
    </row>
    <row r="1318" spans="13:18">
      <c r="M1318" s="34"/>
      <c r="N1318" s="34"/>
      <c r="O1318" s="34"/>
      <c r="P1318" s="34"/>
      <c r="Q1318" s="34"/>
      <c r="R1318" s="34"/>
    </row>
    <row r="1319" spans="13:18">
      <c r="M1319" s="34"/>
      <c r="N1319" s="34"/>
      <c r="O1319" s="34"/>
      <c r="P1319" s="34"/>
      <c r="Q1319" s="34"/>
      <c r="R1319" s="34"/>
    </row>
    <row r="1320" spans="13:18">
      <c r="M1320" s="34"/>
      <c r="N1320" s="34"/>
      <c r="O1320" s="34"/>
      <c r="P1320" s="34"/>
      <c r="Q1320" s="34"/>
      <c r="R1320" s="34"/>
    </row>
    <row r="1321" spans="13:18">
      <c r="M1321" s="34"/>
      <c r="N1321" s="34"/>
      <c r="O1321" s="34"/>
      <c r="P1321" s="34"/>
      <c r="Q1321" s="34"/>
      <c r="R1321" s="34"/>
    </row>
    <row r="1322" spans="13:18">
      <c r="M1322" s="34"/>
      <c r="N1322" s="34"/>
      <c r="O1322" s="34"/>
      <c r="P1322" s="34"/>
      <c r="Q1322" s="34"/>
      <c r="R1322" s="34"/>
    </row>
    <row r="1323" spans="13:18">
      <c r="M1323" s="34"/>
      <c r="N1323" s="34"/>
      <c r="O1323" s="34"/>
      <c r="P1323" s="34"/>
      <c r="Q1323" s="34"/>
      <c r="R1323" s="34"/>
    </row>
    <row r="1324" spans="13:18">
      <c r="M1324" s="34"/>
      <c r="N1324" s="34"/>
      <c r="O1324" s="34"/>
      <c r="P1324" s="34"/>
      <c r="Q1324" s="34"/>
      <c r="R1324" s="34"/>
    </row>
    <row r="1325" spans="13:18">
      <c r="M1325" s="34"/>
      <c r="N1325" s="34"/>
      <c r="O1325" s="34"/>
      <c r="P1325" s="34"/>
      <c r="Q1325" s="34"/>
      <c r="R1325" s="34"/>
    </row>
    <row r="1326" spans="13:18">
      <c r="M1326" s="34"/>
      <c r="N1326" s="34"/>
      <c r="O1326" s="34"/>
      <c r="P1326" s="34"/>
      <c r="Q1326" s="34"/>
      <c r="R1326" s="34"/>
    </row>
    <row r="1327" spans="13:18">
      <c r="M1327" s="34"/>
      <c r="N1327" s="34"/>
      <c r="O1327" s="34"/>
      <c r="P1327" s="34"/>
      <c r="Q1327" s="34"/>
      <c r="R1327" s="34"/>
    </row>
    <row r="1328" spans="13:18">
      <c r="M1328" s="34"/>
      <c r="N1328" s="34"/>
      <c r="O1328" s="34"/>
      <c r="P1328" s="34"/>
      <c r="Q1328" s="34"/>
      <c r="R1328" s="34"/>
    </row>
    <row r="1329" spans="13:18">
      <c r="M1329" s="34"/>
      <c r="N1329" s="34"/>
      <c r="O1329" s="34"/>
      <c r="P1329" s="34"/>
      <c r="Q1329" s="34"/>
      <c r="R1329" s="34"/>
    </row>
    <row r="1330" spans="13:18">
      <c r="M1330" s="34"/>
      <c r="N1330" s="34"/>
      <c r="O1330" s="34"/>
      <c r="P1330" s="34"/>
      <c r="Q1330" s="34"/>
      <c r="R1330" s="34"/>
    </row>
    <row r="1331" spans="13:18">
      <c r="M1331" s="34"/>
      <c r="N1331" s="34"/>
      <c r="O1331" s="34"/>
      <c r="P1331" s="34"/>
      <c r="Q1331" s="34"/>
      <c r="R1331" s="34"/>
    </row>
    <row r="1332" spans="13:18">
      <c r="M1332" s="34"/>
      <c r="N1332" s="34"/>
      <c r="O1332" s="34"/>
      <c r="P1332" s="34"/>
      <c r="Q1332" s="34"/>
      <c r="R1332" s="34"/>
    </row>
    <row r="1333" spans="13:18">
      <c r="M1333" s="34"/>
      <c r="N1333" s="34"/>
      <c r="O1333" s="34"/>
      <c r="P1333" s="34"/>
      <c r="Q1333" s="34"/>
      <c r="R1333" s="34"/>
    </row>
    <row r="1334" spans="13:18">
      <c r="M1334" s="34"/>
      <c r="N1334" s="34"/>
      <c r="O1334" s="34"/>
      <c r="P1334" s="34"/>
      <c r="Q1334" s="34"/>
      <c r="R1334" s="34"/>
    </row>
    <row r="1335" spans="13:18">
      <c r="M1335" s="34"/>
      <c r="N1335" s="34"/>
      <c r="O1335" s="34"/>
      <c r="P1335" s="34"/>
      <c r="Q1335" s="34"/>
      <c r="R1335" s="34"/>
    </row>
    <row r="1336" spans="13:18">
      <c r="M1336" s="34"/>
      <c r="N1336" s="34"/>
      <c r="O1336" s="34"/>
      <c r="P1336" s="34"/>
      <c r="Q1336" s="34"/>
      <c r="R1336" s="34"/>
    </row>
    <row r="1337" spans="13:18">
      <c r="M1337" s="34"/>
      <c r="N1337" s="34"/>
      <c r="O1337" s="34"/>
      <c r="P1337" s="34"/>
      <c r="Q1337" s="34"/>
      <c r="R1337" s="34"/>
    </row>
    <row r="1338" spans="13:18">
      <c r="M1338" s="34"/>
      <c r="N1338" s="34"/>
      <c r="O1338" s="34"/>
      <c r="P1338" s="34"/>
      <c r="Q1338" s="34"/>
      <c r="R1338" s="34"/>
    </row>
    <row r="1339" spans="13:18">
      <c r="M1339" s="34"/>
      <c r="N1339" s="34"/>
      <c r="O1339" s="34"/>
      <c r="P1339" s="34"/>
      <c r="Q1339" s="34"/>
      <c r="R1339" s="34"/>
    </row>
    <row r="1340" spans="13:18">
      <c r="M1340" s="34"/>
      <c r="N1340" s="34"/>
      <c r="O1340" s="34"/>
      <c r="P1340" s="34"/>
      <c r="Q1340" s="34"/>
      <c r="R1340" s="34"/>
    </row>
    <row r="1341" spans="13:18">
      <c r="M1341" s="34"/>
      <c r="N1341" s="34"/>
      <c r="O1341" s="34"/>
      <c r="P1341" s="34"/>
      <c r="Q1341" s="34"/>
      <c r="R1341" s="34"/>
    </row>
    <row r="1342" spans="13:18">
      <c r="M1342" s="34"/>
      <c r="N1342" s="34"/>
      <c r="O1342" s="34"/>
      <c r="P1342" s="34"/>
      <c r="Q1342" s="34"/>
      <c r="R1342" s="34"/>
    </row>
    <row r="1343" spans="13:18">
      <c r="M1343" s="34"/>
      <c r="N1343" s="34"/>
      <c r="O1343" s="34"/>
      <c r="P1343" s="34"/>
      <c r="Q1343" s="34"/>
      <c r="R1343" s="34"/>
    </row>
    <row r="1344" spans="13:18">
      <c r="M1344" s="34"/>
      <c r="N1344" s="34"/>
      <c r="O1344" s="34"/>
      <c r="P1344" s="34"/>
      <c r="Q1344" s="34"/>
      <c r="R1344" s="34"/>
    </row>
    <row r="1345" spans="13:18">
      <c r="M1345" s="34"/>
      <c r="N1345" s="34"/>
      <c r="O1345" s="34"/>
      <c r="P1345" s="34"/>
      <c r="Q1345" s="34"/>
      <c r="R1345" s="34"/>
    </row>
    <row r="1346" spans="13:18">
      <c r="M1346" s="34"/>
      <c r="N1346" s="34"/>
      <c r="O1346" s="34"/>
      <c r="P1346" s="34"/>
      <c r="Q1346" s="34"/>
      <c r="R1346" s="34"/>
    </row>
    <row r="1347" spans="13:18">
      <c r="M1347" s="34"/>
      <c r="N1347" s="34"/>
      <c r="O1347" s="34"/>
      <c r="P1347" s="34"/>
      <c r="Q1347" s="34"/>
      <c r="R1347" s="34"/>
    </row>
    <row r="1348" spans="13:18">
      <c r="M1348" s="34"/>
      <c r="N1348" s="34"/>
      <c r="O1348" s="34"/>
      <c r="P1348" s="34"/>
      <c r="Q1348" s="34"/>
      <c r="R1348" s="34"/>
    </row>
    <row r="1349" spans="13:18">
      <c r="M1349" s="34"/>
      <c r="N1349" s="34"/>
      <c r="O1349" s="34"/>
      <c r="P1349" s="34"/>
      <c r="Q1349" s="34"/>
      <c r="R1349" s="34"/>
    </row>
    <row r="1350" spans="13:18">
      <c r="M1350" s="34"/>
      <c r="N1350" s="34"/>
      <c r="O1350" s="34"/>
      <c r="P1350" s="34"/>
      <c r="Q1350" s="34"/>
      <c r="R1350" s="34"/>
    </row>
    <row r="1351" spans="13:18">
      <c r="M1351" s="34"/>
      <c r="N1351" s="34"/>
      <c r="O1351" s="34"/>
      <c r="P1351" s="34"/>
      <c r="Q1351" s="34"/>
      <c r="R1351" s="34"/>
    </row>
    <row r="1352" spans="13:18">
      <c r="M1352" s="34"/>
      <c r="N1352" s="34"/>
      <c r="O1352" s="34"/>
      <c r="P1352" s="34"/>
      <c r="Q1352" s="34"/>
      <c r="R1352" s="34"/>
    </row>
    <row r="1353" spans="13:18">
      <c r="M1353" s="34"/>
      <c r="N1353" s="34"/>
      <c r="O1353" s="34"/>
      <c r="P1353" s="34"/>
      <c r="Q1353" s="34"/>
      <c r="R1353" s="34"/>
    </row>
    <row r="1354" spans="13:18">
      <c r="M1354" s="34"/>
      <c r="N1354" s="34"/>
      <c r="O1354" s="34"/>
      <c r="P1354" s="34"/>
      <c r="Q1354" s="34"/>
      <c r="R1354" s="34"/>
    </row>
    <row r="1355" spans="13:18">
      <c r="M1355" s="34"/>
      <c r="N1355" s="34"/>
      <c r="O1355" s="34"/>
      <c r="P1355" s="34"/>
      <c r="Q1355" s="34"/>
      <c r="R1355" s="34"/>
    </row>
    <row r="1356" spans="13:18">
      <c r="M1356" s="34"/>
      <c r="N1356" s="34"/>
      <c r="O1356" s="34"/>
      <c r="P1356" s="34"/>
      <c r="Q1356" s="34"/>
      <c r="R1356" s="34"/>
    </row>
    <row r="1357" spans="13:18">
      <c r="M1357" s="34"/>
      <c r="N1357" s="34"/>
      <c r="O1357" s="34"/>
      <c r="P1357" s="34"/>
      <c r="Q1357" s="34"/>
      <c r="R1357" s="34"/>
    </row>
    <row r="1358" spans="13:18">
      <c r="M1358" s="34"/>
      <c r="N1358" s="34"/>
      <c r="O1358" s="34"/>
      <c r="P1358" s="34"/>
      <c r="Q1358" s="34"/>
      <c r="R1358" s="34"/>
    </row>
    <row r="1359" spans="13:18">
      <c r="M1359" s="34"/>
      <c r="N1359" s="34"/>
      <c r="O1359" s="34"/>
      <c r="P1359" s="34"/>
      <c r="Q1359" s="34"/>
      <c r="R1359" s="34"/>
    </row>
    <row r="1360" spans="13:18">
      <c r="M1360" s="34"/>
      <c r="N1360" s="34"/>
      <c r="O1360" s="34"/>
      <c r="P1360" s="34"/>
      <c r="Q1360" s="34"/>
      <c r="R1360" s="34"/>
    </row>
    <row r="1361" spans="13:18">
      <c r="M1361" s="34"/>
      <c r="N1361" s="34"/>
      <c r="O1361" s="34"/>
      <c r="P1361" s="34"/>
      <c r="Q1361" s="34"/>
      <c r="R1361" s="34"/>
    </row>
    <row r="1362" spans="13:18">
      <c r="M1362" s="34"/>
      <c r="N1362" s="34"/>
      <c r="O1362" s="34"/>
      <c r="P1362" s="34"/>
      <c r="Q1362" s="34"/>
      <c r="R1362" s="34"/>
    </row>
    <row r="1363" spans="13:18">
      <c r="M1363" s="34"/>
      <c r="N1363" s="34"/>
      <c r="O1363" s="34"/>
      <c r="P1363" s="34"/>
      <c r="Q1363" s="34"/>
      <c r="R1363" s="34"/>
    </row>
    <row r="1364" spans="13:18">
      <c r="M1364" s="34"/>
      <c r="N1364" s="34"/>
      <c r="O1364" s="34"/>
      <c r="P1364" s="34"/>
      <c r="Q1364" s="34"/>
      <c r="R1364" s="34"/>
    </row>
    <row r="1365" spans="13:18">
      <c r="M1365" s="34"/>
      <c r="N1365" s="34"/>
      <c r="O1365" s="34"/>
      <c r="P1365" s="34"/>
      <c r="Q1365" s="34"/>
      <c r="R1365" s="34"/>
    </row>
    <row r="1366" spans="13:18">
      <c r="M1366" s="34"/>
      <c r="N1366" s="34"/>
      <c r="O1366" s="34"/>
      <c r="P1366" s="34"/>
      <c r="Q1366" s="34"/>
      <c r="R1366" s="34"/>
    </row>
    <row r="1367" spans="13:18">
      <c r="M1367" s="34"/>
      <c r="N1367" s="34"/>
      <c r="O1367" s="34"/>
      <c r="P1367" s="34"/>
      <c r="Q1367" s="34"/>
      <c r="R1367" s="34"/>
    </row>
    <row r="1368" spans="13:18">
      <c r="M1368" s="34"/>
      <c r="N1368" s="34"/>
      <c r="O1368" s="34"/>
      <c r="P1368" s="34"/>
      <c r="Q1368" s="34"/>
      <c r="R1368" s="34"/>
    </row>
    <row r="1369" spans="13:18">
      <c r="M1369" s="34"/>
      <c r="N1369" s="34"/>
      <c r="O1369" s="34"/>
      <c r="P1369" s="34"/>
      <c r="Q1369" s="34"/>
      <c r="R1369" s="34"/>
    </row>
    <row r="1370" spans="13:18">
      <c r="M1370" s="34"/>
      <c r="N1370" s="34"/>
      <c r="O1370" s="34"/>
      <c r="P1370" s="34"/>
      <c r="Q1370" s="34"/>
      <c r="R1370" s="34"/>
    </row>
    <row r="1371" spans="13:18">
      <c r="M1371" s="34"/>
      <c r="N1371" s="34"/>
      <c r="O1371" s="34"/>
      <c r="P1371" s="34"/>
      <c r="Q1371" s="34"/>
      <c r="R1371" s="34"/>
    </row>
    <row r="1372" spans="13:18">
      <c r="M1372" s="34"/>
      <c r="N1372" s="34"/>
      <c r="O1372" s="34"/>
      <c r="P1372" s="34"/>
      <c r="Q1372" s="34"/>
      <c r="R1372" s="34"/>
    </row>
    <row r="1373" spans="13:18">
      <c r="M1373" s="34"/>
      <c r="N1373" s="34"/>
      <c r="O1373" s="34"/>
      <c r="P1373" s="34"/>
      <c r="Q1373" s="34"/>
      <c r="R1373" s="34"/>
    </row>
    <row r="1374" spans="13:18">
      <c r="M1374" s="34"/>
      <c r="N1374" s="34"/>
      <c r="O1374" s="34"/>
      <c r="P1374" s="34"/>
      <c r="Q1374" s="34"/>
      <c r="R1374" s="34"/>
    </row>
    <row r="1375" spans="13:18">
      <c r="M1375" s="34"/>
      <c r="N1375" s="34"/>
      <c r="O1375" s="34"/>
      <c r="P1375" s="34"/>
      <c r="Q1375" s="34"/>
      <c r="R1375" s="34"/>
    </row>
    <row r="1376" spans="13:18">
      <c r="M1376" s="34"/>
      <c r="N1376" s="34"/>
      <c r="O1376" s="34"/>
      <c r="P1376" s="34"/>
      <c r="Q1376" s="34"/>
      <c r="R1376" s="34"/>
    </row>
    <row r="1377" spans="13:18">
      <c r="M1377" s="34"/>
      <c r="N1377" s="34"/>
      <c r="O1377" s="34"/>
      <c r="P1377" s="34"/>
      <c r="Q1377" s="34"/>
      <c r="R1377" s="34"/>
    </row>
    <row r="1378" spans="13:18">
      <c r="M1378" s="34"/>
      <c r="N1378" s="34"/>
      <c r="O1378" s="34"/>
      <c r="P1378" s="34"/>
      <c r="Q1378" s="34"/>
      <c r="R1378" s="34"/>
    </row>
    <row r="1379" spans="13:18">
      <c r="M1379" s="34"/>
      <c r="N1379" s="34"/>
      <c r="O1379" s="34"/>
      <c r="P1379" s="34"/>
      <c r="Q1379" s="34"/>
      <c r="R1379" s="34"/>
    </row>
    <row r="1380" spans="13:18">
      <c r="M1380" s="34"/>
      <c r="N1380" s="34"/>
      <c r="O1380" s="34"/>
      <c r="P1380" s="34"/>
      <c r="Q1380" s="34"/>
      <c r="R1380" s="34"/>
    </row>
    <row r="1381" spans="13:18">
      <c r="M1381" s="34"/>
      <c r="N1381" s="34"/>
      <c r="O1381" s="34"/>
      <c r="P1381" s="34"/>
      <c r="Q1381" s="34"/>
      <c r="R1381" s="34"/>
    </row>
    <row r="1382" spans="13:18">
      <c r="M1382" s="34"/>
      <c r="N1382" s="34"/>
      <c r="O1382" s="34"/>
      <c r="P1382" s="34"/>
      <c r="Q1382" s="34"/>
      <c r="R1382" s="34"/>
    </row>
    <row r="1383" spans="13:18">
      <c r="M1383" s="34"/>
      <c r="N1383" s="34"/>
      <c r="O1383" s="34"/>
      <c r="P1383" s="34"/>
      <c r="Q1383" s="34"/>
      <c r="R1383" s="34"/>
    </row>
    <row r="1384" spans="13:18">
      <c r="M1384" s="34"/>
      <c r="N1384" s="34"/>
      <c r="O1384" s="34"/>
      <c r="P1384" s="34"/>
      <c r="Q1384" s="34"/>
      <c r="R1384" s="34"/>
    </row>
    <row r="1385" spans="13:18">
      <c r="M1385" s="34"/>
      <c r="N1385" s="34"/>
      <c r="O1385" s="34"/>
      <c r="P1385" s="34"/>
      <c r="Q1385" s="34"/>
      <c r="R1385" s="34"/>
    </row>
    <row r="1386" spans="13:18">
      <c r="M1386" s="34"/>
      <c r="N1386" s="34"/>
      <c r="O1386" s="34"/>
      <c r="P1386" s="34"/>
      <c r="Q1386" s="34"/>
      <c r="R1386" s="34"/>
    </row>
    <row r="1387" spans="13:18">
      <c r="M1387" s="34"/>
      <c r="N1387" s="34"/>
      <c r="O1387" s="34"/>
      <c r="P1387" s="34"/>
      <c r="Q1387" s="34"/>
      <c r="R1387" s="34"/>
    </row>
    <row r="1388" spans="13:18">
      <c r="M1388" s="34"/>
      <c r="N1388" s="34"/>
      <c r="O1388" s="34"/>
      <c r="P1388" s="34"/>
      <c r="Q1388" s="34"/>
      <c r="R1388" s="34"/>
    </row>
    <row r="1389" spans="13:18">
      <c r="M1389" s="34"/>
      <c r="N1389" s="34"/>
      <c r="O1389" s="34"/>
      <c r="P1389" s="34"/>
      <c r="Q1389" s="34"/>
      <c r="R1389" s="34"/>
    </row>
    <row r="1390" spans="13:18">
      <c r="M1390" s="34"/>
      <c r="N1390" s="34"/>
      <c r="O1390" s="34"/>
      <c r="P1390" s="34"/>
      <c r="Q1390" s="34"/>
      <c r="R1390" s="34"/>
    </row>
    <row r="1391" spans="13:18">
      <c r="M1391" s="34"/>
      <c r="N1391" s="34"/>
      <c r="O1391" s="34"/>
      <c r="P1391" s="34"/>
      <c r="Q1391" s="34"/>
      <c r="R1391" s="34"/>
    </row>
    <row r="1392" spans="13:18">
      <c r="M1392" s="34"/>
      <c r="N1392" s="34"/>
      <c r="O1392" s="34"/>
      <c r="P1392" s="34"/>
      <c r="Q1392" s="34"/>
      <c r="R1392" s="34"/>
    </row>
    <row r="1393" spans="13:18">
      <c r="M1393" s="34"/>
      <c r="N1393" s="34"/>
      <c r="O1393" s="34"/>
      <c r="P1393" s="34"/>
      <c r="Q1393" s="34"/>
      <c r="R1393" s="34"/>
    </row>
    <row r="1394" spans="13:18">
      <c r="M1394" s="34"/>
      <c r="N1394" s="34"/>
      <c r="O1394" s="34"/>
      <c r="P1394" s="34"/>
      <c r="Q1394" s="34"/>
      <c r="R1394" s="34"/>
    </row>
    <row r="1395" spans="13:18">
      <c r="M1395" s="34"/>
      <c r="N1395" s="34"/>
      <c r="O1395" s="34"/>
      <c r="P1395" s="34"/>
      <c r="Q1395" s="34"/>
      <c r="R1395" s="34"/>
    </row>
    <row r="1396" spans="13:18">
      <c r="M1396" s="34"/>
      <c r="N1396" s="34"/>
      <c r="O1396" s="34"/>
      <c r="P1396" s="34"/>
      <c r="Q1396" s="34"/>
      <c r="R1396" s="34"/>
    </row>
    <row r="1397" spans="13:18">
      <c r="M1397" s="34"/>
      <c r="N1397" s="34"/>
      <c r="O1397" s="34"/>
      <c r="P1397" s="34"/>
      <c r="Q1397" s="34"/>
      <c r="R1397" s="34"/>
    </row>
    <row r="1398" spans="13:18">
      <c r="M1398" s="34"/>
      <c r="N1398" s="34"/>
      <c r="O1398" s="34"/>
      <c r="P1398" s="34"/>
      <c r="Q1398" s="34"/>
      <c r="R1398" s="34"/>
    </row>
    <row r="1399" spans="13:18">
      <c r="M1399" s="34"/>
      <c r="N1399" s="34"/>
      <c r="O1399" s="34"/>
      <c r="P1399" s="34"/>
      <c r="Q1399" s="34"/>
      <c r="R1399" s="34"/>
    </row>
    <row r="1400" spans="13:18">
      <c r="M1400" s="34"/>
      <c r="N1400" s="34"/>
      <c r="O1400" s="34"/>
      <c r="P1400" s="34"/>
      <c r="Q1400" s="34"/>
      <c r="R1400" s="34"/>
    </row>
    <row r="1401" spans="13:18">
      <c r="M1401" s="34"/>
      <c r="N1401" s="34"/>
      <c r="O1401" s="34"/>
      <c r="P1401" s="34"/>
      <c r="Q1401" s="34"/>
      <c r="R1401" s="34"/>
    </row>
    <row r="1402" spans="13:18">
      <c r="M1402" s="34"/>
      <c r="N1402" s="34"/>
      <c r="O1402" s="34"/>
      <c r="P1402" s="34"/>
      <c r="Q1402" s="34"/>
      <c r="R1402" s="34"/>
    </row>
    <row r="1403" spans="13:18">
      <c r="M1403" s="34"/>
      <c r="N1403" s="34"/>
      <c r="O1403" s="34"/>
      <c r="P1403" s="34"/>
      <c r="Q1403" s="34"/>
      <c r="R1403" s="34"/>
    </row>
    <row r="1404" spans="13:18">
      <c r="M1404" s="34"/>
      <c r="N1404" s="34"/>
      <c r="O1404" s="34"/>
      <c r="P1404" s="34"/>
      <c r="Q1404" s="34"/>
      <c r="R1404" s="34"/>
    </row>
    <row r="1405" spans="13:18">
      <c r="M1405" s="34"/>
      <c r="N1405" s="34"/>
      <c r="O1405" s="34"/>
      <c r="P1405" s="34"/>
      <c r="Q1405" s="34"/>
      <c r="R1405" s="34"/>
    </row>
    <row r="1406" spans="13:18">
      <c r="M1406" s="34"/>
      <c r="N1406" s="34"/>
      <c r="O1406" s="34"/>
      <c r="P1406" s="34"/>
      <c r="Q1406" s="34"/>
      <c r="R1406" s="34"/>
    </row>
    <row r="1407" spans="13:18">
      <c r="M1407" s="34"/>
      <c r="N1407" s="34"/>
      <c r="O1407" s="34"/>
      <c r="P1407" s="34"/>
      <c r="Q1407" s="34"/>
      <c r="R1407" s="34"/>
    </row>
    <row r="1408" spans="13:18">
      <c r="M1408" s="34"/>
      <c r="N1408" s="34"/>
      <c r="O1408" s="34"/>
      <c r="P1408" s="34"/>
      <c r="Q1408" s="34"/>
      <c r="R1408" s="34"/>
    </row>
    <row r="1409" spans="13:18">
      <c r="M1409" s="34"/>
      <c r="N1409" s="34"/>
      <c r="O1409" s="34"/>
      <c r="P1409" s="34"/>
      <c r="Q1409" s="34"/>
      <c r="R1409" s="34"/>
    </row>
    <row r="1410" spans="13:18">
      <c r="M1410" s="34"/>
      <c r="N1410" s="34"/>
      <c r="O1410" s="34"/>
      <c r="P1410" s="34"/>
      <c r="Q1410" s="34"/>
      <c r="R1410" s="34"/>
    </row>
    <row r="1411" spans="13:18">
      <c r="M1411" s="34"/>
      <c r="N1411" s="34"/>
      <c r="O1411" s="34"/>
      <c r="P1411" s="34"/>
      <c r="Q1411" s="34"/>
      <c r="R1411" s="34"/>
    </row>
    <row r="1412" spans="13:18">
      <c r="M1412" s="34"/>
      <c r="N1412" s="34"/>
      <c r="O1412" s="34"/>
      <c r="P1412" s="34"/>
      <c r="Q1412" s="34"/>
      <c r="R1412" s="34"/>
    </row>
    <row r="1413" spans="13:18">
      <c r="M1413" s="34"/>
      <c r="N1413" s="34"/>
      <c r="O1413" s="34"/>
      <c r="P1413" s="34"/>
      <c r="Q1413" s="34"/>
      <c r="R1413" s="34"/>
    </row>
    <row r="1414" spans="13:18">
      <c r="M1414" s="34"/>
      <c r="N1414" s="34"/>
      <c r="O1414" s="34"/>
      <c r="P1414" s="34"/>
      <c r="Q1414" s="34"/>
      <c r="R1414" s="34"/>
    </row>
    <row r="1415" spans="13:18">
      <c r="M1415" s="34"/>
      <c r="N1415" s="34"/>
      <c r="O1415" s="34"/>
      <c r="P1415" s="34"/>
      <c r="Q1415" s="34"/>
      <c r="R1415" s="34"/>
    </row>
    <row r="1416" spans="13:18">
      <c r="M1416" s="34"/>
      <c r="N1416" s="34"/>
      <c r="O1416" s="34"/>
      <c r="P1416" s="34"/>
      <c r="Q1416" s="34"/>
      <c r="R1416" s="34"/>
    </row>
    <row r="1417" spans="13:18">
      <c r="M1417" s="34"/>
      <c r="N1417" s="34"/>
      <c r="O1417" s="34"/>
      <c r="P1417" s="34"/>
      <c r="Q1417" s="34"/>
      <c r="R1417" s="34"/>
    </row>
    <row r="1418" spans="13:18">
      <c r="M1418" s="34"/>
      <c r="N1418" s="34"/>
      <c r="O1418" s="34"/>
      <c r="P1418" s="34"/>
      <c r="Q1418" s="34"/>
      <c r="R1418" s="34"/>
    </row>
    <row r="1419" spans="13:18">
      <c r="M1419" s="34"/>
      <c r="N1419" s="34"/>
      <c r="O1419" s="34"/>
      <c r="P1419" s="34"/>
      <c r="Q1419" s="34"/>
      <c r="R1419" s="34"/>
    </row>
    <row r="1420" spans="13:18">
      <c r="M1420" s="34"/>
      <c r="N1420" s="34"/>
      <c r="O1420" s="34"/>
      <c r="P1420" s="34"/>
      <c r="Q1420" s="34"/>
      <c r="R1420" s="34"/>
    </row>
    <row r="1421" spans="13:18">
      <c r="M1421" s="34"/>
      <c r="N1421" s="34"/>
      <c r="O1421" s="34"/>
      <c r="P1421" s="34"/>
      <c r="Q1421" s="34"/>
      <c r="R1421" s="34"/>
    </row>
    <row r="1422" spans="13:18">
      <c r="M1422" s="34"/>
      <c r="N1422" s="34"/>
      <c r="O1422" s="34"/>
      <c r="P1422" s="34"/>
      <c r="Q1422" s="34"/>
      <c r="R1422" s="34"/>
    </row>
    <row r="1423" spans="13:18">
      <c r="M1423" s="34"/>
      <c r="N1423" s="34"/>
      <c r="O1423" s="34"/>
      <c r="P1423" s="34"/>
      <c r="Q1423" s="34"/>
      <c r="R1423" s="34"/>
    </row>
    <row r="1424" spans="13:18">
      <c r="M1424" s="34"/>
      <c r="N1424" s="34"/>
      <c r="O1424" s="34"/>
      <c r="P1424" s="34"/>
      <c r="Q1424" s="34"/>
      <c r="R1424" s="34"/>
    </row>
    <row r="1425" spans="13:18">
      <c r="M1425" s="34"/>
      <c r="N1425" s="34"/>
      <c r="O1425" s="34"/>
      <c r="P1425" s="34"/>
      <c r="Q1425" s="34"/>
      <c r="R1425" s="34"/>
    </row>
    <row r="1426" spans="13:18">
      <c r="M1426" s="34"/>
      <c r="N1426" s="34"/>
      <c r="O1426" s="34"/>
      <c r="P1426" s="34"/>
      <c r="Q1426" s="34"/>
      <c r="R1426" s="34"/>
    </row>
    <row r="1427" spans="13:18">
      <c r="M1427" s="34"/>
      <c r="N1427" s="34"/>
      <c r="O1427" s="34"/>
      <c r="P1427" s="34"/>
      <c r="Q1427" s="34"/>
      <c r="R1427" s="34"/>
    </row>
    <row r="1428" spans="13:18">
      <c r="M1428" s="34"/>
      <c r="N1428" s="34"/>
      <c r="O1428" s="34"/>
      <c r="P1428" s="34"/>
      <c r="Q1428" s="34"/>
      <c r="R1428" s="34"/>
    </row>
    <row r="1429" spans="13:18">
      <c r="M1429" s="34"/>
      <c r="N1429" s="34"/>
      <c r="O1429" s="34"/>
      <c r="P1429" s="34"/>
      <c r="Q1429" s="34"/>
      <c r="R1429" s="34"/>
    </row>
    <row r="1430" spans="13:18">
      <c r="M1430" s="34"/>
      <c r="N1430" s="34"/>
      <c r="O1430" s="34"/>
      <c r="P1430" s="34"/>
      <c r="Q1430" s="34"/>
      <c r="R1430" s="34"/>
    </row>
    <row r="1431" spans="13:18">
      <c r="M1431" s="34"/>
      <c r="N1431" s="34"/>
      <c r="O1431" s="34"/>
      <c r="P1431" s="34"/>
      <c r="Q1431" s="34"/>
      <c r="R1431" s="34"/>
    </row>
    <row r="1432" spans="13:18">
      <c r="M1432" s="34"/>
      <c r="N1432" s="34"/>
      <c r="O1432" s="34"/>
      <c r="P1432" s="34"/>
      <c r="Q1432" s="34"/>
      <c r="R1432" s="34"/>
    </row>
    <row r="1433" spans="13:18">
      <c r="M1433" s="34"/>
      <c r="N1433" s="34"/>
      <c r="O1433" s="34"/>
      <c r="P1433" s="34"/>
      <c r="Q1433" s="34"/>
      <c r="R1433" s="34"/>
    </row>
    <row r="1434" spans="13:18">
      <c r="M1434" s="34"/>
      <c r="N1434" s="34"/>
      <c r="O1434" s="34"/>
      <c r="P1434" s="34"/>
      <c r="Q1434" s="34"/>
      <c r="R1434" s="34"/>
    </row>
    <row r="1435" spans="13:18">
      <c r="M1435" s="34"/>
      <c r="N1435" s="34"/>
      <c r="O1435" s="34"/>
      <c r="P1435" s="34"/>
      <c r="Q1435" s="34"/>
      <c r="R1435" s="34"/>
    </row>
    <row r="1436" spans="13:18">
      <c r="M1436" s="34"/>
      <c r="N1436" s="34"/>
      <c r="O1436" s="34"/>
      <c r="P1436" s="34"/>
      <c r="Q1436" s="34"/>
      <c r="R1436" s="34"/>
    </row>
    <row r="1437" spans="13:18">
      <c r="M1437" s="34"/>
      <c r="N1437" s="34"/>
      <c r="O1437" s="34"/>
      <c r="P1437" s="34"/>
      <c r="Q1437" s="34"/>
      <c r="R1437" s="34"/>
    </row>
    <row r="1438" spans="13:18">
      <c r="M1438" s="34"/>
      <c r="N1438" s="34"/>
      <c r="O1438" s="34"/>
      <c r="P1438" s="34"/>
      <c r="Q1438" s="34"/>
      <c r="R1438" s="34"/>
    </row>
    <row r="1439" spans="13:18">
      <c r="M1439" s="34"/>
      <c r="N1439" s="34"/>
      <c r="O1439" s="34"/>
      <c r="P1439" s="34"/>
      <c r="Q1439" s="34"/>
      <c r="R1439" s="34"/>
    </row>
    <row r="1440" spans="13:18">
      <c r="M1440" s="34"/>
      <c r="N1440" s="34"/>
      <c r="O1440" s="34"/>
      <c r="P1440" s="34"/>
      <c r="Q1440" s="34"/>
      <c r="R1440" s="34"/>
    </row>
    <row r="1441" spans="13:18">
      <c r="M1441" s="34"/>
      <c r="N1441" s="34"/>
      <c r="O1441" s="34"/>
      <c r="P1441" s="34"/>
      <c r="Q1441" s="34"/>
      <c r="R1441" s="34"/>
    </row>
    <row r="1442" spans="13:18">
      <c r="M1442" s="34"/>
      <c r="N1442" s="34"/>
      <c r="O1442" s="34"/>
      <c r="P1442" s="34"/>
      <c r="Q1442" s="34"/>
      <c r="R1442" s="34"/>
    </row>
    <row r="1443" spans="13:18">
      <c r="M1443" s="34"/>
      <c r="N1443" s="34"/>
      <c r="O1443" s="34"/>
      <c r="P1443" s="34"/>
      <c r="Q1443" s="34"/>
      <c r="R1443" s="34"/>
    </row>
    <row r="1444" spans="13:18">
      <c r="M1444" s="34"/>
      <c r="N1444" s="34"/>
      <c r="O1444" s="34"/>
      <c r="P1444" s="34"/>
      <c r="Q1444" s="34"/>
      <c r="R1444" s="34"/>
    </row>
    <row r="1445" spans="13:18">
      <c r="M1445" s="34"/>
      <c r="N1445" s="34"/>
      <c r="O1445" s="34"/>
      <c r="P1445" s="34"/>
      <c r="Q1445" s="34"/>
      <c r="R1445" s="34"/>
    </row>
    <row r="1446" spans="13:18">
      <c r="M1446" s="34"/>
      <c r="N1446" s="34"/>
      <c r="O1446" s="34"/>
      <c r="P1446" s="34"/>
      <c r="Q1446" s="34"/>
      <c r="R1446" s="34"/>
    </row>
    <row r="1447" spans="13:18">
      <c r="M1447" s="34"/>
      <c r="N1447" s="34"/>
      <c r="O1447" s="34"/>
      <c r="P1447" s="34"/>
      <c r="Q1447" s="34"/>
      <c r="R1447" s="34"/>
    </row>
    <row r="1448" spans="13:18">
      <c r="M1448" s="34"/>
      <c r="N1448" s="34"/>
      <c r="O1448" s="34"/>
      <c r="P1448" s="34"/>
      <c r="Q1448" s="34"/>
      <c r="R1448" s="34"/>
    </row>
    <row r="1449" spans="13:18">
      <c r="M1449" s="34"/>
      <c r="N1449" s="34"/>
      <c r="O1449" s="34"/>
      <c r="P1449" s="34"/>
      <c r="Q1449" s="34"/>
      <c r="R1449" s="34"/>
    </row>
    <row r="1450" spans="13:18">
      <c r="M1450" s="34"/>
      <c r="N1450" s="34"/>
      <c r="O1450" s="34"/>
      <c r="P1450" s="34"/>
      <c r="Q1450" s="34"/>
      <c r="R1450" s="34"/>
    </row>
    <row r="1451" spans="13:18">
      <c r="M1451" s="34"/>
      <c r="N1451" s="34"/>
      <c r="O1451" s="34"/>
      <c r="P1451" s="34"/>
      <c r="Q1451" s="34"/>
      <c r="R1451" s="34"/>
    </row>
    <row r="1452" spans="13:18">
      <c r="M1452" s="34"/>
      <c r="N1452" s="34"/>
      <c r="O1452" s="34"/>
      <c r="P1452" s="34"/>
      <c r="Q1452" s="34"/>
      <c r="R1452" s="34"/>
    </row>
    <row r="1453" spans="13:18">
      <c r="M1453" s="34"/>
      <c r="N1453" s="34"/>
      <c r="O1453" s="34"/>
      <c r="P1453" s="34"/>
      <c r="Q1453" s="34"/>
      <c r="R1453" s="34"/>
    </row>
    <row r="1454" spans="13:18">
      <c r="M1454" s="34"/>
      <c r="N1454" s="34"/>
      <c r="O1454" s="34"/>
      <c r="P1454" s="34"/>
      <c r="Q1454" s="34"/>
      <c r="R1454" s="34"/>
    </row>
    <row r="1455" spans="13:18">
      <c r="M1455" s="34"/>
      <c r="N1455" s="34"/>
      <c r="O1455" s="34"/>
      <c r="P1455" s="34"/>
      <c r="Q1455" s="34"/>
      <c r="R1455" s="34"/>
    </row>
    <row r="1456" spans="13:18">
      <c r="M1456" s="34"/>
      <c r="N1456" s="34"/>
      <c r="O1456" s="34"/>
      <c r="P1456" s="34"/>
      <c r="Q1456" s="34"/>
      <c r="R1456" s="34"/>
    </row>
    <row r="1457" spans="13:18">
      <c r="M1457" s="34"/>
      <c r="N1457" s="34"/>
      <c r="O1457" s="34"/>
      <c r="P1457" s="34"/>
      <c r="Q1457" s="34"/>
      <c r="R1457" s="34"/>
    </row>
    <row r="1458" spans="13:18">
      <c r="M1458" s="34"/>
      <c r="N1458" s="34"/>
      <c r="O1458" s="34"/>
      <c r="P1458" s="34"/>
      <c r="Q1458" s="34"/>
      <c r="R1458" s="34"/>
    </row>
    <row r="1459" spans="13:18">
      <c r="M1459" s="34"/>
      <c r="N1459" s="34"/>
      <c r="O1459" s="34"/>
      <c r="P1459" s="34"/>
      <c r="Q1459" s="34"/>
      <c r="R1459" s="34"/>
    </row>
    <row r="1460" spans="13:18">
      <c r="M1460" s="34"/>
      <c r="N1460" s="34"/>
      <c r="O1460" s="34"/>
      <c r="P1460" s="34"/>
      <c r="Q1460" s="34"/>
      <c r="R1460" s="34"/>
    </row>
    <row r="1461" spans="13:18">
      <c r="M1461" s="34"/>
      <c r="N1461" s="34"/>
      <c r="O1461" s="34"/>
      <c r="P1461" s="34"/>
      <c r="Q1461" s="34"/>
      <c r="R1461" s="34"/>
    </row>
    <row r="1462" spans="13:18">
      <c r="M1462" s="34"/>
      <c r="N1462" s="34"/>
      <c r="O1462" s="34"/>
      <c r="P1462" s="34"/>
      <c r="Q1462" s="34"/>
      <c r="R1462" s="34"/>
    </row>
    <row r="1463" spans="13:18">
      <c r="M1463" s="34"/>
      <c r="N1463" s="34"/>
      <c r="O1463" s="34"/>
      <c r="P1463" s="34"/>
      <c r="Q1463" s="34"/>
      <c r="R1463" s="34"/>
    </row>
    <row r="1464" spans="13:18">
      <c r="M1464" s="34"/>
      <c r="N1464" s="34"/>
      <c r="O1464" s="34"/>
      <c r="P1464" s="34"/>
      <c r="Q1464" s="34"/>
      <c r="R1464" s="34"/>
    </row>
    <row r="1465" spans="13:18">
      <c r="M1465" s="34"/>
      <c r="N1465" s="34"/>
      <c r="O1465" s="34"/>
      <c r="P1465" s="34"/>
      <c r="Q1465" s="34"/>
      <c r="R1465" s="34"/>
    </row>
    <row r="1466" spans="13:18">
      <c r="M1466" s="34"/>
      <c r="N1466" s="34"/>
      <c r="O1466" s="34"/>
      <c r="P1466" s="34"/>
      <c r="Q1466" s="34"/>
      <c r="R1466" s="34"/>
    </row>
    <row r="1467" spans="13:18">
      <c r="M1467" s="34"/>
      <c r="N1467" s="34"/>
      <c r="O1467" s="34"/>
      <c r="P1467" s="34"/>
      <c r="Q1467" s="34"/>
      <c r="R1467" s="34"/>
    </row>
    <row r="1468" spans="13:18">
      <c r="M1468" s="34"/>
      <c r="N1468" s="34"/>
      <c r="O1468" s="34"/>
      <c r="P1468" s="34"/>
      <c r="Q1468" s="34"/>
      <c r="R1468" s="34"/>
    </row>
    <row r="1469" spans="13:18">
      <c r="M1469" s="34"/>
      <c r="N1469" s="34"/>
      <c r="O1469" s="34"/>
      <c r="P1469" s="34"/>
      <c r="Q1469" s="34"/>
      <c r="R1469" s="34"/>
    </row>
    <row r="1470" spans="13:18">
      <c r="M1470" s="34"/>
      <c r="N1470" s="34"/>
      <c r="O1470" s="34"/>
      <c r="P1470" s="34"/>
      <c r="Q1470" s="34"/>
      <c r="R1470" s="34"/>
    </row>
    <row r="1471" spans="13:18">
      <c r="M1471" s="34"/>
      <c r="N1471" s="34"/>
      <c r="O1471" s="34"/>
      <c r="P1471" s="34"/>
      <c r="Q1471" s="34"/>
      <c r="R1471" s="34"/>
    </row>
    <row r="1472" spans="13:18">
      <c r="M1472" s="34"/>
      <c r="N1472" s="34"/>
      <c r="O1472" s="34"/>
      <c r="P1472" s="34"/>
      <c r="Q1472" s="34"/>
      <c r="R1472" s="34"/>
    </row>
    <row r="1473" spans="13:18">
      <c r="M1473" s="34"/>
      <c r="N1473" s="34"/>
      <c r="O1473" s="34"/>
      <c r="P1473" s="34"/>
      <c r="Q1473" s="34"/>
      <c r="R1473" s="34"/>
    </row>
    <row r="1474" spans="13:18">
      <c r="M1474" s="34"/>
      <c r="N1474" s="34"/>
      <c r="O1474" s="34"/>
      <c r="P1474" s="34"/>
      <c r="Q1474" s="34"/>
      <c r="R1474" s="34"/>
    </row>
    <row r="1475" spans="13:18">
      <c r="M1475" s="34"/>
      <c r="N1475" s="34"/>
      <c r="O1475" s="34"/>
      <c r="P1475" s="34"/>
      <c r="Q1475" s="34"/>
      <c r="R1475" s="34"/>
    </row>
    <row r="1476" spans="13:18">
      <c r="M1476" s="34"/>
      <c r="N1476" s="34"/>
      <c r="O1476" s="34"/>
      <c r="P1476" s="34"/>
      <c r="Q1476" s="34"/>
      <c r="R1476" s="34"/>
    </row>
    <row r="1477" spans="13:18">
      <c r="M1477" s="34"/>
      <c r="N1477" s="34"/>
      <c r="O1477" s="34"/>
      <c r="P1477" s="34"/>
      <c r="Q1477" s="34"/>
      <c r="R1477" s="34"/>
    </row>
    <row r="1478" spans="13:18">
      <c r="M1478" s="34"/>
      <c r="N1478" s="34"/>
      <c r="O1478" s="34"/>
      <c r="P1478" s="34"/>
      <c r="Q1478" s="34"/>
      <c r="R1478" s="34"/>
    </row>
    <row r="1479" spans="13:18">
      <c r="M1479" s="34"/>
      <c r="N1479" s="34"/>
      <c r="O1479" s="34"/>
      <c r="P1479" s="34"/>
      <c r="Q1479" s="34"/>
      <c r="R1479" s="34"/>
    </row>
    <row r="1480" spans="13:18">
      <c r="M1480" s="34"/>
      <c r="N1480" s="34"/>
      <c r="O1480" s="34"/>
      <c r="P1480" s="34"/>
      <c r="Q1480" s="34"/>
      <c r="R1480" s="34"/>
    </row>
    <row r="1481" spans="13:18">
      <c r="M1481" s="34"/>
      <c r="N1481" s="34"/>
      <c r="O1481" s="34"/>
      <c r="P1481" s="34"/>
      <c r="Q1481" s="34"/>
      <c r="R1481" s="34"/>
    </row>
    <row r="1482" spans="13:18">
      <c r="M1482" s="34"/>
      <c r="N1482" s="34"/>
      <c r="O1482" s="34"/>
      <c r="P1482" s="34"/>
      <c r="Q1482" s="34"/>
      <c r="R1482" s="34"/>
    </row>
    <row r="1483" spans="13:18">
      <c r="M1483" s="34"/>
      <c r="N1483" s="34"/>
      <c r="O1483" s="34"/>
      <c r="P1483" s="34"/>
      <c r="Q1483" s="34"/>
      <c r="R1483" s="34"/>
    </row>
    <row r="1484" spans="13:18">
      <c r="M1484" s="34"/>
      <c r="N1484" s="34"/>
      <c r="O1484" s="34"/>
      <c r="P1484" s="34"/>
      <c r="Q1484" s="34"/>
      <c r="R1484" s="34"/>
    </row>
    <row r="1485" spans="13:18">
      <c r="M1485" s="34"/>
      <c r="N1485" s="34"/>
      <c r="O1485" s="34"/>
      <c r="P1485" s="34"/>
      <c r="Q1485" s="34"/>
      <c r="R1485" s="34"/>
    </row>
    <row r="1486" spans="13:18">
      <c r="M1486" s="34"/>
      <c r="N1486" s="34"/>
      <c r="O1486" s="34"/>
      <c r="P1486" s="34"/>
      <c r="Q1486" s="34"/>
      <c r="R1486" s="34"/>
    </row>
    <row r="1487" spans="13:18">
      <c r="M1487" s="34"/>
      <c r="N1487" s="34"/>
      <c r="O1487" s="34"/>
      <c r="P1487" s="34"/>
      <c r="Q1487" s="34"/>
      <c r="R1487" s="34"/>
    </row>
    <row r="1488" spans="13:18">
      <c r="M1488" s="34"/>
      <c r="N1488" s="34"/>
      <c r="O1488" s="34"/>
      <c r="P1488" s="34"/>
      <c r="Q1488" s="34"/>
      <c r="R1488" s="34"/>
    </row>
    <row r="1489" spans="13:18">
      <c r="M1489" s="34"/>
      <c r="N1489" s="34"/>
      <c r="O1489" s="34"/>
      <c r="P1489" s="34"/>
      <c r="Q1489" s="34"/>
      <c r="R1489" s="34"/>
    </row>
    <row r="1490" spans="13:18">
      <c r="M1490" s="34"/>
      <c r="N1490" s="34"/>
      <c r="O1490" s="34"/>
      <c r="P1490" s="34"/>
      <c r="Q1490" s="34"/>
      <c r="R1490" s="34"/>
    </row>
    <row r="1491" spans="13:18">
      <c r="M1491" s="34"/>
      <c r="N1491" s="34"/>
      <c r="O1491" s="34"/>
      <c r="P1491" s="34"/>
      <c r="Q1491" s="34"/>
      <c r="R1491" s="34"/>
    </row>
    <row r="1492" spans="13:18">
      <c r="M1492" s="34"/>
      <c r="N1492" s="34"/>
      <c r="O1492" s="34"/>
      <c r="P1492" s="34"/>
      <c r="Q1492" s="34"/>
      <c r="R1492" s="34"/>
    </row>
    <row r="1493" spans="13:18">
      <c r="M1493" s="34"/>
      <c r="N1493" s="34"/>
      <c r="O1493" s="34"/>
      <c r="P1493" s="34"/>
      <c r="Q1493" s="34"/>
      <c r="R1493" s="34"/>
    </row>
    <row r="1494" spans="13:18">
      <c r="M1494" s="34"/>
      <c r="N1494" s="34"/>
      <c r="O1494" s="34"/>
      <c r="P1494" s="34"/>
      <c r="Q1494" s="34"/>
      <c r="R1494" s="34"/>
    </row>
    <row r="1495" spans="13:18">
      <c r="M1495" s="34"/>
      <c r="N1495" s="34"/>
      <c r="O1495" s="34"/>
      <c r="P1495" s="34"/>
      <c r="Q1495" s="34"/>
      <c r="R1495" s="34"/>
    </row>
    <row r="1496" spans="13:18">
      <c r="M1496" s="34"/>
      <c r="N1496" s="34"/>
      <c r="O1496" s="34"/>
      <c r="P1496" s="34"/>
      <c r="Q1496" s="34"/>
      <c r="R1496" s="34"/>
    </row>
    <row r="1497" spans="13:18">
      <c r="M1497" s="34"/>
      <c r="N1497" s="34"/>
      <c r="O1497" s="34"/>
      <c r="P1497" s="34"/>
      <c r="Q1497" s="34"/>
      <c r="R1497" s="34"/>
    </row>
    <row r="1498" spans="13:18">
      <c r="M1498" s="34"/>
      <c r="N1498" s="34"/>
      <c r="O1498" s="34"/>
      <c r="P1498" s="34"/>
      <c r="Q1498" s="34"/>
      <c r="R1498" s="34"/>
    </row>
    <row r="1499" spans="13:18">
      <c r="M1499" s="34"/>
      <c r="N1499" s="34"/>
      <c r="O1499" s="34"/>
      <c r="P1499" s="34"/>
      <c r="Q1499" s="34"/>
      <c r="R1499" s="34"/>
    </row>
    <row r="1500" spans="13:18">
      <c r="M1500" s="34"/>
      <c r="N1500" s="34"/>
      <c r="O1500" s="34"/>
      <c r="P1500" s="34"/>
      <c r="Q1500" s="34"/>
      <c r="R1500" s="34"/>
    </row>
    <row r="1501" spans="13:18">
      <c r="M1501" s="34"/>
      <c r="N1501" s="34"/>
      <c r="O1501" s="34"/>
      <c r="P1501" s="34"/>
      <c r="Q1501" s="34"/>
      <c r="R1501" s="34"/>
    </row>
    <row r="1502" spans="13:18">
      <c r="M1502" s="34"/>
      <c r="N1502" s="34"/>
      <c r="O1502" s="34"/>
      <c r="P1502" s="34"/>
      <c r="Q1502" s="34"/>
      <c r="R1502" s="34"/>
    </row>
    <row r="1503" spans="13:18">
      <c r="M1503" s="34"/>
      <c r="N1503" s="34"/>
      <c r="O1503" s="34"/>
      <c r="P1503" s="34"/>
      <c r="Q1503" s="34"/>
      <c r="R1503" s="34"/>
    </row>
    <row r="1504" spans="13:18">
      <c r="M1504" s="34"/>
      <c r="N1504" s="34"/>
      <c r="O1504" s="34"/>
      <c r="P1504" s="34"/>
      <c r="Q1504" s="34"/>
      <c r="R1504" s="34"/>
    </row>
    <row r="1505" spans="13:18">
      <c r="M1505" s="34"/>
      <c r="N1505" s="34"/>
      <c r="O1505" s="34"/>
      <c r="P1505" s="34"/>
      <c r="Q1505" s="34"/>
      <c r="R1505" s="34"/>
    </row>
    <row r="1506" spans="13:18">
      <c r="M1506" s="34"/>
      <c r="N1506" s="34"/>
      <c r="O1506" s="34"/>
      <c r="P1506" s="34"/>
      <c r="Q1506" s="34"/>
      <c r="R1506" s="34"/>
    </row>
    <row r="1507" spans="13:18">
      <c r="M1507" s="34"/>
      <c r="N1507" s="34"/>
      <c r="O1507" s="34"/>
      <c r="P1507" s="34"/>
      <c r="Q1507" s="34"/>
      <c r="R1507" s="34"/>
    </row>
    <row r="1508" spans="13:18">
      <c r="M1508" s="34"/>
      <c r="N1508" s="34"/>
      <c r="O1508" s="34"/>
      <c r="P1508" s="34"/>
      <c r="Q1508" s="34"/>
      <c r="R1508" s="34"/>
    </row>
    <row r="1509" spans="13:18">
      <c r="M1509" s="34"/>
      <c r="N1509" s="34"/>
      <c r="O1509" s="34"/>
      <c r="P1509" s="34"/>
      <c r="Q1509" s="34"/>
      <c r="R1509" s="34"/>
    </row>
    <row r="1510" spans="13:18">
      <c r="M1510" s="34"/>
      <c r="N1510" s="34"/>
      <c r="O1510" s="34"/>
      <c r="P1510" s="34"/>
      <c r="Q1510" s="34"/>
      <c r="R1510" s="34"/>
    </row>
    <row r="1511" spans="13:18">
      <c r="M1511" s="34"/>
      <c r="N1511" s="34"/>
      <c r="O1511" s="34"/>
      <c r="P1511" s="34"/>
      <c r="Q1511" s="34"/>
      <c r="R1511" s="34"/>
    </row>
    <row r="1512" spans="13:18">
      <c r="M1512" s="34"/>
      <c r="N1512" s="34"/>
      <c r="O1512" s="34"/>
      <c r="P1512" s="34"/>
      <c r="Q1512" s="34"/>
      <c r="R1512" s="34"/>
    </row>
    <row r="1513" spans="13:18">
      <c r="M1513" s="34"/>
      <c r="N1513" s="34"/>
      <c r="O1513" s="34"/>
      <c r="P1513" s="34"/>
      <c r="Q1513" s="34"/>
      <c r="R1513" s="34"/>
    </row>
    <row r="1514" spans="13:18">
      <c r="M1514" s="34"/>
      <c r="N1514" s="34"/>
      <c r="O1514" s="34"/>
      <c r="P1514" s="34"/>
      <c r="Q1514" s="34"/>
      <c r="R1514" s="34"/>
    </row>
    <row r="1515" spans="13:18">
      <c r="M1515" s="34"/>
      <c r="N1515" s="34"/>
      <c r="O1515" s="34"/>
      <c r="P1515" s="34"/>
      <c r="Q1515" s="34"/>
      <c r="R1515" s="34"/>
    </row>
    <row r="1516" spans="13:18">
      <c r="M1516" s="34"/>
      <c r="N1516" s="34"/>
      <c r="O1516" s="34"/>
      <c r="P1516" s="34"/>
      <c r="Q1516" s="34"/>
      <c r="R1516" s="34"/>
    </row>
    <row r="1517" spans="13:18">
      <c r="M1517" s="34"/>
      <c r="N1517" s="34"/>
      <c r="O1517" s="34"/>
      <c r="P1517" s="34"/>
      <c r="Q1517" s="34"/>
      <c r="R1517" s="34"/>
    </row>
    <row r="1518" spans="13:18">
      <c r="M1518" s="34"/>
      <c r="N1518" s="34"/>
      <c r="O1518" s="34"/>
      <c r="P1518" s="34"/>
      <c r="Q1518" s="34"/>
      <c r="R1518" s="34"/>
    </row>
    <row r="1519" spans="13:18">
      <c r="M1519" s="34"/>
      <c r="N1519" s="34"/>
      <c r="O1519" s="34"/>
      <c r="P1519" s="34"/>
      <c r="Q1519" s="34"/>
      <c r="R1519" s="34"/>
    </row>
    <row r="1520" spans="13:18">
      <c r="M1520" s="34"/>
      <c r="N1520" s="34"/>
      <c r="O1520" s="34"/>
      <c r="P1520" s="34"/>
      <c r="Q1520" s="34"/>
      <c r="R1520" s="34"/>
    </row>
    <row r="1521" spans="13:18">
      <c r="M1521" s="34"/>
      <c r="N1521" s="34"/>
      <c r="O1521" s="34"/>
      <c r="P1521" s="34"/>
      <c r="Q1521" s="34"/>
      <c r="R1521" s="34"/>
    </row>
    <row r="1522" spans="13:18">
      <c r="M1522" s="34"/>
      <c r="N1522" s="34"/>
      <c r="O1522" s="34"/>
      <c r="P1522" s="34"/>
      <c r="Q1522" s="34"/>
      <c r="R1522" s="34"/>
    </row>
    <row r="1523" spans="13:18">
      <c r="M1523" s="34"/>
      <c r="N1523" s="34"/>
      <c r="O1523" s="34"/>
      <c r="P1523" s="34"/>
      <c r="Q1523" s="34"/>
      <c r="R1523" s="34"/>
    </row>
    <row r="1524" spans="13:18">
      <c r="M1524" s="34"/>
      <c r="N1524" s="34"/>
      <c r="O1524" s="34"/>
      <c r="P1524" s="34"/>
      <c r="Q1524" s="34"/>
      <c r="R1524" s="34"/>
    </row>
    <row r="1525" spans="13:18">
      <c r="M1525" s="34"/>
      <c r="N1525" s="34"/>
      <c r="O1525" s="34"/>
      <c r="P1525" s="34"/>
      <c r="Q1525" s="34"/>
      <c r="R1525" s="34"/>
    </row>
    <row r="1526" spans="13:18">
      <c r="M1526" s="34"/>
      <c r="N1526" s="34"/>
      <c r="O1526" s="34"/>
      <c r="P1526" s="34"/>
      <c r="Q1526" s="34"/>
      <c r="R1526" s="34"/>
    </row>
    <row r="1527" spans="13:18">
      <c r="M1527" s="34"/>
      <c r="N1527" s="34"/>
      <c r="O1527" s="34"/>
      <c r="P1527" s="34"/>
      <c r="Q1527" s="34"/>
      <c r="R1527" s="34"/>
    </row>
    <row r="1528" spans="13:18">
      <c r="M1528" s="34"/>
      <c r="N1528" s="34"/>
      <c r="O1528" s="34"/>
      <c r="P1528" s="34"/>
      <c r="Q1528" s="34"/>
      <c r="R1528" s="34"/>
    </row>
    <row r="1529" spans="13:18">
      <c r="M1529" s="34"/>
      <c r="N1529" s="34"/>
      <c r="O1529" s="34"/>
      <c r="P1529" s="34"/>
      <c r="Q1529" s="34"/>
      <c r="R1529" s="34"/>
    </row>
    <row r="1530" spans="13:18">
      <c r="M1530" s="34"/>
      <c r="N1530" s="34"/>
      <c r="O1530" s="34"/>
      <c r="P1530" s="34"/>
      <c r="Q1530" s="34"/>
      <c r="R1530" s="34"/>
    </row>
    <row r="1531" spans="13:18">
      <c r="M1531" s="34"/>
      <c r="N1531" s="34"/>
      <c r="O1531" s="34"/>
      <c r="P1531" s="34"/>
      <c r="Q1531" s="34"/>
      <c r="R1531" s="34"/>
    </row>
    <row r="1532" spans="13:18">
      <c r="M1532" s="34"/>
      <c r="N1532" s="34"/>
      <c r="O1532" s="34"/>
      <c r="P1532" s="34"/>
      <c r="Q1532" s="34"/>
      <c r="R1532" s="34"/>
    </row>
    <row r="1533" spans="13:18">
      <c r="M1533" s="34"/>
      <c r="N1533" s="34"/>
      <c r="O1533" s="34"/>
      <c r="P1533" s="34"/>
      <c r="Q1533" s="34"/>
      <c r="R1533" s="34"/>
    </row>
    <row r="1534" spans="13:18">
      <c r="M1534" s="34"/>
      <c r="N1534" s="34"/>
      <c r="O1534" s="34"/>
      <c r="P1534" s="34"/>
      <c r="Q1534" s="34"/>
      <c r="R1534" s="34"/>
    </row>
    <row r="1535" spans="13:18">
      <c r="M1535" s="34"/>
      <c r="N1535" s="34"/>
      <c r="O1535" s="34"/>
      <c r="P1535" s="34"/>
      <c r="Q1535" s="34"/>
      <c r="R1535" s="34"/>
    </row>
    <row r="1536" spans="13:18">
      <c r="M1536" s="34"/>
      <c r="N1536" s="34"/>
      <c r="O1536" s="34"/>
      <c r="P1536" s="34"/>
      <c r="Q1536" s="34"/>
      <c r="R1536" s="34"/>
    </row>
    <row r="1537" spans="13:18">
      <c r="M1537" s="34"/>
      <c r="N1537" s="34"/>
      <c r="O1537" s="34"/>
      <c r="P1537" s="34"/>
      <c r="Q1537" s="34"/>
      <c r="R1537" s="34"/>
    </row>
    <row r="1538" spans="13:18">
      <c r="M1538" s="34"/>
      <c r="N1538" s="34"/>
      <c r="O1538" s="34"/>
      <c r="P1538" s="34"/>
      <c r="Q1538" s="34"/>
      <c r="R1538" s="34"/>
    </row>
    <row r="1539" spans="13:18">
      <c r="M1539" s="34"/>
      <c r="N1539" s="34"/>
      <c r="O1539" s="34"/>
      <c r="P1539" s="34"/>
      <c r="Q1539" s="34"/>
      <c r="R1539" s="34"/>
    </row>
    <row r="1540" spans="13:18">
      <c r="M1540" s="34"/>
      <c r="N1540" s="34"/>
      <c r="O1540" s="34"/>
      <c r="P1540" s="34"/>
      <c r="Q1540" s="34"/>
      <c r="R1540" s="34"/>
    </row>
    <row r="1541" spans="13:18">
      <c r="M1541" s="34"/>
      <c r="N1541" s="34"/>
      <c r="O1541" s="34"/>
      <c r="P1541" s="34"/>
      <c r="Q1541" s="34"/>
      <c r="R1541" s="34"/>
    </row>
    <row r="1542" spans="13:18">
      <c r="M1542" s="34"/>
      <c r="N1542" s="34"/>
      <c r="O1542" s="34"/>
      <c r="P1542" s="34"/>
      <c r="Q1542" s="34"/>
      <c r="R1542" s="34"/>
    </row>
    <row r="1543" spans="13:18">
      <c r="M1543" s="34"/>
      <c r="N1543" s="34"/>
      <c r="O1543" s="34"/>
      <c r="P1543" s="34"/>
      <c r="Q1543" s="34"/>
      <c r="R1543" s="34"/>
    </row>
    <row r="1544" spans="13:18">
      <c r="M1544" s="34"/>
      <c r="N1544" s="34"/>
      <c r="O1544" s="34"/>
      <c r="P1544" s="34"/>
      <c r="Q1544" s="34"/>
      <c r="R1544" s="34"/>
    </row>
    <row r="1545" spans="13:18">
      <c r="M1545" s="34"/>
      <c r="N1545" s="34"/>
      <c r="O1545" s="34"/>
      <c r="P1545" s="34"/>
      <c r="Q1545" s="34"/>
      <c r="R1545" s="34"/>
    </row>
    <row r="1546" spans="13:18">
      <c r="M1546" s="34"/>
      <c r="N1546" s="34"/>
      <c r="O1546" s="34"/>
      <c r="P1546" s="34"/>
      <c r="Q1546" s="34"/>
      <c r="R1546" s="34"/>
    </row>
    <row r="1547" spans="13:18">
      <c r="M1547" s="34"/>
      <c r="N1547" s="34"/>
      <c r="O1547" s="34"/>
      <c r="P1547" s="34"/>
      <c r="Q1547" s="34"/>
      <c r="R1547" s="34"/>
    </row>
    <row r="1548" spans="13:18">
      <c r="M1548" s="34"/>
      <c r="N1548" s="34"/>
      <c r="O1548" s="34"/>
      <c r="P1548" s="34"/>
      <c r="Q1548" s="34"/>
      <c r="R1548" s="34"/>
    </row>
    <row r="1549" spans="13:18">
      <c r="M1549" s="34"/>
      <c r="N1549" s="34"/>
      <c r="O1549" s="34"/>
      <c r="P1549" s="34"/>
      <c r="Q1549" s="34"/>
      <c r="R1549" s="34"/>
    </row>
    <row r="1550" spans="13:18">
      <c r="M1550" s="34"/>
      <c r="N1550" s="34"/>
      <c r="O1550" s="34"/>
      <c r="P1550" s="34"/>
      <c r="Q1550" s="34"/>
      <c r="R1550" s="34"/>
    </row>
    <row r="1551" spans="13:18">
      <c r="M1551" s="34"/>
      <c r="N1551" s="34"/>
      <c r="O1551" s="34"/>
      <c r="P1551" s="34"/>
      <c r="Q1551" s="34"/>
      <c r="R1551" s="34"/>
    </row>
    <row r="1552" spans="13:18">
      <c r="M1552" s="34"/>
      <c r="N1552" s="34"/>
      <c r="O1552" s="34"/>
      <c r="P1552" s="34"/>
      <c r="Q1552" s="34"/>
      <c r="R1552" s="34"/>
    </row>
    <row r="1553" spans="13:18">
      <c r="M1553" s="34"/>
      <c r="N1553" s="34"/>
      <c r="O1553" s="34"/>
      <c r="P1553" s="34"/>
      <c r="Q1553" s="34"/>
      <c r="R1553" s="34"/>
    </row>
    <row r="1554" spans="13:18">
      <c r="M1554" s="34"/>
      <c r="N1554" s="34"/>
      <c r="O1554" s="34"/>
      <c r="P1554" s="34"/>
      <c r="Q1554" s="34"/>
      <c r="R1554" s="34"/>
    </row>
    <row r="1555" spans="13:18">
      <c r="M1555" s="34"/>
      <c r="N1555" s="34"/>
      <c r="O1555" s="34"/>
      <c r="P1555" s="34"/>
      <c r="Q1555" s="34"/>
      <c r="R1555" s="34"/>
    </row>
    <row r="1556" spans="13:18">
      <c r="M1556" s="34"/>
      <c r="N1556" s="34"/>
      <c r="O1556" s="34"/>
      <c r="P1556" s="34"/>
      <c r="Q1556" s="34"/>
      <c r="R1556" s="34"/>
    </row>
    <row r="1557" spans="13:18">
      <c r="M1557" s="34"/>
      <c r="N1557" s="34"/>
      <c r="O1557" s="34"/>
      <c r="P1557" s="34"/>
      <c r="Q1557" s="34"/>
      <c r="R1557" s="34"/>
    </row>
    <row r="1558" spans="13:18">
      <c r="M1558" s="34"/>
      <c r="N1558" s="34"/>
      <c r="O1558" s="34"/>
      <c r="P1558" s="34"/>
      <c r="Q1558" s="34"/>
      <c r="R1558" s="34"/>
    </row>
    <row r="1559" spans="13:18">
      <c r="M1559" s="34"/>
      <c r="N1559" s="34"/>
      <c r="O1559" s="34"/>
      <c r="P1559" s="34"/>
      <c r="Q1559" s="34"/>
      <c r="R1559" s="34"/>
    </row>
    <row r="1560" spans="13:18">
      <c r="M1560" s="34"/>
      <c r="N1560" s="34"/>
      <c r="O1560" s="34"/>
      <c r="P1560" s="34"/>
      <c r="Q1560" s="34"/>
      <c r="R1560" s="34"/>
    </row>
    <row r="1561" spans="13:18">
      <c r="M1561" s="34"/>
      <c r="N1561" s="34"/>
      <c r="O1561" s="34"/>
      <c r="P1561" s="34"/>
      <c r="Q1561" s="34"/>
      <c r="R1561" s="34"/>
    </row>
    <row r="1562" spans="13:18">
      <c r="M1562" s="34"/>
      <c r="N1562" s="34"/>
      <c r="O1562" s="34"/>
      <c r="P1562" s="34"/>
      <c r="Q1562" s="34"/>
      <c r="R1562" s="34"/>
    </row>
    <row r="1563" spans="13:18">
      <c r="M1563" s="34"/>
      <c r="N1563" s="34"/>
      <c r="O1563" s="34"/>
      <c r="P1563" s="34"/>
      <c r="Q1563" s="34"/>
      <c r="R1563" s="34"/>
    </row>
    <row r="1564" spans="13:18">
      <c r="M1564" s="34"/>
      <c r="N1564" s="34"/>
      <c r="O1564" s="34"/>
      <c r="P1564" s="34"/>
      <c r="Q1564" s="34"/>
      <c r="R1564" s="34"/>
    </row>
    <row r="1565" spans="13:18">
      <c r="M1565" s="34"/>
      <c r="N1565" s="34"/>
      <c r="O1565" s="34"/>
      <c r="P1565" s="34"/>
      <c r="Q1565" s="34"/>
      <c r="R1565" s="34"/>
    </row>
    <row r="1566" spans="13:18">
      <c r="M1566" s="34"/>
      <c r="N1566" s="34"/>
      <c r="O1566" s="34"/>
      <c r="P1566" s="34"/>
      <c r="Q1566" s="34"/>
      <c r="R1566" s="34"/>
    </row>
    <row r="1567" spans="13:18">
      <c r="M1567" s="34"/>
      <c r="N1567" s="34"/>
      <c r="O1567" s="34"/>
      <c r="P1567" s="34"/>
      <c r="Q1567" s="34"/>
      <c r="R1567" s="34"/>
    </row>
    <row r="1568" spans="13:18">
      <c r="M1568" s="34"/>
      <c r="N1568" s="34"/>
      <c r="O1568" s="34"/>
      <c r="P1568" s="34"/>
      <c r="Q1568" s="34"/>
      <c r="R1568" s="34"/>
    </row>
    <row r="1569" spans="13:18">
      <c r="M1569" s="34"/>
      <c r="N1569" s="34"/>
      <c r="O1569" s="34"/>
      <c r="P1569" s="34"/>
      <c r="Q1569" s="34"/>
      <c r="R1569" s="34"/>
    </row>
    <row r="1570" spans="13:18">
      <c r="M1570" s="34"/>
      <c r="N1570" s="34"/>
      <c r="O1570" s="34"/>
      <c r="P1570" s="34"/>
      <c r="Q1570" s="34"/>
      <c r="R1570" s="34"/>
    </row>
    <row r="1571" spans="13:18">
      <c r="M1571" s="34"/>
      <c r="N1571" s="34"/>
      <c r="O1571" s="34"/>
      <c r="P1571" s="34"/>
      <c r="Q1571" s="34"/>
      <c r="R1571" s="34"/>
    </row>
    <row r="1572" spans="13:18">
      <c r="M1572" s="34"/>
      <c r="N1572" s="34"/>
      <c r="O1572" s="34"/>
      <c r="P1572" s="34"/>
      <c r="Q1572" s="34"/>
      <c r="R1572" s="34"/>
    </row>
    <row r="1573" spans="13:18">
      <c r="M1573" s="34"/>
      <c r="N1573" s="34"/>
      <c r="O1573" s="34"/>
      <c r="P1573" s="34"/>
      <c r="Q1573" s="34"/>
      <c r="R1573" s="34"/>
    </row>
    <row r="1574" spans="13:18">
      <c r="M1574" s="34"/>
      <c r="N1574" s="34"/>
      <c r="O1574" s="34"/>
      <c r="P1574" s="34"/>
      <c r="Q1574" s="34"/>
      <c r="R1574" s="34"/>
    </row>
    <row r="1575" spans="13:18">
      <c r="M1575" s="34"/>
      <c r="N1575" s="34"/>
      <c r="O1575" s="34"/>
      <c r="P1575" s="34"/>
      <c r="Q1575" s="34"/>
      <c r="R1575" s="34"/>
    </row>
    <row r="1576" spans="13:18">
      <c r="M1576" s="34"/>
      <c r="N1576" s="34"/>
      <c r="O1576" s="34"/>
      <c r="P1576" s="34"/>
      <c r="Q1576" s="34"/>
      <c r="R1576" s="34"/>
    </row>
    <row r="1577" spans="13:18">
      <c r="M1577" s="34"/>
      <c r="N1577" s="34"/>
      <c r="O1577" s="34"/>
      <c r="P1577" s="34"/>
      <c r="Q1577" s="34"/>
      <c r="R1577" s="34"/>
    </row>
    <row r="1578" spans="13:18">
      <c r="M1578" s="34"/>
      <c r="N1578" s="34"/>
      <c r="O1578" s="34"/>
      <c r="P1578" s="34"/>
      <c r="Q1578" s="34"/>
      <c r="R1578" s="34"/>
    </row>
    <row r="1579" spans="13:18">
      <c r="M1579" s="34"/>
      <c r="N1579" s="34"/>
      <c r="O1579" s="34"/>
      <c r="P1579" s="34"/>
      <c r="Q1579" s="34"/>
      <c r="R1579" s="34"/>
    </row>
    <row r="1580" spans="13:18">
      <c r="M1580" s="34"/>
      <c r="N1580" s="34"/>
      <c r="O1580" s="34"/>
      <c r="P1580" s="34"/>
      <c r="Q1580" s="34"/>
      <c r="R1580" s="34"/>
    </row>
    <row r="1581" spans="13:18">
      <c r="M1581" s="34"/>
      <c r="N1581" s="34"/>
      <c r="O1581" s="34"/>
      <c r="P1581" s="34"/>
      <c r="Q1581" s="34"/>
      <c r="R1581" s="34"/>
    </row>
    <row r="1582" spans="13:18">
      <c r="M1582" s="34"/>
      <c r="N1582" s="34"/>
      <c r="O1582" s="34"/>
      <c r="P1582" s="34"/>
      <c r="Q1582" s="34"/>
      <c r="R1582" s="34"/>
    </row>
    <row r="1583" spans="13:18">
      <c r="M1583" s="34"/>
      <c r="N1583" s="34"/>
      <c r="O1583" s="34"/>
      <c r="P1583" s="34"/>
      <c r="Q1583" s="34"/>
      <c r="R1583" s="34"/>
    </row>
    <row r="1584" spans="13:18">
      <c r="M1584" s="34"/>
      <c r="N1584" s="34"/>
      <c r="O1584" s="34"/>
      <c r="P1584" s="34"/>
      <c r="Q1584" s="34"/>
      <c r="R1584" s="34"/>
    </row>
    <row r="1585" spans="13:18">
      <c r="M1585" s="34"/>
      <c r="N1585" s="34"/>
      <c r="O1585" s="34"/>
      <c r="P1585" s="34"/>
      <c r="Q1585" s="34"/>
      <c r="R1585" s="34"/>
    </row>
    <row r="1586" spans="13:18">
      <c r="M1586" s="34"/>
      <c r="N1586" s="34"/>
      <c r="O1586" s="34"/>
      <c r="P1586" s="34"/>
      <c r="Q1586" s="34"/>
      <c r="R1586" s="34"/>
    </row>
    <row r="1587" spans="13:18">
      <c r="M1587" s="34"/>
      <c r="N1587" s="34"/>
      <c r="O1587" s="34"/>
      <c r="P1587" s="34"/>
      <c r="Q1587" s="34"/>
      <c r="R1587" s="34"/>
    </row>
    <row r="1588" spans="13:18">
      <c r="M1588" s="34"/>
      <c r="N1588" s="34"/>
      <c r="O1588" s="34"/>
      <c r="P1588" s="34"/>
      <c r="Q1588" s="34"/>
      <c r="R1588" s="34"/>
    </row>
    <row r="1589" spans="13:18">
      <c r="M1589" s="34"/>
      <c r="N1589" s="34"/>
      <c r="O1589" s="34"/>
      <c r="P1589" s="34"/>
      <c r="Q1589" s="34"/>
      <c r="R1589" s="34"/>
    </row>
    <row r="1590" spans="13:18">
      <c r="M1590" s="34"/>
      <c r="N1590" s="34"/>
      <c r="O1590" s="34"/>
      <c r="P1590" s="34"/>
      <c r="Q1590" s="34"/>
      <c r="R1590" s="34"/>
    </row>
    <row r="1591" spans="13:18">
      <c r="M1591" s="34"/>
      <c r="N1591" s="34"/>
      <c r="O1591" s="34"/>
      <c r="P1591" s="34"/>
      <c r="Q1591" s="34"/>
      <c r="R1591" s="34"/>
    </row>
    <row r="1592" spans="13:18">
      <c r="M1592" s="34"/>
      <c r="N1592" s="34"/>
      <c r="O1592" s="34"/>
      <c r="P1592" s="34"/>
      <c r="Q1592" s="34"/>
      <c r="R1592" s="34"/>
    </row>
    <row r="1593" spans="13:18">
      <c r="M1593" s="34"/>
      <c r="N1593" s="34"/>
      <c r="O1593" s="34"/>
      <c r="P1593" s="34"/>
      <c r="Q1593" s="34"/>
      <c r="R1593" s="34"/>
    </row>
    <row r="1594" spans="13:18">
      <c r="M1594" s="34"/>
      <c r="N1594" s="34"/>
      <c r="O1594" s="34"/>
      <c r="P1594" s="34"/>
      <c r="Q1594" s="34"/>
      <c r="R1594" s="34"/>
    </row>
    <row r="1595" spans="13:18">
      <c r="M1595" s="34"/>
      <c r="N1595" s="34"/>
      <c r="O1595" s="34"/>
      <c r="P1595" s="34"/>
      <c r="Q1595" s="34"/>
      <c r="R1595" s="34"/>
    </row>
    <row r="1596" spans="13:18">
      <c r="M1596" s="34"/>
      <c r="N1596" s="34"/>
      <c r="O1596" s="34"/>
      <c r="P1596" s="34"/>
      <c r="Q1596" s="34"/>
      <c r="R1596" s="34"/>
    </row>
    <row r="1597" spans="13:18">
      <c r="M1597" s="34"/>
      <c r="N1597" s="34"/>
      <c r="O1597" s="34"/>
      <c r="P1597" s="34"/>
      <c r="Q1597" s="34"/>
      <c r="R1597" s="34"/>
    </row>
    <row r="1598" spans="13:18">
      <c r="M1598" s="34"/>
      <c r="N1598" s="34"/>
      <c r="O1598" s="34"/>
      <c r="P1598" s="34"/>
      <c r="Q1598" s="34"/>
      <c r="R1598" s="34"/>
    </row>
    <row r="1599" spans="13:18">
      <c r="M1599" s="34"/>
      <c r="N1599" s="34"/>
      <c r="O1599" s="34"/>
      <c r="P1599" s="34"/>
      <c r="Q1599" s="34"/>
      <c r="R1599" s="34"/>
    </row>
    <row r="1600" spans="13:18">
      <c r="M1600" s="34"/>
      <c r="N1600" s="34"/>
      <c r="O1600" s="34"/>
      <c r="P1600" s="34"/>
      <c r="Q1600" s="34"/>
      <c r="R1600" s="34"/>
    </row>
    <row r="1601" spans="13:18">
      <c r="M1601" s="34"/>
      <c r="N1601" s="34"/>
      <c r="O1601" s="34"/>
      <c r="P1601" s="34"/>
      <c r="Q1601" s="34"/>
      <c r="R1601" s="34"/>
    </row>
    <row r="1602" spans="13:18">
      <c r="M1602" s="34"/>
      <c r="N1602" s="34"/>
      <c r="O1602" s="34"/>
      <c r="P1602" s="34"/>
      <c r="Q1602" s="34"/>
      <c r="R1602" s="34"/>
    </row>
    <row r="1603" spans="13:18">
      <c r="M1603" s="34"/>
      <c r="N1603" s="34"/>
      <c r="O1603" s="34"/>
      <c r="P1603" s="34"/>
      <c r="Q1603" s="34"/>
      <c r="R1603" s="34"/>
    </row>
    <row r="1604" spans="13:18">
      <c r="M1604" s="34"/>
      <c r="N1604" s="34"/>
      <c r="O1604" s="34"/>
      <c r="P1604" s="34"/>
      <c r="Q1604" s="34"/>
      <c r="R1604" s="34"/>
    </row>
    <row r="1605" spans="13:18">
      <c r="M1605" s="34"/>
      <c r="N1605" s="34"/>
      <c r="O1605" s="34"/>
      <c r="P1605" s="34"/>
      <c r="Q1605" s="34"/>
      <c r="R1605" s="34"/>
    </row>
    <row r="1606" spans="13:18">
      <c r="M1606" s="34"/>
      <c r="N1606" s="34"/>
      <c r="O1606" s="34"/>
      <c r="P1606" s="34"/>
      <c r="Q1606" s="34"/>
      <c r="R1606" s="34"/>
    </row>
    <row r="1607" spans="13:18">
      <c r="M1607" s="34"/>
      <c r="N1607" s="34"/>
      <c r="O1607" s="34"/>
      <c r="P1607" s="34"/>
      <c r="Q1607" s="34"/>
      <c r="R1607" s="34"/>
    </row>
    <row r="1608" spans="13:18">
      <c r="M1608" s="34"/>
      <c r="N1608" s="34"/>
      <c r="O1608" s="34"/>
      <c r="P1608" s="34"/>
      <c r="Q1608" s="34"/>
      <c r="R1608" s="34"/>
    </row>
    <row r="1609" spans="13:18">
      <c r="M1609" s="34"/>
      <c r="N1609" s="34"/>
      <c r="O1609" s="34"/>
      <c r="P1609" s="34"/>
      <c r="Q1609" s="34"/>
      <c r="R1609" s="34"/>
    </row>
    <row r="1610" spans="13:18">
      <c r="M1610" s="34"/>
      <c r="N1610" s="34"/>
      <c r="O1610" s="34"/>
      <c r="P1610" s="34"/>
      <c r="Q1610" s="34"/>
      <c r="R1610" s="34"/>
    </row>
    <row r="1611" spans="13:18">
      <c r="M1611" s="34"/>
      <c r="N1611" s="34"/>
      <c r="O1611" s="34"/>
      <c r="P1611" s="34"/>
      <c r="Q1611" s="34"/>
      <c r="R1611" s="34"/>
    </row>
    <row r="1612" spans="13:18">
      <c r="M1612" s="34"/>
      <c r="N1612" s="34"/>
      <c r="O1612" s="34"/>
      <c r="P1612" s="34"/>
      <c r="Q1612" s="34"/>
      <c r="R1612" s="34"/>
    </row>
    <row r="1613" spans="13:18">
      <c r="M1613" s="34"/>
      <c r="N1613" s="34"/>
      <c r="O1613" s="34"/>
      <c r="P1613" s="34"/>
      <c r="Q1613" s="34"/>
      <c r="R1613" s="34"/>
    </row>
    <row r="1614" spans="13:18">
      <c r="M1614" s="34"/>
      <c r="N1614" s="34"/>
      <c r="O1614" s="34"/>
      <c r="P1614" s="34"/>
      <c r="Q1614" s="34"/>
      <c r="R1614" s="34"/>
    </row>
    <row r="1615" spans="13:18">
      <c r="M1615" s="34"/>
      <c r="N1615" s="34"/>
      <c r="O1615" s="34"/>
      <c r="P1615" s="34"/>
      <c r="Q1615" s="34"/>
      <c r="R1615" s="34"/>
    </row>
    <row r="1616" spans="13:18">
      <c r="M1616" s="34"/>
      <c r="N1616" s="34"/>
      <c r="O1616" s="34"/>
      <c r="P1616" s="34"/>
      <c r="Q1616" s="34"/>
      <c r="R1616" s="34"/>
    </row>
    <row r="1617" spans="13:18">
      <c r="M1617" s="34"/>
      <c r="N1617" s="34"/>
      <c r="O1617" s="34"/>
      <c r="P1617" s="34"/>
      <c r="Q1617" s="34"/>
      <c r="R1617" s="34"/>
    </row>
    <row r="1618" spans="13:18">
      <c r="M1618" s="34"/>
      <c r="N1618" s="34"/>
      <c r="O1618" s="34"/>
      <c r="P1618" s="34"/>
      <c r="Q1618" s="34"/>
      <c r="R1618" s="34"/>
    </row>
    <row r="1619" spans="13:18">
      <c r="M1619" s="34"/>
      <c r="N1619" s="34"/>
      <c r="O1619" s="34"/>
      <c r="P1619" s="34"/>
      <c r="Q1619" s="34"/>
      <c r="R1619" s="34"/>
    </row>
    <row r="1620" spans="13:18">
      <c r="M1620" s="34"/>
      <c r="N1620" s="34"/>
      <c r="O1620" s="34"/>
      <c r="P1620" s="34"/>
      <c r="Q1620" s="34"/>
      <c r="R1620" s="34"/>
    </row>
    <row r="1621" spans="13:18">
      <c r="M1621" s="34"/>
      <c r="N1621" s="34"/>
      <c r="O1621" s="34"/>
      <c r="P1621" s="34"/>
      <c r="Q1621" s="34"/>
      <c r="R1621" s="34"/>
    </row>
    <row r="1622" spans="13:18">
      <c r="M1622" s="34"/>
      <c r="N1622" s="34"/>
      <c r="O1622" s="34"/>
      <c r="P1622" s="34"/>
      <c r="Q1622" s="34"/>
      <c r="R1622" s="34"/>
    </row>
    <row r="1623" spans="13:18">
      <c r="M1623" s="34"/>
      <c r="N1623" s="34"/>
      <c r="O1623" s="34"/>
      <c r="P1623" s="34"/>
      <c r="Q1623" s="34"/>
      <c r="R1623" s="34"/>
    </row>
    <row r="1624" spans="13:18">
      <c r="M1624" s="34"/>
      <c r="N1624" s="34"/>
      <c r="O1624" s="34"/>
      <c r="P1624" s="34"/>
      <c r="Q1624" s="34"/>
      <c r="R1624" s="34"/>
    </row>
    <row r="1625" spans="13:18">
      <c r="M1625" s="34"/>
      <c r="N1625" s="34"/>
      <c r="O1625" s="34"/>
      <c r="P1625" s="34"/>
      <c r="Q1625" s="34"/>
      <c r="R1625" s="34"/>
    </row>
    <row r="1626" spans="13:18">
      <c r="M1626" s="34"/>
      <c r="N1626" s="34"/>
      <c r="O1626" s="34"/>
      <c r="P1626" s="34"/>
      <c r="Q1626" s="34"/>
      <c r="R1626" s="34"/>
    </row>
    <row r="1627" spans="13:18">
      <c r="M1627" s="34"/>
      <c r="N1627" s="34"/>
      <c r="O1627" s="34"/>
      <c r="P1627" s="34"/>
      <c r="Q1627" s="34"/>
      <c r="R1627" s="34"/>
    </row>
    <row r="1628" spans="13:18">
      <c r="M1628" s="34"/>
      <c r="N1628" s="34"/>
      <c r="O1628" s="34"/>
      <c r="P1628" s="34"/>
      <c r="Q1628" s="34"/>
      <c r="R1628" s="34"/>
    </row>
    <row r="1629" spans="13:18">
      <c r="M1629" s="34"/>
      <c r="N1629" s="34"/>
      <c r="O1629" s="34"/>
      <c r="P1629" s="34"/>
      <c r="Q1629" s="34"/>
      <c r="R1629" s="34"/>
    </row>
    <row r="1630" spans="13:18">
      <c r="M1630" s="34"/>
      <c r="N1630" s="34"/>
      <c r="O1630" s="34"/>
      <c r="P1630" s="34"/>
      <c r="Q1630" s="34"/>
      <c r="R1630" s="34"/>
    </row>
    <row r="1631" spans="13:18">
      <c r="M1631" s="34"/>
      <c r="N1631" s="34"/>
      <c r="O1631" s="34"/>
      <c r="P1631" s="34"/>
      <c r="Q1631" s="34"/>
      <c r="R1631" s="34"/>
    </row>
    <row r="1632" spans="13:18">
      <c r="M1632" s="34"/>
      <c r="N1632" s="34"/>
      <c r="O1632" s="34"/>
      <c r="P1632" s="34"/>
      <c r="Q1632" s="34"/>
      <c r="R1632" s="34"/>
    </row>
    <row r="1633" spans="13:18">
      <c r="M1633" s="34"/>
      <c r="N1633" s="34"/>
      <c r="O1633" s="34"/>
      <c r="P1633" s="34"/>
      <c r="Q1633" s="34"/>
      <c r="R1633" s="34"/>
    </row>
    <row r="1634" spans="13:18">
      <c r="M1634" s="34"/>
      <c r="N1634" s="34"/>
      <c r="O1634" s="34"/>
      <c r="P1634" s="34"/>
      <c r="Q1634" s="34"/>
      <c r="R1634" s="34"/>
    </row>
    <row r="1635" spans="13:18">
      <c r="M1635" s="34"/>
      <c r="N1635" s="34"/>
      <c r="O1635" s="34"/>
      <c r="P1635" s="34"/>
      <c r="Q1635" s="34"/>
      <c r="R1635" s="34"/>
    </row>
    <row r="1636" spans="13:18">
      <c r="M1636" s="34"/>
      <c r="N1636" s="34"/>
      <c r="O1636" s="34"/>
      <c r="P1636" s="34"/>
      <c r="Q1636" s="34"/>
      <c r="R1636" s="34"/>
    </row>
    <row r="1637" spans="13:18">
      <c r="M1637" s="34"/>
      <c r="N1637" s="34"/>
      <c r="O1637" s="34"/>
      <c r="P1637" s="34"/>
      <c r="Q1637" s="34"/>
      <c r="R1637" s="34"/>
    </row>
    <row r="1638" spans="13:18">
      <c r="M1638" s="34"/>
      <c r="N1638" s="34"/>
      <c r="O1638" s="34"/>
      <c r="P1638" s="34"/>
      <c r="Q1638" s="34"/>
      <c r="R1638" s="34"/>
    </row>
    <row r="1639" spans="13:18">
      <c r="M1639" s="34"/>
      <c r="N1639" s="34"/>
      <c r="O1639" s="34"/>
      <c r="P1639" s="34"/>
      <c r="Q1639" s="34"/>
      <c r="R1639" s="34"/>
    </row>
    <row r="1640" spans="13:18">
      <c r="M1640" s="34"/>
      <c r="N1640" s="34"/>
      <c r="O1640" s="34"/>
      <c r="P1640" s="34"/>
      <c r="Q1640" s="34"/>
      <c r="R1640" s="34"/>
    </row>
    <row r="1641" spans="13:18">
      <c r="M1641" s="34"/>
      <c r="N1641" s="34"/>
      <c r="O1641" s="34"/>
      <c r="P1641" s="34"/>
      <c r="Q1641" s="34"/>
      <c r="R1641" s="34"/>
    </row>
    <row r="1642" spans="13:18">
      <c r="M1642" s="34"/>
      <c r="N1642" s="34"/>
      <c r="O1642" s="34"/>
      <c r="P1642" s="34"/>
      <c r="Q1642" s="34"/>
      <c r="R1642" s="34"/>
    </row>
    <row r="1643" spans="13:18">
      <c r="M1643" s="34"/>
      <c r="N1643" s="34"/>
      <c r="O1643" s="34"/>
      <c r="P1643" s="34"/>
      <c r="Q1643" s="34"/>
      <c r="R1643" s="34"/>
    </row>
    <row r="1644" spans="13:18">
      <c r="M1644" s="34"/>
      <c r="N1644" s="34"/>
      <c r="O1644" s="34"/>
      <c r="P1644" s="34"/>
      <c r="Q1644" s="34"/>
      <c r="R1644" s="34"/>
    </row>
    <row r="1645" spans="13:18">
      <c r="M1645" s="34"/>
      <c r="N1645" s="34"/>
      <c r="O1645" s="34"/>
      <c r="P1645" s="34"/>
      <c r="Q1645" s="34"/>
      <c r="R1645" s="34"/>
    </row>
    <row r="1646" spans="13:18">
      <c r="M1646" s="34"/>
      <c r="N1646" s="34"/>
      <c r="O1646" s="34"/>
      <c r="P1646" s="34"/>
      <c r="Q1646" s="34"/>
      <c r="R1646" s="34"/>
    </row>
    <row r="1647" spans="13:18">
      <c r="M1647" s="34"/>
      <c r="N1647" s="34"/>
      <c r="O1647" s="34"/>
      <c r="P1647" s="34"/>
      <c r="Q1647" s="34"/>
      <c r="R1647" s="34"/>
    </row>
    <row r="1648" spans="13:18">
      <c r="M1648" s="34"/>
      <c r="N1648" s="34"/>
      <c r="O1648" s="34"/>
      <c r="P1648" s="34"/>
      <c r="Q1648" s="34"/>
      <c r="R1648" s="34"/>
    </row>
    <row r="1649" spans="13:18">
      <c r="M1649" s="34"/>
      <c r="N1649" s="34"/>
      <c r="O1649" s="34"/>
      <c r="P1649" s="34"/>
      <c r="Q1649" s="34"/>
      <c r="R1649" s="34"/>
    </row>
    <row r="1650" spans="13:18">
      <c r="M1650" s="34"/>
      <c r="N1650" s="34"/>
      <c r="O1650" s="34"/>
      <c r="P1650" s="34"/>
      <c r="Q1650" s="34"/>
      <c r="R1650" s="34"/>
    </row>
    <row r="1651" spans="13:18">
      <c r="M1651" s="34"/>
      <c r="N1651" s="34"/>
      <c r="O1651" s="34"/>
      <c r="P1651" s="34"/>
      <c r="Q1651" s="34"/>
      <c r="R1651" s="34"/>
    </row>
    <row r="1652" spans="13:18">
      <c r="M1652" s="34"/>
      <c r="N1652" s="34"/>
      <c r="O1652" s="34"/>
      <c r="P1652" s="34"/>
      <c r="Q1652" s="34"/>
      <c r="R1652" s="34"/>
    </row>
    <row r="1653" spans="13:18">
      <c r="M1653" s="34"/>
      <c r="N1653" s="34"/>
      <c r="O1653" s="34"/>
      <c r="P1653" s="34"/>
      <c r="Q1653" s="34"/>
      <c r="R1653" s="34"/>
    </row>
    <row r="1654" spans="13:18">
      <c r="M1654" s="34"/>
      <c r="N1654" s="34"/>
      <c r="O1654" s="34"/>
      <c r="P1654" s="34"/>
      <c r="Q1654" s="34"/>
      <c r="R1654" s="34"/>
    </row>
    <row r="1655" spans="13:18">
      <c r="M1655" s="34"/>
      <c r="N1655" s="34"/>
      <c r="O1655" s="34"/>
      <c r="P1655" s="34"/>
      <c r="Q1655" s="34"/>
      <c r="R1655" s="34"/>
    </row>
    <row r="1656" spans="13:18">
      <c r="M1656" s="34"/>
      <c r="N1656" s="34"/>
      <c r="O1656" s="34"/>
      <c r="P1656" s="34"/>
      <c r="Q1656" s="34"/>
      <c r="R1656" s="34"/>
    </row>
    <row r="1657" spans="13:18">
      <c r="M1657" s="34"/>
      <c r="N1657" s="34"/>
      <c r="O1657" s="34"/>
      <c r="P1657" s="34"/>
      <c r="Q1657" s="34"/>
      <c r="R1657" s="34"/>
    </row>
    <row r="1658" spans="13:18">
      <c r="M1658" s="34"/>
      <c r="N1658" s="34"/>
      <c r="O1658" s="34"/>
      <c r="P1658" s="34"/>
      <c r="Q1658" s="34"/>
      <c r="R1658" s="34"/>
    </row>
    <row r="1659" spans="13:18">
      <c r="M1659" s="34"/>
      <c r="N1659" s="34"/>
      <c r="O1659" s="34"/>
      <c r="P1659" s="34"/>
      <c r="Q1659" s="34"/>
      <c r="R1659" s="34"/>
    </row>
    <row r="1660" spans="13:18">
      <c r="M1660" s="34"/>
      <c r="N1660" s="34"/>
      <c r="O1660" s="34"/>
      <c r="P1660" s="34"/>
      <c r="Q1660" s="34"/>
      <c r="R1660" s="34"/>
    </row>
    <row r="1661" spans="13:18">
      <c r="M1661" s="34"/>
      <c r="N1661" s="34"/>
      <c r="O1661" s="34"/>
      <c r="P1661" s="34"/>
      <c r="Q1661" s="34"/>
      <c r="R1661" s="34"/>
    </row>
    <row r="1662" spans="13:18">
      <c r="M1662" s="34"/>
      <c r="N1662" s="34"/>
      <c r="O1662" s="34"/>
      <c r="P1662" s="34"/>
      <c r="Q1662" s="34"/>
      <c r="R1662" s="34"/>
    </row>
    <row r="1663" spans="13:18">
      <c r="M1663" s="34"/>
      <c r="N1663" s="34"/>
      <c r="O1663" s="34"/>
      <c r="P1663" s="34"/>
      <c r="Q1663" s="34"/>
      <c r="R1663" s="34"/>
    </row>
    <row r="1664" spans="13:18">
      <c r="M1664" s="34"/>
      <c r="N1664" s="34"/>
      <c r="O1664" s="34"/>
      <c r="P1664" s="34"/>
      <c r="Q1664" s="34"/>
      <c r="R1664" s="34"/>
    </row>
    <row r="1665" spans="13:18">
      <c r="M1665" s="34"/>
      <c r="N1665" s="34"/>
      <c r="O1665" s="34"/>
      <c r="P1665" s="34"/>
      <c r="Q1665" s="34"/>
      <c r="R1665" s="34"/>
    </row>
    <row r="1666" spans="13:18">
      <c r="M1666" s="34"/>
      <c r="N1666" s="34"/>
      <c r="O1666" s="34"/>
      <c r="P1666" s="34"/>
      <c r="Q1666" s="34"/>
      <c r="R1666" s="34"/>
    </row>
    <row r="1667" spans="13:18">
      <c r="M1667" s="34"/>
      <c r="N1667" s="34"/>
      <c r="O1667" s="34"/>
      <c r="P1667" s="34"/>
      <c r="Q1667" s="34"/>
      <c r="R1667" s="34"/>
    </row>
    <row r="1668" spans="13:18">
      <c r="M1668" s="34"/>
      <c r="N1668" s="34"/>
      <c r="O1668" s="34"/>
      <c r="P1668" s="34"/>
      <c r="Q1668" s="34"/>
      <c r="R1668" s="34"/>
    </row>
    <row r="1669" spans="13:18">
      <c r="M1669" s="34"/>
      <c r="N1669" s="34"/>
      <c r="O1669" s="34"/>
      <c r="P1669" s="34"/>
      <c r="Q1669" s="34"/>
      <c r="R1669" s="34"/>
    </row>
    <row r="1670" spans="13:18">
      <c r="M1670" s="34"/>
      <c r="N1670" s="34"/>
      <c r="O1670" s="34"/>
      <c r="P1670" s="34"/>
      <c r="Q1670" s="34"/>
      <c r="R1670" s="34"/>
    </row>
    <row r="1671" spans="13:18">
      <c r="M1671" s="34"/>
      <c r="N1671" s="34"/>
      <c r="O1671" s="34"/>
      <c r="P1671" s="34"/>
      <c r="Q1671" s="34"/>
      <c r="R1671" s="34"/>
    </row>
    <row r="1672" spans="13:18">
      <c r="M1672" s="34"/>
      <c r="N1672" s="34"/>
      <c r="O1672" s="34"/>
      <c r="P1672" s="34"/>
      <c r="Q1672" s="34"/>
      <c r="R1672" s="34"/>
    </row>
    <row r="1673" spans="13:18">
      <c r="M1673" s="34"/>
      <c r="N1673" s="34"/>
      <c r="O1673" s="34"/>
      <c r="P1673" s="34"/>
      <c r="Q1673" s="34"/>
      <c r="R1673" s="34"/>
    </row>
    <row r="1674" spans="13:18">
      <c r="M1674" s="34"/>
      <c r="N1674" s="34"/>
      <c r="O1674" s="34"/>
      <c r="P1674" s="34"/>
      <c r="Q1674" s="34"/>
      <c r="R1674" s="34"/>
    </row>
    <row r="1675" spans="13:18">
      <c r="M1675" s="34"/>
      <c r="N1675" s="34"/>
      <c r="O1675" s="34"/>
      <c r="P1675" s="34"/>
      <c r="Q1675" s="34"/>
      <c r="R1675" s="34"/>
    </row>
    <row r="1676" spans="13:18">
      <c r="M1676" s="34"/>
      <c r="N1676" s="34"/>
      <c r="O1676" s="34"/>
      <c r="P1676" s="34"/>
      <c r="Q1676" s="34"/>
      <c r="R1676" s="34"/>
    </row>
    <row r="1677" spans="13:18">
      <c r="M1677" s="34"/>
      <c r="N1677" s="34"/>
      <c r="O1677" s="34"/>
      <c r="P1677" s="34"/>
      <c r="Q1677" s="34"/>
      <c r="R1677" s="34"/>
    </row>
    <row r="1678" spans="13:18">
      <c r="M1678" s="34"/>
      <c r="N1678" s="34"/>
      <c r="O1678" s="34"/>
      <c r="P1678" s="34"/>
      <c r="Q1678" s="34"/>
      <c r="R1678" s="34"/>
    </row>
    <row r="1679" spans="13:18">
      <c r="M1679" s="34"/>
      <c r="N1679" s="34"/>
      <c r="O1679" s="34"/>
      <c r="P1679" s="34"/>
      <c r="Q1679" s="34"/>
      <c r="R1679" s="34"/>
    </row>
    <row r="1680" spans="13:18">
      <c r="M1680" s="34"/>
      <c r="N1680" s="34"/>
      <c r="O1680" s="34"/>
      <c r="P1680" s="34"/>
      <c r="Q1680" s="34"/>
      <c r="R1680" s="34"/>
    </row>
    <row r="1681" spans="13:18">
      <c r="M1681" s="34"/>
      <c r="N1681" s="34"/>
      <c r="O1681" s="34"/>
      <c r="P1681" s="34"/>
      <c r="Q1681" s="34"/>
      <c r="R1681" s="34"/>
    </row>
    <row r="1682" spans="13:18">
      <c r="M1682" s="34"/>
      <c r="N1682" s="34"/>
      <c r="O1682" s="34"/>
      <c r="P1682" s="34"/>
      <c r="Q1682" s="34"/>
      <c r="R1682" s="34"/>
    </row>
    <row r="1683" spans="13:18">
      <c r="M1683" s="34"/>
      <c r="N1683" s="34"/>
      <c r="O1683" s="34"/>
      <c r="P1683" s="34"/>
      <c r="Q1683" s="34"/>
      <c r="R1683" s="34"/>
    </row>
    <row r="1684" spans="13:18">
      <c r="M1684" s="34"/>
      <c r="N1684" s="34"/>
      <c r="O1684" s="34"/>
      <c r="P1684" s="34"/>
      <c r="Q1684" s="34"/>
      <c r="R1684" s="34"/>
    </row>
    <row r="1685" spans="13:18">
      <c r="M1685" s="34"/>
      <c r="N1685" s="34"/>
      <c r="O1685" s="34"/>
      <c r="P1685" s="34"/>
      <c r="Q1685" s="34"/>
      <c r="R1685" s="34"/>
    </row>
    <row r="1686" spans="13:18">
      <c r="M1686" s="34"/>
      <c r="N1686" s="34"/>
      <c r="O1686" s="34"/>
      <c r="P1686" s="34"/>
      <c r="Q1686" s="34"/>
      <c r="R1686" s="34"/>
    </row>
    <row r="1687" spans="13:18">
      <c r="M1687" s="34"/>
      <c r="N1687" s="34"/>
      <c r="O1687" s="34"/>
      <c r="P1687" s="34"/>
      <c r="Q1687" s="34"/>
      <c r="R1687" s="34"/>
    </row>
    <row r="1688" spans="13:18">
      <c r="M1688" s="34"/>
      <c r="N1688" s="34"/>
      <c r="O1688" s="34"/>
      <c r="P1688" s="34"/>
      <c r="Q1688" s="34"/>
      <c r="R1688" s="34"/>
    </row>
    <row r="1689" spans="13:18">
      <c r="M1689" s="34"/>
      <c r="N1689" s="34"/>
      <c r="O1689" s="34"/>
      <c r="P1689" s="34"/>
      <c r="Q1689" s="34"/>
      <c r="R1689" s="34"/>
    </row>
    <row r="1690" spans="13:18">
      <c r="M1690" s="34"/>
      <c r="N1690" s="34"/>
      <c r="O1690" s="34"/>
      <c r="P1690" s="34"/>
      <c r="Q1690" s="34"/>
      <c r="R1690" s="34"/>
    </row>
    <row r="1691" spans="13:18">
      <c r="M1691" s="34"/>
      <c r="N1691" s="34"/>
      <c r="O1691" s="34"/>
      <c r="P1691" s="34"/>
      <c r="Q1691" s="34"/>
      <c r="R1691" s="34"/>
    </row>
    <row r="1692" spans="13:18">
      <c r="M1692" s="34"/>
      <c r="N1692" s="34"/>
      <c r="O1692" s="34"/>
      <c r="P1692" s="34"/>
      <c r="Q1692" s="34"/>
      <c r="R1692" s="34"/>
    </row>
    <row r="1693" spans="13:18">
      <c r="M1693" s="34"/>
      <c r="N1693" s="34"/>
      <c r="O1693" s="34"/>
      <c r="P1693" s="34"/>
      <c r="Q1693" s="34"/>
      <c r="R1693" s="34"/>
    </row>
    <row r="1694" spans="13:18">
      <c r="M1694" s="34"/>
      <c r="N1694" s="34"/>
      <c r="O1694" s="34"/>
      <c r="P1694" s="34"/>
      <c r="Q1694" s="34"/>
      <c r="R1694" s="34"/>
    </row>
    <row r="1695" spans="13:18">
      <c r="M1695" s="34"/>
      <c r="N1695" s="34"/>
      <c r="O1695" s="34"/>
      <c r="P1695" s="34"/>
      <c r="Q1695" s="34"/>
      <c r="R1695" s="34"/>
    </row>
    <row r="1696" spans="13:18">
      <c r="M1696" s="34"/>
      <c r="N1696" s="34"/>
      <c r="O1696" s="34"/>
      <c r="P1696" s="34"/>
      <c r="Q1696" s="34"/>
      <c r="R1696" s="34"/>
    </row>
    <row r="1697" spans="13:18">
      <c r="M1697" s="34"/>
      <c r="N1697" s="34"/>
      <c r="O1697" s="34"/>
      <c r="P1697" s="34"/>
      <c r="Q1697" s="34"/>
      <c r="R1697" s="34"/>
    </row>
    <row r="1698" spans="13:18">
      <c r="M1698" s="34"/>
      <c r="N1698" s="34"/>
      <c r="O1698" s="34"/>
      <c r="P1698" s="34"/>
      <c r="Q1698" s="34"/>
      <c r="R1698" s="34"/>
    </row>
    <row r="1699" spans="13:18">
      <c r="M1699" s="34"/>
      <c r="N1699" s="34"/>
      <c r="O1699" s="34"/>
      <c r="P1699" s="34"/>
      <c r="Q1699" s="34"/>
      <c r="R1699" s="34"/>
    </row>
    <row r="1700" spans="13:18">
      <c r="M1700" s="34"/>
      <c r="N1700" s="34"/>
      <c r="O1700" s="34"/>
      <c r="P1700" s="34"/>
      <c r="Q1700" s="34"/>
      <c r="R1700" s="34"/>
    </row>
    <row r="1701" spans="13:18">
      <c r="M1701" s="34"/>
      <c r="N1701" s="34"/>
      <c r="O1701" s="34"/>
      <c r="P1701" s="34"/>
      <c r="Q1701" s="34"/>
      <c r="R1701" s="34"/>
    </row>
    <row r="1702" spans="13:18">
      <c r="M1702" s="34"/>
      <c r="N1702" s="34"/>
      <c r="O1702" s="34"/>
      <c r="P1702" s="34"/>
      <c r="Q1702" s="34"/>
      <c r="R1702" s="34"/>
    </row>
    <row r="1703" spans="13:18">
      <c r="M1703" s="34"/>
      <c r="N1703" s="34"/>
      <c r="O1703" s="34"/>
      <c r="P1703" s="34"/>
      <c r="Q1703" s="34"/>
      <c r="R1703" s="34"/>
    </row>
    <row r="1704" spans="13:18">
      <c r="M1704" s="34"/>
      <c r="N1704" s="34"/>
      <c r="O1704" s="34"/>
      <c r="P1704" s="34"/>
      <c r="Q1704" s="34"/>
      <c r="R1704" s="34"/>
    </row>
    <row r="1705" spans="13:18">
      <c r="M1705" s="34"/>
      <c r="N1705" s="34"/>
      <c r="O1705" s="34"/>
      <c r="P1705" s="34"/>
      <c r="Q1705" s="34"/>
      <c r="R1705" s="34"/>
    </row>
    <row r="1706" spans="13:18">
      <c r="M1706" s="34"/>
      <c r="N1706" s="34"/>
      <c r="O1706" s="34"/>
      <c r="P1706" s="34"/>
      <c r="Q1706" s="34"/>
      <c r="R1706" s="34"/>
    </row>
    <row r="1707" spans="13:18">
      <c r="M1707" s="34"/>
      <c r="N1707" s="34"/>
      <c r="O1707" s="34"/>
      <c r="P1707" s="34"/>
      <c r="Q1707" s="34"/>
      <c r="R1707" s="34"/>
    </row>
    <row r="1708" spans="13:18">
      <c r="M1708" s="34"/>
      <c r="N1708" s="34"/>
      <c r="O1708" s="34"/>
      <c r="P1708" s="34"/>
      <c r="Q1708" s="34"/>
      <c r="R1708" s="34"/>
    </row>
    <row r="1709" spans="13:18">
      <c r="M1709" s="34"/>
      <c r="N1709" s="34"/>
      <c r="O1709" s="34"/>
      <c r="P1709" s="34"/>
      <c r="Q1709" s="34"/>
      <c r="R1709" s="34"/>
    </row>
    <row r="1710" spans="13:18">
      <c r="M1710" s="34"/>
      <c r="N1710" s="34"/>
      <c r="O1710" s="34"/>
      <c r="P1710" s="34"/>
      <c r="Q1710" s="34"/>
      <c r="R1710" s="34"/>
    </row>
    <row r="1711" spans="13:18">
      <c r="M1711" s="34"/>
      <c r="N1711" s="34"/>
      <c r="O1711" s="34"/>
      <c r="P1711" s="34"/>
      <c r="Q1711" s="34"/>
      <c r="R1711" s="34"/>
    </row>
    <row r="1712" spans="13:18">
      <c r="M1712" s="34"/>
      <c r="N1712" s="34"/>
      <c r="O1712" s="34"/>
      <c r="P1712" s="34"/>
      <c r="Q1712" s="34"/>
      <c r="R1712" s="34"/>
    </row>
    <row r="1713" spans="13:18">
      <c r="M1713" s="34"/>
      <c r="N1713" s="34"/>
      <c r="O1713" s="34"/>
      <c r="P1713" s="34"/>
      <c r="Q1713" s="34"/>
      <c r="R1713" s="34"/>
    </row>
    <row r="1714" spans="13:18">
      <c r="M1714" s="34"/>
      <c r="N1714" s="34"/>
      <c r="O1714" s="34"/>
      <c r="P1714" s="34"/>
      <c r="Q1714" s="34"/>
      <c r="R1714" s="34"/>
    </row>
    <row r="1715" spans="13:18">
      <c r="M1715" s="34"/>
      <c r="N1715" s="34"/>
      <c r="O1715" s="34"/>
      <c r="P1715" s="34"/>
      <c r="Q1715" s="34"/>
      <c r="R1715" s="34"/>
    </row>
    <row r="1716" spans="13:18">
      <c r="M1716" s="34"/>
      <c r="N1716" s="34"/>
      <c r="O1716" s="34"/>
      <c r="P1716" s="34"/>
      <c r="Q1716" s="34"/>
      <c r="R1716" s="34"/>
    </row>
    <row r="1717" spans="13:18">
      <c r="M1717" s="34"/>
      <c r="N1717" s="34"/>
      <c r="O1717" s="34"/>
      <c r="P1717" s="34"/>
      <c r="Q1717" s="34"/>
      <c r="R1717" s="34"/>
    </row>
    <row r="1718" spans="13:18">
      <c r="M1718" s="34"/>
      <c r="N1718" s="34"/>
      <c r="O1718" s="34"/>
      <c r="P1718" s="34"/>
      <c r="Q1718" s="34"/>
      <c r="R1718" s="34"/>
    </row>
    <row r="1719" spans="13:18">
      <c r="M1719" s="34"/>
      <c r="N1719" s="34"/>
      <c r="O1719" s="34"/>
      <c r="P1719" s="34"/>
      <c r="Q1719" s="34"/>
      <c r="R1719" s="34"/>
    </row>
    <row r="1720" spans="13:18">
      <c r="M1720" s="34"/>
      <c r="N1720" s="34"/>
      <c r="O1720" s="34"/>
      <c r="P1720" s="34"/>
      <c r="Q1720" s="34"/>
      <c r="R1720" s="34"/>
    </row>
    <row r="1721" spans="13:18">
      <c r="M1721" s="34"/>
      <c r="N1721" s="34"/>
      <c r="O1721" s="34"/>
      <c r="P1721" s="34"/>
      <c r="Q1721" s="34"/>
      <c r="R1721" s="34"/>
    </row>
    <row r="1722" spans="13:18">
      <c r="M1722" s="34"/>
      <c r="N1722" s="34"/>
      <c r="O1722" s="34"/>
      <c r="P1722" s="34"/>
      <c r="Q1722" s="34"/>
      <c r="R1722" s="34"/>
    </row>
    <row r="1723" spans="13:18">
      <c r="M1723" s="34"/>
      <c r="N1723" s="34"/>
      <c r="O1723" s="34"/>
      <c r="P1723" s="34"/>
      <c r="Q1723" s="34"/>
      <c r="R1723" s="34"/>
    </row>
    <row r="1724" spans="13:18">
      <c r="M1724" s="34"/>
      <c r="N1724" s="34"/>
      <c r="O1724" s="34"/>
      <c r="P1724" s="34"/>
      <c r="Q1724" s="34"/>
      <c r="R1724" s="34"/>
    </row>
    <row r="1725" spans="13:18">
      <c r="M1725" s="34"/>
      <c r="N1725" s="34"/>
      <c r="O1725" s="34"/>
      <c r="P1725" s="34"/>
      <c r="Q1725" s="34"/>
      <c r="R1725" s="34"/>
    </row>
    <row r="1726" spans="13:18">
      <c r="M1726" s="34"/>
      <c r="N1726" s="34"/>
      <c r="O1726" s="34"/>
      <c r="P1726" s="34"/>
      <c r="Q1726" s="34"/>
      <c r="R1726" s="34"/>
    </row>
    <row r="1727" spans="13:18">
      <c r="M1727" s="34"/>
      <c r="N1727" s="34"/>
      <c r="O1727" s="34"/>
      <c r="P1727" s="34"/>
      <c r="Q1727" s="34"/>
      <c r="R1727" s="34"/>
    </row>
    <row r="1728" spans="13:18">
      <c r="M1728" s="34"/>
      <c r="N1728" s="34"/>
      <c r="O1728" s="34"/>
      <c r="P1728" s="34"/>
      <c r="Q1728" s="34"/>
      <c r="R1728" s="34"/>
    </row>
    <row r="1729" spans="13:18">
      <c r="M1729" s="34"/>
      <c r="N1729" s="34"/>
      <c r="O1729" s="34"/>
      <c r="P1729" s="34"/>
      <c r="Q1729" s="34"/>
      <c r="R1729" s="34"/>
    </row>
    <row r="1730" spans="13:18">
      <c r="M1730" s="34"/>
      <c r="N1730" s="34"/>
      <c r="O1730" s="34"/>
      <c r="P1730" s="34"/>
      <c r="Q1730" s="34"/>
      <c r="R1730" s="34"/>
    </row>
    <row r="1731" spans="13:18">
      <c r="M1731" s="34"/>
      <c r="N1731" s="34"/>
      <c r="O1731" s="34"/>
      <c r="P1731" s="34"/>
      <c r="Q1731" s="34"/>
      <c r="R1731" s="34"/>
    </row>
    <row r="1732" spans="13:18">
      <c r="M1732" s="34"/>
      <c r="N1732" s="34"/>
      <c r="O1732" s="34"/>
      <c r="P1732" s="34"/>
      <c r="Q1732" s="34"/>
      <c r="R1732" s="34"/>
    </row>
    <row r="1733" spans="13:18">
      <c r="M1733" s="34"/>
      <c r="N1733" s="34"/>
      <c r="O1733" s="34"/>
      <c r="P1733" s="34"/>
      <c r="Q1733" s="34"/>
      <c r="R1733" s="34"/>
    </row>
    <row r="1734" spans="13:18">
      <c r="M1734" s="34"/>
      <c r="N1734" s="34"/>
      <c r="O1734" s="34"/>
      <c r="P1734" s="34"/>
      <c r="Q1734" s="34"/>
      <c r="R1734" s="34"/>
    </row>
    <row r="1735" spans="13:18">
      <c r="M1735" s="34"/>
      <c r="N1735" s="34"/>
      <c r="O1735" s="34"/>
      <c r="P1735" s="34"/>
      <c r="Q1735" s="34"/>
      <c r="R1735" s="34"/>
    </row>
    <row r="1736" spans="13:18">
      <c r="M1736" s="34"/>
      <c r="N1736" s="34"/>
      <c r="O1736" s="34"/>
      <c r="P1736" s="34"/>
      <c r="Q1736" s="34"/>
      <c r="R1736" s="34"/>
    </row>
    <row r="1737" spans="13:18">
      <c r="M1737" s="34"/>
      <c r="N1737" s="34"/>
      <c r="O1737" s="34"/>
      <c r="P1737" s="34"/>
      <c r="Q1737" s="34"/>
      <c r="R1737" s="34"/>
    </row>
    <row r="1738" spans="13:18">
      <c r="M1738" s="34"/>
      <c r="N1738" s="34"/>
      <c r="O1738" s="34"/>
      <c r="P1738" s="34"/>
      <c r="Q1738" s="34"/>
      <c r="R1738" s="34"/>
    </row>
    <row r="1739" spans="13:18">
      <c r="M1739" s="34"/>
      <c r="N1739" s="34"/>
      <c r="O1739" s="34"/>
      <c r="P1739" s="34"/>
      <c r="Q1739" s="34"/>
      <c r="R1739" s="34"/>
    </row>
    <row r="1740" spans="13:18">
      <c r="M1740" s="34"/>
      <c r="N1740" s="34"/>
      <c r="O1740" s="34"/>
      <c r="P1740" s="34"/>
      <c r="Q1740" s="34"/>
      <c r="R1740" s="34"/>
    </row>
    <row r="1741" spans="13:18">
      <c r="M1741" s="34"/>
      <c r="N1741" s="34"/>
      <c r="O1741" s="34"/>
      <c r="P1741" s="34"/>
      <c r="Q1741" s="34"/>
      <c r="R1741" s="34"/>
    </row>
    <row r="1742" spans="13:18">
      <c r="M1742" s="34"/>
      <c r="N1742" s="34"/>
      <c r="O1742" s="34"/>
      <c r="P1742" s="34"/>
      <c r="Q1742" s="34"/>
      <c r="R1742" s="34"/>
    </row>
    <row r="1743" spans="13:18">
      <c r="M1743" s="34"/>
      <c r="N1743" s="34"/>
      <c r="O1743" s="34"/>
      <c r="P1743" s="34"/>
      <c r="Q1743" s="34"/>
      <c r="R1743" s="34"/>
    </row>
    <row r="1744" spans="13:18">
      <c r="M1744" s="34"/>
      <c r="N1744" s="34"/>
      <c r="O1744" s="34"/>
      <c r="P1744" s="34"/>
      <c r="Q1744" s="34"/>
      <c r="R1744" s="34"/>
    </row>
    <row r="1745" spans="13:18">
      <c r="M1745" s="34"/>
      <c r="N1745" s="34"/>
      <c r="O1745" s="34"/>
      <c r="P1745" s="34"/>
      <c r="Q1745" s="34"/>
      <c r="R1745" s="34"/>
    </row>
    <row r="1746" spans="13:18">
      <c r="M1746" s="34"/>
      <c r="N1746" s="34"/>
      <c r="O1746" s="34"/>
      <c r="P1746" s="34"/>
      <c r="Q1746" s="34"/>
      <c r="R1746" s="34"/>
    </row>
    <row r="1747" spans="13:18">
      <c r="M1747" s="34"/>
      <c r="N1747" s="34"/>
      <c r="O1747" s="34"/>
      <c r="P1747" s="34"/>
      <c r="Q1747" s="34"/>
      <c r="R1747" s="34"/>
    </row>
    <row r="1748" spans="13:18">
      <c r="M1748" s="34"/>
      <c r="N1748" s="34"/>
      <c r="O1748" s="34"/>
      <c r="P1748" s="34"/>
      <c r="Q1748" s="34"/>
      <c r="R1748" s="34"/>
    </row>
    <row r="1749" spans="13:18">
      <c r="M1749" s="34"/>
      <c r="N1749" s="34"/>
      <c r="O1749" s="34"/>
      <c r="P1749" s="34"/>
      <c r="Q1749" s="34"/>
      <c r="R1749" s="34"/>
    </row>
    <row r="1750" spans="13:18">
      <c r="M1750" s="34"/>
      <c r="N1750" s="34"/>
      <c r="O1750" s="34"/>
      <c r="P1750" s="34"/>
      <c r="Q1750" s="34"/>
      <c r="R1750" s="34"/>
    </row>
    <row r="1751" spans="13:18">
      <c r="M1751" s="34"/>
      <c r="N1751" s="34"/>
      <c r="O1751" s="34"/>
      <c r="P1751" s="34"/>
      <c r="Q1751" s="34"/>
      <c r="R1751" s="34"/>
    </row>
    <row r="1752" spans="13:18">
      <c r="M1752" s="34"/>
      <c r="N1752" s="34"/>
      <c r="O1752" s="34"/>
      <c r="P1752" s="34"/>
      <c r="Q1752" s="34"/>
      <c r="R1752" s="34"/>
    </row>
    <row r="1753" spans="13:18">
      <c r="M1753" s="34"/>
      <c r="N1753" s="34"/>
      <c r="O1753" s="34"/>
      <c r="P1753" s="34"/>
      <c r="Q1753" s="34"/>
      <c r="R1753" s="34"/>
    </row>
    <row r="1754" spans="13:18">
      <c r="M1754" s="34"/>
      <c r="N1754" s="34"/>
      <c r="O1754" s="34"/>
      <c r="P1754" s="34"/>
      <c r="Q1754" s="34"/>
      <c r="R1754" s="34"/>
    </row>
    <row r="1755" spans="13:18">
      <c r="M1755" s="34"/>
      <c r="N1755" s="34"/>
      <c r="O1755" s="34"/>
      <c r="P1755" s="34"/>
      <c r="Q1755" s="34"/>
      <c r="R1755" s="34"/>
    </row>
    <row r="1756" spans="13:18">
      <c r="M1756" s="34"/>
      <c r="N1756" s="34"/>
      <c r="O1756" s="34"/>
      <c r="P1756" s="34"/>
      <c r="Q1756" s="34"/>
      <c r="R1756" s="34"/>
    </row>
    <row r="1757" spans="13:18">
      <c r="M1757" s="34"/>
      <c r="N1757" s="34"/>
      <c r="O1757" s="34"/>
      <c r="P1757" s="34"/>
      <c r="Q1757" s="34"/>
      <c r="R1757" s="34"/>
    </row>
    <row r="1758" spans="13:18">
      <c r="M1758" s="34"/>
      <c r="N1758" s="34"/>
      <c r="O1758" s="34"/>
      <c r="P1758" s="34"/>
      <c r="Q1758" s="34"/>
      <c r="R1758" s="34"/>
    </row>
    <row r="1759" spans="13:18">
      <c r="M1759" s="34"/>
      <c r="N1759" s="34"/>
      <c r="O1759" s="34"/>
      <c r="P1759" s="34"/>
      <c r="Q1759" s="34"/>
      <c r="R1759" s="34"/>
    </row>
    <row r="1760" spans="13:18">
      <c r="M1760" s="34"/>
      <c r="N1760" s="34"/>
      <c r="O1760" s="34"/>
      <c r="P1760" s="34"/>
      <c r="Q1760" s="34"/>
      <c r="R1760" s="34"/>
    </row>
    <row r="1761" spans="13:18">
      <c r="M1761" s="34"/>
      <c r="N1761" s="34"/>
      <c r="O1761" s="34"/>
      <c r="P1761" s="34"/>
      <c r="Q1761" s="34"/>
      <c r="R1761" s="34"/>
    </row>
    <row r="1762" spans="13:18">
      <c r="M1762" s="34"/>
      <c r="N1762" s="34"/>
      <c r="O1762" s="34"/>
      <c r="P1762" s="34"/>
      <c r="Q1762" s="34"/>
      <c r="R1762" s="34"/>
    </row>
    <row r="1763" spans="13:18">
      <c r="M1763" s="34"/>
      <c r="N1763" s="34"/>
      <c r="O1763" s="34"/>
      <c r="P1763" s="34"/>
      <c r="Q1763" s="34"/>
      <c r="R1763" s="34"/>
    </row>
    <row r="1764" spans="13:18">
      <c r="M1764" s="34"/>
      <c r="N1764" s="34"/>
      <c r="O1764" s="34"/>
      <c r="P1764" s="34"/>
      <c r="Q1764" s="34"/>
      <c r="R1764" s="34"/>
    </row>
    <row r="1765" spans="13:18">
      <c r="M1765" s="34"/>
      <c r="N1765" s="34"/>
      <c r="O1765" s="34"/>
      <c r="P1765" s="34"/>
      <c r="Q1765" s="34"/>
      <c r="R1765" s="34"/>
    </row>
    <row r="1766" spans="13:18">
      <c r="M1766" s="34"/>
      <c r="N1766" s="34"/>
      <c r="O1766" s="34"/>
      <c r="P1766" s="34"/>
      <c r="Q1766" s="34"/>
      <c r="R1766" s="34"/>
    </row>
    <row r="1767" spans="13:18">
      <c r="M1767" s="34"/>
      <c r="N1767" s="34"/>
      <c r="O1767" s="34"/>
      <c r="P1767" s="34"/>
      <c r="Q1767" s="34"/>
      <c r="R1767" s="34"/>
    </row>
    <row r="1768" spans="13:18">
      <c r="M1768" s="34"/>
      <c r="N1768" s="34"/>
      <c r="O1768" s="34"/>
      <c r="P1768" s="34"/>
      <c r="Q1768" s="34"/>
      <c r="R1768" s="34"/>
    </row>
    <row r="1769" spans="13:18">
      <c r="M1769" s="34"/>
      <c r="N1769" s="34"/>
      <c r="O1769" s="34"/>
      <c r="P1769" s="34"/>
      <c r="Q1769" s="34"/>
      <c r="R1769" s="34"/>
    </row>
    <row r="1770" spans="13:18">
      <c r="M1770" s="34"/>
      <c r="N1770" s="34"/>
      <c r="O1770" s="34"/>
      <c r="P1770" s="34"/>
      <c r="Q1770" s="34"/>
      <c r="R1770" s="34"/>
    </row>
    <row r="1771" spans="13:18">
      <c r="M1771" s="34"/>
      <c r="N1771" s="34"/>
      <c r="O1771" s="34"/>
      <c r="P1771" s="34"/>
      <c r="Q1771" s="34"/>
      <c r="R1771" s="34"/>
    </row>
    <row r="1772" spans="13:18">
      <c r="M1772" s="34"/>
      <c r="N1772" s="34"/>
      <c r="O1772" s="34"/>
      <c r="P1772" s="34"/>
      <c r="Q1772" s="34"/>
      <c r="R1772" s="34"/>
    </row>
    <row r="1773" spans="13:18">
      <c r="M1773" s="34"/>
      <c r="N1773" s="34"/>
      <c r="O1773" s="34"/>
      <c r="P1773" s="34"/>
      <c r="Q1773" s="34"/>
      <c r="R1773" s="34"/>
    </row>
    <row r="1774" spans="13:18">
      <c r="M1774" s="34"/>
      <c r="N1774" s="34"/>
      <c r="O1774" s="34"/>
      <c r="P1774" s="34"/>
      <c r="Q1774" s="34"/>
      <c r="R1774" s="34"/>
    </row>
    <row r="1775" spans="13:18">
      <c r="M1775" s="34"/>
      <c r="N1775" s="34"/>
      <c r="O1775" s="34"/>
      <c r="P1775" s="34"/>
      <c r="Q1775" s="34"/>
      <c r="R1775" s="34"/>
    </row>
    <row r="1776" spans="13:18">
      <c r="M1776" s="34"/>
      <c r="N1776" s="34"/>
      <c r="O1776" s="34"/>
      <c r="P1776" s="34"/>
      <c r="Q1776" s="34"/>
      <c r="R1776" s="34"/>
    </row>
    <row r="1777" spans="13:18">
      <c r="M1777" s="34"/>
      <c r="N1777" s="34"/>
      <c r="O1777" s="34"/>
      <c r="P1777" s="34"/>
      <c r="Q1777" s="34"/>
      <c r="R1777" s="34"/>
    </row>
    <row r="1778" spans="13:18">
      <c r="M1778" s="34"/>
      <c r="N1778" s="34"/>
      <c r="O1778" s="34"/>
      <c r="P1778" s="34"/>
      <c r="Q1778" s="34"/>
      <c r="R1778" s="34"/>
    </row>
    <row r="1779" spans="13:18">
      <c r="M1779" s="34"/>
      <c r="N1779" s="34"/>
      <c r="O1779" s="34"/>
      <c r="P1779" s="34"/>
      <c r="Q1779" s="34"/>
      <c r="R1779" s="34"/>
    </row>
    <row r="1780" spans="13:18">
      <c r="M1780" s="34"/>
      <c r="N1780" s="34"/>
      <c r="O1780" s="34"/>
      <c r="P1780" s="34"/>
      <c r="Q1780" s="34"/>
      <c r="R1780" s="34"/>
    </row>
    <row r="1781" spans="13:18">
      <c r="M1781" s="34"/>
      <c r="N1781" s="34"/>
      <c r="O1781" s="34"/>
      <c r="P1781" s="34"/>
      <c r="Q1781" s="34"/>
      <c r="R1781" s="34"/>
    </row>
    <row r="1782" spans="13:18">
      <c r="M1782" s="34"/>
      <c r="N1782" s="34"/>
      <c r="O1782" s="34"/>
      <c r="P1782" s="34"/>
      <c r="Q1782" s="34"/>
      <c r="R1782" s="34"/>
    </row>
    <row r="1783" spans="13:18">
      <c r="M1783" s="34"/>
      <c r="N1783" s="34"/>
      <c r="O1783" s="34"/>
      <c r="P1783" s="34"/>
      <c r="Q1783" s="34"/>
      <c r="R1783" s="34"/>
    </row>
    <row r="1784" spans="13:18">
      <c r="M1784" s="34"/>
      <c r="N1784" s="34"/>
      <c r="O1784" s="34"/>
      <c r="P1784" s="34"/>
      <c r="Q1784" s="34"/>
      <c r="R1784" s="34"/>
    </row>
    <row r="1785" spans="13:18">
      <c r="M1785" s="34"/>
      <c r="N1785" s="34"/>
      <c r="O1785" s="34"/>
      <c r="P1785" s="34"/>
      <c r="Q1785" s="34"/>
      <c r="R1785" s="34"/>
    </row>
    <row r="1786" spans="13:18">
      <c r="M1786" s="34"/>
      <c r="N1786" s="34"/>
      <c r="O1786" s="34"/>
      <c r="P1786" s="34"/>
      <c r="Q1786" s="34"/>
      <c r="R1786" s="34"/>
    </row>
    <row r="1787" spans="13:18">
      <c r="M1787" s="34"/>
      <c r="N1787" s="34"/>
      <c r="O1787" s="34"/>
      <c r="P1787" s="34"/>
      <c r="Q1787" s="34"/>
      <c r="R1787" s="34"/>
    </row>
    <row r="1788" spans="13:18">
      <c r="M1788" s="34"/>
      <c r="N1788" s="34"/>
      <c r="O1788" s="34"/>
      <c r="P1788" s="34"/>
      <c r="Q1788" s="34"/>
      <c r="R1788" s="34"/>
    </row>
    <row r="1789" spans="13:18">
      <c r="M1789" s="34"/>
      <c r="N1789" s="34"/>
      <c r="O1789" s="34"/>
      <c r="P1789" s="34"/>
      <c r="Q1789" s="34"/>
      <c r="R1789" s="34"/>
    </row>
    <row r="1790" spans="13:18">
      <c r="M1790" s="34"/>
      <c r="N1790" s="34"/>
      <c r="O1790" s="34"/>
      <c r="P1790" s="34"/>
      <c r="Q1790" s="34"/>
      <c r="R1790" s="34"/>
    </row>
    <row r="1791" spans="13:18">
      <c r="M1791" s="34"/>
      <c r="N1791" s="34"/>
      <c r="O1791" s="34"/>
      <c r="P1791" s="34"/>
      <c r="Q1791" s="34"/>
      <c r="R1791" s="34"/>
    </row>
    <row r="1792" spans="13:18">
      <c r="M1792" s="34"/>
      <c r="N1792" s="34"/>
      <c r="O1792" s="34"/>
      <c r="P1792" s="34"/>
      <c r="Q1792" s="34"/>
      <c r="R1792" s="34"/>
    </row>
    <row r="1793" spans="13:18">
      <c r="M1793" s="34"/>
      <c r="N1793" s="34"/>
      <c r="O1793" s="34"/>
      <c r="P1793" s="34"/>
      <c r="Q1793" s="34"/>
      <c r="R1793" s="34"/>
    </row>
    <row r="1794" spans="13:18">
      <c r="M1794" s="34"/>
      <c r="N1794" s="34"/>
      <c r="O1794" s="34"/>
      <c r="P1794" s="34"/>
      <c r="Q1794" s="34"/>
      <c r="R1794" s="34"/>
    </row>
    <row r="1795" spans="13:18">
      <c r="M1795" s="34"/>
      <c r="N1795" s="34"/>
      <c r="O1795" s="34"/>
      <c r="P1795" s="34"/>
      <c r="Q1795" s="34"/>
      <c r="R1795" s="34"/>
    </row>
    <row r="1796" spans="13:18">
      <c r="M1796" s="34"/>
      <c r="N1796" s="34"/>
      <c r="O1796" s="34"/>
      <c r="P1796" s="34"/>
      <c r="Q1796" s="34"/>
      <c r="R1796" s="34"/>
    </row>
    <row r="1797" spans="13:18">
      <c r="M1797" s="34"/>
      <c r="N1797" s="34"/>
      <c r="O1797" s="34"/>
      <c r="P1797" s="34"/>
      <c r="Q1797" s="34"/>
      <c r="R1797" s="34"/>
    </row>
    <row r="1798" spans="13:18">
      <c r="M1798" s="34"/>
      <c r="N1798" s="34"/>
      <c r="O1798" s="34"/>
      <c r="P1798" s="34"/>
      <c r="Q1798" s="34"/>
      <c r="R1798" s="34"/>
    </row>
    <row r="1799" spans="13:18">
      <c r="M1799" s="34"/>
      <c r="N1799" s="34"/>
      <c r="O1799" s="34"/>
      <c r="P1799" s="34"/>
      <c r="Q1799" s="34"/>
      <c r="R1799" s="34"/>
    </row>
    <row r="1800" spans="13:18">
      <c r="M1800" s="34"/>
      <c r="N1800" s="34"/>
      <c r="O1800" s="34"/>
      <c r="P1800" s="34"/>
      <c r="Q1800" s="34"/>
      <c r="R1800" s="34"/>
    </row>
    <row r="1801" spans="13:18">
      <c r="M1801" s="34"/>
      <c r="N1801" s="34"/>
      <c r="O1801" s="34"/>
      <c r="P1801" s="34"/>
      <c r="Q1801" s="34"/>
      <c r="R1801" s="34"/>
    </row>
    <row r="1802" spans="13:18">
      <c r="M1802" s="34"/>
      <c r="N1802" s="34"/>
      <c r="O1802" s="34"/>
      <c r="P1802" s="34"/>
      <c r="Q1802" s="34"/>
      <c r="R1802" s="34"/>
    </row>
    <row r="1803" spans="13:18">
      <c r="M1803" s="34"/>
      <c r="N1803" s="34"/>
      <c r="O1803" s="34"/>
      <c r="P1803" s="34"/>
      <c r="Q1803" s="34"/>
      <c r="R1803" s="34"/>
    </row>
    <row r="1804" spans="13:18">
      <c r="M1804" s="34"/>
      <c r="N1804" s="34"/>
      <c r="O1804" s="34"/>
      <c r="P1804" s="34"/>
      <c r="Q1804" s="34"/>
      <c r="R1804" s="34"/>
    </row>
    <row r="1805" spans="13:18">
      <c r="M1805" s="34"/>
      <c r="N1805" s="34"/>
      <c r="O1805" s="34"/>
      <c r="P1805" s="34"/>
      <c r="Q1805" s="34"/>
      <c r="R1805" s="34"/>
    </row>
    <row r="1806" spans="13:18">
      <c r="M1806" s="34"/>
      <c r="N1806" s="34"/>
      <c r="O1806" s="34"/>
      <c r="P1806" s="34"/>
      <c r="Q1806" s="34"/>
      <c r="R1806" s="34"/>
    </row>
    <row r="1807" spans="13:18">
      <c r="M1807" s="34"/>
      <c r="N1807" s="34"/>
      <c r="O1807" s="34"/>
      <c r="P1807" s="34"/>
      <c r="Q1807" s="34"/>
      <c r="R1807" s="34"/>
    </row>
    <row r="1808" spans="13:18">
      <c r="M1808" s="34"/>
      <c r="N1808" s="34"/>
      <c r="O1808" s="34"/>
      <c r="P1808" s="34"/>
      <c r="Q1808" s="34"/>
      <c r="R1808" s="34"/>
    </row>
    <row r="1809" spans="13:18">
      <c r="M1809" s="34"/>
      <c r="N1809" s="34"/>
      <c r="O1809" s="34"/>
      <c r="P1809" s="34"/>
      <c r="Q1809" s="34"/>
      <c r="R1809" s="34"/>
    </row>
    <row r="1810" spans="13:18">
      <c r="M1810" s="34"/>
      <c r="N1810" s="34"/>
      <c r="O1810" s="34"/>
      <c r="P1810" s="34"/>
      <c r="Q1810" s="34"/>
      <c r="R1810" s="34"/>
    </row>
    <row r="1811" spans="13:18">
      <c r="M1811" s="34"/>
      <c r="N1811" s="34"/>
      <c r="O1811" s="34"/>
      <c r="P1811" s="34"/>
      <c r="Q1811" s="34"/>
      <c r="R1811" s="34"/>
    </row>
    <row r="1812" spans="13:18">
      <c r="M1812" s="34"/>
      <c r="N1812" s="34"/>
      <c r="O1812" s="34"/>
      <c r="P1812" s="34"/>
      <c r="Q1812" s="34"/>
      <c r="R1812" s="34"/>
    </row>
    <row r="1813" spans="13:18">
      <c r="M1813" s="34"/>
      <c r="N1813" s="34"/>
      <c r="O1813" s="34"/>
      <c r="P1813" s="34"/>
      <c r="Q1813" s="34"/>
      <c r="R1813" s="34"/>
    </row>
    <row r="1814" spans="13:18">
      <c r="M1814" s="34"/>
      <c r="N1814" s="34"/>
      <c r="O1814" s="34"/>
      <c r="P1814" s="34"/>
      <c r="Q1814" s="34"/>
      <c r="R1814" s="34"/>
    </row>
    <row r="1815" spans="13:18">
      <c r="M1815" s="34"/>
      <c r="N1815" s="34"/>
      <c r="O1815" s="34"/>
      <c r="P1815" s="34"/>
      <c r="Q1815" s="34"/>
      <c r="R1815" s="34"/>
    </row>
    <row r="1816" spans="13:18">
      <c r="M1816" s="34"/>
      <c r="N1816" s="34"/>
      <c r="O1816" s="34"/>
      <c r="P1816" s="34"/>
      <c r="Q1816" s="34"/>
      <c r="R1816" s="34"/>
    </row>
    <row r="1817" spans="13:18">
      <c r="M1817" s="34"/>
      <c r="N1817" s="34"/>
      <c r="O1817" s="34"/>
      <c r="P1817" s="34"/>
      <c r="Q1817" s="34"/>
      <c r="R1817" s="34"/>
    </row>
    <row r="1818" spans="13:18">
      <c r="M1818" s="34"/>
      <c r="N1818" s="34"/>
      <c r="O1818" s="34"/>
      <c r="P1818" s="34"/>
      <c r="Q1818" s="34"/>
      <c r="R1818" s="34"/>
    </row>
    <row r="1819" spans="13:18">
      <c r="M1819" s="34"/>
      <c r="N1819" s="34"/>
      <c r="O1819" s="34"/>
      <c r="P1819" s="34"/>
      <c r="Q1819" s="34"/>
      <c r="R1819" s="34"/>
    </row>
    <row r="1820" spans="13:18">
      <c r="M1820" s="34"/>
      <c r="N1820" s="34"/>
      <c r="O1820" s="34"/>
      <c r="P1820" s="34"/>
      <c r="Q1820" s="34"/>
      <c r="R1820" s="34"/>
    </row>
    <row r="1821" spans="13:18">
      <c r="M1821" s="34"/>
      <c r="N1821" s="34"/>
      <c r="O1821" s="34"/>
      <c r="P1821" s="34"/>
      <c r="Q1821" s="34"/>
      <c r="R1821" s="34"/>
    </row>
    <row r="1822" spans="13:18">
      <c r="M1822" s="34"/>
      <c r="N1822" s="34"/>
      <c r="O1822" s="34"/>
      <c r="P1822" s="34"/>
      <c r="Q1822" s="34"/>
      <c r="R1822" s="34"/>
    </row>
    <row r="1823" spans="13:18">
      <c r="M1823" s="34"/>
      <c r="N1823" s="34"/>
      <c r="O1823" s="34"/>
      <c r="P1823" s="34"/>
      <c r="Q1823" s="34"/>
      <c r="R1823" s="34"/>
    </row>
    <row r="1824" spans="13:18">
      <c r="M1824" s="34"/>
      <c r="N1824" s="34"/>
      <c r="O1824" s="34"/>
      <c r="P1824" s="34"/>
      <c r="Q1824" s="34"/>
      <c r="R1824" s="34"/>
    </row>
    <row r="1825" spans="13:18">
      <c r="M1825" s="34"/>
      <c r="N1825" s="34"/>
      <c r="O1825" s="34"/>
      <c r="P1825" s="34"/>
      <c r="Q1825" s="34"/>
      <c r="R1825" s="34"/>
    </row>
    <row r="1826" spans="13:18">
      <c r="M1826" s="34"/>
      <c r="N1826" s="34"/>
      <c r="O1826" s="34"/>
      <c r="P1826" s="34"/>
      <c r="Q1826" s="34"/>
      <c r="R1826" s="34"/>
    </row>
    <row r="1827" spans="13:18">
      <c r="M1827" s="34"/>
      <c r="N1827" s="34"/>
      <c r="O1827" s="34"/>
      <c r="P1827" s="34"/>
      <c r="Q1827" s="34"/>
      <c r="R1827" s="34"/>
    </row>
    <row r="1828" spans="13:18">
      <c r="M1828" s="34"/>
      <c r="N1828" s="34"/>
      <c r="O1828" s="34"/>
      <c r="P1828" s="34"/>
      <c r="Q1828" s="34"/>
      <c r="R1828" s="34"/>
    </row>
    <row r="1829" spans="13:18">
      <c r="M1829" s="34"/>
      <c r="N1829" s="34"/>
      <c r="O1829" s="34"/>
      <c r="P1829" s="34"/>
      <c r="Q1829" s="34"/>
      <c r="R1829" s="34"/>
    </row>
    <row r="1830" spans="13:18">
      <c r="M1830" s="34"/>
      <c r="N1830" s="34"/>
      <c r="O1830" s="34"/>
      <c r="P1830" s="34"/>
      <c r="Q1830" s="34"/>
      <c r="R1830" s="34"/>
    </row>
    <row r="1831" spans="13:18">
      <c r="M1831" s="34"/>
      <c r="N1831" s="34"/>
      <c r="O1831" s="34"/>
      <c r="P1831" s="34"/>
      <c r="Q1831" s="34"/>
      <c r="R1831" s="34"/>
    </row>
    <row r="1832" spans="13:18">
      <c r="M1832" s="34"/>
      <c r="N1832" s="34"/>
      <c r="O1832" s="34"/>
      <c r="P1832" s="34"/>
      <c r="Q1832" s="34"/>
      <c r="R1832" s="34"/>
    </row>
    <row r="1833" spans="13:18">
      <c r="M1833" s="34"/>
      <c r="N1833" s="34"/>
      <c r="O1833" s="34"/>
      <c r="P1833" s="34"/>
      <c r="Q1833" s="34"/>
      <c r="R1833" s="34"/>
    </row>
    <row r="1834" spans="13:18">
      <c r="M1834" s="34"/>
      <c r="N1834" s="34"/>
      <c r="O1834" s="34"/>
      <c r="P1834" s="34"/>
      <c r="Q1834" s="34"/>
      <c r="R1834" s="34"/>
    </row>
    <row r="1835" spans="13:18">
      <c r="M1835" s="34"/>
      <c r="N1835" s="34"/>
      <c r="O1835" s="34"/>
      <c r="P1835" s="34"/>
      <c r="Q1835" s="34"/>
      <c r="R1835" s="34"/>
    </row>
    <row r="1836" spans="13:18">
      <c r="M1836" s="34"/>
      <c r="N1836" s="34"/>
      <c r="O1836" s="34"/>
      <c r="P1836" s="34"/>
      <c r="Q1836" s="34"/>
      <c r="R1836" s="34"/>
    </row>
    <row r="1837" spans="13:18">
      <c r="M1837" s="34"/>
      <c r="N1837" s="34"/>
      <c r="O1837" s="34"/>
      <c r="P1837" s="34"/>
      <c r="Q1837" s="34"/>
      <c r="R1837" s="34"/>
    </row>
    <row r="1838" spans="13:18">
      <c r="M1838" s="34"/>
      <c r="N1838" s="34"/>
      <c r="O1838" s="34"/>
      <c r="P1838" s="34"/>
      <c r="Q1838" s="34"/>
      <c r="R1838" s="34"/>
    </row>
    <row r="1839" spans="13:18">
      <c r="M1839" s="34"/>
      <c r="N1839" s="34"/>
      <c r="O1839" s="34"/>
      <c r="P1839" s="34"/>
      <c r="Q1839" s="34"/>
      <c r="R1839" s="34"/>
    </row>
    <row r="1840" spans="13:18">
      <c r="M1840" s="34"/>
      <c r="N1840" s="34"/>
      <c r="O1840" s="34"/>
      <c r="P1840" s="34"/>
      <c r="Q1840" s="34"/>
      <c r="R1840" s="34"/>
    </row>
    <row r="1841" spans="13:18">
      <c r="M1841" s="34"/>
      <c r="N1841" s="34"/>
      <c r="O1841" s="34"/>
      <c r="P1841" s="34"/>
      <c r="Q1841" s="34"/>
      <c r="R1841" s="34"/>
    </row>
    <row r="1842" spans="13:18">
      <c r="M1842" s="34"/>
      <c r="N1842" s="34"/>
      <c r="O1842" s="34"/>
      <c r="P1842" s="34"/>
      <c r="Q1842" s="34"/>
      <c r="R1842" s="34"/>
    </row>
    <row r="1843" spans="13:18">
      <c r="M1843" s="34"/>
      <c r="N1843" s="34"/>
      <c r="O1843" s="34"/>
      <c r="P1843" s="34"/>
      <c r="Q1843" s="34"/>
      <c r="R1843" s="34"/>
    </row>
    <row r="1844" spans="13:18">
      <c r="M1844" s="34"/>
      <c r="N1844" s="34"/>
      <c r="O1844" s="34"/>
      <c r="P1844" s="34"/>
      <c r="Q1844" s="34"/>
      <c r="R1844" s="34"/>
    </row>
    <row r="1845" spans="13:18">
      <c r="M1845" s="34"/>
      <c r="N1845" s="34"/>
      <c r="O1845" s="34"/>
      <c r="P1845" s="34"/>
      <c r="Q1845" s="34"/>
      <c r="R1845" s="34"/>
    </row>
    <row r="1846" spans="13:18">
      <c r="M1846" s="34"/>
      <c r="N1846" s="34"/>
      <c r="O1846" s="34"/>
      <c r="P1846" s="34"/>
      <c r="Q1846" s="34"/>
      <c r="R1846" s="34"/>
    </row>
    <row r="1847" spans="13:18">
      <c r="M1847" s="34"/>
      <c r="N1847" s="34"/>
      <c r="O1847" s="34"/>
      <c r="P1847" s="34"/>
      <c r="Q1847" s="34"/>
      <c r="R1847" s="34"/>
    </row>
    <row r="1848" spans="13:18">
      <c r="M1848" s="34"/>
      <c r="N1848" s="34"/>
      <c r="O1848" s="34"/>
      <c r="P1848" s="34"/>
      <c r="Q1848" s="34"/>
      <c r="R1848" s="34"/>
    </row>
    <row r="1849" spans="13:18">
      <c r="M1849" s="34"/>
      <c r="N1849" s="34"/>
      <c r="O1849" s="34"/>
      <c r="P1849" s="34"/>
      <c r="Q1849" s="34"/>
      <c r="R1849" s="34"/>
    </row>
    <row r="1850" spans="13:18">
      <c r="M1850" s="34"/>
      <c r="N1850" s="34"/>
      <c r="O1850" s="34"/>
      <c r="P1850" s="34"/>
      <c r="Q1850" s="34"/>
      <c r="R1850" s="34"/>
    </row>
    <row r="1851" spans="13:18">
      <c r="M1851" s="34"/>
      <c r="N1851" s="34"/>
      <c r="O1851" s="34"/>
      <c r="P1851" s="34"/>
      <c r="Q1851" s="34"/>
      <c r="R1851" s="34"/>
    </row>
    <row r="1852" spans="13:18">
      <c r="M1852" s="34"/>
      <c r="N1852" s="34"/>
      <c r="O1852" s="34"/>
      <c r="P1852" s="34"/>
      <c r="Q1852" s="34"/>
      <c r="R1852" s="34"/>
    </row>
    <row r="1853" spans="13:18">
      <c r="M1853" s="34"/>
      <c r="N1853" s="34"/>
      <c r="O1853" s="34"/>
      <c r="P1853" s="34"/>
      <c r="Q1853" s="34"/>
      <c r="R1853" s="34"/>
    </row>
    <row r="1854" spans="13:18">
      <c r="M1854" s="34"/>
      <c r="N1854" s="34"/>
      <c r="O1854" s="34"/>
      <c r="P1854" s="34"/>
      <c r="Q1854" s="34"/>
      <c r="R1854" s="34"/>
    </row>
    <row r="1855" spans="13:18">
      <c r="M1855" s="34"/>
      <c r="N1855" s="34"/>
      <c r="O1855" s="34"/>
      <c r="P1855" s="34"/>
      <c r="Q1855" s="34"/>
      <c r="R1855" s="34"/>
    </row>
    <row r="1856" spans="13:18">
      <c r="M1856" s="34"/>
      <c r="N1856" s="34"/>
      <c r="O1856" s="34"/>
      <c r="P1856" s="34"/>
      <c r="Q1856" s="34"/>
      <c r="R1856" s="34"/>
    </row>
    <row r="1857" spans="13:18">
      <c r="M1857" s="34"/>
      <c r="N1857" s="34"/>
      <c r="O1857" s="34"/>
      <c r="P1857" s="34"/>
      <c r="Q1857" s="34"/>
      <c r="R1857" s="34"/>
    </row>
    <row r="1858" spans="13:18">
      <c r="M1858" s="34"/>
      <c r="N1858" s="34"/>
      <c r="O1858" s="34"/>
      <c r="P1858" s="34"/>
      <c r="Q1858" s="34"/>
      <c r="R1858" s="34"/>
    </row>
    <row r="1859" spans="13:18">
      <c r="M1859" s="34"/>
      <c r="N1859" s="34"/>
      <c r="O1859" s="34"/>
      <c r="P1859" s="34"/>
      <c r="Q1859" s="34"/>
      <c r="R1859" s="34"/>
    </row>
    <row r="1860" spans="13:18">
      <c r="M1860" s="34"/>
      <c r="N1860" s="34"/>
      <c r="O1860" s="34"/>
      <c r="P1860" s="34"/>
      <c r="Q1860" s="34"/>
      <c r="R1860" s="34"/>
    </row>
    <row r="1861" spans="13:18">
      <c r="M1861" s="34"/>
      <c r="N1861" s="34"/>
      <c r="O1861" s="34"/>
      <c r="P1861" s="34"/>
      <c r="Q1861" s="34"/>
      <c r="R1861" s="34"/>
    </row>
    <row r="1862" spans="13:18">
      <c r="M1862" s="34"/>
      <c r="N1862" s="34"/>
      <c r="O1862" s="34"/>
      <c r="P1862" s="34"/>
      <c r="Q1862" s="34"/>
      <c r="R1862" s="34"/>
    </row>
    <row r="1863" spans="13:18">
      <c r="M1863" s="34"/>
      <c r="N1863" s="34"/>
      <c r="O1863" s="34"/>
      <c r="P1863" s="34"/>
      <c r="Q1863" s="34"/>
      <c r="R1863" s="34"/>
    </row>
    <row r="1864" spans="13:18">
      <c r="M1864" s="34"/>
      <c r="N1864" s="34"/>
      <c r="O1864" s="34"/>
      <c r="P1864" s="34"/>
      <c r="Q1864" s="34"/>
      <c r="R1864" s="34"/>
    </row>
    <row r="1865" spans="13:18">
      <c r="M1865" s="34"/>
      <c r="N1865" s="34"/>
      <c r="O1865" s="34"/>
      <c r="P1865" s="34"/>
      <c r="Q1865" s="34"/>
      <c r="R1865" s="34"/>
    </row>
    <row r="1866" spans="13:18">
      <c r="M1866" s="34"/>
      <c r="N1866" s="34"/>
      <c r="O1866" s="34"/>
      <c r="P1866" s="34"/>
      <c r="Q1866" s="34"/>
      <c r="R1866" s="34"/>
    </row>
    <row r="1867" spans="13:18">
      <c r="M1867" s="34"/>
      <c r="N1867" s="34"/>
      <c r="O1867" s="34"/>
      <c r="P1867" s="34"/>
      <c r="Q1867" s="34"/>
      <c r="R1867" s="34"/>
    </row>
    <row r="1868" spans="13:18">
      <c r="M1868" s="34"/>
      <c r="N1868" s="34"/>
      <c r="O1868" s="34"/>
      <c r="P1868" s="34"/>
      <c r="Q1868" s="34"/>
      <c r="R1868" s="34"/>
    </row>
    <row r="1869" spans="13:18">
      <c r="M1869" s="34"/>
      <c r="N1869" s="34"/>
      <c r="O1869" s="34"/>
      <c r="P1869" s="34"/>
      <c r="Q1869" s="34"/>
      <c r="R1869" s="34"/>
    </row>
    <row r="1870" spans="13:18">
      <c r="M1870" s="34"/>
      <c r="N1870" s="34"/>
      <c r="O1870" s="34"/>
      <c r="P1870" s="34"/>
      <c r="Q1870" s="34"/>
      <c r="R1870" s="34"/>
    </row>
    <row r="1871" spans="13:18">
      <c r="M1871" s="34"/>
      <c r="N1871" s="34"/>
      <c r="O1871" s="34"/>
      <c r="P1871" s="34"/>
      <c r="Q1871" s="34"/>
      <c r="R1871" s="34"/>
    </row>
    <row r="1872" spans="13:18">
      <c r="M1872" s="34"/>
      <c r="N1872" s="34"/>
      <c r="O1872" s="34"/>
      <c r="P1872" s="34"/>
      <c r="Q1872" s="34"/>
      <c r="R1872" s="34"/>
    </row>
    <row r="1873" spans="13:18">
      <c r="M1873" s="34"/>
      <c r="N1873" s="34"/>
      <c r="O1873" s="34"/>
      <c r="P1873" s="34"/>
      <c r="Q1873" s="34"/>
      <c r="R1873" s="34"/>
    </row>
    <row r="1874" spans="13:18">
      <c r="M1874" s="34"/>
      <c r="N1874" s="34"/>
      <c r="O1874" s="34"/>
      <c r="P1874" s="34"/>
      <c r="Q1874" s="34"/>
      <c r="R1874" s="34"/>
    </row>
    <row r="1875" spans="13:18">
      <c r="M1875" s="34"/>
      <c r="N1875" s="34"/>
      <c r="O1875" s="34"/>
      <c r="P1875" s="34"/>
      <c r="Q1875" s="34"/>
      <c r="R1875" s="34"/>
    </row>
    <row r="1876" spans="13:18">
      <c r="M1876" s="34"/>
      <c r="N1876" s="34"/>
      <c r="O1876" s="34"/>
      <c r="P1876" s="34"/>
      <c r="Q1876" s="34"/>
      <c r="R1876" s="34"/>
    </row>
    <row r="1877" spans="13:18">
      <c r="M1877" s="34"/>
      <c r="N1877" s="34"/>
      <c r="O1877" s="34"/>
      <c r="P1877" s="34"/>
      <c r="Q1877" s="34"/>
      <c r="R1877" s="34"/>
    </row>
    <row r="1878" spans="13:18">
      <c r="M1878" s="34"/>
      <c r="N1878" s="34"/>
      <c r="O1878" s="34"/>
      <c r="P1878" s="34"/>
      <c r="Q1878" s="34"/>
      <c r="R1878" s="34"/>
    </row>
    <row r="1879" spans="13:18">
      <c r="M1879" s="34"/>
      <c r="N1879" s="34"/>
      <c r="O1879" s="34"/>
      <c r="P1879" s="34"/>
      <c r="Q1879" s="34"/>
      <c r="R1879" s="34"/>
    </row>
    <row r="1880" spans="13:18">
      <c r="M1880" s="34"/>
      <c r="N1880" s="34"/>
      <c r="O1880" s="34"/>
      <c r="P1880" s="34"/>
      <c r="Q1880" s="34"/>
      <c r="R1880" s="34"/>
    </row>
    <row r="1881" spans="13:18">
      <c r="M1881" s="34"/>
      <c r="N1881" s="34"/>
      <c r="O1881" s="34"/>
      <c r="P1881" s="34"/>
      <c r="Q1881" s="34"/>
      <c r="R1881" s="34"/>
    </row>
    <row r="1882" spans="13:18">
      <c r="M1882" s="34"/>
      <c r="N1882" s="34"/>
      <c r="O1882" s="34"/>
      <c r="P1882" s="34"/>
      <c r="Q1882" s="34"/>
      <c r="R1882" s="34"/>
    </row>
    <row r="1883" spans="13:18">
      <c r="M1883" s="34"/>
      <c r="N1883" s="34"/>
      <c r="O1883" s="34"/>
      <c r="P1883" s="34"/>
      <c r="Q1883" s="34"/>
      <c r="R1883" s="34"/>
    </row>
    <row r="1884" spans="13:18">
      <c r="M1884" s="34"/>
      <c r="N1884" s="34"/>
      <c r="O1884" s="34"/>
      <c r="P1884" s="34"/>
      <c r="Q1884" s="34"/>
      <c r="R1884" s="34"/>
    </row>
    <row r="1885" spans="13:18">
      <c r="M1885" s="34"/>
      <c r="N1885" s="34"/>
      <c r="O1885" s="34"/>
      <c r="P1885" s="34"/>
      <c r="Q1885" s="34"/>
      <c r="R1885" s="34"/>
    </row>
    <row r="1886" spans="13:18">
      <c r="M1886" s="34"/>
      <c r="N1886" s="34"/>
      <c r="O1886" s="34"/>
      <c r="P1886" s="34"/>
      <c r="Q1886" s="34"/>
      <c r="R1886" s="34"/>
    </row>
    <row r="1887" spans="13:18">
      <c r="M1887" s="34"/>
      <c r="N1887" s="34"/>
      <c r="O1887" s="34"/>
      <c r="P1887" s="34"/>
      <c r="Q1887" s="34"/>
      <c r="R1887" s="34"/>
    </row>
    <row r="1888" spans="13:18">
      <c r="M1888" s="34"/>
      <c r="N1888" s="34"/>
      <c r="O1888" s="34"/>
      <c r="P1888" s="34"/>
      <c r="Q1888" s="34"/>
      <c r="R1888" s="34"/>
    </row>
    <row r="1889" spans="13:18">
      <c r="M1889" s="34"/>
      <c r="N1889" s="34"/>
      <c r="O1889" s="34"/>
      <c r="P1889" s="34"/>
      <c r="Q1889" s="34"/>
      <c r="R1889" s="34"/>
    </row>
    <row r="1890" spans="13:18">
      <c r="M1890" s="34"/>
      <c r="N1890" s="34"/>
      <c r="O1890" s="34"/>
      <c r="P1890" s="34"/>
      <c r="Q1890" s="34"/>
      <c r="R1890" s="34"/>
    </row>
    <row r="1891" spans="13:18">
      <c r="M1891" s="34"/>
      <c r="N1891" s="34"/>
      <c r="O1891" s="34"/>
      <c r="P1891" s="34"/>
      <c r="Q1891" s="34"/>
      <c r="R1891" s="34"/>
    </row>
    <row r="1892" spans="13:18">
      <c r="M1892" s="34"/>
      <c r="N1892" s="34"/>
      <c r="O1892" s="34"/>
      <c r="P1892" s="34"/>
      <c r="Q1892" s="34"/>
      <c r="R1892" s="34"/>
    </row>
    <row r="1893" spans="13:18">
      <c r="M1893" s="34"/>
      <c r="N1893" s="34"/>
      <c r="O1893" s="34"/>
      <c r="P1893" s="34"/>
      <c r="Q1893" s="34"/>
      <c r="R1893" s="34"/>
    </row>
    <row r="1894" spans="13:18">
      <c r="M1894" s="34"/>
      <c r="N1894" s="34"/>
      <c r="O1894" s="34"/>
      <c r="P1894" s="34"/>
      <c r="Q1894" s="34"/>
      <c r="R1894" s="34"/>
    </row>
    <row r="1895" spans="13:18">
      <c r="M1895" s="34"/>
      <c r="N1895" s="34"/>
      <c r="O1895" s="34"/>
      <c r="P1895" s="34"/>
      <c r="Q1895" s="34"/>
      <c r="R1895" s="34"/>
    </row>
    <row r="1896" spans="13:18">
      <c r="M1896" s="34"/>
      <c r="N1896" s="34"/>
      <c r="O1896" s="34"/>
      <c r="P1896" s="34"/>
      <c r="Q1896" s="34"/>
      <c r="R1896" s="34"/>
    </row>
    <row r="1897" spans="13:18">
      <c r="M1897" s="34"/>
      <c r="N1897" s="34"/>
      <c r="O1897" s="34"/>
      <c r="P1897" s="34"/>
      <c r="Q1897" s="34"/>
      <c r="R1897" s="34"/>
    </row>
    <row r="1898" spans="13:18">
      <c r="M1898" s="34"/>
      <c r="N1898" s="34"/>
      <c r="O1898" s="34"/>
      <c r="P1898" s="34"/>
      <c r="Q1898" s="34"/>
      <c r="R1898" s="34"/>
    </row>
    <row r="1899" spans="13:18">
      <c r="M1899" s="34"/>
      <c r="N1899" s="34"/>
      <c r="O1899" s="34"/>
      <c r="P1899" s="34"/>
      <c r="Q1899" s="34"/>
      <c r="R1899" s="34"/>
    </row>
    <row r="1900" spans="13:18">
      <c r="M1900" s="34"/>
      <c r="N1900" s="34"/>
      <c r="O1900" s="34"/>
      <c r="P1900" s="34"/>
      <c r="Q1900" s="34"/>
      <c r="R1900" s="34"/>
    </row>
    <row r="1901" spans="13:18">
      <c r="M1901" s="34"/>
      <c r="N1901" s="34"/>
      <c r="O1901" s="34"/>
      <c r="P1901" s="34"/>
      <c r="Q1901" s="34"/>
      <c r="R1901" s="34"/>
    </row>
    <row r="1902" spans="13:18">
      <c r="M1902" s="34"/>
      <c r="N1902" s="34"/>
      <c r="O1902" s="34"/>
      <c r="P1902" s="34"/>
      <c r="Q1902" s="34"/>
      <c r="R1902" s="34"/>
    </row>
    <row r="1903" spans="13:18">
      <c r="M1903" s="34"/>
      <c r="N1903" s="34"/>
      <c r="O1903" s="34"/>
      <c r="P1903" s="34"/>
      <c r="Q1903" s="34"/>
      <c r="R1903" s="34"/>
    </row>
    <row r="1904" spans="13:18">
      <c r="M1904" s="34"/>
      <c r="N1904" s="34"/>
      <c r="O1904" s="34"/>
      <c r="P1904" s="34"/>
      <c r="Q1904" s="34"/>
      <c r="R1904" s="34"/>
    </row>
    <row r="1905" spans="13:18">
      <c r="M1905" s="34"/>
      <c r="N1905" s="34"/>
      <c r="O1905" s="34"/>
      <c r="P1905" s="34"/>
      <c r="Q1905" s="34"/>
      <c r="R1905" s="34"/>
    </row>
    <row r="1906" spans="13:18">
      <c r="M1906" s="34"/>
      <c r="N1906" s="34"/>
      <c r="O1906" s="34"/>
      <c r="P1906" s="34"/>
      <c r="Q1906" s="34"/>
      <c r="R1906" s="34"/>
    </row>
    <row r="1907" spans="13:18">
      <c r="M1907" s="34"/>
      <c r="N1907" s="34"/>
      <c r="O1907" s="34"/>
      <c r="P1907" s="34"/>
      <c r="Q1907" s="34"/>
      <c r="R1907" s="34"/>
    </row>
    <row r="1908" spans="13:18">
      <c r="M1908" s="34"/>
      <c r="N1908" s="34"/>
      <c r="O1908" s="34"/>
      <c r="P1908" s="34"/>
      <c r="Q1908" s="34"/>
      <c r="R1908" s="34"/>
    </row>
    <row r="1909" spans="13:18">
      <c r="M1909" s="34"/>
      <c r="N1909" s="34"/>
      <c r="O1909" s="34"/>
      <c r="P1909" s="34"/>
      <c r="Q1909" s="34"/>
      <c r="R1909" s="34"/>
    </row>
    <row r="1910" spans="13:18">
      <c r="M1910" s="34"/>
      <c r="N1910" s="34"/>
      <c r="O1910" s="34"/>
      <c r="P1910" s="34"/>
      <c r="Q1910" s="34"/>
      <c r="R1910" s="34"/>
    </row>
    <row r="1911" spans="13:18">
      <c r="M1911" s="34"/>
      <c r="N1911" s="34"/>
      <c r="O1911" s="34"/>
      <c r="P1911" s="34"/>
      <c r="Q1911" s="34"/>
      <c r="R1911" s="34"/>
    </row>
    <row r="1912" spans="13:18">
      <c r="M1912" s="34"/>
      <c r="N1912" s="34"/>
      <c r="O1912" s="34"/>
      <c r="P1912" s="34"/>
      <c r="Q1912" s="34"/>
      <c r="R1912" s="34"/>
    </row>
    <row r="1913" spans="13:18">
      <c r="M1913" s="34"/>
      <c r="N1913" s="34"/>
      <c r="O1913" s="34"/>
      <c r="P1913" s="34"/>
      <c r="Q1913" s="34"/>
      <c r="R1913" s="34"/>
    </row>
    <row r="1914" spans="13:18">
      <c r="M1914" s="34"/>
      <c r="N1914" s="34"/>
      <c r="O1914" s="34"/>
      <c r="P1914" s="34"/>
      <c r="Q1914" s="34"/>
      <c r="R1914" s="34"/>
    </row>
    <row r="1915" spans="13:18">
      <c r="M1915" s="34"/>
      <c r="N1915" s="34"/>
      <c r="O1915" s="34"/>
      <c r="P1915" s="34"/>
      <c r="Q1915" s="34"/>
      <c r="R1915" s="34"/>
    </row>
    <row r="1916" spans="13:18">
      <c r="M1916" s="34"/>
      <c r="N1916" s="34"/>
      <c r="O1916" s="34"/>
      <c r="P1916" s="34"/>
      <c r="Q1916" s="34"/>
      <c r="R1916" s="34"/>
    </row>
    <row r="1917" spans="13:18">
      <c r="M1917" s="34"/>
      <c r="N1917" s="34"/>
      <c r="O1917" s="34"/>
      <c r="P1917" s="34"/>
      <c r="Q1917" s="34"/>
      <c r="R1917" s="34"/>
    </row>
    <row r="1918" spans="13:18">
      <c r="M1918" s="34"/>
      <c r="N1918" s="34"/>
      <c r="O1918" s="34"/>
      <c r="P1918" s="34"/>
      <c r="Q1918" s="34"/>
      <c r="R1918" s="34"/>
    </row>
    <row r="1919" spans="13:18">
      <c r="M1919" s="34"/>
      <c r="N1919" s="34"/>
      <c r="O1919" s="34"/>
      <c r="P1919" s="34"/>
      <c r="Q1919" s="34"/>
      <c r="R1919" s="34"/>
    </row>
    <row r="1920" spans="13:18">
      <c r="M1920" s="34"/>
      <c r="N1920" s="34"/>
      <c r="O1920" s="34"/>
      <c r="P1920" s="34"/>
      <c r="Q1920" s="34"/>
      <c r="R1920" s="34"/>
    </row>
    <row r="1921" spans="13:18">
      <c r="M1921" s="34"/>
      <c r="N1921" s="34"/>
      <c r="O1921" s="34"/>
      <c r="P1921" s="34"/>
      <c r="Q1921" s="34"/>
      <c r="R1921" s="34"/>
    </row>
    <row r="1922" spans="13:18">
      <c r="M1922" s="34"/>
      <c r="N1922" s="34"/>
      <c r="O1922" s="34"/>
      <c r="P1922" s="34"/>
      <c r="Q1922" s="34"/>
      <c r="R1922" s="34"/>
    </row>
    <row r="1923" spans="13:18">
      <c r="M1923" s="34"/>
      <c r="N1923" s="34"/>
      <c r="O1923" s="34"/>
      <c r="P1923" s="34"/>
      <c r="Q1923" s="34"/>
      <c r="R1923" s="34"/>
    </row>
    <row r="1924" spans="13:18">
      <c r="M1924" s="34"/>
      <c r="N1924" s="34"/>
      <c r="O1924" s="34"/>
      <c r="P1924" s="34"/>
      <c r="Q1924" s="34"/>
      <c r="R1924" s="34"/>
    </row>
    <row r="1925" spans="13:18">
      <c r="M1925" s="34"/>
      <c r="N1925" s="34"/>
      <c r="O1925" s="34"/>
      <c r="P1925" s="34"/>
      <c r="Q1925" s="34"/>
      <c r="R1925" s="34"/>
    </row>
    <row r="1926" spans="13:18">
      <c r="M1926" s="34"/>
      <c r="N1926" s="34"/>
      <c r="O1926" s="34"/>
      <c r="P1926" s="34"/>
      <c r="Q1926" s="34"/>
      <c r="R1926" s="34"/>
    </row>
    <row r="1927" spans="13:18">
      <c r="M1927" s="34"/>
      <c r="N1927" s="34"/>
      <c r="O1927" s="34"/>
      <c r="P1927" s="34"/>
      <c r="Q1927" s="34"/>
      <c r="R1927" s="34"/>
    </row>
    <row r="1928" spans="13:18">
      <c r="M1928" s="34"/>
      <c r="N1928" s="34"/>
      <c r="O1928" s="34"/>
      <c r="P1928" s="34"/>
      <c r="Q1928" s="34"/>
      <c r="R1928" s="34"/>
    </row>
    <row r="1929" spans="13:18">
      <c r="M1929" s="34"/>
      <c r="N1929" s="34"/>
      <c r="O1929" s="34"/>
      <c r="P1929" s="34"/>
      <c r="Q1929" s="34"/>
      <c r="R1929" s="34"/>
    </row>
    <row r="1930" spans="13:18">
      <c r="M1930" s="34"/>
      <c r="N1930" s="34"/>
      <c r="O1930" s="34"/>
      <c r="P1930" s="34"/>
      <c r="Q1930" s="34"/>
      <c r="R1930" s="34"/>
    </row>
    <row r="1931" spans="13:18">
      <c r="M1931" s="34"/>
      <c r="N1931" s="34"/>
      <c r="O1931" s="34"/>
      <c r="P1931" s="34"/>
      <c r="Q1931" s="34"/>
      <c r="R1931" s="34"/>
    </row>
    <row r="1932" spans="13:18">
      <c r="M1932" s="34"/>
      <c r="N1932" s="34"/>
      <c r="O1932" s="34"/>
      <c r="P1932" s="34"/>
      <c r="Q1932" s="34"/>
      <c r="R1932" s="34"/>
    </row>
    <row r="1933" spans="13:18">
      <c r="M1933" s="34"/>
      <c r="N1933" s="34"/>
      <c r="O1933" s="34"/>
      <c r="P1933" s="34"/>
      <c r="Q1933" s="34"/>
      <c r="R1933" s="34"/>
    </row>
    <row r="1934" spans="13:18">
      <c r="M1934" s="34"/>
      <c r="N1934" s="34"/>
      <c r="O1934" s="34"/>
      <c r="P1934" s="34"/>
      <c r="Q1934" s="34"/>
      <c r="R1934" s="34"/>
    </row>
    <row r="1935" spans="13:18">
      <c r="M1935" s="34"/>
      <c r="N1935" s="34"/>
      <c r="O1935" s="34"/>
      <c r="P1935" s="34"/>
      <c r="Q1935" s="34"/>
      <c r="R1935" s="34"/>
    </row>
    <row r="1936" spans="13:18">
      <c r="M1936" s="34"/>
      <c r="N1936" s="34"/>
      <c r="O1936" s="34"/>
      <c r="P1936" s="34"/>
      <c r="Q1936" s="34"/>
      <c r="R1936" s="34"/>
    </row>
    <row r="1937" spans="13:18">
      <c r="M1937" s="34"/>
      <c r="N1937" s="34"/>
      <c r="O1937" s="34"/>
      <c r="P1937" s="34"/>
      <c r="Q1937" s="34"/>
      <c r="R1937" s="34"/>
    </row>
    <row r="1938" spans="13:18">
      <c r="M1938" s="34"/>
      <c r="N1938" s="34"/>
      <c r="O1938" s="34"/>
      <c r="P1938" s="34"/>
      <c r="Q1938" s="34"/>
      <c r="R1938" s="34"/>
    </row>
    <row r="1939" spans="13:18">
      <c r="M1939" s="34"/>
      <c r="N1939" s="34"/>
      <c r="O1939" s="34"/>
      <c r="P1939" s="34"/>
      <c r="Q1939" s="34"/>
      <c r="R1939" s="34"/>
    </row>
    <row r="1940" spans="13:18">
      <c r="M1940" s="34"/>
      <c r="N1940" s="34"/>
      <c r="O1940" s="34"/>
      <c r="P1940" s="34"/>
      <c r="Q1940" s="34"/>
      <c r="R1940" s="34"/>
    </row>
    <row r="1941" spans="13:18">
      <c r="M1941" s="34"/>
      <c r="N1941" s="34"/>
      <c r="O1941" s="34"/>
      <c r="P1941" s="34"/>
      <c r="Q1941" s="34"/>
      <c r="R1941" s="34"/>
    </row>
    <row r="1942" spans="13:18">
      <c r="M1942" s="34"/>
      <c r="N1942" s="34"/>
      <c r="O1942" s="34"/>
      <c r="P1942" s="34"/>
      <c r="Q1942" s="34"/>
      <c r="R1942" s="34"/>
    </row>
    <row r="1943" spans="13:18">
      <c r="M1943" s="34"/>
      <c r="N1943" s="34"/>
      <c r="O1943" s="34"/>
      <c r="P1943" s="34"/>
      <c r="Q1943" s="34"/>
      <c r="R1943" s="34"/>
    </row>
    <row r="1944" spans="13:18">
      <c r="M1944" s="34"/>
      <c r="N1944" s="34"/>
      <c r="O1944" s="34"/>
      <c r="P1944" s="34"/>
      <c r="Q1944" s="34"/>
      <c r="R1944" s="34"/>
    </row>
    <row r="1945" spans="13:18">
      <c r="M1945" s="34"/>
      <c r="N1945" s="34"/>
      <c r="O1945" s="34"/>
      <c r="P1945" s="34"/>
      <c r="Q1945" s="34"/>
      <c r="R1945" s="34"/>
    </row>
    <row r="1946" spans="13:18">
      <c r="M1946" s="34"/>
      <c r="N1946" s="34"/>
      <c r="O1946" s="34"/>
      <c r="P1946" s="34"/>
      <c r="Q1946" s="34"/>
      <c r="R1946" s="34"/>
    </row>
    <row r="1947" spans="13:18">
      <c r="M1947" s="34"/>
      <c r="N1947" s="34"/>
      <c r="O1947" s="34"/>
      <c r="P1947" s="34"/>
      <c r="Q1947" s="34"/>
      <c r="R1947" s="34"/>
    </row>
    <row r="1948" spans="13:18">
      <c r="M1948" s="34"/>
      <c r="N1948" s="34"/>
      <c r="O1948" s="34"/>
      <c r="P1948" s="34"/>
      <c r="Q1948" s="34"/>
      <c r="R1948" s="34"/>
    </row>
    <row r="1949" spans="13:18">
      <c r="M1949" s="34"/>
      <c r="N1949" s="34"/>
      <c r="O1949" s="34"/>
      <c r="P1949" s="34"/>
      <c r="Q1949" s="34"/>
      <c r="R1949" s="34"/>
    </row>
    <row r="1950" spans="13:18">
      <c r="M1950" s="34"/>
      <c r="N1950" s="34"/>
      <c r="O1950" s="34"/>
      <c r="P1950" s="34"/>
      <c r="Q1950" s="34"/>
      <c r="R1950" s="34"/>
    </row>
    <row r="1951" spans="13:18">
      <c r="M1951" s="34"/>
      <c r="N1951" s="34"/>
      <c r="O1951" s="34"/>
      <c r="P1951" s="34"/>
      <c r="Q1951" s="34"/>
      <c r="R1951" s="34"/>
    </row>
    <row r="1952" spans="13:18">
      <c r="M1952" s="34"/>
      <c r="N1952" s="34"/>
      <c r="O1952" s="34"/>
      <c r="P1952" s="34"/>
      <c r="Q1952" s="34"/>
      <c r="R1952" s="34"/>
    </row>
    <row r="1953" spans="13:18">
      <c r="M1953" s="34"/>
      <c r="N1953" s="34"/>
      <c r="O1953" s="34"/>
      <c r="P1953" s="34"/>
      <c r="Q1953" s="34"/>
      <c r="R1953" s="34"/>
    </row>
    <row r="1954" spans="13:18">
      <c r="M1954" s="34"/>
      <c r="N1954" s="34"/>
      <c r="O1954" s="34"/>
      <c r="P1954" s="34"/>
      <c r="Q1954" s="34"/>
      <c r="R1954" s="34"/>
    </row>
    <row r="1955" spans="13:18">
      <c r="M1955" s="34"/>
      <c r="N1955" s="34"/>
      <c r="O1955" s="34"/>
      <c r="P1955" s="34"/>
      <c r="Q1955" s="34"/>
      <c r="R1955" s="34"/>
    </row>
    <row r="1956" spans="13:18">
      <c r="M1956" s="34"/>
      <c r="N1956" s="34"/>
      <c r="O1956" s="34"/>
      <c r="P1956" s="34"/>
      <c r="Q1956" s="34"/>
      <c r="R1956" s="34"/>
    </row>
    <row r="1957" spans="13:18">
      <c r="M1957" s="34"/>
      <c r="N1957" s="34"/>
      <c r="O1957" s="34"/>
      <c r="P1957" s="34"/>
      <c r="Q1957" s="34"/>
      <c r="R1957" s="34"/>
    </row>
    <row r="1958" spans="13:18">
      <c r="M1958" s="34"/>
      <c r="N1958" s="34"/>
      <c r="O1958" s="34"/>
      <c r="P1958" s="34"/>
      <c r="Q1958" s="34"/>
      <c r="R1958" s="34"/>
    </row>
    <row r="1959" spans="13:18">
      <c r="M1959" s="34"/>
      <c r="N1959" s="34"/>
      <c r="O1959" s="34"/>
      <c r="P1959" s="34"/>
      <c r="Q1959" s="34"/>
      <c r="R1959" s="34"/>
    </row>
    <row r="1960" spans="13:18">
      <c r="M1960" s="34"/>
      <c r="N1960" s="34"/>
      <c r="O1960" s="34"/>
      <c r="P1960" s="34"/>
      <c r="Q1960" s="34"/>
      <c r="R1960" s="34"/>
    </row>
    <row r="1961" spans="13:18">
      <c r="M1961" s="34"/>
      <c r="N1961" s="34"/>
      <c r="O1961" s="34"/>
      <c r="P1961" s="34"/>
      <c r="Q1961" s="34"/>
      <c r="R1961" s="34"/>
    </row>
    <row r="1962" spans="13:18">
      <c r="M1962" s="34"/>
      <c r="N1962" s="34"/>
      <c r="O1962" s="34"/>
      <c r="P1962" s="34"/>
      <c r="Q1962" s="34"/>
      <c r="R1962" s="34"/>
    </row>
    <row r="1963" spans="13:18">
      <c r="M1963" s="34"/>
      <c r="N1963" s="34"/>
      <c r="O1963" s="34"/>
      <c r="P1963" s="34"/>
      <c r="Q1963" s="34"/>
      <c r="R1963" s="34"/>
    </row>
    <row r="1964" spans="13:18">
      <c r="M1964" s="34"/>
      <c r="N1964" s="34"/>
      <c r="O1964" s="34"/>
      <c r="P1964" s="34"/>
      <c r="Q1964" s="34"/>
      <c r="R1964" s="34"/>
    </row>
    <row r="1965" spans="13:18">
      <c r="M1965" s="34"/>
      <c r="N1965" s="34"/>
      <c r="O1965" s="34"/>
      <c r="P1965" s="34"/>
      <c r="Q1965" s="34"/>
      <c r="R1965" s="34"/>
    </row>
    <row r="1966" spans="13:18">
      <c r="M1966" s="34"/>
      <c r="N1966" s="34"/>
      <c r="O1966" s="34"/>
      <c r="P1966" s="34"/>
      <c r="Q1966" s="34"/>
      <c r="R1966" s="34"/>
    </row>
    <row r="1967" spans="13:18">
      <c r="M1967" s="34"/>
      <c r="N1967" s="34"/>
      <c r="O1967" s="34"/>
      <c r="P1967" s="34"/>
      <c r="Q1967" s="34"/>
      <c r="R1967" s="34"/>
    </row>
    <row r="1968" spans="13:18">
      <c r="M1968" s="34"/>
      <c r="N1968" s="34"/>
      <c r="O1968" s="34"/>
      <c r="P1968" s="34"/>
      <c r="Q1968" s="34"/>
      <c r="R1968" s="34"/>
    </row>
    <row r="1969" spans="13:18">
      <c r="M1969" s="34"/>
      <c r="N1969" s="34"/>
      <c r="O1969" s="34"/>
      <c r="P1969" s="34"/>
      <c r="Q1969" s="34"/>
      <c r="R1969" s="34"/>
    </row>
    <row r="1970" spans="13:18">
      <c r="M1970" s="34"/>
      <c r="N1970" s="34"/>
      <c r="O1970" s="34"/>
      <c r="P1970" s="34"/>
      <c r="Q1970" s="34"/>
      <c r="R1970" s="34"/>
    </row>
    <row r="1971" spans="13:18">
      <c r="M1971" s="34"/>
      <c r="N1971" s="34"/>
      <c r="O1971" s="34"/>
      <c r="P1971" s="34"/>
      <c r="Q1971" s="34"/>
      <c r="R1971" s="34"/>
    </row>
    <row r="1972" spans="13:18">
      <c r="M1972" s="34"/>
      <c r="N1972" s="34"/>
      <c r="O1972" s="34"/>
      <c r="P1972" s="34"/>
      <c r="Q1972" s="34"/>
      <c r="R1972" s="34"/>
    </row>
    <row r="1973" spans="13:18">
      <c r="M1973" s="34"/>
      <c r="N1973" s="34"/>
      <c r="O1973" s="34"/>
      <c r="P1973" s="34"/>
      <c r="Q1973" s="34"/>
      <c r="R1973" s="34"/>
    </row>
    <row r="1974" spans="13:18">
      <c r="M1974" s="34"/>
      <c r="N1974" s="34"/>
      <c r="O1974" s="34"/>
      <c r="P1974" s="34"/>
      <c r="Q1974" s="34"/>
      <c r="R1974" s="34"/>
    </row>
    <row r="1975" spans="13:18">
      <c r="M1975" s="34"/>
      <c r="N1975" s="34"/>
      <c r="O1975" s="34"/>
      <c r="P1975" s="34"/>
      <c r="Q1975" s="34"/>
      <c r="R1975" s="34"/>
    </row>
    <row r="1976" spans="13:18">
      <c r="M1976" s="34"/>
      <c r="N1976" s="34"/>
      <c r="O1976" s="34"/>
      <c r="P1976" s="34"/>
      <c r="Q1976" s="34"/>
      <c r="R1976" s="34"/>
    </row>
    <row r="1977" spans="13:18">
      <c r="M1977" s="34"/>
      <c r="N1977" s="34"/>
      <c r="O1977" s="34"/>
      <c r="P1977" s="34"/>
      <c r="Q1977" s="34"/>
      <c r="R1977" s="34"/>
    </row>
    <row r="1978" spans="13:18">
      <c r="M1978" s="34"/>
      <c r="N1978" s="34"/>
      <c r="O1978" s="34"/>
      <c r="P1978" s="34"/>
      <c r="Q1978" s="34"/>
      <c r="R1978" s="34"/>
    </row>
    <row r="1979" spans="13:18">
      <c r="M1979" s="34"/>
      <c r="N1979" s="34"/>
      <c r="O1979" s="34"/>
      <c r="P1979" s="34"/>
      <c r="Q1979" s="34"/>
      <c r="R1979" s="34"/>
    </row>
    <row r="1980" spans="13:18">
      <c r="M1980" s="34"/>
      <c r="N1980" s="34"/>
      <c r="O1980" s="34"/>
      <c r="P1980" s="34"/>
      <c r="Q1980" s="34"/>
      <c r="R1980" s="34"/>
    </row>
    <row r="1981" spans="13:18">
      <c r="M1981" s="34"/>
      <c r="N1981" s="34"/>
      <c r="O1981" s="34"/>
      <c r="P1981" s="34"/>
      <c r="Q1981" s="34"/>
      <c r="R1981" s="34"/>
    </row>
    <row r="1982" spans="13:18">
      <c r="M1982" s="34"/>
      <c r="N1982" s="34"/>
      <c r="O1982" s="34"/>
      <c r="P1982" s="34"/>
      <c r="Q1982" s="34"/>
      <c r="R1982" s="34"/>
    </row>
    <row r="1983" spans="13:18">
      <c r="M1983" s="34"/>
      <c r="N1983" s="34"/>
      <c r="O1983" s="34"/>
      <c r="P1983" s="34"/>
      <c r="Q1983" s="34"/>
      <c r="R1983" s="34"/>
    </row>
    <row r="1984" spans="13:18">
      <c r="M1984" s="34"/>
      <c r="N1984" s="34"/>
      <c r="O1984" s="34"/>
      <c r="P1984" s="34"/>
      <c r="Q1984" s="34"/>
      <c r="R1984" s="34"/>
    </row>
    <row r="1985" spans="13:18">
      <c r="M1985" s="34"/>
      <c r="N1985" s="34"/>
      <c r="O1985" s="34"/>
      <c r="P1985" s="34"/>
      <c r="Q1985" s="34"/>
      <c r="R1985" s="34"/>
    </row>
    <row r="1986" spans="13:18">
      <c r="M1986" s="34"/>
      <c r="N1986" s="34"/>
      <c r="O1986" s="34"/>
      <c r="P1986" s="34"/>
      <c r="Q1986" s="34"/>
      <c r="R1986" s="34"/>
    </row>
    <row r="1987" spans="13:18">
      <c r="M1987" s="34"/>
      <c r="N1987" s="34"/>
      <c r="O1987" s="34"/>
      <c r="P1987" s="34"/>
      <c r="Q1987" s="34"/>
      <c r="R1987" s="34"/>
    </row>
    <row r="1988" spans="13:18">
      <c r="M1988" s="34"/>
      <c r="N1988" s="34"/>
      <c r="O1988" s="34"/>
      <c r="P1988" s="34"/>
      <c r="Q1988" s="34"/>
      <c r="R1988" s="34"/>
    </row>
    <row r="1989" spans="13:18">
      <c r="M1989" s="34"/>
      <c r="N1989" s="34"/>
      <c r="O1989" s="34"/>
      <c r="P1989" s="34"/>
      <c r="Q1989" s="34"/>
      <c r="R1989" s="34"/>
    </row>
    <row r="1990" spans="13:18">
      <c r="M1990" s="34"/>
      <c r="N1990" s="34"/>
      <c r="O1990" s="34"/>
      <c r="P1990" s="34"/>
      <c r="Q1990" s="34"/>
      <c r="R1990" s="34"/>
    </row>
    <row r="1991" spans="13:18">
      <c r="M1991" s="34"/>
      <c r="N1991" s="34"/>
      <c r="O1991" s="34"/>
      <c r="P1991" s="34"/>
      <c r="Q1991" s="34"/>
      <c r="R1991" s="34"/>
    </row>
    <row r="1992" spans="13:18">
      <c r="M1992" s="34"/>
      <c r="N1992" s="34"/>
      <c r="O1992" s="34"/>
      <c r="P1992" s="34"/>
      <c r="Q1992" s="34"/>
      <c r="R1992" s="34"/>
    </row>
    <row r="1993" spans="13:18">
      <c r="M1993" s="34"/>
      <c r="N1993" s="34"/>
      <c r="O1993" s="34"/>
      <c r="P1993" s="34"/>
      <c r="Q1993" s="34"/>
      <c r="R1993" s="34"/>
    </row>
    <row r="1994" spans="13:18">
      <c r="M1994" s="34"/>
      <c r="N1994" s="34"/>
      <c r="O1994" s="34"/>
      <c r="P1994" s="34"/>
      <c r="Q1994" s="34"/>
      <c r="R1994" s="34"/>
    </row>
    <row r="1995" spans="13:18">
      <c r="M1995" s="34"/>
      <c r="N1995" s="34"/>
      <c r="O1995" s="34"/>
      <c r="P1995" s="34"/>
      <c r="Q1995" s="34"/>
      <c r="R1995" s="34"/>
    </row>
    <row r="1996" spans="13:18">
      <c r="M1996" s="34"/>
      <c r="N1996" s="34"/>
      <c r="O1996" s="34"/>
      <c r="P1996" s="34"/>
      <c r="Q1996" s="34"/>
      <c r="R1996" s="34"/>
    </row>
    <row r="1997" spans="13:18">
      <c r="M1997" s="34"/>
      <c r="N1997" s="34"/>
      <c r="O1997" s="34"/>
      <c r="P1997" s="34"/>
      <c r="Q1997" s="34"/>
      <c r="R1997" s="34"/>
    </row>
    <row r="1998" spans="13:18">
      <c r="M1998" s="34"/>
      <c r="N1998" s="34"/>
      <c r="O1998" s="34"/>
      <c r="P1998" s="34"/>
      <c r="Q1998" s="34"/>
      <c r="R1998" s="34"/>
    </row>
    <row r="1999" spans="13:18">
      <c r="M1999" s="34"/>
      <c r="N1999" s="34"/>
      <c r="O1999" s="34"/>
      <c r="P1999" s="34"/>
      <c r="Q1999" s="34"/>
      <c r="R1999" s="34"/>
    </row>
    <row r="2000" spans="13:18">
      <c r="M2000" s="34"/>
      <c r="N2000" s="34"/>
      <c r="O2000" s="34"/>
      <c r="P2000" s="34"/>
      <c r="Q2000" s="34"/>
      <c r="R2000" s="34"/>
    </row>
    <row r="2001" spans="13:18">
      <c r="M2001" s="34"/>
      <c r="N2001" s="34"/>
      <c r="O2001" s="34"/>
      <c r="P2001" s="34"/>
      <c r="Q2001" s="34"/>
      <c r="R2001" s="34"/>
    </row>
    <row r="2002" spans="13:18">
      <c r="M2002" s="34"/>
      <c r="N2002" s="34"/>
      <c r="O2002" s="34"/>
      <c r="P2002" s="34"/>
      <c r="Q2002" s="34"/>
      <c r="R2002" s="34"/>
    </row>
    <row r="2003" spans="13:18">
      <c r="M2003" s="34"/>
      <c r="N2003" s="34"/>
      <c r="O2003" s="34"/>
      <c r="P2003" s="34"/>
      <c r="Q2003" s="34"/>
      <c r="R2003" s="34"/>
    </row>
    <row r="2004" spans="13:18">
      <c r="M2004" s="34"/>
      <c r="N2004" s="34"/>
      <c r="O2004" s="34"/>
      <c r="P2004" s="34"/>
      <c r="Q2004" s="34"/>
      <c r="R2004" s="34"/>
    </row>
    <row r="2005" spans="13:18">
      <c r="M2005" s="34"/>
      <c r="N2005" s="34"/>
      <c r="O2005" s="34"/>
      <c r="P2005" s="34"/>
      <c r="Q2005" s="34"/>
      <c r="R2005" s="34"/>
    </row>
    <row r="2006" spans="13:18">
      <c r="M2006" s="34"/>
      <c r="N2006" s="34"/>
      <c r="O2006" s="34"/>
      <c r="P2006" s="34"/>
      <c r="Q2006" s="34"/>
      <c r="R2006" s="34"/>
    </row>
    <row r="2007" spans="13:18">
      <c r="M2007" s="34"/>
      <c r="N2007" s="34"/>
      <c r="O2007" s="34"/>
      <c r="P2007" s="34"/>
      <c r="Q2007" s="34"/>
      <c r="R2007" s="34"/>
    </row>
    <row r="2008" spans="13:18">
      <c r="M2008" s="34"/>
      <c r="N2008" s="34"/>
      <c r="O2008" s="34"/>
      <c r="P2008" s="34"/>
      <c r="Q2008" s="34"/>
      <c r="R2008" s="34"/>
    </row>
    <row r="2009" spans="13:18">
      <c r="M2009" s="34"/>
      <c r="N2009" s="34"/>
      <c r="O2009" s="34"/>
      <c r="P2009" s="34"/>
      <c r="Q2009" s="34"/>
      <c r="R2009" s="34"/>
    </row>
    <row r="2010" spans="13:18">
      <c r="M2010" s="34"/>
      <c r="N2010" s="34"/>
      <c r="O2010" s="34"/>
      <c r="P2010" s="34"/>
      <c r="Q2010" s="34"/>
      <c r="R2010" s="34"/>
    </row>
    <row r="2011" spans="13:18">
      <c r="M2011" s="34"/>
      <c r="N2011" s="34"/>
      <c r="O2011" s="34"/>
      <c r="P2011" s="34"/>
      <c r="Q2011" s="34"/>
      <c r="R2011" s="34"/>
    </row>
    <row r="2012" spans="13:18">
      <c r="M2012" s="34"/>
      <c r="N2012" s="34"/>
      <c r="O2012" s="34"/>
      <c r="P2012" s="34"/>
      <c r="Q2012" s="34"/>
      <c r="R2012" s="34"/>
    </row>
    <row r="2013" spans="13:18">
      <c r="M2013" s="34"/>
      <c r="N2013" s="34"/>
      <c r="O2013" s="34"/>
      <c r="P2013" s="34"/>
      <c r="Q2013" s="34"/>
      <c r="R2013" s="34"/>
    </row>
    <row r="2014" spans="13:18">
      <c r="M2014" s="34"/>
      <c r="N2014" s="34"/>
      <c r="O2014" s="34"/>
      <c r="P2014" s="34"/>
      <c r="Q2014" s="34"/>
      <c r="R2014" s="34"/>
    </row>
    <row r="2015" spans="13:18">
      <c r="M2015" s="34"/>
      <c r="N2015" s="34"/>
      <c r="O2015" s="34"/>
      <c r="P2015" s="34"/>
      <c r="Q2015" s="34"/>
      <c r="R2015" s="34"/>
    </row>
    <row r="2016" spans="13:18">
      <c r="M2016" s="34"/>
      <c r="N2016" s="34"/>
      <c r="O2016" s="34"/>
      <c r="P2016" s="34"/>
      <c r="Q2016" s="34"/>
      <c r="R2016" s="34"/>
    </row>
    <row r="2017" spans="13:18">
      <c r="M2017" s="34"/>
      <c r="N2017" s="34"/>
      <c r="O2017" s="34"/>
      <c r="P2017" s="34"/>
      <c r="Q2017" s="34"/>
      <c r="R2017" s="34"/>
    </row>
    <row r="2018" spans="13:18">
      <c r="M2018" s="34"/>
      <c r="N2018" s="34"/>
      <c r="O2018" s="34"/>
      <c r="P2018" s="34"/>
      <c r="Q2018" s="34"/>
      <c r="R2018" s="34"/>
    </row>
    <row r="2019" spans="13:18">
      <c r="M2019" s="34"/>
      <c r="N2019" s="34"/>
      <c r="O2019" s="34"/>
      <c r="P2019" s="34"/>
      <c r="Q2019" s="34"/>
      <c r="R2019" s="34"/>
    </row>
    <row r="2020" spans="13:18">
      <c r="M2020" s="34"/>
      <c r="N2020" s="34"/>
      <c r="O2020" s="34"/>
      <c r="P2020" s="34"/>
      <c r="Q2020" s="34"/>
      <c r="R2020" s="34"/>
    </row>
    <row r="2021" spans="13:18">
      <c r="M2021" s="34"/>
      <c r="N2021" s="34"/>
      <c r="O2021" s="34"/>
      <c r="P2021" s="34"/>
      <c r="Q2021" s="34"/>
      <c r="R2021" s="34"/>
    </row>
    <row r="2022" spans="13:18">
      <c r="M2022" s="34"/>
      <c r="N2022" s="34"/>
      <c r="O2022" s="34"/>
      <c r="P2022" s="34"/>
      <c r="Q2022" s="34"/>
      <c r="R2022" s="34"/>
    </row>
    <row r="2023" spans="13:18">
      <c r="M2023" s="34"/>
      <c r="N2023" s="34"/>
      <c r="O2023" s="34"/>
      <c r="P2023" s="34"/>
      <c r="Q2023" s="34"/>
      <c r="R2023" s="34"/>
    </row>
    <row r="2024" spans="13:18">
      <c r="M2024" s="34"/>
      <c r="N2024" s="34"/>
      <c r="O2024" s="34"/>
      <c r="P2024" s="34"/>
      <c r="Q2024" s="34"/>
      <c r="R2024" s="34"/>
    </row>
    <row r="2025" spans="13:18">
      <c r="M2025" s="34"/>
      <c r="N2025" s="34"/>
      <c r="O2025" s="34"/>
      <c r="P2025" s="34"/>
      <c r="Q2025" s="34"/>
      <c r="R2025" s="34"/>
    </row>
    <row r="2026" spans="13:18">
      <c r="M2026" s="34"/>
      <c r="N2026" s="34"/>
      <c r="O2026" s="34"/>
      <c r="P2026" s="34"/>
      <c r="Q2026" s="34"/>
      <c r="R2026" s="34"/>
    </row>
    <row r="2027" spans="13:18">
      <c r="M2027" s="34"/>
      <c r="N2027" s="34"/>
      <c r="O2027" s="34"/>
      <c r="P2027" s="34"/>
      <c r="Q2027" s="34"/>
      <c r="R2027" s="34"/>
    </row>
    <row r="2028" spans="13:18">
      <c r="M2028" s="34"/>
      <c r="N2028" s="34"/>
      <c r="O2028" s="34"/>
      <c r="P2028" s="34"/>
      <c r="Q2028" s="34"/>
      <c r="R2028" s="34"/>
    </row>
    <row r="2029" spans="13:18">
      <c r="M2029" s="34"/>
      <c r="N2029" s="34"/>
      <c r="O2029" s="34"/>
      <c r="P2029" s="34"/>
      <c r="Q2029" s="34"/>
      <c r="R2029" s="34"/>
    </row>
    <row r="2030" spans="13:18">
      <c r="M2030" s="34"/>
      <c r="N2030" s="34"/>
      <c r="O2030" s="34"/>
      <c r="P2030" s="34"/>
      <c r="Q2030" s="34"/>
      <c r="R2030" s="34"/>
    </row>
    <row r="2031" spans="13:18">
      <c r="M2031" s="34"/>
      <c r="N2031" s="34"/>
      <c r="O2031" s="34"/>
      <c r="P2031" s="34"/>
      <c r="Q2031" s="34"/>
      <c r="R2031" s="34"/>
    </row>
    <row r="2032" spans="13:18">
      <c r="M2032" s="34"/>
      <c r="N2032" s="34"/>
      <c r="O2032" s="34"/>
      <c r="P2032" s="34"/>
      <c r="Q2032" s="34"/>
      <c r="R2032" s="34"/>
    </row>
    <row r="2033" spans="13:18">
      <c r="M2033" s="34"/>
      <c r="N2033" s="34"/>
      <c r="O2033" s="34"/>
      <c r="P2033" s="34"/>
      <c r="Q2033" s="34"/>
      <c r="R2033" s="34"/>
    </row>
    <row r="2034" spans="13:18">
      <c r="M2034" s="34"/>
      <c r="N2034" s="34"/>
      <c r="O2034" s="34"/>
      <c r="P2034" s="34"/>
      <c r="Q2034" s="34"/>
      <c r="R2034" s="34"/>
    </row>
    <row r="2035" spans="13:18">
      <c r="M2035" s="34"/>
      <c r="N2035" s="34"/>
      <c r="O2035" s="34"/>
      <c r="P2035" s="34"/>
      <c r="Q2035" s="34"/>
      <c r="R2035" s="34"/>
    </row>
    <row r="2036" spans="13:18">
      <c r="M2036" s="34"/>
      <c r="N2036" s="34"/>
      <c r="O2036" s="34"/>
      <c r="P2036" s="34"/>
      <c r="Q2036" s="34"/>
      <c r="R2036" s="34"/>
    </row>
    <row r="2037" spans="13:18">
      <c r="M2037" s="34"/>
      <c r="N2037" s="34"/>
      <c r="O2037" s="34"/>
      <c r="P2037" s="34"/>
      <c r="Q2037" s="34"/>
      <c r="R2037" s="34"/>
    </row>
    <row r="2038" spans="13:18">
      <c r="M2038" s="34"/>
      <c r="N2038" s="34"/>
      <c r="O2038" s="34"/>
      <c r="P2038" s="34"/>
      <c r="Q2038" s="34"/>
      <c r="R2038" s="34"/>
    </row>
    <row r="2039" spans="13:18">
      <c r="M2039" s="34"/>
      <c r="N2039" s="34"/>
      <c r="O2039" s="34"/>
      <c r="P2039" s="34"/>
      <c r="Q2039" s="34"/>
      <c r="R2039" s="34"/>
    </row>
    <row r="2040" spans="13:18">
      <c r="M2040" s="34"/>
      <c r="N2040" s="34"/>
      <c r="O2040" s="34"/>
      <c r="P2040" s="34"/>
      <c r="Q2040" s="34"/>
      <c r="R2040" s="34"/>
    </row>
    <row r="2041" spans="13:18">
      <c r="M2041" s="34"/>
      <c r="N2041" s="34"/>
      <c r="O2041" s="34"/>
      <c r="P2041" s="34"/>
      <c r="Q2041" s="34"/>
      <c r="R2041" s="34"/>
    </row>
    <row r="2042" spans="13:18">
      <c r="M2042" s="34"/>
      <c r="N2042" s="34"/>
      <c r="O2042" s="34"/>
      <c r="P2042" s="34"/>
      <c r="Q2042" s="34"/>
      <c r="R2042" s="34"/>
    </row>
    <row r="2043" spans="13:18">
      <c r="M2043" s="34"/>
      <c r="N2043" s="34"/>
      <c r="O2043" s="34"/>
      <c r="P2043" s="34"/>
      <c r="Q2043" s="34"/>
      <c r="R2043" s="34"/>
    </row>
    <row r="2044" spans="13:18">
      <c r="M2044" s="34"/>
      <c r="N2044" s="34"/>
      <c r="O2044" s="34"/>
      <c r="P2044" s="34"/>
      <c r="Q2044" s="34"/>
      <c r="R2044" s="34"/>
    </row>
    <row r="2045" spans="13:18">
      <c r="M2045" s="34"/>
      <c r="N2045" s="34"/>
      <c r="O2045" s="34"/>
      <c r="P2045" s="34"/>
      <c r="Q2045" s="34"/>
      <c r="R2045" s="34"/>
    </row>
    <row r="2046" spans="13:18">
      <c r="M2046" s="34"/>
      <c r="N2046" s="34"/>
      <c r="O2046" s="34"/>
      <c r="P2046" s="34"/>
      <c r="Q2046" s="34"/>
      <c r="R2046" s="34"/>
    </row>
    <row r="2047" spans="13:18">
      <c r="M2047" s="34"/>
      <c r="N2047" s="34"/>
      <c r="O2047" s="34"/>
      <c r="P2047" s="34"/>
      <c r="Q2047" s="34"/>
      <c r="R2047" s="34"/>
    </row>
    <row r="2048" spans="13:18">
      <c r="M2048" s="34"/>
      <c r="N2048" s="34"/>
      <c r="O2048" s="34"/>
      <c r="P2048" s="34"/>
      <c r="Q2048" s="34"/>
      <c r="R2048" s="34"/>
    </row>
    <row r="2049" spans="13:18">
      <c r="M2049" s="34"/>
      <c r="N2049" s="34"/>
      <c r="O2049" s="34"/>
      <c r="P2049" s="34"/>
      <c r="Q2049" s="34"/>
      <c r="R2049" s="34"/>
    </row>
    <row r="2050" spans="13:18">
      <c r="M2050" s="34"/>
      <c r="N2050" s="34"/>
      <c r="O2050" s="34"/>
      <c r="P2050" s="34"/>
      <c r="Q2050" s="34"/>
      <c r="R2050" s="34"/>
    </row>
    <row r="2051" spans="13:18">
      <c r="M2051" s="34"/>
      <c r="N2051" s="34"/>
      <c r="O2051" s="34"/>
      <c r="P2051" s="34"/>
      <c r="Q2051" s="34"/>
      <c r="R2051" s="34"/>
    </row>
    <row r="2052" spans="13:18">
      <c r="M2052" s="34"/>
      <c r="N2052" s="34"/>
      <c r="O2052" s="34"/>
      <c r="P2052" s="34"/>
      <c r="Q2052" s="34"/>
      <c r="R2052" s="34"/>
    </row>
    <row r="2053" spans="13:18">
      <c r="M2053" s="34"/>
      <c r="N2053" s="34"/>
      <c r="O2053" s="34"/>
      <c r="P2053" s="34"/>
      <c r="Q2053" s="34"/>
      <c r="R2053" s="34"/>
    </row>
    <row r="2054" spans="13:18">
      <c r="M2054" s="34"/>
      <c r="N2054" s="34"/>
      <c r="O2054" s="34"/>
      <c r="P2054" s="34"/>
      <c r="Q2054" s="34"/>
      <c r="R2054" s="34"/>
    </row>
    <row r="2055" spans="13:18">
      <c r="M2055" s="34"/>
      <c r="N2055" s="34"/>
      <c r="O2055" s="34"/>
      <c r="P2055" s="34"/>
      <c r="Q2055" s="34"/>
      <c r="R2055" s="34"/>
    </row>
    <row r="2056" spans="13:18">
      <c r="M2056" s="34"/>
      <c r="N2056" s="34"/>
      <c r="O2056" s="34"/>
      <c r="P2056" s="34"/>
      <c r="Q2056" s="34"/>
      <c r="R2056" s="34"/>
    </row>
    <row r="2057" spans="13:18">
      <c r="M2057" s="34"/>
      <c r="N2057" s="34"/>
      <c r="O2057" s="34"/>
      <c r="P2057" s="34"/>
      <c r="Q2057" s="34"/>
      <c r="R2057" s="34"/>
    </row>
    <row r="2058" spans="13:18">
      <c r="M2058" s="34"/>
      <c r="N2058" s="34"/>
      <c r="O2058" s="34"/>
      <c r="P2058" s="34"/>
      <c r="Q2058" s="34"/>
      <c r="R2058" s="34"/>
    </row>
    <row r="2059" spans="13:18">
      <c r="M2059" s="34"/>
      <c r="N2059" s="34"/>
      <c r="O2059" s="34"/>
      <c r="P2059" s="34"/>
      <c r="Q2059" s="34"/>
      <c r="R2059" s="34"/>
    </row>
    <row r="2060" spans="13:18">
      <c r="M2060" s="34"/>
      <c r="N2060" s="34"/>
      <c r="O2060" s="34"/>
      <c r="P2060" s="34"/>
      <c r="Q2060" s="34"/>
      <c r="R2060" s="34"/>
    </row>
    <row r="2061" spans="13:18">
      <c r="M2061" s="34"/>
      <c r="N2061" s="34"/>
      <c r="O2061" s="34"/>
      <c r="P2061" s="34"/>
      <c r="Q2061" s="34"/>
      <c r="R2061" s="34"/>
    </row>
    <row r="2062" spans="13:18">
      <c r="M2062" s="34"/>
      <c r="N2062" s="34"/>
      <c r="O2062" s="34"/>
      <c r="P2062" s="34"/>
      <c r="Q2062" s="34"/>
      <c r="R2062" s="34"/>
    </row>
    <row r="2063" spans="13:18">
      <c r="M2063" s="34"/>
      <c r="N2063" s="34"/>
      <c r="O2063" s="34"/>
      <c r="P2063" s="34"/>
      <c r="Q2063" s="34"/>
      <c r="R2063" s="34"/>
    </row>
    <row r="2064" spans="13:18">
      <c r="M2064" s="34"/>
      <c r="N2064" s="34"/>
      <c r="O2064" s="34"/>
      <c r="P2064" s="34"/>
      <c r="Q2064" s="34"/>
      <c r="R2064" s="34"/>
    </row>
    <row r="2065" spans="13:18">
      <c r="M2065" s="34"/>
      <c r="N2065" s="34"/>
      <c r="O2065" s="34"/>
      <c r="P2065" s="34"/>
      <c r="Q2065" s="34"/>
      <c r="R2065" s="34"/>
    </row>
    <row r="2066" spans="13:18">
      <c r="M2066" s="34"/>
      <c r="N2066" s="34"/>
      <c r="O2066" s="34"/>
      <c r="P2066" s="34"/>
      <c r="Q2066" s="34"/>
      <c r="R2066" s="34"/>
    </row>
    <row r="2067" spans="13:18">
      <c r="M2067" s="34"/>
      <c r="N2067" s="34"/>
      <c r="O2067" s="34"/>
      <c r="P2067" s="34"/>
      <c r="Q2067" s="34"/>
      <c r="R2067" s="34"/>
    </row>
    <row r="2068" spans="13:18">
      <c r="M2068" s="34"/>
      <c r="N2068" s="34"/>
      <c r="O2068" s="34"/>
      <c r="P2068" s="34"/>
      <c r="Q2068" s="34"/>
      <c r="R2068" s="34"/>
    </row>
    <row r="2069" spans="13:18">
      <c r="M2069" s="34"/>
      <c r="N2069" s="34"/>
      <c r="O2069" s="34"/>
      <c r="P2069" s="34"/>
      <c r="Q2069" s="34"/>
      <c r="R2069" s="34"/>
    </row>
    <row r="2070" spans="13:18">
      <c r="M2070" s="34"/>
      <c r="N2070" s="34"/>
      <c r="O2070" s="34"/>
      <c r="P2070" s="34"/>
      <c r="Q2070" s="34"/>
      <c r="R2070" s="34"/>
    </row>
    <row r="2071" spans="13:18">
      <c r="M2071" s="34"/>
      <c r="N2071" s="34"/>
      <c r="O2071" s="34"/>
      <c r="P2071" s="34"/>
      <c r="Q2071" s="34"/>
      <c r="R2071" s="34"/>
    </row>
    <row r="2072" spans="13:18">
      <c r="M2072" s="34"/>
      <c r="N2072" s="34"/>
      <c r="O2072" s="34"/>
      <c r="P2072" s="34"/>
      <c r="Q2072" s="34"/>
      <c r="R2072" s="34"/>
    </row>
    <row r="2073" spans="13:18">
      <c r="M2073" s="34"/>
      <c r="N2073" s="34"/>
      <c r="O2073" s="34"/>
      <c r="P2073" s="34"/>
      <c r="Q2073" s="34"/>
      <c r="R2073" s="34"/>
    </row>
    <row r="2074" spans="13:18">
      <c r="M2074" s="34"/>
      <c r="N2074" s="34"/>
      <c r="O2074" s="34"/>
      <c r="P2074" s="34"/>
      <c r="Q2074" s="34"/>
      <c r="R2074" s="34"/>
    </row>
    <row r="2075" spans="13:18">
      <c r="M2075" s="34"/>
      <c r="N2075" s="34"/>
      <c r="O2075" s="34"/>
      <c r="P2075" s="34"/>
      <c r="Q2075" s="34"/>
      <c r="R2075" s="34"/>
    </row>
    <row r="2076" spans="13:18">
      <c r="M2076" s="34"/>
      <c r="N2076" s="34"/>
      <c r="O2076" s="34"/>
      <c r="P2076" s="34"/>
      <c r="Q2076" s="34"/>
      <c r="R2076" s="34"/>
    </row>
    <row r="2077" spans="13:18">
      <c r="M2077" s="34"/>
      <c r="N2077" s="34"/>
      <c r="O2077" s="34"/>
      <c r="P2077" s="34"/>
      <c r="Q2077" s="34"/>
      <c r="R2077" s="34"/>
    </row>
    <row r="2078" spans="13:18">
      <c r="M2078" s="34"/>
      <c r="N2078" s="34"/>
      <c r="O2078" s="34"/>
      <c r="P2078" s="34"/>
      <c r="Q2078" s="34"/>
      <c r="R2078" s="34"/>
    </row>
    <row r="2079" spans="13:18">
      <c r="M2079" s="34"/>
      <c r="N2079" s="34"/>
      <c r="O2079" s="34"/>
      <c r="P2079" s="34"/>
      <c r="Q2079" s="34"/>
      <c r="R2079" s="34"/>
    </row>
    <row r="2080" spans="13:18">
      <c r="M2080" s="34"/>
      <c r="N2080" s="34"/>
      <c r="O2080" s="34"/>
      <c r="P2080" s="34"/>
      <c r="Q2080" s="34"/>
      <c r="R2080" s="34"/>
    </row>
    <row r="2081" spans="13:18">
      <c r="M2081" s="34"/>
      <c r="N2081" s="34"/>
      <c r="O2081" s="34"/>
      <c r="P2081" s="34"/>
      <c r="Q2081" s="34"/>
      <c r="R2081" s="34"/>
    </row>
    <row r="2082" spans="13:18">
      <c r="M2082" s="34"/>
      <c r="N2082" s="34"/>
      <c r="O2082" s="34"/>
      <c r="P2082" s="34"/>
      <c r="Q2082" s="34"/>
      <c r="R2082" s="34"/>
    </row>
    <row r="2083" spans="13:18">
      <c r="M2083" s="34"/>
      <c r="N2083" s="34"/>
      <c r="O2083" s="34"/>
      <c r="P2083" s="34"/>
      <c r="Q2083" s="34"/>
      <c r="R2083" s="34"/>
    </row>
    <row r="2084" spans="13:18">
      <c r="M2084" s="34"/>
      <c r="N2084" s="34"/>
      <c r="O2084" s="34"/>
      <c r="P2084" s="34"/>
      <c r="Q2084" s="34"/>
      <c r="R2084" s="34"/>
    </row>
    <row r="2085" spans="13:18">
      <c r="M2085" s="34"/>
      <c r="N2085" s="34"/>
      <c r="O2085" s="34"/>
      <c r="P2085" s="34"/>
      <c r="Q2085" s="34"/>
      <c r="R2085" s="34"/>
    </row>
    <row r="2086" spans="13:18">
      <c r="M2086" s="34"/>
      <c r="N2086" s="34"/>
      <c r="O2086" s="34"/>
      <c r="P2086" s="34"/>
      <c r="Q2086" s="34"/>
      <c r="R2086" s="34"/>
    </row>
    <row r="2087" spans="13:18">
      <c r="M2087" s="34"/>
      <c r="N2087" s="34"/>
      <c r="O2087" s="34"/>
      <c r="P2087" s="34"/>
      <c r="Q2087" s="34"/>
      <c r="R2087" s="34"/>
    </row>
    <row r="2088" spans="13:18">
      <c r="M2088" s="34"/>
      <c r="N2088" s="34"/>
      <c r="O2088" s="34"/>
      <c r="P2088" s="34"/>
      <c r="Q2088" s="34"/>
      <c r="R2088" s="34"/>
    </row>
    <row r="2089" spans="13:18">
      <c r="M2089" s="34"/>
      <c r="N2089" s="34"/>
      <c r="O2089" s="34"/>
      <c r="P2089" s="34"/>
      <c r="Q2089" s="34"/>
      <c r="R2089" s="34"/>
    </row>
    <row r="2090" spans="13:18">
      <c r="M2090" s="34"/>
      <c r="N2090" s="34"/>
      <c r="O2090" s="34"/>
      <c r="P2090" s="34"/>
      <c r="Q2090" s="34"/>
      <c r="R2090" s="34"/>
    </row>
    <row r="2091" spans="13:18">
      <c r="M2091" s="34"/>
      <c r="N2091" s="34"/>
      <c r="O2091" s="34"/>
      <c r="P2091" s="34"/>
      <c r="Q2091" s="34"/>
      <c r="R2091" s="34"/>
    </row>
    <row r="2092" spans="13:18">
      <c r="M2092" s="34"/>
      <c r="N2092" s="34"/>
      <c r="O2092" s="34"/>
      <c r="P2092" s="34"/>
      <c r="Q2092" s="34"/>
      <c r="R2092" s="34"/>
    </row>
    <row r="2093" spans="13:18">
      <c r="M2093" s="34"/>
      <c r="N2093" s="34"/>
      <c r="O2093" s="34"/>
      <c r="P2093" s="34"/>
      <c r="Q2093" s="34"/>
      <c r="R2093" s="34"/>
    </row>
    <row r="2094" spans="13:18">
      <c r="M2094" s="34"/>
      <c r="N2094" s="34"/>
      <c r="O2094" s="34"/>
      <c r="P2094" s="34"/>
      <c r="Q2094" s="34"/>
      <c r="R2094" s="34"/>
    </row>
    <row r="2095" spans="13:18">
      <c r="M2095" s="34"/>
      <c r="N2095" s="34"/>
      <c r="O2095" s="34"/>
      <c r="P2095" s="34"/>
      <c r="Q2095" s="34"/>
      <c r="R2095" s="34"/>
    </row>
    <row r="2096" spans="13:18">
      <c r="M2096" s="34"/>
      <c r="N2096" s="34"/>
      <c r="O2096" s="34"/>
      <c r="P2096" s="34"/>
      <c r="Q2096" s="34"/>
      <c r="R2096" s="34"/>
    </row>
    <row r="2097" spans="13:18">
      <c r="M2097" s="34"/>
      <c r="N2097" s="34"/>
      <c r="O2097" s="34"/>
      <c r="P2097" s="34"/>
      <c r="Q2097" s="34"/>
      <c r="R2097" s="34"/>
    </row>
    <row r="2098" spans="13:18">
      <c r="M2098" s="34"/>
      <c r="N2098" s="34"/>
      <c r="O2098" s="34"/>
      <c r="P2098" s="34"/>
      <c r="Q2098" s="34"/>
      <c r="R2098" s="34"/>
    </row>
    <row r="2099" spans="13:18">
      <c r="M2099" s="34"/>
      <c r="N2099" s="34"/>
      <c r="O2099" s="34"/>
      <c r="P2099" s="34"/>
      <c r="Q2099" s="34"/>
      <c r="R2099" s="34"/>
    </row>
    <row r="2100" spans="13:18">
      <c r="M2100" s="34"/>
      <c r="N2100" s="34"/>
      <c r="O2100" s="34"/>
      <c r="P2100" s="34"/>
      <c r="Q2100" s="34"/>
      <c r="R2100" s="34"/>
    </row>
    <row r="2101" spans="13:18">
      <c r="M2101" s="34"/>
      <c r="N2101" s="34"/>
      <c r="O2101" s="34"/>
      <c r="P2101" s="34"/>
      <c r="Q2101" s="34"/>
      <c r="R2101" s="34"/>
    </row>
    <row r="2102" spans="13:18">
      <c r="M2102" s="34"/>
      <c r="N2102" s="34"/>
      <c r="O2102" s="34"/>
      <c r="P2102" s="34"/>
      <c r="Q2102" s="34"/>
      <c r="R2102" s="34"/>
    </row>
    <row r="2103" spans="13:18">
      <c r="M2103" s="34"/>
      <c r="N2103" s="34"/>
      <c r="O2103" s="34"/>
      <c r="P2103" s="34"/>
      <c r="Q2103" s="34"/>
      <c r="R2103" s="34"/>
    </row>
    <row r="2104" spans="13:18">
      <c r="M2104" s="34"/>
      <c r="N2104" s="34"/>
      <c r="O2104" s="34"/>
      <c r="P2104" s="34"/>
      <c r="Q2104" s="34"/>
      <c r="R2104" s="34"/>
    </row>
    <row r="2105" spans="13:18">
      <c r="M2105" s="34"/>
      <c r="N2105" s="34"/>
      <c r="O2105" s="34"/>
      <c r="P2105" s="34"/>
      <c r="Q2105" s="34"/>
      <c r="R2105" s="34"/>
    </row>
    <row r="2106" spans="13:18">
      <c r="M2106" s="34"/>
      <c r="N2106" s="34"/>
      <c r="O2106" s="34"/>
      <c r="P2106" s="34"/>
      <c r="Q2106" s="34"/>
      <c r="R2106" s="34"/>
    </row>
    <row r="2107" spans="13:18">
      <c r="M2107" s="34"/>
      <c r="N2107" s="34"/>
      <c r="O2107" s="34"/>
      <c r="P2107" s="34"/>
      <c r="Q2107" s="34"/>
      <c r="R2107" s="34"/>
    </row>
    <row r="2108" spans="13:18">
      <c r="M2108" s="34"/>
      <c r="N2108" s="34"/>
      <c r="O2108" s="34"/>
      <c r="P2108" s="34"/>
      <c r="Q2108" s="34"/>
      <c r="R2108" s="34"/>
    </row>
    <row r="2109" spans="13:18">
      <c r="M2109" s="34"/>
      <c r="N2109" s="34"/>
      <c r="O2109" s="34"/>
      <c r="P2109" s="34"/>
      <c r="Q2109" s="34"/>
      <c r="R2109" s="34"/>
    </row>
    <row r="2110" spans="13:18">
      <c r="M2110" s="34"/>
      <c r="N2110" s="34"/>
      <c r="O2110" s="34"/>
      <c r="P2110" s="34"/>
      <c r="Q2110" s="34"/>
      <c r="R2110" s="34"/>
    </row>
    <row r="2111" spans="13:18">
      <c r="M2111" s="34"/>
      <c r="N2111" s="34"/>
      <c r="O2111" s="34"/>
      <c r="P2111" s="34"/>
      <c r="Q2111" s="34"/>
      <c r="R2111" s="34"/>
    </row>
    <row r="2112" spans="13:18">
      <c r="M2112" s="34"/>
      <c r="N2112" s="34"/>
      <c r="O2112" s="34"/>
      <c r="P2112" s="34"/>
      <c r="Q2112" s="34"/>
      <c r="R2112" s="34"/>
    </row>
    <row r="2113" spans="13:18">
      <c r="M2113" s="34"/>
      <c r="N2113" s="34"/>
      <c r="O2113" s="34"/>
      <c r="P2113" s="34"/>
      <c r="Q2113" s="34"/>
      <c r="R2113" s="34"/>
    </row>
    <row r="2114" spans="13:18">
      <c r="M2114" s="34"/>
      <c r="N2114" s="34"/>
      <c r="O2114" s="34"/>
      <c r="P2114" s="34"/>
      <c r="Q2114" s="34"/>
      <c r="R2114" s="34"/>
    </row>
    <row r="2115" spans="13:18">
      <c r="M2115" s="34"/>
      <c r="N2115" s="34"/>
      <c r="O2115" s="34"/>
      <c r="P2115" s="34"/>
      <c r="Q2115" s="34"/>
      <c r="R2115" s="34"/>
    </row>
    <row r="2116" spans="13:18">
      <c r="M2116" s="34"/>
      <c r="N2116" s="34"/>
      <c r="O2116" s="34"/>
      <c r="P2116" s="34"/>
      <c r="Q2116" s="34"/>
      <c r="R2116" s="34"/>
    </row>
    <row r="2117" spans="13:18">
      <c r="M2117" s="34"/>
      <c r="N2117" s="34"/>
      <c r="O2117" s="34"/>
      <c r="P2117" s="34"/>
      <c r="Q2117" s="34"/>
      <c r="R2117" s="34"/>
    </row>
    <row r="2118" spans="13:18">
      <c r="M2118" s="34"/>
      <c r="N2118" s="34"/>
      <c r="O2118" s="34"/>
      <c r="P2118" s="34"/>
      <c r="Q2118" s="34"/>
      <c r="R2118" s="34"/>
    </row>
    <row r="2119" spans="13:18">
      <c r="M2119" s="34"/>
      <c r="N2119" s="34"/>
      <c r="O2119" s="34"/>
      <c r="P2119" s="34"/>
      <c r="Q2119" s="34"/>
      <c r="R2119" s="34"/>
    </row>
    <row r="2120" spans="13:18">
      <c r="M2120" s="34"/>
      <c r="N2120" s="34"/>
      <c r="O2120" s="34"/>
      <c r="P2120" s="34"/>
      <c r="Q2120" s="34"/>
      <c r="R2120" s="34"/>
    </row>
    <row r="2121" spans="13:18">
      <c r="M2121" s="34"/>
      <c r="N2121" s="34"/>
      <c r="O2121" s="34"/>
      <c r="P2121" s="34"/>
      <c r="Q2121" s="34"/>
      <c r="R2121" s="34"/>
    </row>
    <row r="2122" spans="13:18">
      <c r="M2122" s="34"/>
      <c r="N2122" s="34"/>
      <c r="O2122" s="34"/>
      <c r="P2122" s="34"/>
      <c r="Q2122" s="34"/>
      <c r="R2122" s="34"/>
    </row>
    <row r="2123" spans="13:18">
      <c r="M2123" s="34"/>
      <c r="N2123" s="34"/>
      <c r="O2123" s="34"/>
      <c r="P2123" s="34"/>
      <c r="Q2123" s="34"/>
      <c r="R2123" s="34"/>
    </row>
    <row r="2124" spans="13:18">
      <c r="M2124" s="34"/>
      <c r="N2124" s="34"/>
      <c r="O2124" s="34"/>
      <c r="P2124" s="34"/>
      <c r="Q2124" s="34"/>
      <c r="R2124" s="34"/>
    </row>
    <row r="2125" spans="13:18">
      <c r="M2125" s="34"/>
      <c r="N2125" s="34"/>
      <c r="O2125" s="34"/>
      <c r="P2125" s="34"/>
      <c r="Q2125" s="34"/>
      <c r="R2125" s="34"/>
    </row>
    <row r="2126" spans="13:18">
      <c r="M2126" s="34"/>
      <c r="N2126" s="34"/>
      <c r="O2126" s="34"/>
      <c r="P2126" s="34"/>
      <c r="Q2126" s="34"/>
      <c r="R2126" s="34"/>
    </row>
    <row r="2127" spans="13:18">
      <c r="M2127" s="34"/>
      <c r="N2127" s="34"/>
      <c r="O2127" s="34"/>
      <c r="P2127" s="34"/>
      <c r="Q2127" s="34"/>
      <c r="R2127" s="34"/>
    </row>
    <row r="2128" spans="13:18">
      <c r="M2128" s="34"/>
      <c r="N2128" s="34"/>
      <c r="O2128" s="34"/>
      <c r="P2128" s="34"/>
      <c r="Q2128" s="34"/>
      <c r="R2128" s="34"/>
    </row>
    <row r="2129" spans="13:18">
      <c r="M2129" s="34"/>
      <c r="N2129" s="34"/>
      <c r="O2129" s="34"/>
      <c r="P2129" s="34"/>
      <c r="Q2129" s="34"/>
      <c r="R2129" s="34"/>
    </row>
    <row r="2130" spans="13:18">
      <c r="M2130" s="34"/>
      <c r="N2130" s="34"/>
      <c r="O2130" s="34"/>
      <c r="P2130" s="34"/>
      <c r="Q2130" s="34"/>
      <c r="R2130" s="34"/>
    </row>
    <row r="2131" spans="13:18">
      <c r="M2131" s="34"/>
      <c r="N2131" s="34"/>
      <c r="O2131" s="34"/>
      <c r="P2131" s="34"/>
      <c r="Q2131" s="34"/>
      <c r="R2131" s="34"/>
    </row>
    <row r="2132" spans="13:18">
      <c r="M2132" s="34"/>
      <c r="N2132" s="34"/>
      <c r="O2132" s="34"/>
      <c r="P2132" s="34"/>
      <c r="Q2132" s="34"/>
      <c r="R2132" s="34"/>
    </row>
    <row r="2133" spans="13:18">
      <c r="M2133" s="34"/>
      <c r="N2133" s="34"/>
      <c r="O2133" s="34"/>
      <c r="P2133" s="34"/>
      <c r="Q2133" s="34"/>
      <c r="R2133" s="34"/>
    </row>
    <row r="2134" spans="13:18">
      <c r="M2134" s="34"/>
      <c r="N2134" s="34"/>
      <c r="O2134" s="34"/>
      <c r="P2134" s="34"/>
      <c r="Q2134" s="34"/>
      <c r="R2134" s="34"/>
    </row>
    <row r="2135" spans="13:18">
      <c r="M2135" s="34"/>
      <c r="N2135" s="34"/>
      <c r="O2135" s="34"/>
      <c r="P2135" s="34"/>
      <c r="Q2135" s="34"/>
      <c r="R2135" s="34"/>
    </row>
    <row r="2136" spans="13:18">
      <c r="M2136" s="34"/>
      <c r="N2136" s="34"/>
      <c r="O2136" s="34"/>
      <c r="P2136" s="34"/>
      <c r="Q2136" s="34"/>
      <c r="R2136" s="34"/>
    </row>
    <row r="2137" spans="13:18">
      <c r="M2137" s="34"/>
      <c r="N2137" s="34"/>
      <c r="O2137" s="34"/>
      <c r="P2137" s="34"/>
      <c r="Q2137" s="34"/>
      <c r="R2137" s="34"/>
    </row>
    <row r="2138" spans="13:18">
      <c r="M2138" s="34"/>
      <c r="N2138" s="34"/>
      <c r="O2138" s="34"/>
      <c r="P2138" s="34"/>
      <c r="Q2138" s="34"/>
      <c r="R2138" s="34"/>
    </row>
    <row r="2139" spans="13:18">
      <c r="M2139" s="34"/>
      <c r="N2139" s="34"/>
      <c r="O2139" s="34"/>
      <c r="P2139" s="34"/>
      <c r="Q2139" s="34"/>
      <c r="R2139" s="34"/>
    </row>
    <row r="2140" spans="13:18">
      <c r="M2140" s="34"/>
      <c r="N2140" s="34"/>
      <c r="O2140" s="34"/>
      <c r="P2140" s="34"/>
      <c r="Q2140" s="34"/>
      <c r="R2140" s="34"/>
    </row>
    <row r="2141" spans="13:18">
      <c r="M2141" s="34"/>
      <c r="N2141" s="34"/>
      <c r="O2141" s="34"/>
      <c r="P2141" s="34"/>
      <c r="Q2141" s="34"/>
      <c r="R2141" s="34"/>
    </row>
    <row r="2142" spans="13:18">
      <c r="M2142" s="34"/>
      <c r="N2142" s="34"/>
      <c r="O2142" s="34"/>
      <c r="P2142" s="34"/>
      <c r="Q2142" s="34"/>
      <c r="R2142" s="34"/>
    </row>
    <row r="2143" spans="13:18">
      <c r="M2143" s="34"/>
      <c r="N2143" s="34"/>
      <c r="O2143" s="34"/>
      <c r="P2143" s="34"/>
      <c r="Q2143" s="34"/>
      <c r="R2143" s="34"/>
    </row>
    <row r="2144" spans="13:18">
      <c r="M2144" s="34"/>
      <c r="N2144" s="34"/>
      <c r="O2144" s="34"/>
      <c r="P2144" s="34"/>
      <c r="Q2144" s="34"/>
      <c r="R2144" s="34"/>
    </row>
    <row r="2145" spans="13:18">
      <c r="M2145" s="34"/>
      <c r="N2145" s="34"/>
      <c r="O2145" s="34"/>
      <c r="P2145" s="34"/>
      <c r="Q2145" s="34"/>
      <c r="R2145" s="34"/>
    </row>
    <row r="2146" spans="13:18">
      <c r="M2146" s="34"/>
      <c r="N2146" s="34"/>
      <c r="O2146" s="34"/>
      <c r="P2146" s="34"/>
      <c r="Q2146" s="34"/>
      <c r="R2146" s="34"/>
    </row>
    <row r="2147" spans="13:18">
      <c r="M2147" s="34"/>
      <c r="N2147" s="34"/>
      <c r="O2147" s="34"/>
      <c r="P2147" s="34"/>
      <c r="Q2147" s="34"/>
      <c r="R2147" s="34"/>
    </row>
    <row r="2148" spans="13:18">
      <c r="M2148" s="34"/>
      <c r="N2148" s="34"/>
      <c r="O2148" s="34"/>
      <c r="P2148" s="34"/>
      <c r="Q2148" s="34"/>
      <c r="R2148" s="34"/>
    </row>
    <row r="2149" spans="13:18">
      <c r="M2149" s="34"/>
      <c r="N2149" s="34"/>
      <c r="O2149" s="34"/>
      <c r="P2149" s="34"/>
      <c r="Q2149" s="34"/>
      <c r="R2149" s="34"/>
    </row>
    <row r="2150" spans="13:18">
      <c r="M2150" s="34"/>
      <c r="N2150" s="34"/>
      <c r="O2150" s="34"/>
      <c r="P2150" s="34"/>
      <c r="Q2150" s="34"/>
      <c r="R2150" s="34"/>
    </row>
    <row r="2151" spans="13:18">
      <c r="M2151" s="34"/>
      <c r="N2151" s="34"/>
      <c r="O2151" s="34"/>
      <c r="P2151" s="34"/>
      <c r="Q2151" s="34"/>
      <c r="R2151" s="34"/>
    </row>
    <row r="2152" spans="13:18">
      <c r="M2152" s="34"/>
      <c r="N2152" s="34"/>
      <c r="O2152" s="34"/>
      <c r="P2152" s="34"/>
      <c r="Q2152" s="34"/>
      <c r="R2152" s="34"/>
    </row>
    <row r="2153" spans="13:18">
      <c r="M2153" s="34"/>
      <c r="N2153" s="34"/>
      <c r="O2153" s="34"/>
      <c r="P2153" s="34"/>
      <c r="Q2153" s="34"/>
      <c r="R2153" s="34"/>
    </row>
    <row r="2154" spans="13:18">
      <c r="M2154" s="34"/>
      <c r="N2154" s="34"/>
      <c r="O2154" s="34"/>
      <c r="P2154" s="34"/>
      <c r="Q2154" s="34"/>
      <c r="R2154" s="34"/>
    </row>
    <row r="2155" spans="13:18">
      <c r="M2155" s="34"/>
      <c r="N2155" s="34"/>
      <c r="O2155" s="34"/>
      <c r="P2155" s="34"/>
      <c r="Q2155" s="34"/>
      <c r="R2155" s="34"/>
    </row>
    <row r="2156" spans="13:18">
      <c r="M2156" s="34"/>
      <c r="N2156" s="34"/>
      <c r="O2156" s="34"/>
      <c r="P2156" s="34"/>
      <c r="Q2156" s="34"/>
      <c r="R2156" s="34"/>
    </row>
    <row r="2157" spans="13:18">
      <c r="M2157" s="34"/>
      <c r="N2157" s="34"/>
      <c r="O2157" s="34"/>
      <c r="P2157" s="34"/>
      <c r="Q2157" s="34"/>
      <c r="R2157" s="34"/>
    </row>
    <row r="2158" spans="13:18">
      <c r="M2158" s="34"/>
      <c r="N2158" s="34"/>
      <c r="O2158" s="34"/>
      <c r="P2158" s="34"/>
      <c r="Q2158" s="34"/>
      <c r="R2158" s="34"/>
    </row>
    <row r="2159" spans="13:18">
      <c r="M2159" s="34"/>
      <c r="N2159" s="34"/>
      <c r="O2159" s="34"/>
      <c r="P2159" s="34"/>
      <c r="Q2159" s="34"/>
      <c r="R2159" s="34"/>
    </row>
    <row r="2160" spans="13:18">
      <c r="M2160" s="34"/>
      <c r="N2160" s="34"/>
      <c r="O2160" s="34"/>
      <c r="P2160" s="34"/>
      <c r="Q2160" s="34"/>
      <c r="R2160" s="34"/>
    </row>
    <row r="2161" spans="13:18">
      <c r="M2161" s="34"/>
      <c r="N2161" s="34"/>
      <c r="O2161" s="34"/>
      <c r="P2161" s="34"/>
      <c r="Q2161" s="34"/>
      <c r="R2161" s="34"/>
    </row>
    <row r="2162" spans="13:18">
      <c r="M2162" s="34"/>
      <c r="N2162" s="34"/>
      <c r="O2162" s="34"/>
      <c r="P2162" s="34"/>
      <c r="Q2162" s="34"/>
      <c r="R2162" s="34"/>
    </row>
    <row r="2163" spans="13:18">
      <c r="M2163" s="34"/>
      <c r="N2163" s="34"/>
      <c r="O2163" s="34"/>
      <c r="P2163" s="34"/>
      <c r="Q2163" s="34"/>
      <c r="R2163" s="34"/>
    </row>
    <row r="2164" spans="13:18">
      <c r="M2164" s="34"/>
      <c r="N2164" s="34"/>
      <c r="O2164" s="34"/>
      <c r="P2164" s="34"/>
      <c r="Q2164" s="34"/>
      <c r="R2164" s="34"/>
    </row>
    <row r="2165" spans="13:18">
      <c r="M2165" s="34"/>
      <c r="N2165" s="34"/>
      <c r="O2165" s="34"/>
      <c r="P2165" s="34"/>
      <c r="Q2165" s="34"/>
      <c r="R2165" s="34"/>
    </row>
    <row r="2166" spans="13:18">
      <c r="M2166" s="34"/>
      <c r="N2166" s="34"/>
      <c r="O2166" s="34"/>
      <c r="P2166" s="34"/>
      <c r="Q2166" s="34"/>
      <c r="R2166" s="34"/>
    </row>
    <row r="2167" spans="13:18">
      <c r="M2167" s="34"/>
      <c r="N2167" s="34"/>
      <c r="O2167" s="34"/>
      <c r="P2167" s="34"/>
      <c r="Q2167" s="34"/>
      <c r="R2167" s="34"/>
    </row>
    <row r="2168" spans="13:18">
      <c r="M2168" s="34"/>
      <c r="N2168" s="34"/>
      <c r="O2168" s="34"/>
      <c r="P2168" s="34"/>
      <c r="Q2168" s="34"/>
      <c r="R2168" s="34"/>
    </row>
    <row r="2169" spans="13:18">
      <c r="M2169" s="34"/>
      <c r="N2169" s="34"/>
      <c r="O2169" s="34"/>
      <c r="P2169" s="34"/>
      <c r="Q2169" s="34"/>
      <c r="R2169" s="34"/>
    </row>
    <row r="2170" spans="13:18">
      <c r="M2170" s="34"/>
      <c r="N2170" s="34"/>
      <c r="O2170" s="34"/>
      <c r="P2170" s="34"/>
      <c r="Q2170" s="34"/>
      <c r="R2170" s="34"/>
    </row>
    <row r="2171" spans="13:18">
      <c r="M2171" s="34"/>
      <c r="N2171" s="34"/>
      <c r="O2171" s="34"/>
      <c r="P2171" s="34"/>
      <c r="Q2171" s="34"/>
      <c r="R2171" s="34"/>
    </row>
    <row r="2172" spans="13:18">
      <c r="M2172" s="34"/>
      <c r="N2172" s="34"/>
      <c r="O2172" s="34"/>
      <c r="P2172" s="34"/>
      <c r="Q2172" s="34"/>
      <c r="R2172" s="34"/>
    </row>
    <row r="2173" spans="13:18">
      <c r="M2173" s="34"/>
      <c r="N2173" s="34"/>
      <c r="O2173" s="34"/>
      <c r="P2173" s="34"/>
      <c r="Q2173" s="34"/>
      <c r="R2173" s="34"/>
    </row>
    <row r="2174" spans="13:18">
      <c r="M2174" s="34"/>
      <c r="N2174" s="34"/>
      <c r="O2174" s="34"/>
      <c r="P2174" s="34"/>
      <c r="Q2174" s="34"/>
      <c r="R2174" s="34"/>
    </row>
    <row r="2175" spans="13:18">
      <c r="M2175" s="34"/>
      <c r="N2175" s="34"/>
      <c r="O2175" s="34"/>
      <c r="P2175" s="34"/>
      <c r="Q2175" s="34"/>
      <c r="R2175" s="34"/>
    </row>
    <row r="2176" spans="13:18">
      <c r="M2176" s="34"/>
      <c r="N2176" s="34"/>
      <c r="O2176" s="34"/>
      <c r="P2176" s="34"/>
      <c r="Q2176" s="34"/>
      <c r="R2176" s="34"/>
    </row>
    <row r="2177" spans="13:18">
      <c r="M2177" s="34"/>
      <c r="N2177" s="34"/>
      <c r="O2177" s="34"/>
      <c r="P2177" s="34"/>
      <c r="Q2177" s="34"/>
      <c r="R2177" s="34"/>
    </row>
    <row r="2178" spans="13:18">
      <c r="M2178" s="34"/>
      <c r="N2178" s="34"/>
      <c r="O2178" s="34"/>
      <c r="P2178" s="34"/>
      <c r="Q2178" s="34"/>
      <c r="R2178" s="34"/>
    </row>
    <row r="2179" spans="13:18">
      <c r="M2179" s="34"/>
      <c r="N2179" s="34"/>
      <c r="O2179" s="34"/>
      <c r="P2179" s="34"/>
      <c r="Q2179" s="34"/>
      <c r="R2179" s="34"/>
    </row>
    <row r="2180" spans="13:18">
      <c r="M2180" s="34"/>
      <c r="N2180" s="34"/>
      <c r="O2180" s="34"/>
      <c r="P2180" s="34"/>
      <c r="Q2180" s="34"/>
      <c r="R2180" s="34"/>
    </row>
    <row r="2181" spans="13:18">
      <c r="M2181" s="34"/>
      <c r="N2181" s="34"/>
      <c r="O2181" s="34"/>
      <c r="P2181" s="34"/>
      <c r="Q2181" s="34"/>
      <c r="R2181" s="34"/>
    </row>
    <row r="2182" spans="13:18">
      <c r="M2182" s="34"/>
      <c r="N2182" s="34"/>
      <c r="O2182" s="34"/>
      <c r="P2182" s="34"/>
      <c r="Q2182" s="34"/>
      <c r="R2182" s="34"/>
    </row>
    <row r="2183" spans="13:18">
      <c r="M2183" s="34"/>
      <c r="N2183" s="34"/>
      <c r="O2183" s="34"/>
      <c r="P2183" s="34"/>
      <c r="Q2183" s="34"/>
      <c r="R2183" s="34"/>
    </row>
    <row r="2184" spans="13:18">
      <c r="M2184" s="34"/>
      <c r="N2184" s="34"/>
      <c r="O2184" s="34"/>
      <c r="P2184" s="34"/>
      <c r="Q2184" s="34"/>
      <c r="R2184" s="34"/>
    </row>
    <row r="2185" spans="13:18">
      <c r="M2185" s="34"/>
      <c r="N2185" s="34"/>
      <c r="O2185" s="34"/>
      <c r="P2185" s="34"/>
      <c r="Q2185" s="34"/>
      <c r="R2185" s="34"/>
    </row>
    <row r="2186" spans="13:18">
      <c r="M2186" s="34"/>
      <c r="N2186" s="34"/>
      <c r="O2186" s="34"/>
      <c r="P2186" s="34"/>
      <c r="Q2186" s="34"/>
      <c r="R2186" s="34"/>
    </row>
    <row r="2187" spans="13:18">
      <c r="M2187" s="34"/>
      <c r="N2187" s="34"/>
      <c r="O2187" s="34"/>
      <c r="P2187" s="34"/>
      <c r="Q2187" s="34"/>
      <c r="R2187" s="34"/>
    </row>
    <row r="2188" spans="13:18">
      <c r="M2188" s="34"/>
      <c r="N2188" s="34"/>
      <c r="O2188" s="34"/>
      <c r="P2188" s="34"/>
      <c r="Q2188" s="34"/>
      <c r="R2188" s="34"/>
    </row>
    <row r="2189" spans="13:18">
      <c r="M2189" s="34"/>
      <c r="N2189" s="34"/>
      <c r="O2189" s="34"/>
      <c r="P2189" s="34"/>
      <c r="Q2189" s="34"/>
      <c r="R2189" s="34"/>
    </row>
    <row r="2190" spans="13:18">
      <c r="M2190" s="34"/>
      <c r="N2190" s="34"/>
      <c r="O2190" s="34"/>
      <c r="P2190" s="34"/>
      <c r="Q2190" s="34"/>
      <c r="R2190" s="34"/>
    </row>
    <row r="2191" spans="13:18">
      <c r="M2191" s="34"/>
      <c r="N2191" s="34"/>
      <c r="O2191" s="34"/>
      <c r="P2191" s="34"/>
      <c r="Q2191" s="34"/>
      <c r="R2191" s="34"/>
    </row>
    <row r="2192" spans="13:18">
      <c r="M2192" s="34"/>
      <c r="N2192" s="34"/>
      <c r="O2192" s="34"/>
      <c r="P2192" s="34"/>
      <c r="Q2192" s="34"/>
      <c r="R2192" s="34"/>
    </row>
    <row r="2193" spans="13:18">
      <c r="M2193" s="34"/>
      <c r="N2193" s="34"/>
      <c r="O2193" s="34"/>
      <c r="P2193" s="34"/>
      <c r="Q2193" s="34"/>
      <c r="R2193" s="34"/>
    </row>
    <row r="2194" spans="13:18">
      <c r="M2194" s="34"/>
      <c r="N2194" s="34"/>
      <c r="O2194" s="34"/>
      <c r="P2194" s="34"/>
      <c r="Q2194" s="34"/>
      <c r="R2194" s="34"/>
    </row>
    <row r="2195" spans="13:18">
      <c r="M2195" s="34"/>
      <c r="N2195" s="34"/>
      <c r="O2195" s="34"/>
      <c r="P2195" s="34"/>
      <c r="Q2195" s="34"/>
      <c r="R2195" s="34"/>
    </row>
    <row r="2196" spans="13:18">
      <c r="M2196" s="34"/>
      <c r="N2196" s="34"/>
      <c r="O2196" s="34"/>
      <c r="P2196" s="34"/>
      <c r="Q2196" s="34"/>
      <c r="R2196" s="34"/>
    </row>
    <row r="2197" spans="13:18">
      <c r="M2197" s="34"/>
      <c r="N2197" s="34"/>
      <c r="O2197" s="34"/>
      <c r="P2197" s="34"/>
      <c r="Q2197" s="34"/>
      <c r="R2197" s="34"/>
    </row>
    <row r="2198" spans="13:18">
      <c r="M2198" s="34"/>
      <c r="N2198" s="34"/>
      <c r="O2198" s="34"/>
      <c r="P2198" s="34"/>
      <c r="Q2198" s="34"/>
      <c r="R2198" s="34"/>
    </row>
    <row r="2199" spans="13:18">
      <c r="M2199" s="34"/>
      <c r="N2199" s="34"/>
      <c r="O2199" s="34"/>
      <c r="P2199" s="34"/>
      <c r="Q2199" s="34"/>
      <c r="R2199" s="34"/>
    </row>
    <row r="2200" spans="13:18">
      <c r="M2200" s="34"/>
      <c r="N2200" s="34"/>
      <c r="O2200" s="34"/>
      <c r="P2200" s="34"/>
      <c r="Q2200" s="34"/>
      <c r="R2200" s="34"/>
    </row>
    <row r="2201" spans="13:18">
      <c r="M2201" s="34"/>
      <c r="N2201" s="34"/>
      <c r="O2201" s="34"/>
      <c r="P2201" s="34"/>
      <c r="Q2201" s="34"/>
      <c r="R2201" s="34"/>
    </row>
    <row r="2202" spans="13:18">
      <c r="M2202" s="34"/>
      <c r="N2202" s="34"/>
      <c r="O2202" s="34"/>
      <c r="P2202" s="34"/>
      <c r="Q2202" s="34"/>
      <c r="R2202" s="34"/>
    </row>
    <row r="2203" spans="13:18">
      <c r="M2203" s="34"/>
      <c r="N2203" s="34"/>
      <c r="O2203" s="34"/>
      <c r="P2203" s="34"/>
      <c r="Q2203" s="34"/>
      <c r="R2203" s="34"/>
    </row>
    <row r="2204" spans="13:18">
      <c r="M2204" s="34"/>
      <c r="N2204" s="34"/>
      <c r="O2204" s="34"/>
      <c r="P2204" s="34"/>
      <c r="Q2204" s="34"/>
      <c r="R2204" s="34"/>
    </row>
    <row r="2205" spans="13:18">
      <c r="M2205" s="34"/>
      <c r="N2205" s="34"/>
      <c r="O2205" s="34"/>
      <c r="P2205" s="34"/>
      <c r="Q2205" s="34"/>
      <c r="R2205" s="34"/>
    </row>
    <row r="2206" spans="13:18">
      <c r="M2206" s="34"/>
      <c r="N2206" s="34"/>
      <c r="O2206" s="34"/>
      <c r="P2206" s="34"/>
      <c r="Q2206" s="34"/>
      <c r="R2206" s="34"/>
    </row>
    <row r="2207" spans="13:18">
      <c r="M2207" s="34"/>
      <c r="N2207" s="34"/>
      <c r="O2207" s="34"/>
      <c r="P2207" s="34"/>
      <c r="Q2207" s="34"/>
      <c r="R2207" s="34"/>
    </row>
    <row r="2208" spans="13:18">
      <c r="M2208" s="34"/>
      <c r="N2208" s="34"/>
      <c r="O2208" s="34"/>
      <c r="P2208" s="34"/>
      <c r="Q2208" s="34"/>
      <c r="R2208" s="34"/>
    </row>
    <row r="2209" spans="13:18">
      <c r="M2209" s="34"/>
      <c r="N2209" s="34"/>
      <c r="O2209" s="34"/>
      <c r="P2209" s="34"/>
      <c r="Q2209" s="34"/>
      <c r="R2209" s="34"/>
    </row>
    <row r="2210" spans="13:18">
      <c r="M2210" s="34"/>
      <c r="N2210" s="34"/>
      <c r="O2210" s="34"/>
      <c r="P2210" s="34"/>
      <c r="Q2210" s="34"/>
      <c r="R2210" s="34"/>
    </row>
    <row r="2211" spans="13:18">
      <c r="M2211" s="34"/>
      <c r="N2211" s="34"/>
      <c r="O2211" s="34"/>
      <c r="P2211" s="34"/>
      <c r="Q2211" s="34"/>
      <c r="R2211" s="34"/>
    </row>
    <row r="2212" spans="13:18">
      <c r="M2212" s="34"/>
      <c r="N2212" s="34"/>
      <c r="O2212" s="34"/>
      <c r="P2212" s="34"/>
      <c r="Q2212" s="34"/>
      <c r="R2212" s="34"/>
    </row>
    <row r="2213" spans="13:18">
      <c r="M2213" s="34"/>
      <c r="N2213" s="34"/>
      <c r="O2213" s="34"/>
      <c r="P2213" s="34"/>
      <c r="Q2213" s="34"/>
      <c r="R2213" s="34"/>
    </row>
    <row r="2214" spans="13:18">
      <c r="M2214" s="34"/>
      <c r="N2214" s="34"/>
      <c r="O2214" s="34"/>
      <c r="P2214" s="34"/>
      <c r="Q2214" s="34"/>
      <c r="R2214" s="34"/>
    </row>
    <row r="2215" spans="13:18">
      <c r="M2215" s="34"/>
      <c r="N2215" s="34"/>
      <c r="O2215" s="34"/>
      <c r="P2215" s="34"/>
      <c r="Q2215" s="34"/>
      <c r="R2215" s="34"/>
    </row>
    <row r="2216" spans="13:18">
      <c r="M2216" s="34"/>
      <c r="N2216" s="34"/>
      <c r="O2216" s="34"/>
      <c r="P2216" s="34"/>
      <c r="Q2216" s="34"/>
      <c r="R2216" s="34"/>
    </row>
    <row r="2217" spans="13:18">
      <c r="M2217" s="34"/>
      <c r="N2217" s="34"/>
      <c r="O2217" s="34"/>
      <c r="P2217" s="34"/>
      <c r="Q2217" s="34"/>
      <c r="R2217" s="34"/>
    </row>
    <row r="2218" spans="13:18">
      <c r="M2218" s="34"/>
      <c r="N2218" s="34"/>
      <c r="O2218" s="34"/>
      <c r="P2218" s="34"/>
      <c r="Q2218" s="34"/>
      <c r="R2218" s="34"/>
    </row>
    <row r="2219" spans="13:18">
      <c r="M2219" s="34"/>
      <c r="N2219" s="34"/>
      <c r="O2219" s="34"/>
      <c r="P2219" s="34"/>
      <c r="Q2219" s="34"/>
      <c r="R2219" s="34"/>
    </row>
    <row r="2220" spans="13:18">
      <c r="M2220" s="34"/>
      <c r="N2220" s="34"/>
      <c r="O2220" s="34"/>
      <c r="P2220" s="34"/>
      <c r="Q2220" s="34"/>
      <c r="R2220" s="34"/>
    </row>
    <row r="2221" spans="13:18">
      <c r="M2221" s="34"/>
      <c r="N2221" s="34"/>
      <c r="O2221" s="34"/>
      <c r="P2221" s="34"/>
      <c r="Q2221" s="34"/>
      <c r="R2221" s="34"/>
    </row>
    <row r="2222" spans="13:18">
      <c r="M2222" s="34"/>
      <c r="N2222" s="34"/>
      <c r="O2222" s="34"/>
      <c r="P2222" s="34"/>
      <c r="Q2222" s="34"/>
      <c r="R2222" s="34"/>
    </row>
    <row r="2223" spans="13:18">
      <c r="M2223" s="34"/>
      <c r="N2223" s="34"/>
      <c r="O2223" s="34"/>
      <c r="P2223" s="34"/>
      <c r="Q2223" s="34"/>
      <c r="R2223" s="34"/>
    </row>
    <row r="2224" spans="13:18">
      <c r="M2224" s="34"/>
      <c r="N2224" s="34"/>
      <c r="O2224" s="34"/>
      <c r="P2224" s="34"/>
      <c r="Q2224" s="34"/>
      <c r="R2224" s="34"/>
    </row>
    <row r="2225" spans="13:18">
      <c r="M2225" s="34"/>
      <c r="N2225" s="34"/>
      <c r="O2225" s="34"/>
      <c r="P2225" s="34"/>
      <c r="Q2225" s="34"/>
      <c r="R2225" s="34"/>
    </row>
    <row r="2226" spans="13:18">
      <c r="M2226" s="34"/>
      <c r="N2226" s="34"/>
      <c r="O2226" s="34"/>
      <c r="P2226" s="34"/>
      <c r="Q2226" s="34"/>
      <c r="R2226" s="34"/>
    </row>
    <row r="2227" spans="13:18">
      <c r="M2227" s="34"/>
      <c r="N2227" s="34"/>
      <c r="O2227" s="34"/>
      <c r="P2227" s="34"/>
      <c r="Q2227" s="34"/>
      <c r="R2227" s="34"/>
    </row>
    <row r="2228" spans="13:18">
      <c r="M2228" s="34"/>
      <c r="N2228" s="34"/>
      <c r="O2228" s="34"/>
      <c r="P2228" s="34"/>
      <c r="Q2228" s="34"/>
      <c r="R2228" s="34"/>
    </row>
    <row r="2229" spans="13:18">
      <c r="M2229" s="34"/>
      <c r="N2229" s="34"/>
      <c r="O2229" s="34"/>
      <c r="P2229" s="34"/>
      <c r="Q2229" s="34"/>
      <c r="R2229" s="34"/>
    </row>
    <row r="2230" spans="13:18">
      <c r="M2230" s="34"/>
      <c r="N2230" s="34"/>
      <c r="O2230" s="34"/>
      <c r="P2230" s="34"/>
      <c r="Q2230" s="34"/>
      <c r="R2230" s="34"/>
    </row>
    <row r="2231" spans="13:18">
      <c r="M2231" s="34"/>
      <c r="N2231" s="34"/>
      <c r="O2231" s="34"/>
      <c r="P2231" s="34"/>
      <c r="Q2231" s="34"/>
      <c r="R2231" s="34"/>
    </row>
    <row r="2232" spans="13:18">
      <c r="M2232" s="34"/>
      <c r="N2232" s="34"/>
      <c r="O2232" s="34"/>
      <c r="P2232" s="34"/>
      <c r="Q2232" s="34"/>
      <c r="R2232" s="34"/>
    </row>
    <row r="2233" spans="13:18">
      <c r="M2233" s="34"/>
      <c r="N2233" s="34"/>
      <c r="O2233" s="34"/>
      <c r="P2233" s="34"/>
      <c r="Q2233" s="34"/>
      <c r="R2233" s="34"/>
    </row>
    <row r="2234" spans="13:18">
      <c r="M2234" s="34"/>
      <c r="N2234" s="34"/>
      <c r="O2234" s="34"/>
      <c r="P2234" s="34"/>
      <c r="Q2234" s="34"/>
      <c r="R2234" s="34"/>
    </row>
    <row r="2235" spans="13:18">
      <c r="M2235" s="34"/>
      <c r="N2235" s="34"/>
      <c r="O2235" s="34"/>
      <c r="P2235" s="34"/>
      <c r="Q2235" s="34"/>
      <c r="R2235" s="34"/>
    </row>
    <row r="2236" spans="13:18">
      <c r="M2236" s="34"/>
      <c r="N2236" s="34"/>
      <c r="O2236" s="34"/>
      <c r="P2236" s="34"/>
      <c r="Q2236" s="34"/>
      <c r="R2236" s="34"/>
    </row>
    <row r="2237" spans="13:18">
      <c r="M2237" s="34"/>
      <c r="N2237" s="34"/>
      <c r="O2237" s="34"/>
      <c r="P2237" s="34"/>
      <c r="Q2237" s="34"/>
      <c r="R2237" s="34"/>
    </row>
    <row r="2238" spans="13:18">
      <c r="M2238" s="34"/>
      <c r="N2238" s="34"/>
      <c r="O2238" s="34"/>
      <c r="P2238" s="34"/>
      <c r="Q2238" s="34"/>
      <c r="R2238" s="34"/>
    </row>
    <row r="2239" spans="13:18">
      <c r="M2239" s="34"/>
      <c r="N2239" s="34"/>
      <c r="O2239" s="34"/>
      <c r="P2239" s="34"/>
      <c r="Q2239" s="34"/>
      <c r="R2239" s="34"/>
    </row>
    <row r="2240" spans="13:18">
      <c r="M2240" s="34"/>
      <c r="N2240" s="34"/>
      <c r="O2240" s="34"/>
      <c r="P2240" s="34"/>
      <c r="Q2240" s="34"/>
      <c r="R2240" s="34"/>
    </row>
    <row r="2241" spans="13:18">
      <c r="M2241" s="34"/>
      <c r="N2241" s="34"/>
      <c r="O2241" s="34"/>
      <c r="P2241" s="34"/>
      <c r="Q2241" s="34"/>
      <c r="R2241" s="34"/>
    </row>
    <row r="2242" spans="13:18">
      <c r="M2242" s="34"/>
      <c r="N2242" s="34"/>
      <c r="O2242" s="34"/>
      <c r="P2242" s="34"/>
      <c r="Q2242" s="34"/>
      <c r="R2242" s="34"/>
    </row>
    <row r="2243" spans="13:18">
      <c r="M2243" s="34"/>
      <c r="N2243" s="34"/>
      <c r="O2243" s="34"/>
      <c r="P2243" s="34"/>
      <c r="Q2243" s="34"/>
      <c r="R2243" s="34"/>
    </row>
    <row r="2244" spans="13:18">
      <c r="M2244" s="34"/>
      <c r="N2244" s="34"/>
      <c r="O2244" s="34"/>
      <c r="P2244" s="34"/>
      <c r="Q2244" s="34"/>
      <c r="R2244" s="34"/>
    </row>
    <row r="2245" spans="13:18">
      <c r="M2245" s="34"/>
      <c r="N2245" s="34"/>
      <c r="O2245" s="34"/>
      <c r="P2245" s="34"/>
      <c r="Q2245" s="34"/>
      <c r="R2245" s="34"/>
    </row>
    <row r="2246" spans="13:18">
      <c r="M2246" s="34"/>
      <c r="N2246" s="34"/>
      <c r="O2246" s="34"/>
      <c r="P2246" s="34"/>
      <c r="Q2246" s="34"/>
      <c r="R2246" s="34"/>
    </row>
    <row r="2247" spans="13:18">
      <c r="M2247" s="34"/>
      <c r="N2247" s="34"/>
      <c r="O2247" s="34"/>
      <c r="P2247" s="34"/>
      <c r="Q2247" s="34"/>
      <c r="R2247" s="34"/>
    </row>
    <row r="2248" spans="13:18">
      <c r="M2248" s="34"/>
      <c r="N2248" s="34"/>
      <c r="O2248" s="34"/>
      <c r="P2248" s="34"/>
      <c r="Q2248" s="34"/>
      <c r="R2248" s="34"/>
    </row>
    <row r="2249" spans="13:18">
      <c r="M2249" s="34"/>
      <c r="N2249" s="34"/>
      <c r="O2249" s="34"/>
      <c r="P2249" s="34"/>
      <c r="Q2249" s="34"/>
      <c r="R2249" s="34"/>
    </row>
    <row r="2250" spans="13:18">
      <c r="M2250" s="34"/>
      <c r="N2250" s="34"/>
      <c r="O2250" s="34"/>
      <c r="P2250" s="34"/>
      <c r="Q2250" s="34"/>
      <c r="R2250" s="34"/>
    </row>
    <row r="2251" spans="13:18">
      <c r="M2251" s="34"/>
      <c r="N2251" s="34"/>
      <c r="O2251" s="34"/>
      <c r="P2251" s="34"/>
      <c r="Q2251" s="34"/>
      <c r="R2251" s="34"/>
    </row>
    <row r="2252" spans="13:18">
      <c r="M2252" s="34"/>
      <c r="N2252" s="34"/>
      <c r="O2252" s="34"/>
      <c r="P2252" s="34"/>
      <c r="Q2252" s="34"/>
      <c r="R2252" s="34"/>
    </row>
    <row r="2253" spans="13:18">
      <c r="M2253" s="34"/>
      <c r="N2253" s="34"/>
      <c r="O2253" s="34"/>
      <c r="P2253" s="34"/>
      <c r="Q2253" s="34"/>
      <c r="R2253" s="34"/>
    </row>
    <row r="2254" spans="13:18">
      <c r="M2254" s="34"/>
      <c r="N2254" s="34"/>
      <c r="O2254" s="34"/>
      <c r="P2254" s="34"/>
      <c r="Q2254" s="34"/>
      <c r="R2254" s="34"/>
    </row>
    <row r="2255" spans="13:18">
      <c r="M2255" s="34"/>
      <c r="N2255" s="34"/>
      <c r="O2255" s="34"/>
      <c r="P2255" s="34"/>
      <c r="Q2255" s="34"/>
      <c r="R2255" s="34"/>
    </row>
    <row r="2256" spans="13:18">
      <c r="M2256" s="34"/>
      <c r="N2256" s="34"/>
      <c r="O2256" s="34"/>
      <c r="P2256" s="34"/>
      <c r="Q2256" s="34"/>
      <c r="R2256" s="34"/>
    </row>
    <row r="2257" spans="13:18">
      <c r="M2257" s="34"/>
      <c r="N2257" s="34"/>
      <c r="O2257" s="34"/>
      <c r="P2257" s="34"/>
      <c r="Q2257" s="34"/>
      <c r="R2257" s="34"/>
    </row>
    <row r="2258" spans="13:18">
      <c r="M2258" s="34"/>
      <c r="N2258" s="34"/>
      <c r="O2258" s="34"/>
      <c r="P2258" s="34"/>
      <c r="Q2258" s="34"/>
      <c r="R2258" s="34"/>
    </row>
    <row r="2259" spans="13:18">
      <c r="M2259" s="34"/>
      <c r="N2259" s="34"/>
      <c r="O2259" s="34"/>
      <c r="P2259" s="34"/>
      <c r="Q2259" s="34"/>
      <c r="R2259" s="34"/>
    </row>
    <row r="2260" spans="13:18">
      <c r="M2260" s="34"/>
      <c r="N2260" s="34"/>
      <c r="O2260" s="34"/>
      <c r="P2260" s="34"/>
      <c r="Q2260" s="34"/>
      <c r="R2260" s="34"/>
    </row>
    <row r="2261" spans="13:18">
      <c r="M2261" s="34"/>
      <c r="N2261" s="34"/>
      <c r="O2261" s="34"/>
      <c r="P2261" s="34"/>
      <c r="Q2261" s="34"/>
      <c r="R2261" s="34"/>
    </row>
    <row r="2262" spans="13:18">
      <c r="M2262" s="34"/>
      <c r="N2262" s="34"/>
      <c r="O2262" s="34"/>
      <c r="P2262" s="34"/>
      <c r="Q2262" s="34"/>
      <c r="R2262" s="34"/>
    </row>
    <row r="2263" spans="13:18">
      <c r="M2263" s="34"/>
      <c r="N2263" s="34"/>
      <c r="O2263" s="34"/>
      <c r="P2263" s="34"/>
      <c r="Q2263" s="34"/>
      <c r="R2263" s="34"/>
    </row>
    <row r="2264" spans="13:18">
      <c r="M2264" s="34"/>
      <c r="N2264" s="34"/>
      <c r="O2264" s="34"/>
      <c r="P2264" s="34"/>
      <c r="Q2264" s="34"/>
      <c r="R2264" s="34"/>
    </row>
    <row r="2265" spans="13:18">
      <c r="M2265" s="34"/>
      <c r="N2265" s="34"/>
      <c r="O2265" s="34"/>
      <c r="P2265" s="34"/>
      <c r="Q2265" s="34"/>
      <c r="R2265" s="34"/>
    </row>
    <row r="2266" spans="13:18">
      <c r="M2266" s="34"/>
      <c r="N2266" s="34"/>
      <c r="O2266" s="34"/>
      <c r="P2266" s="34"/>
      <c r="Q2266" s="34"/>
      <c r="R2266" s="34"/>
    </row>
    <row r="2267" spans="13:18">
      <c r="M2267" s="34"/>
      <c r="N2267" s="34"/>
      <c r="O2267" s="34"/>
      <c r="P2267" s="34"/>
      <c r="Q2267" s="34"/>
      <c r="R2267" s="34"/>
    </row>
    <row r="2268" spans="13:18">
      <c r="M2268" s="34"/>
      <c r="N2268" s="34"/>
      <c r="O2268" s="34"/>
      <c r="P2268" s="34"/>
      <c r="Q2268" s="34"/>
      <c r="R2268" s="34"/>
    </row>
    <row r="2269" spans="13:18">
      <c r="M2269" s="34"/>
      <c r="N2269" s="34"/>
      <c r="O2269" s="34"/>
      <c r="P2269" s="34"/>
      <c r="Q2269" s="34"/>
      <c r="R2269" s="34"/>
    </row>
    <row r="2270" spans="13:18">
      <c r="M2270" s="34"/>
      <c r="N2270" s="34"/>
      <c r="O2270" s="34"/>
      <c r="P2270" s="34"/>
      <c r="Q2270" s="34"/>
      <c r="R2270" s="34"/>
    </row>
    <row r="2271" spans="13:18">
      <c r="M2271" s="34"/>
      <c r="N2271" s="34"/>
      <c r="O2271" s="34"/>
      <c r="P2271" s="34"/>
      <c r="Q2271" s="34"/>
      <c r="R2271" s="34"/>
    </row>
    <row r="2272" spans="13:18">
      <c r="M2272" s="34"/>
      <c r="N2272" s="34"/>
      <c r="O2272" s="34"/>
      <c r="P2272" s="34"/>
      <c r="Q2272" s="34"/>
      <c r="R2272" s="34"/>
    </row>
    <row r="2273" spans="13:18">
      <c r="M2273" s="34"/>
      <c r="N2273" s="34"/>
      <c r="O2273" s="34"/>
      <c r="P2273" s="34"/>
      <c r="Q2273" s="34"/>
      <c r="R2273" s="34"/>
    </row>
    <row r="2274" spans="13:18">
      <c r="M2274" s="34"/>
      <c r="N2274" s="34"/>
      <c r="O2274" s="34"/>
      <c r="P2274" s="34"/>
      <c r="Q2274" s="34"/>
      <c r="R2274" s="34"/>
    </row>
    <row r="2275" spans="13:18">
      <c r="M2275" s="34"/>
      <c r="N2275" s="34"/>
      <c r="O2275" s="34"/>
      <c r="P2275" s="34"/>
      <c r="Q2275" s="34"/>
      <c r="R2275" s="34"/>
    </row>
    <row r="2276" spans="13:18">
      <c r="M2276" s="34"/>
      <c r="N2276" s="34"/>
      <c r="O2276" s="34"/>
      <c r="P2276" s="34"/>
      <c r="Q2276" s="34"/>
      <c r="R2276" s="34"/>
    </row>
    <row r="2277" spans="13:18">
      <c r="M2277" s="34"/>
      <c r="N2277" s="34"/>
      <c r="O2277" s="34"/>
      <c r="P2277" s="34"/>
      <c r="Q2277" s="34"/>
      <c r="R2277" s="34"/>
    </row>
    <row r="2278" spans="13:18">
      <c r="M2278" s="34"/>
      <c r="N2278" s="34"/>
      <c r="O2278" s="34"/>
      <c r="P2278" s="34"/>
      <c r="Q2278" s="34"/>
      <c r="R2278" s="34"/>
    </row>
    <row r="2279" spans="13:18">
      <c r="M2279" s="34"/>
      <c r="N2279" s="34"/>
      <c r="O2279" s="34"/>
      <c r="P2279" s="34"/>
      <c r="Q2279" s="34"/>
      <c r="R2279" s="34"/>
    </row>
    <row r="2280" spans="13:18">
      <c r="M2280" s="34"/>
      <c r="N2280" s="34"/>
      <c r="O2280" s="34"/>
      <c r="P2280" s="34"/>
      <c r="Q2280" s="34"/>
      <c r="R2280" s="34"/>
    </row>
    <row r="2281" spans="13:18">
      <c r="M2281" s="34"/>
      <c r="N2281" s="34"/>
      <c r="O2281" s="34"/>
      <c r="P2281" s="34"/>
      <c r="Q2281" s="34"/>
      <c r="R2281" s="34"/>
    </row>
    <row r="2282" spans="13:18">
      <c r="M2282" s="34"/>
      <c r="N2282" s="34"/>
      <c r="O2282" s="34"/>
      <c r="P2282" s="34"/>
      <c r="Q2282" s="34"/>
      <c r="R2282" s="34"/>
    </row>
    <row r="2283" spans="13:18">
      <c r="M2283" s="34"/>
      <c r="N2283" s="34"/>
      <c r="O2283" s="34"/>
      <c r="P2283" s="34"/>
      <c r="Q2283" s="34"/>
      <c r="R2283" s="34"/>
    </row>
    <row r="2284" spans="13:18">
      <c r="M2284" s="34"/>
      <c r="N2284" s="34"/>
      <c r="O2284" s="34"/>
      <c r="P2284" s="34"/>
      <c r="Q2284" s="34"/>
      <c r="R2284" s="34"/>
    </row>
    <row r="2285" spans="13:18">
      <c r="M2285" s="34"/>
      <c r="N2285" s="34"/>
      <c r="O2285" s="34"/>
      <c r="P2285" s="34"/>
      <c r="Q2285" s="34"/>
      <c r="R2285" s="34"/>
    </row>
    <row r="2286" spans="13:18">
      <c r="M2286" s="34"/>
      <c r="N2286" s="34"/>
      <c r="O2286" s="34"/>
      <c r="P2286" s="34"/>
      <c r="Q2286" s="34"/>
      <c r="R2286" s="34"/>
    </row>
    <row r="2287" spans="13:18">
      <c r="M2287" s="34"/>
      <c r="N2287" s="34"/>
      <c r="O2287" s="34"/>
      <c r="P2287" s="34"/>
      <c r="Q2287" s="34"/>
      <c r="R2287" s="34"/>
    </row>
    <row r="2288" spans="13:18">
      <c r="M2288" s="34"/>
      <c r="N2288" s="34"/>
      <c r="O2288" s="34"/>
      <c r="P2288" s="34"/>
      <c r="Q2288" s="34"/>
      <c r="R2288" s="34"/>
    </row>
    <row r="2289" spans="13:18">
      <c r="M2289" s="34"/>
      <c r="N2289" s="34"/>
      <c r="O2289" s="34"/>
      <c r="P2289" s="34"/>
      <c r="Q2289" s="34"/>
      <c r="R2289" s="34"/>
    </row>
    <row r="2290" spans="13:18">
      <c r="M2290" s="34"/>
      <c r="N2290" s="34"/>
      <c r="O2290" s="34"/>
      <c r="P2290" s="34"/>
      <c r="Q2290" s="34"/>
      <c r="R2290" s="34"/>
    </row>
    <row r="2291" spans="13:18">
      <c r="M2291" s="34"/>
      <c r="N2291" s="34"/>
      <c r="O2291" s="34"/>
      <c r="P2291" s="34"/>
      <c r="Q2291" s="34"/>
      <c r="R2291" s="34"/>
    </row>
    <row r="2292" spans="13:18">
      <c r="M2292" s="34"/>
      <c r="N2292" s="34"/>
      <c r="O2292" s="34"/>
      <c r="P2292" s="34"/>
      <c r="Q2292" s="34"/>
      <c r="R2292" s="34"/>
    </row>
    <row r="2293" spans="13:18">
      <c r="M2293" s="34"/>
      <c r="N2293" s="34"/>
      <c r="O2293" s="34"/>
      <c r="P2293" s="34"/>
      <c r="Q2293" s="34"/>
      <c r="R2293" s="34"/>
    </row>
    <row r="2294" spans="13:18">
      <c r="M2294" s="34"/>
      <c r="N2294" s="34"/>
      <c r="O2294" s="34"/>
      <c r="P2294" s="34"/>
      <c r="Q2294" s="34"/>
      <c r="R2294" s="34"/>
    </row>
    <row r="2295" spans="13:18">
      <c r="M2295" s="34"/>
      <c r="N2295" s="34"/>
      <c r="O2295" s="34"/>
      <c r="P2295" s="34"/>
      <c r="Q2295" s="34"/>
      <c r="R2295" s="34"/>
    </row>
    <row r="2296" spans="13:18">
      <c r="M2296" s="34"/>
      <c r="N2296" s="34"/>
      <c r="O2296" s="34"/>
      <c r="P2296" s="34"/>
      <c r="Q2296" s="34"/>
      <c r="R2296" s="34"/>
    </row>
    <row r="2297" spans="13:18">
      <c r="M2297" s="34"/>
      <c r="N2297" s="34"/>
      <c r="O2297" s="34"/>
      <c r="P2297" s="34"/>
      <c r="Q2297" s="34"/>
      <c r="R2297" s="34"/>
    </row>
    <row r="2298" spans="13:18">
      <c r="M2298" s="34"/>
      <c r="N2298" s="34"/>
      <c r="O2298" s="34"/>
      <c r="P2298" s="34"/>
      <c r="Q2298" s="34"/>
      <c r="R2298" s="34"/>
    </row>
    <row r="2299" spans="13:18">
      <c r="M2299" s="34"/>
      <c r="N2299" s="34"/>
      <c r="O2299" s="34"/>
      <c r="P2299" s="34"/>
      <c r="Q2299" s="34"/>
      <c r="R2299" s="34"/>
    </row>
    <row r="2300" spans="13:18">
      <c r="M2300" s="34"/>
      <c r="N2300" s="34"/>
      <c r="O2300" s="34"/>
      <c r="P2300" s="34"/>
      <c r="Q2300" s="34"/>
      <c r="R2300" s="34"/>
    </row>
    <row r="2301" spans="13:18">
      <c r="M2301" s="34"/>
      <c r="N2301" s="34"/>
      <c r="O2301" s="34"/>
      <c r="P2301" s="34"/>
      <c r="Q2301" s="34"/>
      <c r="R2301" s="34"/>
    </row>
    <row r="2302" spans="13:18">
      <c r="M2302" s="34"/>
      <c r="N2302" s="34"/>
      <c r="O2302" s="34"/>
      <c r="P2302" s="34"/>
      <c r="Q2302" s="34"/>
      <c r="R2302" s="34"/>
    </row>
    <row r="2303" spans="13:18">
      <c r="M2303" s="34"/>
      <c r="N2303" s="34"/>
      <c r="O2303" s="34"/>
      <c r="P2303" s="34"/>
      <c r="Q2303" s="34"/>
      <c r="R2303" s="34"/>
    </row>
    <row r="2304" spans="13:18">
      <c r="M2304" s="34"/>
      <c r="N2304" s="34"/>
      <c r="O2304" s="34"/>
      <c r="P2304" s="34"/>
      <c r="Q2304" s="34"/>
      <c r="R2304" s="34"/>
    </row>
    <row r="2305" spans="13:18">
      <c r="M2305" s="34"/>
      <c r="N2305" s="34"/>
      <c r="O2305" s="34"/>
      <c r="P2305" s="34"/>
      <c r="Q2305" s="34"/>
      <c r="R2305" s="34"/>
    </row>
    <row r="2306" spans="13:18">
      <c r="M2306" s="34"/>
      <c r="N2306" s="34"/>
      <c r="O2306" s="34"/>
      <c r="P2306" s="34"/>
      <c r="Q2306" s="34"/>
      <c r="R2306" s="34"/>
    </row>
    <row r="2307" spans="13:18">
      <c r="M2307" s="34"/>
      <c r="N2307" s="34"/>
      <c r="O2307" s="34"/>
      <c r="P2307" s="34"/>
      <c r="Q2307" s="34"/>
      <c r="R2307" s="34"/>
    </row>
    <row r="2308" spans="13:18">
      <c r="M2308" s="34"/>
      <c r="N2308" s="34"/>
      <c r="O2308" s="34"/>
      <c r="P2308" s="34"/>
      <c r="Q2308" s="34"/>
      <c r="R2308" s="34"/>
    </row>
    <row r="2309" spans="13:18">
      <c r="M2309" s="34"/>
      <c r="N2309" s="34"/>
      <c r="O2309" s="34"/>
      <c r="P2309" s="34"/>
      <c r="Q2309" s="34"/>
      <c r="R2309" s="34"/>
    </row>
    <row r="2310" spans="13:18">
      <c r="M2310" s="34"/>
      <c r="N2310" s="34"/>
      <c r="O2310" s="34"/>
      <c r="P2310" s="34"/>
      <c r="Q2310" s="34"/>
      <c r="R2310" s="34"/>
    </row>
    <row r="2311" spans="13:18">
      <c r="M2311" s="34"/>
      <c r="N2311" s="34"/>
      <c r="O2311" s="34"/>
      <c r="P2311" s="34"/>
      <c r="Q2311" s="34"/>
      <c r="R2311" s="34"/>
    </row>
    <row r="2312" spans="13:18">
      <c r="M2312" s="34"/>
      <c r="N2312" s="34"/>
      <c r="O2312" s="34"/>
      <c r="P2312" s="34"/>
      <c r="Q2312" s="34"/>
      <c r="R2312" s="34"/>
    </row>
    <row r="2313" spans="13:18">
      <c r="M2313" s="34"/>
      <c r="N2313" s="34"/>
      <c r="O2313" s="34"/>
      <c r="P2313" s="34"/>
      <c r="Q2313" s="34"/>
      <c r="R2313" s="34"/>
    </row>
    <row r="2314" spans="13:18">
      <c r="M2314" s="34"/>
      <c r="N2314" s="34"/>
      <c r="O2314" s="34"/>
      <c r="P2314" s="34"/>
      <c r="Q2314" s="34"/>
      <c r="R2314" s="34"/>
    </row>
    <row r="2315" spans="13:18">
      <c r="M2315" s="34"/>
      <c r="N2315" s="34"/>
      <c r="O2315" s="34"/>
      <c r="P2315" s="34"/>
      <c r="Q2315" s="34"/>
      <c r="R2315" s="34"/>
    </row>
    <row r="2316" spans="13:18">
      <c r="M2316" s="34"/>
      <c r="N2316" s="34"/>
      <c r="O2316" s="34"/>
      <c r="P2316" s="34"/>
      <c r="Q2316" s="34"/>
      <c r="R2316" s="34"/>
    </row>
    <row r="2317" spans="13:18">
      <c r="M2317" s="34"/>
      <c r="N2317" s="34"/>
      <c r="O2317" s="34"/>
      <c r="P2317" s="34"/>
      <c r="Q2317" s="34"/>
      <c r="R2317" s="34"/>
    </row>
    <row r="2318" spans="13:18">
      <c r="M2318" s="34"/>
      <c r="N2318" s="34"/>
      <c r="O2318" s="34"/>
      <c r="P2318" s="34"/>
      <c r="Q2318" s="34"/>
      <c r="R2318" s="34"/>
    </row>
    <row r="2319" spans="13:18">
      <c r="M2319" s="34"/>
      <c r="N2319" s="34"/>
      <c r="O2319" s="34"/>
      <c r="P2319" s="34"/>
      <c r="Q2319" s="34"/>
      <c r="R2319" s="34"/>
    </row>
    <row r="2320" spans="13:18">
      <c r="M2320" s="34"/>
      <c r="N2320" s="34"/>
      <c r="O2320" s="34"/>
      <c r="P2320" s="34"/>
      <c r="Q2320" s="34"/>
      <c r="R2320" s="34"/>
    </row>
    <row r="2321" spans="13:18">
      <c r="M2321" s="34"/>
      <c r="N2321" s="34"/>
      <c r="O2321" s="34"/>
      <c r="P2321" s="34"/>
      <c r="Q2321" s="34"/>
      <c r="R2321" s="34"/>
    </row>
    <row r="2322" spans="13:18">
      <c r="M2322" s="34"/>
      <c r="N2322" s="34"/>
      <c r="O2322" s="34"/>
      <c r="P2322" s="34"/>
      <c r="Q2322" s="34"/>
      <c r="R2322" s="34"/>
    </row>
    <row r="2323" spans="13:18">
      <c r="M2323" s="34"/>
      <c r="N2323" s="34"/>
      <c r="O2323" s="34"/>
      <c r="P2323" s="34"/>
      <c r="Q2323" s="34"/>
      <c r="R2323" s="34"/>
    </row>
    <row r="2324" spans="13:18">
      <c r="M2324" s="34"/>
      <c r="N2324" s="34"/>
      <c r="O2324" s="34"/>
      <c r="P2324" s="34"/>
      <c r="Q2324" s="34"/>
      <c r="R2324" s="34"/>
    </row>
    <row r="2325" spans="13:18">
      <c r="M2325" s="34"/>
      <c r="N2325" s="34"/>
      <c r="O2325" s="34"/>
      <c r="P2325" s="34"/>
      <c r="Q2325" s="34"/>
      <c r="R2325" s="34"/>
    </row>
    <row r="2326" spans="13:18">
      <c r="M2326" s="34"/>
      <c r="N2326" s="34"/>
      <c r="O2326" s="34"/>
      <c r="P2326" s="34"/>
      <c r="Q2326" s="34"/>
      <c r="R2326" s="34"/>
    </row>
    <row r="2327" spans="13:18">
      <c r="M2327" s="34"/>
      <c r="N2327" s="34"/>
      <c r="O2327" s="34"/>
      <c r="P2327" s="34"/>
      <c r="Q2327" s="34"/>
      <c r="R2327" s="34"/>
    </row>
    <row r="2328" spans="13:18">
      <c r="M2328" s="34"/>
      <c r="N2328" s="34"/>
      <c r="O2328" s="34"/>
      <c r="P2328" s="34"/>
      <c r="Q2328" s="34"/>
      <c r="R2328" s="34"/>
    </row>
    <row r="2329" spans="13:18">
      <c r="M2329" s="34"/>
      <c r="N2329" s="34"/>
      <c r="O2329" s="34"/>
      <c r="P2329" s="34"/>
      <c r="Q2329" s="34"/>
      <c r="R2329" s="34"/>
    </row>
    <row r="2330" spans="13:18">
      <c r="M2330" s="34"/>
      <c r="N2330" s="34"/>
      <c r="O2330" s="34"/>
      <c r="P2330" s="34"/>
      <c r="Q2330" s="34"/>
      <c r="R2330" s="34"/>
    </row>
    <row r="2331" spans="13:18">
      <c r="M2331" s="34"/>
      <c r="N2331" s="34"/>
      <c r="O2331" s="34"/>
      <c r="P2331" s="34"/>
      <c r="Q2331" s="34"/>
      <c r="R2331" s="34"/>
    </row>
    <row r="2332" spans="13:18">
      <c r="M2332" s="34"/>
      <c r="N2332" s="34"/>
      <c r="O2332" s="34"/>
      <c r="P2332" s="34"/>
      <c r="Q2332" s="34"/>
      <c r="R2332" s="34"/>
    </row>
    <row r="2333" spans="13:18">
      <c r="M2333" s="34"/>
      <c r="N2333" s="34"/>
      <c r="O2333" s="34"/>
      <c r="P2333" s="34"/>
      <c r="Q2333" s="34"/>
      <c r="R2333" s="34"/>
    </row>
    <row r="2334" spans="13:18">
      <c r="M2334" s="34"/>
      <c r="N2334" s="34"/>
      <c r="O2334" s="34"/>
      <c r="P2334" s="34"/>
      <c r="Q2334" s="34"/>
      <c r="R2334" s="34"/>
    </row>
    <row r="2335" spans="13:18">
      <c r="M2335" s="34"/>
      <c r="N2335" s="34"/>
      <c r="O2335" s="34"/>
      <c r="P2335" s="34"/>
      <c r="Q2335" s="34"/>
      <c r="R2335" s="34"/>
    </row>
    <row r="2336" spans="13:18">
      <c r="M2336" s="34"/>
      <c r="N2336" s="34"/>
      <c r="O2336" s="34"/>
      <c r="P2336" s="34"/>
      <c r="Q2336" s="34"/>
      <c r="R2336" s="34"/>
    </row>
    <row r="2337" spans="13:18">
      <c r="M2337" s="34"/>
      <c r="N2337" s="34"/>
      <c r="O2337" s="34"/>
      <c r="P2337" s="34"/>
      <c r="Q2337" s="34"/>
      <c r="R2337" s="34"/>
    </row>
    <row r="2338" spans="13:18">
      <c r="M2338" s="34"/>
      <c r="N2338" s="34"/>
      <c r="O2338" s="34"/>
      <c r="P2338" s="34"/>
      <c r="Q2338" s="34"/>
      <c r="R2338" s="34"/>
    </row>
    <row r="2339" spans="13:18">
      <c r="M2339" s="34"/>
      <c r="N2339" s="34"/>
      <c r="O2339" s="34"/>
      <c r="P2339" s="34"/>
      <c r="Q2339" s="34"/>
      <c r="R2339" s="34"/>
    </row>
    <row r="2340" spans="13:18">
      <c r="M2340" s="34"/>
      <c r="N2340" s="34"/>
      <c r="O2340" s="34"/>
      <c r="P2340" s="34"/>
      <c r="Q2340" s="34"/>
      <c r="R2340" s="34"/>
    </row>
    <row r="2341" spans="13:18">
      <c r="M2341" s="34"/>
      <c r="N2341" s="34"/>
      <c r="O2341" s="34"/>
      <c r="P2341" s="34"/>
      <c r="Q2341" s="34"/>
      <c r="R2341" s="34"/>
    </row>
    <row r="2342" spans="13:18">
      <c r="M2342" s="34"/>
      <c r="N2342" s="34"/>
      <c r="O2342" s="34"/>
      <c r="P2342" s="34"/>
      <c r="Q2342" s="34"/>
      <c r="R2342" s="34"/>
    </row>
    <row r="2343" spans="13:18">
      <c r="M2343" s="34"/>
      <c r="N2343" s="34"/>
      <c r="O2343" s="34"/>
      <c r="P2343" s="34"/>
      <c r="Q2343" s="34"/>
      <c r="R2343" s="34"/>
    </row>
    <row r="2344" spans="13:18">
      <c r="M2344" s="34"/>
      <c r="N2344" s="34"/>
      <c r="O2344" s="34"/>
      <c r="P2344" s="34"/>
      <c r="Q2344" s="34"/>
      <c r="R2344" s="34"/>
    </row>
    <row r="2345" spans="13:18">
      <c r="M2345" s="34"/>
      <c r="N2345" s="34"/>
      <c r="O2345" s="34"/>
      <c r="P2345" s="34"/>
      <c r="Q2345" s="34"/>
      <c r="R2345" s="34"/>
    </row>
    <row r="2346" spans="13:18">
      <c r="M2346" s="34"/>
      <c r="N2346" s="34"/>
      <c r="O2346" s="34"/>
      <c r="P2346" s="34"/>
      <c r="Q2346" s="34"/>
      <c r="R2346" s="34"/>
    </row>
    <row r="2347" spans="13:18">
      <c r="M2347" s="34"/>
      <c r="N2347" s="34"/>
      <c r="O2347" s="34"/>
      <c r="P2347" s="34"/>
      <c r="Q2347" s="34"/>
      <c r="R2347" s="34"/>
    </row>
    <row r="2348" spans="13:18">
      <c r="M2348" s="34"/>
      <c r="N2348" s="34"/>
      <c r="O2348" s="34"/>
      <c r="P2348" s="34"/>
      <c r="Q2348" s="34"/>
      <c r="R2348" s="34"/>
    </row>
    <row r="2349" spans="13:18">
      <c r="M2349" s="34"/>
      <c r="N2349" s="34"/>
      <c r="O2349" s="34"/>
      <c r="P2349" s="34"/>
      <c r="Q2349" s="34"/>
      <c r="R2349" s="34"/>
    </row>
    <row r="2350" spans="13:18">
      <c r="M2350" s="34"/>
      <c r="N2350" s="34"/>
      <c r="O2350" s="34"/>
      <c r="P2350" s="34"/>
      <c r="Q2350" s="34"/>
      <c r="R2350" s="34"/>
    </row>
    <row r="2351" spans="13:18">
      <c r="M2351" s="34"/>
      <c r="N2351" s="34"/>
      <c r="O2351" s="34"/>
      <c r="P2351" s="34"/>
      <c r="Q2351" s="34"/>
      <c r="R2351" s="34"/>
    </row>
    <row r="2352" spans="13:18">
      <c r="M2352" s="34"/>
      <c r="N2352" s="34"/>
      <c r="O2352" s="34"/>
      <c r="P2352" s="34"/>
      <c r="Q2352" s="34"/>
      <c r="R2352" s="34"/>
    </row>
    <row r="2353" spans="13:18">
      <c r="M2353" s="34"/>
      <c r="N2353" s="34"/>
      <c r="O2353" s="34"/>
      <c r="P2353" s="34"/>
      <c r="Q2353" s="34"/>
      <c r="R2353" s="34"/>
    </row>
    <row r="2354" spans="13:18">
      <c r="M2354" s="34"/>
      <c r="N2354" s="34"/>
      <c r="O2354" s="34"/>
      <c r="P2354" s="34"/>
      <c r="Q2354" s="34"/>
      <c r="R2354" s="34"/>
    </row>
    <row r="2355" spans="13:18">
      <c r="M2355" s="34"/>
      <c r="N2355" s="34"/>
      <c r="O2355" s="34"/>
      <c r="P2355" s="34"/>
      <c r="Q2355" s="34"/>
      <c r="R2355" s="34"/>
    </row>
    <row r="2356" spans="13:18">
      <c r="M2356" s="34"/>
      <c r="N2356" s="34"/>
      <c r="O2356" s="34"/>
      <c r="P2356" s="34"/>
      <c r="Q2356" s="34"/>
      <c r="R2356" s="34"/>
    </row>
    <row r="2357" spans="13:18">
      <c r="M2357" s="34"/>
      <c r="N2357" s="34"/>
      <c r="O2357" s="34"/>
      <c r="P2357" s="34"/>
      <c r="Q2357" s="34"/>
      <c r="R2357" s="34"/>
    </row>
    <row r="2358" spans="13:18">
      <c r="M2358" s="34"/>
      <c r="N2358" s="34"/>
      <c r="O2358" s="34"/>
      <c r="P2358" s="34"/>
      <c r="Q2358" s="34"/>
      <c r="R2358" s="34"/>
    </row>
    <row r="2359" spans="13:18">
      <c r="M2359" s="34"/>
      <c r="N2359" s="34"/>
      <c r="O2359" s="34"/>
      <c r="P2359" s="34"/>
      <c r="Q2359" s="34"/>
      <c r="R2359" s="34"/>
    </row>
    <row r="2360" spans="13:18">
      <c r="M2360" s="34"/>
      <c r="N2360" s="34"/>
      <c r="O2360" s="34"/>
      <c r="P2360" s="34"/>
      <c r="Q2360" s="34"/>
      <c r="R2360" s="34"/>
    </row>
    <row r="2361" spans="13:18">
      <c r="M2361" s="34"/>
      <c r="N2361" s="34"/>
      <c r="O2361" s="34"/>
      <c r="P2361" s="34"/>
      <c r="Q2361" s="34"/>
      <c r="R2361" s="34"/>
    </row>
    <row r="2362" spans="13:18">
      <c r="M2362" s="34"/>
      <c r="N2362" s="34"/>
      <c r="O2362" s="34"/>
      <c r="P2362" s="34"/>
      <c r="Q2362" s="34"/>
      <c r="R2362" s="34"/>
    </row>
    <row r="2363" spans="13:18">
      <c r="M2363" s="34"/>
      <c r="N2363" s="34"/>
      <c r="O2363" s="34"/>
      <c r="P2363" s="34"/>
      <c r="Q2363" s="34"/>
      <c r="R2363" s="34"/>
    </row>
    <row r="2364" spans="13:18">
      <c r="M2364" s="34"/>
      <c r="N2364" s="34"/>
      <c r="O2364" s="34"/>
      <c r="P2364" s="34"/>
      <c r="Q2364" s="34"/>
      <c r="R2364" s="34"/>
    </row>
    <row r="2365" spans="13:18">
      <c r="M2365" s="34"/>
      <c r="N2365" s="34"/>
      <c r="O2365" s="34"/>
      <c r="P2365" s="34"/>
      <c r="Q2365" s="34"/>
      <c r="R2365" s="34"/>
    </row>
    <row r="2366" spans="13:18">
      <c r="M2366" s="34"/>
      <c r="N2366" s="34"/>
      <c r="O2366" s="34"/>
      <c r="P2366" s="34"/>
      <c r="Q2366" s="34"/>
      <c r="R2366" s="34"/>
    </row>
    <row r="2367" spans="13:18">
      <c r="M2367" s="34"/>
      <c r="N2367" s="34"/>
      <c r="O2367" s="34"/>
      <c r="P2367" s="34"/>
      <c r="Q2367" s="34"/>
      <c r="R2367" s="34"/>
    </row>
    <row r="2368" spans="13:18">
      <c r="M2368" s="34"/>
      <c r="N2368" s="34"/>
      <c r="O2368" s="34"/>
      <c r="P2368" s="34"/>
      <c r="Q2368" s="34"/>
      <c r="R2368" s="34"/>
    </row>
    <row r="2369" spans="13:18">
      <c r="M2369" s="34"/>
      <c r="N2369" s="34"/>
      <c r="O2369" s="34"/>
      <c r="P2369" s="34"/>
      <c r="Q2369" s="34"/>
      <c r="R2369" s="34"/>
    </row>
    <row r="2370" spans="13:18">
      <c r="M2370" s="34"/>
      <c r="N2370" s="34"/>
      <c r="O2370" s="34"/>
      <c r="P2370" s="34"/>
      <c r="Q2370" s="34"/>
      <c r="R2370" s="34"/>
    </row>
    <row r="2371" spans="13:18">
      <c r="M2371" s="34"/>
      <c r="N2371" s="34"/>
      <c r="O2371" s="34"/>
      <c r="P2371" s="34"/>
      <c r="Q2371" s="34"/>
      <c r="R2371" s="34"/>
    </row>
    <row r="2372" spans="13:18">
      <c r="M2372" s="34"/>
      <c r="N2372" s="34"/>
      <c r="O2372" s="34"/>
      <c r="P2372" s="34"/>
      <c r="Q2372" s="34"/>
      <c r="R2372" s="34"/>
    </row>
    <row r="2373" spans="13:18">
      <c r="M2373" s="34"/>
      <c r="N2373" s="34"/>
      <c r="O2373" s="34"/>
      <c r="P2373" s="34"/>
      <c r="Q2373" s="34"/>
      <c r="R2373" s="34"/>
    </row>
    <row r="2374" spans="13:18">
      <c r="M2374" s="34"/>
      <c r="N2374" s="34"/>
      <c r="O2374" s="34"/>
      <c r="P2374" s="34"/>
      <c r="Q2374" s="34"/>
      <c r="R2374" s="34"/>
    </row>
    <row r="2375" spans="13:18">
      <c r="M2375" s="34"/>
      <c r="N2375" s="34"/>
      <c r="O2375" s="34"/>
      <c r="P2375" s="34"/>
      <c r="Q2375" s="34"/>
      <c r="R2375" s="34"/>
    </row>
    <row r="2376" spans="13:18">
      <c r="M2376" s="34"/>
      <c r="N2376" s="34"/>
      <c r="O2376" s="34"/>
      <c r="P2376" s="34"/>
      <c r="Q2376" s="34"/>
      <c r="R2376" s="34"/>
    </row>
    <row r="2377" spans="13:18">
      <c r="M2377" s="34"/>
      <c r="N2377" s="34"/>
      <c r="O2377" s="34"/>
      <c r="P2377" s="34"/>
      <c r="Q2377" s="34"/>
      <c r="R2377" s="34"/>
    </row>
    <row r="2378" spans="13:18">
      <c r="M2378" s="34"/>
      <c r="N2378" s="34"/>
      <c r="O2378" s="34"/>
      <c r="P2378" s="34"/>
      <c r="Q2378" s="34"/>
      <c r="R2378" s="34"/>
    </row>
    <row r="2379" spans="13:18">
      <c r="M2379" s="34"/>
      <c r="N2379" s="34"/>
      <c r="O2379" s="34"/>
      <c r="P2379" s="34"/>
      <c r="Q2379" s="34"/>
      <c r="R2379" s="34"/>
    </row>
    <row r="2380" spans="13:18">
      <c r="M2380" s="34"/>
      <c r="N2380" s="34"/>
      <c r="O2380" s="34"/>
      <c r="P2380" s="34"/>
      <c r="Q2380" s="34"/>
      <c r="R2380" s="34"/>
    </row>
    <row r="2381" spans="13:18">
      <c r="M2381" s="34"/>
      <c r="N2381" s="34"/>
      <c r="O2381" s="34"/>
      <c r="P2381" s="34"/>
      <c r="Q2381" s="34"/>
      <c r="R2381" s="34"/>
    </row>
    <row r="2382" spans="13:18">
      <c r="M2382" s="34"/>
      <c r="N2382" s="34"/>
      <c r="O2382" s="34"/>
      <c r="P2382" s="34"/>
      <c r="Q2382" s="34"/>
      <c r="R2382" s="34"/>
    </row>
    <row r="2383" spans="13:18">
      <c r="M2383" s="34"/>
      <c r="N2383" s="34"/>
      <c r="O2383" s="34"/>
      <c r="P2383" s="34"/>
      <c r="Q2383" s="34"/>
      <c r="R2383" s="34"/>
    </row>
    <row r="2384" spans="13:18">
      <c r="M2384" s="34"/>
      <c r="N2384" s="34"/>
      <c r="O2384" s="34"/>
      <c r="P2384" s="34"/>
      <c r="Q2384" s="34"/>
      <c r="R2384" s="34"/>
    </row>
    <row r="2385" spans="13:18">
      <c r="M2385" s="34"/>
      <c r="N2385" s="34"/>
      <c r="O2385" s="34"/>
      <c r="P2385" s="34"/>
      <c r="Q2385" s="34"/>
      <c r="R2385" s="34"/>
    </row>
    <row r="2386" spans="13:18">
      <c r="M2386" s="34"/>
      <c r="N2386" s="34"/>
      <c r="O2386" s="34"/>
      <c r="P2386" s="34"/>
      <c r="Q2386" s="34"/>
      <c r="R2386" s="34"/>
    </row>
    <row r="2387" spans="13:18">
      <c r="M2387" s="34"/>
      <c r="N2387" s="34"/>
      <c r="O2387" s="34"/>
      <c r="P2387" s="34"/>
      <c r="Q2387" s="34"/>
      <c r="R2387" s="34"/>
    </row>
    <row r="2388" spans="13:18">
      <c r="M2388" s="34"/>
      <c r="N2388" s="34"/>
      <c r="O2388" s="34"/>
      <c r="P2388" s="34"/>
      <c r="Q2388" s="34"/>
      <c r="R2388" s="34"/>
    </row>
    <row r="2389" spans="13:18">
      <c r="M2389" s="34"/>
      <c r="N2389" s="34"/>
      <c r="O2389" s="34"/>
      <c r="P2389" s="34"/>
      <c r="Q2389" s="34"/>
      <c r="R2389" s="34"/>
    </row>
    <row r="2390" spans="13:18">
      <c r="M2390" s="34"/>
      <c r="N2390" s="34"/>
      <c r="O2390" s="34"/>
      <c r="P2390" s="34"/>
      <c r="Q2390" s="34"/>
      <c r="R2390" s="34"/>
    </row>
    <row r="2391" spans="13:18">
      <c r="M2391" s="34"/>
      <c r="N2391" s="34"/>
      <c r="O2391" s="34"/>
      <c r="P2391" s="34"/>
      <c r="Q2391" s="34"/>
      <c r="R2391" s="34"/>
    </row>
    <row r="2392" spans="13:18">
      <c r="M2392" s="34"/>
      <c r="N2392" s="34"/>
      <c r="O2392" s="34"/>
      <c r="P2392" s="34"/>
      <c r="Q2392" s="34"/>
      <c r="R2392" s="34"/>
    </row>
    <row r="2393" spans="13:18">
      <c r="M2393" s="34"/>
      <c r="N2393" s="34"/>
      <c r="O2393" s="34"/>
      <c r="P2393" s="34"/>
      <c r="Q2393" s="34"/>
      <c r="R2393" s="34"/>
    </row>
    <row r="2394" spans="13:18">
      <c r="M2394" s="34"/>
      <c r="N2394" s="34"/>
      <c r="O2394" s="34"/>
      <c r="P2394" s="34"/>
      <c r="Q2394" s="34"/>
      <c r="R2394" s="34"/>
    </row>
    <row r="2395" spans="13:18">
      <c r="M2395" s="34"/>
      <c r="N2395" s="34"/>
      <c r="O2395" s="34"/>
      <c r="P2395" s="34"/>
      <c r="Q2395" s="34"/>
      <c r="R2395" s="34"/>
    </row>
    <row r="2396" spans="13:18">
      <c r="M2396" s="34"/>
      <c r="N2396" s="34"/>
      <c r="O2396" s="34"/>
      <c r="P2396" s="34"/>
      <c r="Q2396" s="34"/>
      <c r="R2396" s="34"/>
    </row>
    <row r="2397" spans="13:18">
      <c r="M2397" s="34"/>
      <c r="N2397" s="34"/>
      <c r="O2397" s="34"/>
      <c r="P2397" s="34"/>
      <c r="Q2397" s="34"/>
      <c r="R2397" s="34"/>
    </row>
    <row r="2398" spans="13:18">
      <c r="M2398" s="34"/>
      <c r="N2398" s="34"/>
      <c r="O2398" s="34"/>
      <c r="P2398" s="34"/>
      <c r="Q2398" s="34"/>
      <c r="R2398" s="34"/>
    </row>
    <row r="2399" spans="13:18">
      <c r="M2399" s="34"/>
      <c r="N2399" s="34"/>
      <c r="O2399" s="34"/>
      <c r="P2399" s="34"/>
      <c r="Q2399" s="34"/>
      <c r="R2399" s="34"/>
    </row>
    <row r="2400" spans="13:18">
      <c r="M2400" s="34"/>
      <c r="N2400" s="34"/>
      <c r="O2400" s="34"/>
      <c r="P2400" s="34"/>
      <c r="Q2400" s="34"/>
      <c r="R2400" s="34"/>
    </row>
    <row r="2401" spans="13:18">
      <c r="M2401" s="34"/>
      <c r="N2401" s="34"/>
      <c r="O2401" s="34"/>
      <c r="P2401" s="34"/>
      <c r="Q2401" s="34"/>
      <c r="R2401" s="34"/>
    </row>
    <row r="2402" spans="13:18">
      <c r="M2402" s="34"/>
      <c r="N2402" s="34"/>
      <c r="O2402" s="34"/>
      <c r="P2402" s="34"/>
      <c r="Q2402" s="34"/>
      <c r="R2402" s="34"/>
    </row>
    <row r="2403" spans="13:18">
      <c r="M2403" s="34"/>
      <c r="N2403" s="34"/>
      <c r="O2403" s="34"/>
      <c r="P2403" s="34"/>
      <c r="Q2403" s="34"/>
      <c r="R2403" s="34"/>
    </row>
    <row r="2404" spans="13:18">
      <c r="M2404" s="34"/>
      <c r="N2404" s="34"/>
      <c r="O2404" s="34"/>
      <c r="P2404" s="34"/>
      <c r="Q2404" s="34"/>
      <c r="R2404" s="34"/>
    </row>
    <row r="2405" spans="13:18">
      <c r="M2405" s="34"/>
      <c r="N2405" s="34"/>
      <c r="O2405" s="34"/>
      <c r="P2405" s="34"/>
      <c r="Q2405" s="34"/>
      <c r="R2405" s="34"/>
    </row>
    <row r="2406" spans="13:18">
      <c r="M2406" s="34"/>
      <c r="N2406" s="34"/>
      <c r="O2406" s="34"/>
      <c r="P2406" s="34"/>
      <c r="Q2406" s="34"/>
      <c r="R2406" s="34"/>
    </row>
    <row r="2407" spans="13:18">
      <c r="M2407" s="34"/>
      <c r="N2407" s="34"/>
      <c r="O2407" s="34"/>
      <c r="P2407" s="34"/>
      <c r="Q2407" s="34"/>
      <c r="R2407" s="34"/>
    </row>
    <row r="2408" spans="13:18">
      <c r="M2408" s="34"/>
      <c r="N2408" s="34"/>
      <c r="O2408" s="34"/>
      <c r="P2408" s="34"/>
      <c r="Q2408" s="34"/>
      <c r="R2408" s="34"/>
    </row>
    <row r="2409" spans="13:18">
      <c r="M2409" s="34"/>
      <c r="N2409" s="34"/>
      <c r="O2409" s="34"/>
      <c r="P2409" s="34"/>
      <c r="Q2409" s="34"/>
      <c r="R2409" s="34"/>
    </row>
    <row r="2410" spans="13:18">
      <c r="M2410" s="34"/>
      <c r="N2410" s="34"/>
      <c r="O2410" s="34"/>
      <c r="P2410" s="34"/>
      <c r="Q2410" s="34"/>
      <c r="R2410" s="34"/>
    </row>
    <row r="2411" spans="13:18">
      <c r="M2411" s="34"/>
      <c r="N2411" s="34"/>
      <c r="O2411" s="34"/>
      <c r="P2411" s="34"/>
      <c r="Q2411" s="34"/>
      <c r="R2411" s="34"/>
    </row>
    <row r="2412" spans="13:18">
      <c r="M2412" s="34"/>
      <c r="N2412" s="34"/>
      <c r="O2412" s="34"/>
      <c r="P2412" s="34"/>
      <c r="Q2412" s="34"/>
      <c r="R2412" s="34"/>
    </row>
    <row r="2413" spans="13:18">
      <c r="M2413" s="34"/>
      <c r="N2413" s="34"/>
      <c r="O2413" s="34"/>
      <c r="P2413" s="34"/>
      <c r="Q2413" s="34"/>
      <c r="R2413" s="34"/>
    </row>
    <row r="2414" spans="13:18">
      <c r="M2414" s="34"/>
      <c r="N2414" s="34"/>
      <c r="O2414" s="34"/>
      <c r="P2414" s="34"/>
      <c r="Q2414" s="34"/>
      <c r="R2414" s="34"/>
    </row>
    <row r="2415" spans="13:18">
      <c r="M2415" s="34"/>
      <c r="N2415" s="34"/>
      <c r="O2415" s="34"/>
      <c r="P2415" s="34"/>
      <c r="Q2415" s="34"/>
      <c r="R2415" s="34"/>
    </row>
    <row r="2416" spans="13:18">
      <c r="M2416" s="34"/>
      <c r="N2416" s="34"/>
      <c r="O2416" s="34"/>
      <c r="P2416" s="34"/>
      <c r="Q2416" s="34"/>
      <c r="R2416" s="34"/>
    </row>
    <row r="2417" spans="13:18">
      <c r="M2417" s="34"/>
      <c r="N2417" s="34"/>
      <c r="O2417" s="34"/>
      <c r="P2417" s="34"/>
      <c r="Q2417" s="34"/>
      <c r="R2417" s="34"/>
    </row>
    <row r="2418" spans="13:18">
      <c r="M2418" s="34"/>
      <c r="N2418" s="34"/>
      <c r="O2418" s="34"/>
      <c r="P2418" s="34"/>
      <c r="Q2418" s="34"/>
      <c r="R2418" s="34"/>
    </row>
    <row r="2419" spans="13:18">
      <c r="M2419" s="34"/>
      <c r="N2419" s="34"/>
      <c r="O2419" s="34"/>
      <c r="P2419" s="34"/>
      <c r="Q2419" s="34"/>
      <c r="R2419" s="34"/>
    </row>
    <row r="2420" spans="13:18">
      <c r="M2420" s="34"/>
      <c r="N2420" s="34"/>
      <c r="O2420" s="34"/>
      <c r="P2420" s="34"/>
      <c r="Q2420" s="34"/>
      <c r="R2420" s="34"/>
    </row>
    <row r="2421" spans="13:18">
      <c r="M2421" s="34"/>
      <c r="N2421" s="34"/>
      <c r="O2421" s="34"/>
      <c r="P2421" s="34"/>
      <c r="Q2421" s="34"/>
      <c r="R2421" s="34"/>
    </row>
    <row r="2422" spans="13:18">
      <c r="M2422" s="34"/>
      <c r="N2422" s="34"/>
      <c r="O2422" s="34"/>
      <c r="P2422" s="34"/>
      <c r="Q2422" s="34"/>
      <c r="R2422" s="34"/>
    </row>
    <row r="2423" spans="13:18">
      <c r="M2423" s="34"/>
      <c r="N2423" s="34"/>
      <c r="O2423" s="34"/>
      <c r="P2423" s="34"/>
      <c r="Q2423" s="34"/>
      <c r="R2423" s="34"/>
    </row>
    <row r="2424" spans="13:18">
      <c r="M2424" s="34"/>
      <c r="N2424" s="34"/>
      <c r="O2424" s="34"/>
      <c r="P2424" s="34"/>
      <c r="Q2424" s="34"/>
      <c r="R2424" s="34"/>
    </row>
    <row r="2425" spans="13:18">
      <c r="M2425" s="34"/>
      <c r="N2425" s="34"/>
      <c r="O2425" s="34"/>
      <c r="P2425" s="34"/>
      <c r="Q2425" s="34"/>
      <c r="R2425" s="34"/>
    </row>
    <row r="2426" spans="13:18">
      <c r="M2426" s="34"/>
      <c r="N2426" s="34"/>
      <c r="O2426" s="34"/>
      <c r="P2426" s="34"/>
      <c r="Q2426" s="34"/>
      <c r="R2426" s="34"/>
    </row>
    <row r="2427" spans="13:18">
      <c r="M2427" s="34"/>
      <c r="N2427" s="34"/>
      <c r="O2427" s="34"/>
      <c r="P2427" s="34"/>
      <c r="Q2427" s="34"/>
      <c r="R2427" s="34"/>
    </row>
    <row r="2428" spans="13:18">
      <c r="M2428" s="34"/>
      <c r="N2428" s="34"/>
      <c r="O2428" s="34"/>
      <c r="P2428" s="34"/>
      <c r="Q2428" s="34"/>
      <c r="R2428" s="34"/>
    </row>
    <row r="2429" spans="13:18">
      <c r="M2429" s="34"/>
      <c r="N2429" s="34"/>
      <c r="O2429" s="34"/>
      <c r="P2429" s="34"/>
      <c r="Q2429" s="34"/>
      <c r="R2429" s="34"/>
    </row>
    <row r="2430" spans="13:18">
      <c r="M2430" s="34"/>
      <c r="N2430" s="34"/>
      <c r="O2430" s="34"/>
      <c r="P2430" s="34"/>
      <c r="Q2430" s="34"/>
      <c r="R2430" s="34"/>
    </row>
    <row r="2431" spans="13:18">
      <c r="M2431" s="34"/>
      <c r="N2431" s="34"/>
      <c r="O2431" s="34"/>
      <c r="P2431" s="34"/>
      <c r="Q2431" s="34"/>
      <c r="R2431" s="34"/>
    </row>
    <row r="2432" spans="13:18">
      <c r="M2432" s="34"/>
      <c r="N2432" s="34"/>
      <c r="O2432" s="34"/>
      <c r="P2432" s="34"/>
      <c r="Q2432" s="34"/>
      <c r="R2432" s="34"/>
    </row>
    <row r="2433" spans="13:18">
      <c r="M2433" s="34"/>
      <c r="N2433" s="34"/>
      <c r="O2433" s="34"/>
      <c r="P2433" s="34"/>
      <c r="Q2433" s="34"/>
      <c r="R2433" s="34"/>
    </row>
    <row r="2434" spans="13:18">
      <c r="M2434" s="34"/>
      <c r="N2434" s="34"/>
      <c r="O2434" s="34"/>
      <c r="P2434" s="34"/>
      <c r="Q2434" s="34"/>
      <c r="R2434" s="34"/>
    </row>
    <row r="2435" spans="13:18">
      <c r="M2435" s="34"/>
      <c r="N2435" s="34"/>
      <c r="O2435" s="34"/>
      <c r="P2435" s="34"/>
      <c r="Q2435" s="34"/>
      <c r="R2435" s="34"/>
    </row>
    <row r="2436" spans="13:18">
      <c r="M2436" s="34"/>
      <c r="N2436" s="34"/>
      <c r="O2436" s="34"/>
      <c r="P2436" s="34"/>
      <c r="Q2436" s="34"/>
      <c r="R2436" s="34"/>
    </row>
    <row r="2437" spans="13:18">
      <c r="M2437" s="34"/>
      <c r="N2437" s="34"/>
      <c r="O2437" s="34"/>
      <c r="P2437" s="34"/>
      <c r="Q2437" s="34"/>
      <c r="R2437" s="34"/>
    </row>
    <row r="2438" spans="13:18">
      <c r="M2438" s="34"/>
      <c r="N2438" s="34"/>
      <c r="O2438" s="34"/>
      <c r="P2438" s="34"/>
      <c r="Q2438" s="34"/>
      <c r="R2438" s="34"/>
    </row>
    <row r="2439" spans="13:18">
      <c r="M2439" s="34"/>
      <c r="N2439" s="34"/>
      <c r="O2439" s="34"/>
      <c r="P2439" s="34"/>
      <c r="Q2439" s="34"/>
      <c r="R2439" s="34"/>
    </row>
    <row r="2440" spans="13:18">
      <c r="M2440" s="34"/>
      <c r="N2440" s="34"/>
      <c r="O2440" s="34"/>
      <c r="P2440" s="34"/>
      <c r="Q2440" s="34"/>
      <c r="R2440" s="34"/>
    </row>
    <row r="2441" spans="13:18">
      <c r="M2441" s="34"/>
      <c r="N2441" s="34"/>
      <c r="O2441" s="34"/>
      <c r="P2441" s="34"/>
      <c r="Q2441" s="34"/>
      <c r="R2441" s="34"/>
    </row>
    <row r="2442" spans="13:18">
      <c r="M2442" s="34"/>
      <c r="N2442" s="34"/>
      <c r="O2442" s="34"/>
      <c r="P2442" s="34"/>
      <c r="Q2442" s="34"/>
      <c r="R2442" s="34"/>
    </row>
    <row r="2443" spans="13:18">
      <c r="M2443" s="34"/>
      <c r="N2443" s="34"/>
      <c r="O2443" s="34"/>
      <c r="P2443" s="34"/>
      <c r="Q2443" s="34"/>
      <c r="R2443" s="34"/>
    </row>
    <row r="2444" spans="13:18">
      <c r="M2444" s="34"/>
      <c r="N2444" s="34"/>
      <c r="O2444" s="34"/>
      <c r="P2444" s="34"/>
      <c r="Q2444" s="34"/>
      <c r="R2444" s="34"/>
    </row>
    <row r="2445" spans="13:18">
      <c r="M2445" s="34"/>
      <c r="N2445" s="34"/>
      <c r="O2445" s="34"/>
      <c r="P2445" s="34"/>
      <c r="Q2445" s="34"/>
      <c r="R2445" s="34"/>
    </row>
    <row r="2446" spans="13:18">
      <c r="M2446" s="34"/>
      <c r="N2446" s="34"/>
      <c r="O2446" s="34"/>
      <c r="P2446" s="34"/>
      <c r="Q2446" s="34"/>
      <c r="R2446" s="34"/>
    </row>
    <row r="2447" spans="13:18">
      <c r="M2447" s="34"/>
      <c r="N2447" s="34"/>
      <c r="O2447" s="34"/>
      <c r="P2447" s="34"/>
      <c r="Q2447" s="34"/>
      <c r="R2447" s="34"/>
    </row>
    <row r="2448" spans="13:18">
      <c r="M2448" s="34"/>
      <c r="N2448" s="34"/>
      <c r="O2448" s="34"/>
      <c r="P2448" s="34"/>
      <c r="Q2448" s="34"/>
      <c r="R2448" s="34"/>
    </row>
    <row r="2449" spans="13:18">
      <c r="M2449" s="34"/>
      <c r="N2449" s="34"/>
      <c r="O2449" s="34"/>
      <c r="P2449" s="34"/>
      <c r="Q2449" s="34"/>
      <c r="R2449" s="34"/>
    </row>
    <row r="2450" spans="13:18">
      <c r="M2450" s="34"/>
      <c r="N2450" s="34"/>
      <c r="O2450" s="34"/>
      <c r="P2450" s="34"/>
      <c r="Q2450" s="34"/>
      <c r="R2450" s="34"/>
    </row>
    <row r="2451" spans="13:18">
      <c r="M2451" s="34"/>
      <c r="N2451" s="34"/>
      <c r="O2451" s="34"/>
      <c r="P2451" s="34"/>
      <c r="Q2451" s="34"/>
      <c r="R2451" s="34"/>
    </row>
    <row r="2452" spans="13:18">
      <c r="M2452" s="34"/>
      <c r="N2452" s="34"/>
      <c r="O2452" s="34"/>
      <c r="P2452" s="34"/>
      <c r="Q2452" s="34"/>
      <c r="R2452" s="34"/>
    </row>
    <row r="2453" spans="13:18">
      <c r="M2453" s="34"/>
      <c r="N2453" s="34"/>
      <c r="O2453" s="34"/>
      <c r="P2453" s="34"/>
      <c r="Q2453" s="34"/>
      <c r="R2453" s="34"/>
    </row>
    <row r="2454" spans="13:18">
      <c r="M2454" s="34"/>
      <c r="N2454" s="34"/>
      <c r="O2454" s="34"/>
      <c r="P2454" s="34"/>
      <c r="Q2454" s="34"/>
      <c r="R2454" s="34"/>
    </row>
    <row r="2455" spans="13:18">
      <c r="M2455" s="34"/>
      <c r="N2455" s="34"/>
      <c r="O2455" s="34"/>
      <c r="P2455" s="34"/>
      <c r="Q2455" s="34"/>
      <c r="R2455" s="34"/>
    </row>
    <row r="2456" spans="13:18">
      <c r="M2456" s="34"/>
      <c r="N2456" s="34"/>
      <c r="O2456" s="34"/>
      <c r="P2456" s="34"/>
      <c r="Q2456" s="34"/>
      <c r="R2456" s="34"/>
    </row>
    <row r="2457" spans="13:18">
      <c r="M2457" s="34"/>
      <c r="N2457" s="34"/>
      <c r="O2457" s="34"/>
      <c r="P2457" s="34"/>
      <c r="Q2457" s="34"/>
      <c r="R2457" s="34"/>
    </row>
    <row r="2458" spans="13:18">
      <c r="M2458" s="34"/>
      <c r="N2458" s="34"/>
      <c r="O2458" s="34"/>
      <c r="P2458" s="34"/>
      <c r="Q2458" s="34"/>
      <c r="R2458" s="34"/>
    </row>
    <row r="2459" spans="13:18">
      <c r="M2459" s="34"/>
      <c r="N2459" s="34"/>
      <c r="O2459" s="34"/>
      <c r="P2459" s="34"/>
      <c r="Q2459" s="34"/>
      <c r="R2459" s="34"/>
    </row>
    <row r="2460" spans="13:18">
      <c r="M2460" s="34"/>
      <c r="N2460" s="34"/>
      <c r="O2460" s="34"/>
      <c r="P2460" s="34"/>
      <c r="Q2460" s="34"/>
      <c r="R2460" s="34"/>
    </row>
    <row r="2461" spans="13:18">
      <c r="M2461" s="34"/>
      <c r="N2461" s="34"/>
      <c r="O2461" s="34"/>
      <c r="P2461" s="34"/>
      <c r="Q2461" s="34"/>
      <c r="R2461" s="34"/>
    </row>
    <row r="2462" spans="13:18">
      <c r="M2462" s="34"/>
      <c r="N2462" s="34"/>
      <c r="O2462" s="34"/>
      <c r="P2462" s="34"/>
      <c r="Q2462" s="34"/>
      <c r="R2462" s="34"/>
    </row>
    <row r="2463" spans="13:18">
      <c r="M2463" s="34"/>
      <c r="N2463" s="34"/>
      <c r="O2463" s="34"/>
      <c r="P2463" s="34"/>
      <c r="Q2463" s="34"/>
      <c r="R2463" s="34"/>
    </row>
    <row r="2464" spans="13:18">
      <c r="M2464" s="34"/>
      <c r="N2464" s="34"/>
      <c r="O2464" s="34"/>
      <c r="P2464" s="34"/>
      <c r="Q2464" s="34"/>
      <c r="R2464" s="34"/>
    </row>
    <row r="2465" spans="13:18">
      <c r="M2465" s="34"/>
      <c r="N2465" s="34"/>
      <c r="O2465" s="34"/>
      <c r="P2465" s="34"/>
      <c r="Q2465" s="34"/>
      <c r="R2465" s="34"/>
    </row>
    <row r="2466" spans="13:18">
      <c r="M2466" s="34"/>
      <c r="N2466" s="34"/>
      <c r="O2466" s="34"/>
      <c r="P2466" s="34"/>
      <c r="Q2466" s="34"/>
      <c r="R2466" s="34"/>
    </row>
    <row r="2467" spans="13:18">
      <c r="M2467" s="34"/>
      <c r="N2467" s="34"/>
      <c r="O2467" s="34"/>
      <c r="P2467" s="34"/>
      <c r="Q2467" s="34"/>
      <c r="R2467" s="34"/>
    </row>
    <row r="2468" spans="13:18">
      <c r="M2468" s="34"/>
      <c r="N2468" s="34"/>
      <c r="O2468" s="34"/>
      <c r="P2468" s="34"/>
      <c r="Q2468" s="34"/>
      <c r="R2468" s="34"/>
    </row>
    <row r="2469" spans="13:18">
      <c r="M2469" s="34"/>
      <c r="N2469" s="34"/>
      <c r="O2469" s="34"/>
      <c r="P2469" s="34"/>
      <c r="Q2469" s="34"/>
      <c r="R2469" s="34"/>
    </row>
    <row r="2470" spans="13:18">
      <c r="M2470" s="34"/>
      <c r="N2470" s="34"/>
      <c r="O2470" s="34"/>
      <c r="P2470" s="34"/>
      <c r="Q2470" s="34"/>
      <c r="R2470" s="34"/>
    </row>
    <row r="2471" spans="13:18">
      <c r="M2471" s="34"/>
      <c r="N2471" s="34"/>
      <c r="O2471" s="34"/>
      <c r="P2471" s="34"/>
      <c r="Q2471" s="34"/>
      <c r="R2471" s="34"/>
    </row>
    <row r="2472" spans="13:18">
      <c r="M2472" s="34"/>
      <c r="N2472" s="34"/>
      <c r="O2472" s="34"/>
      <c r="P2472" s="34"/>
      <c r="Q2472" s="34"/>
      <c r="R2472" s="34"/>
    </row>
    <row r="2473" spans="13:18">
      <c r="M2473" s="34"/>
      <c r="N2473" s="34"/>
      <c r="O2473" s="34"/>
      <c r="P2473" s="34"/>
      <c r="Q2473" s="34"/>
      <c r="R2473" s="34"/>
    </row>
    <row r="2474" spans="13:18">
      <c r="M2474" s="34"/>
      <c r="N2474" s="34"/>
      <c r="O2474" s="34"/>
      <c r="P2474" s="34"/>
      <c r="Q2474" s="34"/>
      <c r="R2474" s="34"/>
    </row>
    <row r="2475" spans="13:18">
      <c r="M2475" s="34"/>
      <c r="N2475" s="34"/>
      <c r="O2475" s="34"/>
      <c r="P2475" s="34"/>
      <c r="Q2475" s="34"/>
      <c r="R2475" s="34"/>
    </row>
    <row r="2476" spans="13:18">
      <c r="M2476" s="34"/>
      <c r="N2476" s="34"/>
      <c r="O2476" s="34"/>
      <c r="P2476" s="34"/>
      <c r="Q2476" s="34"/>
      <c r="R2476" s="34"/>
    </row>
    <row r="2477" spans="13:18">
      <c r="M2477" s="34"/>
      <c r="N2477" s="34"/>
      <c r="O2477" s="34"/>
      <c r="P2477" s="34"/>
      <c r="Q2477" s="34"/>
      <c r="R2477" s="34"/>
    </row>
    <row r="2478" spans="13:18">
      <c r="M2478" s="34"/>
      <c r="N2478" s="34"/>
      <c r="O2478" s="34"/>
      <c r="P2478" s="34"/>
      <c r="Q2478" s="34"/>
      <c r="R2478" s="34"/>
    </row>
    <row r="2479" spans="13:18">
      <c r="M2479" s="34"/>
      <c r="N2479" s="34"/>
      <c r="O2479" s="34"/>
      <c r="P2479" s="34"/>
      <c r="Q2479" s="34"/>
      <c r="R2479" s="34"/>
    </row>
    <row r="2480" spans="13:18">
      <c r="M2480" s="34"/>
      <c r="N2480" s="34"/>
      <c r="O2480" s="34"/>
      <c r="P2480" s="34"/>
      <c r="Q2480" s="34"/>
      <c r="R2480" s="34"/>
    </row>
    <row r="2481" spans="13:18">
      <c r="M2481" s="34"/>
      <c r="N2481" s="34"/>
      <c r="O2481" s="34"/>
      <c r="P2481" s="34"/>
      <c r="Q2481" s="34"/>
      <c r="R2481" s="34"/>
    </row>
    <row r="2482" spans="13:18">
      <c r="M2482" s="34"/>
      <c r="N2482" s="34"/>
      <c r="O2482" s="34"/>
      <c r="P2482" s="34"/>
      <c r="Q2482" s="34"/>
      <c r="R2482" s="34"/>
    </row>
    <row r="2483" spans="13:18">
      <c r="M2483" s="34"/>
      <c r="N2483" s="34"/>
      <c r="O2483" s="34"/>
      <c r="P2483" s="34"/>
      <c r="Q2483" s="34"/>
      <c r="R2483" s="34"/>
    </row>
    <row r="2484" spans="13:18">
      <c r="M2484" s="34"/>
      <c r="N2484" s="34"/>
      <c r="O2484" s="34"/>
      <c r="P2484" s="34"/>
      <c r="Q2484" s="34"/>
      <c r="R2484" s="34"/>
    </row>
    <row r="2485" spans="13:18">
      <c r="M2485" s="34"/>
      <c r="N2485" s="34"/>
      <c r="O2485" s="34"/>
      <c r="P2485" s="34"/>
      <c r="Q2485" s="34"/>
      <c r="R2485" s="34"/>
    </row>
    <row r="2486" spans="13:18">
      <c r="M2486" s="34"/>
      <c r="N2486" s="34"/>
      <c r="O2486" s="34"/>
      <c r="P2486" s="34"/>
      <c r="Q2486" s="34"/>
      <c r="R2486" s="34"/>
    </row>
    <row r="2487" spans="13:18">
      <c r="M2487" s="34"/>
      <c r="N2487" s="34"/>
      <c r="O2487" s="34"/>
      <c r="P2487" s="34"/>
      <c r="Q2487" s="34"/>
      <c r="R2487" s="34"/>
    </row>
    <row r="2488" spans="13:18">
      <c r="M2488" s="34"/>
      <c r="N2488" s="34"/>
      <c r="O2488" s="34"/>
      <c r="P2488" s="34"/>
      <c r="Q2488" s="34"/>
      <c r="R2488" s="34"/>
    </row>
    <row r="2489" spans="13:18">
      <c r="M2489" s="34"/>
      <c r="N2489" s="34"/>
      <c r="O2489" s="34"/>
      <c r="P2489" s="34"/>
      <c r="Q2489" s="34"/>
      <c r="R2489" s="34"/>
    </row>
    <row r="2490" spans="13:18">
      <c r="M2490" s="34"/>
      <c r="N2490" s="34"/>
      <c r="O2490" s="34"/>
      <c r="P2490" s="34"/>
      <c r="Q2490" s="34"/>
      <c r="R2490" s="34"/>
    </row>
    <row r="2491" spans="13:18">
      <c r="M2491" s="34"/>
      <c r="N2491" s="34"/>
      <c r="O2491" s="34"/>
      <c r="P2491" s="34"/>
      <c r="Q2491" s="34"/>
      <c r="R2491" s="34"/>
    </row>
    <row r="2492" spans="13:18">
      <c r="M2492" s="34"/>
      <c r="N2492" s="34"/>
      <c r="O2492" s="34"/>
      <c r="P2492" s="34"/>
      <c r="Q2492" s="34"/>
      <c r="R2492" s="34"/>
    </row>
    <row r="2493" spans="13:18">
      <c r="M2493" s="34"/>
      <c r="N2493" s="34"/>
      <c r="O2493" s="34"/>
      <c r="P2493" s="34"/>
      <c r="Q2493" s="34"/>
      <c r="R2493" s="34"/>
    </row>
    <row r="2494" spans="13:18">
      <c r="M2494" s="34"/>
      <c r="N2494" s="34"/>
      <c r="O2494" s="34"/>
      <c r="P2494" s="34"/>
      <c r="Q2494" s="34"/>
      <c r="R2494" s="34"/>
    </row>
    <row r="2495" spans="13:18">
      <c r="M2495" s="34"/>
      <c r="N2495" s="34"/>
      <c r="O2495" s="34"/>
      <c r="P2495" s="34"/>
      <c r="Q2495" s="34"/>
      <c r="R2495" s="34"/>
    </row>
    <row r="2496" spans="13:18">
      <c r="M2496" s="34"/>
      <c r="N2496" s="34"/>
      <c r="O2496" s="34"/>
      <c r="P2496" s="34"/>
      <c r="Q2496" s="34"/>
      <c r="R2496" s="34"/>
    </row>
    <row r="2497" spans="13:18">
      <c r="M2497" s="34"/>
      <c r="N2497" s="34"/>
      <c r="O2497" s="34"/>
      <c r="P2497" s="34"/>
      <c r="Q2497" s="34"/>
      <c r="R2497" s="34"/>
    </row>
    <row r="2498" spans="13:18">
      <c r="M2498" s="34"/>
      <c r="N2498" s="34"/>
      <c r="O2498" s="34"/>
      <c r="P2498" s="34"/>
      <c r="Q2498" s="34"/>
      <c r="R2498" s="34"/>
    </row>
    <row r="2499" spans="13:18">
      <c r="M2499" s="34"/>
      <c r="N2499" s="34"/>
      <c r="O2499" s="34"/>
      <c r="P2499" s="34"/>
      <c r="Q2499" s="34"/>
      <c r="R2499" s="34"/>
    </row>
    <row r="2500" spans="13:18">
      <c r="M2500" s="34"/>
      <c r="N2500" s="34"/>
      <c r="O2500" s="34"/>
      <c r="P2500" s="34"/>
      <c r="Q2500" s="34"/>
      <c r="R2500" s="34"/>
    </row>
    <row r="2501" spans="13:18">
      <c r="M2501" s="34"/>
      <c r="N2501" s="34"/>
      <c r="O2501" s="34"/>
      <c r="P2501" s="34"/>
      <c r="Q2501" s="34"/>
      <c r="R2501" s="34"/>
    </row>
    <row r="2502" spans="13:18">
      <c r="M2502" s="34"/>
      <c r="N2502" s="34"/>
      <c r="O2502" s="34"/>
      <c r="P2502" s="34"/>
      <c r="Q2502" s="34"/>
      <c r="R2502" s="34"/>
    </row>
    <row r="2503" spans="13:18">
      <c r="M2503" s="34"/>
      <c r="N2503" s="34"/>
      <c r="O2503" s="34"/>
      <c r="P2503" s="34"/>
      <c r="Q2503" s="34"/>
      <c r="R2503" s="34"/>
    </row>
    <row r="2504" spans="13:18">
      <c r="M2504" s="34"/>
      <c r="N2504" s="34"/>
      <c r="O2504" s="34"/>
      <c r="P2504" s="34"/>
      <c r="Q2504" s="34"/>
      <c r="R2504" s="34"/>
    </row>
    <row r="2505" spans="13:18">
      <c r="M2505" s="34"/>
      <c r="N2505" s="34"/>
      <c r="O2505" s="34"/>
      <c r="P2505" s="34"/>
      <c r="Q2505" s="34"/>
      <c r="R2505" s="34"/>
    </row>
    <row r="2506" spans="13:18">
      <c r="M2506" s="34"/>
      <c r="N2506" s="34"/>
      <c r="O2506" s="34"/>
      <c r="P2506" s="34"/>
      <c r="Q2506" s="34"/>
      <c r="R2506" s="34"/>
    </row>
    <row r="2507" spans="13:18">
      <c r="M2507" s="34"/>
      <c r="N2507" s="34"/>
      <c r="O2507" s="34"/>
      <c r="P2507" s="34"/>
      <c r="Q2507" s="34"/>
      <c r="R2507" s="34"/>
    </row>
    <row r="2508" spans="13:18">
      <c r="M2508" s="34"/>
      <c r="N2508" s="34"/>
      <c r="O2508" s="34"/>
      <c r="P2508" s="34"/>
      <c r="Q2508" s="34"/>
      <c r="R2508" s="34"/>
    </row>
    <row r="2509" spans="13:18">
      <c r="M2509" s="34"/>
      <c r="N2509" s="34"/>
      <c r="O2509" s="34"/>
      <c r="P2509" s="34"/>
      <c r="Q2509" s="34"/>
      <c r="R2509" s="34"/>
    </row>
    <row r="2510" spans="13:18">
      <c r="M2510" s="34"/>
      <c r="N2510" s="34"/>
      <c r="O2510" s="34"/>
      <c r="P2510" s="34"/>
      <c r="Q2510" s="34"/>
      <c r="R2510" s="34"/>
    </row>
    <row r="2511" spans="13:18">
      <c r="M2511" s="34"/>
      <c r="N2511" s="34"/>
      <c r="O2511" s="34"/>
      <c r="P2511" s="34"/>
      <c r="Q2511" s="34"/>
      <c r="R2511" s="34"/>
    </row>
    <row r="2512" spans="13:18">
      <c r="M2512" s="34"/>
      <c r="N2512" s="34"/>
      <c r="O2512" s="34"/>
      <c r="P2512" s="34"/>
      <c r="Q2512" s="34"/>
      <c r="R2512" s="34"/>
    </row>
    <row r="2513" spans="13:18">
      <c r="M2513" s="34"/>
      <c r="N2513" s="34"/>
      <c r="O2513" s="34"/>
      <c r="P2513" s="34"/>
      <c r="Q2513" s="34"/>
      <c r="R2513" s="34"/>
    </row>
    <row r="2514" spans="13:18">
      <c r="M2514" s="34"/>
      <c r="N2514" s="34"/>
      <c r="O2514" s="34"/>
      <c r="P2514" s="34"/>
      <c r="Q2514" s="34"/>
      <c r="R2514" s="34"/>
    </row>
    <row r="2515" spans="13:18">
      <c r="M2515" s="34"/>
      <c r="N2515" s="34"/>
      <c r="O2515" s="34"/>
      <c r="P2515" s="34"/>
      <c r="Q2515" s="34"/>
      <c r="R2515" s="34"/>
    </row>
    <row r="2516" spans="13:18">
      <c r="M2516" s="34"/>
      <c r="N2516" s="34"/>
      <c r="O2516" s="34"/>
      <c r="P2516" s="34"/>
      <c r="Q2516" s="34"/>
      <c r="R2516" s="34"/>
    </row>
    <row r="2517" spans="13:18">
      <c r="M2517" s="34"/>
      <c r="N2517" s="34"/>
      <c r="O2517" s="34"/>
      <c r="P2517" s="34"/>
      <c r="Q2517" s="34"/>
      <c r="R2517" s="34"/>
    </row>
    <row r="2518" spans="13:18">
      <c r="M2518" s="34"/>
      <c r="N2518" s="34"/>
      <c r="O2518" s="34"/>
      <c r="P2518" s="34"/>
      <c r="Q2518" s="34"/>
      <c r="R2518" s="34"/>
    </row>
    <row r="2519" spans="13:18">
      <c r="M2519" s="34"/>
      <c r="N2519" s="34"/>
      <c r="O2519" s="34"/>
      <c r="P2519" s="34"/>
      <c r="Q2519" s="34"/>
      <c r="R2519" s="34"/>
    </row>
    <row r="2520" spans="13:18">
      <c r="M2520" s="34"/>
      <c r="N2520" s="34"/>
      <c r="O2520" s="34"/>
      <c r="P2520" s="34"/>
      <c r="Q2520" s="34"/>
      <c r="R2520" s="34"/>
    </row>
    <row r="2521" spans="13:18">
      <c r="M2521" s="34"/>
      <c r="N2521" s="34"/>
      <c r="O2521" s="34"/>
      <c r="P2521" s="34"/>
      <c r="Q2521" s="34"/>
      <c r="R2521" s="34"/>
    </row>
    <row r="2522" spans="13:18">
      <c r="M2522" s="34"/>
      <c r="N2522" s="34"/>
      <c r="O2522" s="34"/>
      <c r="P2522" s="34"/>
      <c r="Q2522" s="34"/>
      <c r="R2522" s="34"/>
    </row>
    <row r="2523" spans="13:18">
      <c r="M2523" s="34"/>
      <c r="N2523" s="34"/>
      <c r="O2523" s="34"/>
      <c r="P2523" s="34"/>
      <c r="Q2523" s="34"/>
      <c r="R2523" s="34"/>
    </row>
    <row r="2524" spans="13:18">
      <c r="M2524" s="34"/>
      <c r="N2524" s="34"/>
      <c r="O2524" s="34"/>
      <c r="P2524" s="34"/>
      <c r="Q2524" s="34"/>
      <c r="R2524" s="34"/>
    </row>
    <row r="2525" spans="13:18">
      <c r="M2525" s="34"/>
      <c r="N2525" s="34"/>
      <c r="O2525" s="34"/>
      <c r="P2525" s="34"/>
      <c r="Q2525" s="34"/>
      <c r="R2525" s="34"/>
    </row>
    <row r="2526" spans="13:18">
      <c r="M2526" s="34"/>
      <c r="N2526" s="34"/>
      <c r="O2526" s="34"/>
      <c r="P2526" s="34"/>
      <c r="Q2526" s="34"/>
      <c r="R2526" s="34"/>
    </row>
    <row r="2527" spans="13:18">
      <c r="M2527" s="34"/>
      <c r="N2527" s="34"/>
      <c r="O2527" s="34"/>
      <c r="P2527" s="34"/>
      <c r="Q2527" s="34"/>
      <c r="R2527" s="34"/>
    </row>
    <row r="2528" spans="13:18">
      <c r="M2528" s="34"/>
      <c r="N2528" s="34"/>
      <c r="O2528" s="34"/>
      <c r="P2528" s="34"/>
      <c r="Q2528" s="34"/>
      <c r="R2528" s="34"/>
    </row>
    <row r="2529" spans="13:18">
      <c r="M2529" s="34"/>
      <c r="N2529" s="34"/>
      <c r="O2529" s="34"/>
      <c r="P2529" s="34"/>
      <c r="Q2529" s="34"/>
      <c r="R2529" s="34"/>
    </row>
    <row r="2530" spans="13:18">
      <c r="M2530" s="34"/>
      <c r="N2530" s="34"/>
      <c r="O2530" s="34"/>
      <c r="P2530" s="34"/>
      <c r="Q2530" s="34"/>
      <c r="R2530" s="34"/>
    </row>
    <row r="2531" spans="13:18">
      <c r="M2531" s="34"/>
      <c r="N2531" s="34"/>
      <c r="O2531" s="34"/>
      <c r="P2531" s="34"/>
      <c r="Q2531" s="34"/>
      <c r="R2531" s="34"/>
    </row>
    <row r="2532" spans="13:18">
      <c r="M2532" s="34"/>
      <c r="N2532" s="34"/>
      <c r="O2532" s="34"/>
      <c r="P2532" s="34"/>
      <c r="Q2532" s="34"/>
      <c r="R2532" s="34"/>
    </row>
    <row r="2533" spans="13:18">
      <c r="M2533" s="34"/>
      <c r="N2533" s="34"/>
      <c r="O2533" s="34"/>
      <c r="P2533" s="34"/>
      <c r="Q2533" s="34"/>
      <c r="R2533" s="34"/>
    </row>
    <row r="2534" spans="13:18">
      <c r="M2534" s="34"/>
      <c r="N2534" s="34"/>
      <c r="O2534" s="34"/>
      <c r="P2534" s="34"/>
      <c r="Q2534" s="34"/>
      <c r="R2534" s="34"/>
    </row>
    <row r="2535" spans="13:18">
      <c r="M2535" s="34"/>
      <c r="N2535" s="34"/>
      <c r="O2535" s="34"/>
      <c r="P2535" s="34"/>
      <c r="Q2535" s="34"/>
      <c r="R2535" s="34"/>
    </row>
    <row r="2536" spans="13:18">
      <c r="M2536" s="34"/>
      <c r="N2536" s="34"/>
      <c r="O2536" s="34"/>
      <c r="P2536" s="34"/>
      <c r="Q2536" s="34"/>
      <c r="R2536" s="34"/>
    </row>
    <row r="2537" spans="13:18">
      <c r="M2537" s="34"/>
      <c r="N2537" s="34"/>
      <c r="O2537" s="34"/>
      <c r="P2537" s="34"/>
      <c r="Q2537" s="34"/>
      <c r="R2537" s="34"/>
    </row>
    <row r="2538" spans="13:18">
      <c r="M2538" s="34"/>
      <c r="N2538" s="34"/>
      <c r="O2538" s="34"/>
      <c r="P2538" s="34"/>
      <c r="Q2538" s="34"/>
      <c r="R2538" s="34"/>
    </row>
    <row r="2539" spans="13:18">
      <c r="M2539" s="34"/>
      <c r="N2539" s="34"/>
      <c r="O2539" s="34"/>
      <c r="P2539" s="34"/>
      <c r="Q2539" s="34"/>
      <c r="R2539" s="34"/>
    </row>
    <row r="2540" spans="13:18">
      <c r="M2540" s="34"/>
      <c r="N2540" s="34"/>
      <c r="O2540" s="34"/>
      <c r="P2540" s="34"/>
      <c r="Q2540" s="34"/>
      <c r="R2540" s="34"/>
    </row>
    <row r="2541" spans="13:18">
      <c r="M2541" s="34"/>
      <c r="N2541" s="34"/>
      <c r="O2541" s="34"/>
      <c r="P2541" s="34"/>
      <c r="Q2541" s="34"/>
      <c r="R2541" s="34"/>
    </row>
    <row r="2542" spans="13:18">
      <c r="M2542" s="34"/>
      <c r="N2542" s="34"/>
      <c r="O2542" s="34"/>
      <c r="P2542" s="34"/>
      <c r="Q2542" s="34"/>
      <c r="R2542" s="34"/>
    </row>
    <row r="2543" spans="13:18">
      <c r="M2543" s="34"/>
      <c r="N2543" s="34"/>
      <c r="O2543" s="34"/>
      <c r="P2543" s="34"/>
      <c r="Q2543" s="34"/>
      <c r="R2543" s="34"/>
    </row>
    <row r="2544" spans="13:18">
      <c r="M2544" s="34"/>
      <c r="N2544" s="34"/>
      <c r="O2544" s="34"/>
      <c r="P2544" s="34"/>
      <c r="Q2544" s="34"/>
      <c r="R2544" s="34"/>
    </row>
    <row r="2545" spans="13:18">
      <c r="M2545" s="34"/>
      <c r="N2545" s="34"/>
      <c r="O2545" s="34"/>
      <c r="P2545" s="34"/>
      <c r="Q2545" s="34"/>
      <c r="R2545" s="34"/>
    </row>
    <row r="2546" spans="13:18">
      <c r="M2546" s="34"/>
      <c r="N2546" s="34"/>
      <c r="O2546" s="34"/>
      <c r="P2546" s="34"/>
      <c r="Q2546" s="34"/>
      <c r="R2546" s="34"/>
    </row>
    <row r="2547" spans="13:18">
      <c r="M2547" s="34"/>
      <c r="N2547" s="34"/>
      <c r="O2547" s="34"/>
      <c r="P2547" s="34"/>
      <c r="Q2547" s="34"/>
      <c r="R2547" s="34"/>
    </row>
    <row r="2548" spans="13:18">
      <c r="M2548" s="34"/>
      <c r="N2548" s="34"/>
      <c r="O2548" s="34"/>
      <c r="P2548" s="34"/>
      <c r="Q2548" s="34"/>
      <c r="R2548" s="34"/>
    </row>
    <row r="2549" spans="13:18">
      <c r="M2549" s="34"/>
      <c r="N2549" s="34"/>
      <c r="O2549" s="34"/>
      <c r="P2549" s="34"/>
      <c r="Q2549" s="34"/>
      <c r="R2549" s="34"/>
    </row>
    <row r="2550" spans="13:18">
      <c r="M2550" s="34"/>
      <c r="N2550" s="34"/>
      <c r="O2550" s="34"/>
      <c r="P2550" s="34"/>
      <c r="Q2550" s="34"/>
      <c r="R2550" s="34"/>
    </row>
    <row r="2551" spans="13:18">
      <c r="M2551" s="34"/>
      <c r="N2551" s="34"/>
      <c r="O2551" s="34"/>
      <c r="P2551" s="34"/>
      <c r="Q2551" s="34"/>
      <c r="R2551" s="34"/>
    </row>
    <row r="2552" spans="13:18">
      <c r="M2552" s="34"/>
      <c r="N2552" s="34"/>
      <c r="O2552" s="34"/>
      <c r="P2552" s="34"/>
      <c r="Q2552" s="34"/>
      <c r="R2552" s="34"/>
    </row>
    <row r="2553" spans="13:18">
      <c r="M2553" s="34"/>
      <c r="N2553" s="34"/>
      <c r="O2553" s="34"/>
      <c r="P2553" s="34"/>
      <c r="Q2553" s="34"/>
      <c r="R2553" s="34"/>
    </row>
    <row r="2554" spans="13:18">
      <c r="M2554" s="34"/>
      <c r="N2554" s="34"/>
      <c r="O2554" s="34"/>
      <c r="P2554" s="34"/>
      <c r="Q2554" s="34"/>
      <c r="R2554" s="34"/>
    </row>
    <row r="2555" spans="13:18">
      <c r="M2555" s="34"/>
      <c r="N2555" s="34"/>
      <c r="O2555" s="34"/>
      <c r="P2555" s="34"/>
      <c r="Q2555" s="34"/>
      <c r="R2555" s="34"/>
    </row>
    <row r="2556" spans="13:18">
      <c r="M2556" s="34"/>
      <c r="N2556" s="34"/>
      <c r="O2556" s="34"/>
      <c r="P2556" s="34"/>
      <c r="Q2556" s="34"/>
      <c r="R2556" s="34"/>
    </row>
    <row r="2557" spans="13:18">
      <c r="M2557" s="34"/>
      <c r="N2557" s="34"/>
      <c r="O2557" s="34"/>
      <c r="P2557" s="34"/>
      <c r="Q2557" s="34"/>
      <c r="R2557" s="34"/>
    </row>
    <row r="2558" spans="13:18">
      <c r="M2558" s="34"/>
      <c r="N2558" s="34"/>
      <c r="O2558" s="34"/>
      <c r="P2558" s="34"/>
      <c r="Q2558" s="34"/>
      <c r="R2558" s="34"/>
    </row>
    <row r="2559" spans="13:18">
      <c r="M2559" s="34"/>
      <c r="N2559" s="34"/>
      <c r="O2559" s="34"/>
      <c r="P2559" s="34"/>
      <c r="Q2559" s="34"/>
      <c r="R2559" s="34"/>
    </row>
    <row r="2560" spans="13:18">
      <c r="M2560" s="34"/>
      <c r="N2560" s="34"/>
      <c r="O2560" s="34"/>
      <c r="P2560" s="34"/>
      <c r="Q2560" s="34"/>
      <c r="R2560" s="34"/>
    </row>
    <row r="2561" spans="13:18">
      <c r="M2561" s="34"/>
      <c r="N2561" s="34"/>
      <c r="O2561" s="34"/>
      <c r="P2561" s="34"/>
      <c r="Q2561" s="34"/>
      <c r="R2561" s="34"/>
    </row>
    <row r="2562" spans="13:18">
      <c r="M2562" s="34"/>
      <c r="N2562" s="34"/>
      <c r="O2562" s="34"/>
      <c r="P2562" s="34"/>
      <c r="Q2562" s="34"/>
      <c r="R2562" s="34"/>
    </row>
    <row r="2563" spans="13:18">
      <c r="M2563" s="34"/>
      <c r="N2563" s="34"/>
      <c r="O2563" s="34"/>
      <c r="P2563" s="34"/>
      <c r="Q2563" s="34"/>
      <c r="R2563" s="34"/>
    </row>
    <row r="2564" spans="13:18">
      <c r="M2564" s="34"/>
      <c r="N2564" s="34"/>
      <c r="O2564" s="34"/>
      <c r="P2564" s="34"/>
      <c r="Q2564" s="34"/>
      <c r="R2564" s="34"/>
    </row>
    <row r="2565" spans="13:18">
      <c r="M2565" s="34"/>
      <c r="N2565" s="34"/>
      <c r="O2565" s="34"/>
      <c r="P2565" s="34"/>
      <c r="Q2565" s="34"/>
      <c r="R2565" s="34"/>
    </row>
    <row r="2566" spans="13:18">
      <c r="M2566" s="34"/>
      <c r="N2566" s="34"/>
      <c r="O2566" s="34"/>
      <c r="P2566" s="34"/>
      <c r="Q2566" s="34"/>
      <c r="R2566" s="34"/>
    </row>
    <row r="2567" spans="13:18">
      <c r="M2567" s="34"/>
      <c r="N2567" s="34"/>
      <c r="O2567" s="34"/>
      <c r="P2567" s="34"/>
      <c r="Q2567" s="34"/>
      <c r="R2567" s="34"/>
    </row>
    <row r="2568" spans="13:18">
      <c r="M2568" s="34"/>
      <c r="N2568" s="34"/>
      <c r="O2568" s="34"/>
      <c r="P2568" s="34"/>
      <c r="Q2568" s="34"/>
      <c r="R2568" s="34"/>
    </row>
    <row r="2569" spans="13:18">
      <c r="M2569" s="34"/>
      <c r="N2569" s="34"/>
      <c r="O2569" s="34"/>
      <c r="P2569" s="34"/>
      <c r="Q2569" s="34"/>
      <c r="R2569" s="34"/>
    </row>
    <row r="2570" spans="13:18">
      <c r="M2570" s="34"/>
      <c r="N2570" s="34"/>
      <c r="O2570" s="34"/>
      <c r="P2570" s="34"/>
      <c r="Q2570" s="34"/>
      <c r="R2570" s="34"/>
    </row>
    <row r="2571" spans="13:18">
      <c r="M2571" s="34"/>
      <c r="N2571" s="34"/>
      <c r="O2571" s="34"/>
      <c r="P2571" s="34"/>
      <c r="Q2571" s="34"/>
      <c r="R2571" s="34"/>
    </row>
    <row r="2572" spans="13:18">
      <c r="M2572" s="34"/>
      <c r="N2572" s="34"/>
      <c r="O2572" s="34"/>
      <c r="P2572" s="34"/>
      <c r="Q2572" s="34"/>
      <c r="R2572" s="34"/>
    </row>
    <row r="2573" spans="13:18">
      <c r="M2573" s="34"/>
      <c r="N2573" s="34"/>
      <c r="O2573" s="34"/>
      <c r="P2573" s="34"/>
      <c r="Q2573" s="34"/>
      <c r="R2573" s="34"/>
    </row>
    <row r="2574" spans="13:18">
      <c r="M2574" s="34"/>
      <c r="N2574" s="34"/>
      <c r="O2574" s="34"/>
      <c r="P2574" s="34"/>
      <c r="Q2574" s="34"/>
      <c r="R2574" s="34"/>
    </row>
    <row r="2575" spans="13:18">
      <c r="M2575" s="34"/>
      <c r="N2575" s="34"/>
      <c r="O2575" s="34"/>
      <c r="P2575" s="34"/>
      <c r="Q2575" s="34"/>
      <c r="R2575" s="34"/>
    </row>
    <row r="2576" spans="13:18">
      <c r="M2576" s="34"/>
      <c r="N2576" s="34"/>
      <c r="O2576" s="34"/>
      <c r="P2576" s="34"/>
      <c r="Q2576" s="34"/>
      <c r="R2576" s="34"/>
    </row>
    <row r="2577" spans="13:18">
      <c r="M2577" s="34"/>
      <c r="N2577" s="34"/>
      <c r="O2577" s="34"/>
      <c r="P2577" s="34"/>
      <c r="Q2577" s="34"/>
      <c r="R2577" s="34"/>
    </row>
    <row r="2578" spans="13:18">
      <c r="M2578" s="34"/>
      <c r="N2578" s="34"/>
      <c r="O2578" s="34"/>
      <c r="P2578" s="34"/>
      <c r="Q2578" s="34"/>
      <c r="R2578" s="34"/>
    </row>
    <row r="2579" spans="13:18">
      <c r="M2579" s="34"/>
      <c r="N2579" s="34"/>
      <c r="O2579" s="34"/>
      <c r="P2579" s="34"/>
      <c r="Q2579" s="34"/>
      <c r="R2579" s="34"/>
    </row>
    <row r="2580" spans="13:18">
      <c r="M2580" s="34"/>
      <c r="N2580" s="34"/>
      <c r="O2580" s="34"/>
      <c r="P2580" s="34"/>
      <c r="Q2580" s="34"/>
      <c r="R2580" s="34"/>
    </row>
    <row r="2581" spans="13:18">
      <c r="M2581" s="34"/>
      <c r="N2581" s="34"/>
      <c r="O2581" s="34"/>
      <c r="P2581" s="34"/>
      <c r="Q2581" s="34"/>
      <c r="R2581" s="34"/>
    </row>
    <row r="2582" spans="13:18">
      <c r="M2582" s="34"/>
      <c r="N2582" s="34"/>
      <c r="O2582" s="34"/>
      <c r="P2582" s="34"/>
      <c r="Q2582" s="34"/>
      <c r="R2582" s="34"/>
    </row>
    <row r="2583" spans="13:18">
      <c r="M2583" s="34"/>
      <c r="N2583" s="34"/>
      <c r="O2583" s="34"/>
      <c r="P2583" s="34"/>
      <c r="Q2583" s="34"/>
      <c r="R2583" s="34"/>
    </row>
    <row r="2584" spans="13:18">
      <c r="M2584" s="34"/>
      <c r="N2584" s="34"/>
      <c r="O2584" s="34"/>
      <c r="P2584" s="34"/>
      <c r="Q2584" s="34"/>
      <c r="R2584" s="34"/>
    </row>
    <row r="2585" spans="13:18">
      <c r="M2585" s="34"/>
      <c r="N2585" s="34"/>
      <c r="O2585" s="34"/>
      <c r="P2585" s="34"/>
      <c r="Q2585" s="34"/>
      <c r="R2585" s="34"/>
    </row>
    <row r="2586" spans="13:18">
      <c r="M2586" s="34"/>
      <c r="N2586" s="34"/>
      <c r="O2586" s="34"/>
      <c r="P2586" s="34"/>
      <c r="Q2586" s="34"/>
      <c r="R2586" s="34"/>
    </row>
    <row r="2587" spans="13:18">
      <c r="M2587" s="34"/>
      <c r="N2587" s="34"/>
      <c r="O2587" s="34"/>
      <c r="P2587" s="34"/>
      <c r="Q2587" s="34"/>
      <c r="R2587" s="34"/>
    </row>
    <row r="2588" spans="13:18">
      <c r="M2588" s="34"/>
      <c r="N2588" s="34"/>
      <c r="O2588" s="34"/>
      <c r="P2588" s="34"/>
      <c r="Q2588" s="34"/>
      <c r="R2588" s="34"/>
    </row>
    <row r="2589" spans="13:18">
      <c r="M2589" s="34"/>
      <c r="N2589" s="34"/>
      <c r="O2589" s="34"/>
      <c r="P2589" s="34"/>
      <c r="Q2589" s="34"/>
      <c r="R2589" s="34"/>
    </row>
    <row r="2590" spans="13:18">
      <c r="M2590" s="34"/>
      <c r="N2590" s="34"/>
      <c r="O2590" s="34"/>
      <c r="P2590" s="34"/>
      <c r="Q2590" s="34"/>
      <c r="R2590" s="34"/>
    </row>
    <row r="2591" spans="13:18">
      <c r="M2591" s="34"/>
      <c r="N2591" s="34"/>
      <c r="O2591" s="34"/>
      <c r="P2591" s="34"/>
      <c r="Q2591" s="34"/>
      <c r="R2591" s="34"/>
    </row>
    <row r="2592" spans="13:18">
      <c r="M2592" s="34"/>
      <c r="N2592" s="34"/>
      <c r="O2592" s="34"/>
      <c r="P2592" s="34"/>
      <c r="Q2592" s="34"/>
      <c r="R2592" s="34"/>
    </row>
    <row r="2593" spans="13:18">
      <c r="M2593" s="34"/>
      <c r="N2593" s="34"/>
      <c r="O2593" s="34"/>
      <c r="P2593" s="34"/>
      <c r="Q2593" s="34"/>
      <c r="R2593" s="34"/>
    </row>
    <row r="2594" spans="13:18">
      <c r="M2594" s="34"/>
      <c r="N2594" s="34"/>
      <c r="O2594" s="34"/>
      <c r="P2594" s="34"/>
      <c r="Q2594" s="34"/>
      <c r="R2594" s="34"/>
    </row>
    <row r="2595" spans="13:18">
      <c r="M2595" s="34"/>
      <c r="N2595" s="34"/>
      <c r="O2595" s="34"/>
      <c r="P2595" s="34"/>
      <c r="Q2595" s="34"/>
      <c r="R2595" s="34"/>
    </row>
    <row r="2596" spans="13:18">
      <c r="M2596" s="34"/>
      <c r="N2596" s="34"/>
      <c r="O2596" s="34"/>
      <c r="P2596" s="34"/>
      <c r="Q2596" s="34"/>
      <c r="R2596" s="34"/>
    </row>
    <row r="2597" spans="13:18">
      <c r="M2597" s="34"/>
      <c r="N2597" s="34"/>
      <c r="O2597" s="34"/>
      <c r="P2597" s="34"/>
      <c r="Q2597" s="34"/>
      <c r="R2597" s="34"/>
    </row>
    <row r="2598" spans="13:18">
      <c r="M2598" s="34"/>
      <c r="N2598" s="34"/>
      <c r="O2598" s="34"/>
      <c r="P2598" s="34"/>
      <c r="Q2598" s="34"/>
      <c r="R2598" s="34"/>
    </row>
    <row r="2599" spans="13:18">
      <c r="M2599" s="34"/>
      <c r="N2599" s="34"/>
      <c r="O2599" s="34"/>
      <c r="P2599" s="34"/>
      <c r="Q2599" s="34"/>
      <c r="R2599" s="34"/>
    </row>
    <row r="2600" spans="13:18">
      <c r="M2600" s="34"/>
      <c r="N2600" s="34"/>
      <c r="O2600" s="34"/>
      <c r="P2600" s="34"/>
      <c r="Q2600" s="34"/>
      <c r="R2600" s="34"/>
    </row>
    <row r="2601" spans="13:18">
      <c r="M2601" s="34"/>
      <c r="N2601" s="34"/>
      <c r="O2601" s="34"/>
      <c r="P2601" s="34"/>
      <c r="Q2601" s="34"/>
      <c r="R2601" s="34"/>
    </row>
    <row r="2602" spans="13:18">
      <c r="M2602" s="34"/>
      <c r="N2602" s="34"/>
      <c r="O2602" s="34"/>
      <c r="P2602" s="34"/>
      <c r="Q2602" s="34"/>
      <c r="R2602" s="34"/>
    </row>
    <row r="2603" spans="13:18">
      <c r="M2603" s="34"/>
      <c r="N2603" s="34"/>
      <c r="O2603" s="34"/>
      <c r="P2603" s="34"/>
      <c r="Q2603" s="34"/>
      <c r="R2603" s="34"/>
    </row>
    <row r="2604" spans="13:18">
      <c r="M2604" s="34"/>
      <c r="N2604" s="34"/>
      <c r="O2604" s="34"/>
      <c r="P2604" s="34"/>
      <c r="Q2604" s="34"/>
      <c r="R2604" s="34"/>
    </row>
    <row r="2605" spans="13:18">
      <c r="M2605" s="34"/>
      <c r="N2605" s="34"/>
      <c r="O2605" s="34"/>
      <c r="P2605" s="34"/>
      <c r="Q2605" s="34"/>
      <c r="R2605" s="34"/>
    </row>
    <row r="2606" spans="13:18">
      <c r="M2606" s="34"/>
      <c r="N2606" s="34"/>
      <c r="O2606" s="34"/>
      <c r="P2606" s="34"/>
      <c r="Q2606" s="34"/>
      <c r="R2606" s="34"/>
    </row>
    <row r="2607" spans="13:18">
      <c r="M2607" s="34"/>
      <c r="N2607" s="34"/>
      <c r="O2607" s="34"/>
      <c r="P2607" s="34"/>
      <c r="Q2607" s="34"/>
      <c r="R2607" s="34"/>
    </row>
    <row r="2608" spans="13:18">
      <c r="M2608" s="34"/>
      <c r="N2608" s="34"/>
      <c r="O2608" s="34"/>
      <c r="P2608" s="34"/>
      <c r="Q2608" s="34"/>
      <c r="R2608" s="34"/>
    </row>
    <row r="2609" spans="13:18">
      <c r="M2609" s="34"/>
      <c r="N2609" s="34"/>
      <c r="O2609" s="34"/>
      <c r="P2609" s="34"/>
      <c r="Q2609" s="34"/>
      <c r="R2609" s="34"/>
    </row>
    <row r="2610" spans="13:18">
      <c r="M2610" s="34"/>
      <c r="N2610" s="34"/>
      <c r="O2610" s="34"/>
      <c r="P2610" s="34"/>
      <c r="Q2610" s="34"/>
      <c r="R2610" s="34"/>
    </row>
    <row r="2611" spans="13:18">
      <c r="M2611" s="34"/>
      <c r="N2611" s="34"/>
      <c r="O2611" s="34"/>
      <c r="P2611" s="34"/>
      <c r="Q2611" s="34"/>
      <c r="R2611" s="34"/>
    </row>
    <row r="2612" spans="13:18">
      <c r="M2612" s="34"/>
      <c r="N2612" s="34"/>
      <c r="O2612" s="34"/>
      <c r="P2612" s="34"/>
      <c r="Q2612" s="34"/>
      <c r="R2612" s="34"/>
    </row>
    <row r="2613" spans="13:18">
      <c r="M2613" s="34"/>
      <c r="N2613" s="34"/>
      <c r="O2613" s="34"/>
      <c r="P2613" s="34"/>
      <c r="Q2613" s="34"/>
      <c r="R2613" s="34"/>
    </row>
    <row r="2614" spans="13:18">
      <c r="M2614" s="34"/>
      <c r="N2614" s="34"/>
      <c r="O2614" s="34"/>
      <c r="P2614" s="34"/>
      <c r="Q2614" s="34"/>
      <c r="R2614" s="34"/>
    </row>
    <row r="2615" spans="13:18">
      <c r="M2615" s="34"/>
      <c r="N2615" s="34"/>
      <c r="O2615" s="34"/>
      <c r="P2615" s="34"/>
      <c r="Q2615" s="34"/>
      <c r="R2615" s="34"/>
    </row>
    <row r="2616" spans="13:18">
      <c r="M2616" s="34"/>
      <c r="N2616" s="34"/>
      <c r="O2616" s="34"/>
      <c r="P2616" s="34"/>
      <c r="Q2616" s="34"/>
      <c r="R2616" s="34"/>
    </row>
    <row r="2617" spans="13:18">
      <c r="M2617" s="34"/>
      <c r="N2617" s="34"/>
      <c r="O2617" s="34"/>
      <c r="P2617" s="34"/>
      <c r="Q2617" s="34"/>
      <c r="R2617" s="34"/>
    </row>
    <row r="2618" spans="13:18">
      <c r="M2618" s="34"/>
      <c r="N2618" s="34"/>
      <c r="O2618" s="34"/>
      <c r="P2618" s="34"/>
      <c r="Q2618" s="34"/>
      <c r="R2618" s="34"/>
    </row>
    <row r="2619" spans="13:18">
      <c r="M2619" s="34"/>
      <c r="N2619" s="34"/>
      <c r="O2619" s="34"/>
      <c r="P2619" s="34"/>
      <c r="Q2619" s="34"/>
      <c r="R2619" s="34"/>
    </row>
    <row r="2620" spans="13:18">
      <c r="M2620" s="34"/>
      <c r="N2620" s="34"/>
      <c r="O2620" s="34"/>
      <c r="P2620" s="34"/>
      <c r="Q2620" s="34"/>
      <c r="R2620" s="34"/>
    </row>
    <row r="2621" spans="13:18">
      <c r="M2621" s="34"/>
      <c r="N2621" s="34"/>
      <c r="O2621" s="34"/>
      <c r="P2621" s="34"/>
      <c r="Q2621" s="34"/>
      <c r="R2621" s="34"/>
    </row>
    <row r="2622" spans="13:18">
      <c r="M2622" s="34"/>
      <c r="N2622" s="34"/>
      <c r="O2622" s="34"/>
      <c r="P2622" s="34"/>
      <c r="Q2622" s="34"/>
      <c r="R2622" s="34"/>
    </row>
    <row r="2623" spans="13:18">
      <c r="M2623" s="34"/>
      <c r="N2623" s="34"/>
      <c r="O2623" s="34"/>
      <c r="P2623" s="34"/>
      <c r="Q2623" s="34"/>
      <c r="R2623" s="34"/>
    </row>
    <row r="2624" spans="13:18">
      <c r="M2624" s="34"/>
      <c r="N2624" s="34"/>
      <c r="O2624" s="34"/>
      <c r="P2624" s="34"/>
      <c r="Q2624" s="34"/>
      <c r="R2624" s="34"/>
    </row>
    <row r="2625" spans="13:18">
      <c r="M2625" s="34"/>
      <c r="N2625" s="34"/>
      <c r="O2625" s="34"/>
      <c r="P2625" s="34"/>
      <c r="Q2625" s="34"/>
      <c r="R2625" s="34"/>
    </row>
    <row r="2626" spans="13:18">
      <c r="M2626" s="34"/>
      <c r="N2626" s="34"/>
      <c r="O2626" s="34"/>
      <c r="P2626" s="34"/>
      <c r="Q2626" s="34"/>
      <c r="R2626" s="34"/>
    </row>
    <row r="2627" spans="13:18">
      <c r="M2627" s="34"/>
      <c r="N2627" s="34"/>
      <c r="O2627" s="34"/>
      <c r="P2627" s="34"/>
      <c r="Q2627" s="34"/>
      <c r="R2627" s="34"/>
    </row>
    <row r="2628" spans="13:18">
      <c r="M2628" s="34"/>
      <c r="N2628" s="34"/>
      <c r="O2628" s="34"/>
      <c r="P2628" s="34"/>
      <c r="Q2628" s="34"/>
      <c r="R2628" s="34"/>
    </row>
    <row r="2629" spans="13:18">
      <c r="M2629" s="34"/>
      <c r="N2629" s="34"/>
      <c r="O2629" s="34"/>
      <c r="P2629" s="34"/>
      <c r="Q2629" s="34"/>
      <c r="R2629" s="34"/>
    </row>
    <row r="2630" spans="13:18">
      <c r="M2630" s="34"/>
      <c r="N2630" s="34"/>
      <c r="O2630" s="34"/>
      <c r="P2630" s="34"/>
      <c r="Q2630" s="34"/>
      <c r="R2630" s="34"/>
    </row>
    <row r="2631" spans="13:18">
      <c r="M2631" s="34"/>
      <c r="N2631" s="34"/>
      <c r="O2631" s="34"/>
      <c r="P2631" s="34"/>
      <c r="Q2631" s="34"/>
      <c r="R2631" s="34"/>
    </row>
    <row r="2632" spans="13:18">
      <c r="M2632" s="34"/>
      <c r="N2632" s="34"/>
      <c r="O2632" s="34"/>
      <c r="P2632" s="34"/>
      <c r="Q2632" s="34"/>
      <c r="R2632" s="34"/>
    </row>
    <row r="2633" spans="13:18">
      <c r="M2633" s="34"/>
      <c r="N2633" s="34"/>
      <c r="O2633" s="34"/>
      <c r="P2633" s="34"/>
      <c r="Q2633" s="34"/>
      <c r="R2633" s="34"/>
    </row>
    <row r="2634" spans="13:18">
      <c r="M2634" s="34"/>
      <c r="N2634" s="34"/>
      <c r="O2634" s="34"/>
      <c r="P2634" s="34"/>
      <c r="Q2634" s="34"/>
      <c r="R2634" s="34"/>
    </row>
    <row r="2635" spans="13:18">
      <c r="M2635" s="34"/>
      <c r="N2635" s="34"/>
      <c r="O2635" s="34"/>
      <c r="P2635" s="34"/>
      <c r="Q2635" s="34"/>
      <c r="R2635" s="34"/>
    </row>
    <row r="2636" spans="13:18">
      <c r="M2636" s="34"/>
      <c r="N2636" s="34"/>
      <c r="O2636" s="34"/>
      <c r="P2636" s="34"/>
      <c r="Q2636" s="34"/>
      <c r="R2636" s="34"/>
    </row>
    <row r="2637" spans="13:18">
      <c r="M2637" s="34"/>
      <c r="N2637" s="34"/>
      <c r="O2637" s="34"/>
      <c r="P2637" s="34"/>
      <c r="Q2637" s="34"/>
      <c r="R2637" s="34"/>
    </row>
    <row r="2638" spans="13:18">
      <c r="M2638" s="34"/>
      <c r="N2638" s="34"/>
      <c r="O2638" s="34"/>
      <c r="P2638" s="34"/>
      <c r="Q2638" s="34"/>
      <c r="R2638" s="34"/>
    </row>
    <row r="2639" spans="13:18">
      <c r="M2639" s="34"/>
      <c r="N2639" s="34"/>
      <c r="O2639" s="34"/>
      <c r="P2639" s="34"/>
      <c r="Q2639" s="34"/>
      <c r="R2639" s="34"/>
    </row>
    <row r="2640" spans="13:18">
      <c r="M2640" s="34"/>
      <c r="N2640" s="34"/>
      <c r="O2640" s="34"/>
      <c r="P2640" s="34"/>
      <c r="Q2640" s="34"/>
      <c r="R2640" s="34"/>
    </row>
    <row r="2641" spans="13:18">
      <c r="M2641" s="34"/>
      <c r="N2641" s="34"/>
      <c r="O2641" s="34"/>
      <c r="P2641" s="34"/>
      <c r="Q2641" s="34"/>
      <c r="R2641" s="34"/>
    </row>
    <row r="2642" spans="13:18">
      <c r="M2642" s="34"/>
      <c r="N2642" s="34"/>
      <c r="O2642" s="34"/>
      <c r="P2642" s="34"/>
      <c r="Q2642" s="34"/>
      <c r="R2642" s="34"/>
    </row>
    <row r="2643" spans="13:18">
      <c r="M2643" s="34"/>
      <c r="N2643" s="34"/>
      <c r="O2643" s="34"/>
      <c r="P2643" s="34"/>
      <c r="Q2643" s="34"/>
      <c r="R2643" s="34"/>
    </row>
    <row r="2644" spans="13:18">
      <c r="M2644" s="34"/>
      <c r="N2644" s="34"/>
      <c r="O2644" s="34"/>
      <c r="P2644" s="34"/>
      <c r="Q2644" s="34"/>
      <c r="R2644" s="34"/>
    </row>
    <row r="2645" spans="13:18">
      <c r="M2645" s="34"/>
      <c r="N2645" s="34"/>
      <c r="O2645" s="34"/>
      <c r="P2645" s="34"/>
      <c r="Q2645" s="34"/>
      <c r="R2645" s="34"/>
    </row>
    <row r="2646" spans="13:18">
      <c r="M2646" s="34"/>
      <c r="N2646" s="34"/>
      <c r="O2646" s="34"/>
      <c r="P2646" s="34"/>
      <c r="Q2646" s="34"/>
      <c r="R2646" s="34"/>
    </row>
    <row r="2647" spans="13:18">
      <c r="M2647" s="34"/>
      <c r="N2647" s="34"/>
      <c r="O2647" s="34"/>
      <c r="P2647" s="34"/>
      <c r="Q2647" s="34"/>
      <c r="R2647" s="34"/>
    </row>
    <row r="2648" spans="13:18">
      <c r="M2648" s="34"/>
      <c r="N2648" s="34"/>
      <c r="O2648" s="34"/>
      <c r="P2648" s="34"/>
      <c r="Q2648" s="34"/>
      <c r="R2648" s="34"/>
    </row>
    <row r="2649" spans="13:18">
      <c r="M2649" s="34"/>
      <c r="N2649" s="34"/>
      <c r="O2649" s="34"/>
      <c r="P2649" s="34"/>
      <c r="Q2649" s="34"/>
      <c r="R2649" s="34"/>
    </row>
    <row r="2650" spans="13:18">
      <c r="M2650" s="34"/>
      <c r="N2650" s="34"/>
      <c r="O2650" s="34"/>
      <c r="P2650" s="34"/>
      <c r="Q2650" s="34"/>
      <c r="R2650" s="34"/>
    </row>
    <row r="2651" spans="13:18">
      <c r="M2651" s="34"/>
      <c r="N2651" s="34"/>
      <c r="O2651" s="34"/>
      <c r="P2651" s="34"/>
      <c r="Q2651" s="34"/>
      <c r="R2651" s="34"/>
    </row>
    <row r="2652" spans="13:18">
      <c r="M2652" s="34"/>
      <c r="N2652" s="34"/>
      <c r="O2652" s="34"/>
      <c r="P2652" s="34"/>
      <c r="Q2652" s="34"/>
      <c r="R2652" s="34"/>
    </row>
    <row r="2653" spans="13:18">
      <c r="M2653" s="34"/>
      <c r="N2653" s="34"/>
      <c r="O2653" s="34"/>
      <c r="P2653" s="34"/>
      <c r="Q2653" s="34"/>
      <c r="R2653" s="34"/>
    </row>
    <row r="2654" spans="13:18">
      <c r="M2654" s="34"/>
      <c r="N2654" s="34"/>
      <c r="O2654" s="34"/>
      <c r="P2654" s="34"/>
      <c r="Q2654" s="34"/>
      <c r="R2654" s="34"/>
    </row>
    <row r="2655" spans="13:18">
      <c r="M2655" s="34"/>
      <c r="N2655" s="34"/>
      <c r="O2655" s="34"/>
      <c r="P2655" s="34"/>
      <c r="Q2655" s="34"/>
      <c r="R2655" s="34"/>
    </row>
    <row r="2656" spans="13:18">
      <c r="M2656" s="34"/>
      <c r="N2656" s="34"/>
      <c r="O2656" s="34"/>
      <c r="P2656" s="34"/>
      <c r="Q2656" s="34"/>
      <c r="R2656" s="34"/>
    </row>
    <row r="2657" spans="13:18">
      <c r="M2657" s="34"/>
      <c r="N2657" s="34"/>
      <c r="O2657" s="34"/>
      <c r="P2657" s="34"/>
      <c r="Q2657" s="34"/>
      <c r="R2657" s="34"/>
    </row>
    <row r="2658" spans="13:18">
      <c r="M2658" s="34"/>
      <c r="N2658" s="34"/>
      <c r="O2658" s="34"/>
      <c r="P2658" s="34"/>
      <c r="Q2658" s="34"/>
      <c r="R2658" s="34"/>
    </row>
    <row r="2659" spans="13:18">
      <c r="M2659" s="34"/>
      <c r="N2659" s="34"/>
      <c r="O2659" s="34"/>
      <c r="P2659" s="34"/>
      <c r="Q2659" s="34"/>
      <c r="R2659" s="34"/>
    </row>
    <row r="2660" spans="13:18">
      <c r="M2660" s="34"/>
      <c r="N2660" s="34"/>
      <c r="O2660" s="34"/>
      <c r="P2660" s="34"/>
      <c r="Q2660" s="34"/>
      <c r="R2660" s="34"/>
    </row>
    <row r="2661" spans="13:18">
      <c r="M2661" s="34"/>
      <c r="N2661" s="34"/>
      <c r="O2661" s="34"/>
      <c r="P2661" s="34"/>
      <c r="Q2661" s="34"/>
      <c r="R2661" s="34"/>
    </row>
    <row r="2662" spans="13:18">
      <c r="M2662" s="34"/>
      <c r="N2662" s="34"/>
      <c r="O2662" s="34"/>
      <c r="P2662" s="34"/>
      <c r="Q2662" s="34"/>
      <c r="R2662" s="34"/>
    </row>
    <row r="2663" spans="13:18">
      <c r="M2663" s="34"/>
      <c r="N2663" s="34"/>
      <c r="O2663" s="34"/>
      <c r="P2663" s="34"/>
      <c r="Q2663" s="34"/>
      <c r="R2663" s="34"/>
    </row>
    <row r="2664" spans="13:18">
      <c r="M2664" s="34"/>
      <c r="N2664" s="34"/>
      <c r="O2664" s="34"/>
      <c r="P2664" s="34"/>
      <c r="Q2664" s="34"/>
      <c r="R2664" s="34"/>
    </row>
    <row r="2665" spans="13:18">
      <c r="M2665" s="34"/>
      <c r="N2665" s="34"/>
      <c r="O2665" s="34"/>
      <c r="P2665" s="34"/>
      <c r="Q2665" s="34"/>
      <c r="R2665" s="34"/>
    </row>
    <row r="2666" spans="13:18">
      <c r="M2666" s="34"/>
      <c r="N2666" s="34"/>
      <c r="O2666" s="34"/>
      <c r="P2666" s="34"/>
      <c r="Q2666" s="34"/>
      <c r="R2666" s="34"/>
    </row>
    <row r="2667" spans="13:18">
      <c r="M2667" s="34"/>
      <c r="N2667" s="34"/>
      <c r="O2667" s="34"/>
      <c r="P2667" s="34"/>
      <c r="Q2667" s="34"/>
      <c r="R2667" s="34"/>
    </row>
    <row r="2668" spans="13:18">
      <c r="M2668" s="34"/>
      <c r="N2668" s="34"/>
      <c r="O2668" s="34"/>
      <c r="P2668" s="34"/>
      <c r="Q2668" s="34"/>
      <c r="R2668" s="34"/>
    </row>
    <row r="2669" spans="13:18">
      <c r="M2669" s="34"/>
      <c r="N2669" s="34"/>
      <c r="O2669" s="34"/>
      <c r="P2669" s="34"/>
      <c r="Q2669" s="34"/>
      <c r="R2669" s="34"/>
    </row>
    <row r="2670" spans="13:18">
      <c r="M2670" s="34"/>
      <c r="N2670" s="34"/>
      <c r="O2670" s="34"/>
      <c r="P2670" s="34"/>
      <c r="Q2670" s="34"/>
      <c r="R2670" s="34"/>
    </row>
    <row r="2671" spans="13:18">
      <c r="M2671" s="34"/>
      <c r="N2671" s="34"/>
      <c r="O2671" s="34"/>
      <c r="P2671" s="34"/>
      <c r="Q2671" s="34"/>
      <c r="R2671" s="34"/>
    </row>
    <row r="2672" spans="13:18">
      <c r="M2672" s="34"/>
      <c r="N2672" s="34"/>
      <c r="O2672" s="34"/>
      <c r="P2672" s="34"/>
      <c r="Q2672" s="34"/>
      <c r="R2672" s="34"/>
    </row>
    <row r="2673" spans="13:18">
      <c r="M2673" s="34"/>
      <c r="N2673" s="34"/>
      <c r="O2673" s="34"/>
      <c r="P2673" s="34"/>
      <c r="Q2673" s="34"/>
      <c r="R2673" s="34"/>
    </row>
    <row r="2674" spans="13:18">
      <c r="M2674" s="34"/>
      <c r="N2674" s="34"/>
      <c r="O2674" s="34"/>
      <c r="P2674" s="34"/>
      <c r="Q2674" s="34"/>
      <c r="R2674" s="34"/>
    </row>
    <row r="2675" spans="13:18">
      <c r="M2675" s="34"/>
      <c r="N2675" s="34"/>
      <c r="O2675" s="34"/>
      <c r="P2675" s="34"/>
      <c r="Q2675" s="34"/>
      <c r="R2675" s="34"/>
    </row>
    <row r="2676" spans="13:18">
      <c r="M2676" s="34"/>
      <c r="N2676" s="34"/>
      <c r="O2676" s="34"/>
      <c r="P2676" s="34"/>
      <c r="Q2676" s="34"/>
      <c r="R2676" s="34"/>
    </row>
    <row r="2677" spans="13:18">
      <c r="M2677" s="34"/>
      <c r="N2677" s="34"/>
      <c r="O2677" s="34"/>
      <c r="P2677" s="34"/>
      <c r="Q2677" s="34"/>
      <c r="R2677" s="34"/>
    </row>
    <row r="2678" spans="13:18">
      <c r="M2678" s="34"/>
      <c r="N2678" s="34"/>
      <c r="O2678" s="34"/>
      <c r="P2678" s="34"/>
      <c r="Q2678" s="34"/>
      <c r="R2678" s="34"/>
    </row>
    <row r="2679" spans="13:18">
      <c r="M2679" s="34"/>
      <c r="N2679" s="34"/>
      <c r="O2679" s="34"/>
      <c r="P2679" s="34"/>
      <c r="Q2679" s="34"/>
      <c r="R2679" s="34"/>
    </row>
    <row r="2680" spans="13:18">
      <c r="M2680" s="34"/>
      <c r="N2680" s="34"/>
      <c r="O2680" s="34"/>
      <c r="P2680" s="34"/>
      <c r="Q2680" s="34"/>
      <c r="R2680" s="34"/>
    </row>
    <row r="2681" spans="13:18">
      <c r="M2681" s="34"/>
      <c r="N2681" s="34"/>
      <c r="O2681" s="34"/>
      <c r="P2681" s="34"/>
      <c r="Q2681" s="34"/>
      <c r="R2681" s="34"/>
    </row>
    <row r="2682" spans="13:18">
      <c r="M2682" s="34"/>
      <c r="N2682" s="34"/>
      <c r="O2682" s="34"/>
      <c r="P2682" s="34"/>
      <c r="Q2682" s="34"/>
      <c r="R2682" s="34"/>
    </row>
    <row r="2683" spans="13:18">
      <c r="M2683" s="34"/>
      <c r="N2683" s="34"/>
      <c r="O2683" s="34"/>
      <c r="P2683" s="34"/>
      <c r="Q2683" s="34"/>
      <c r="R2683" s="34"/>
    </row>
    <row r="2684" spans="13:18">
      <c r="M2684" s="34"/>
      <c r="N2684" s="34"/>
      <c r="O2684" s="34"/>
      <c r="P2684" s="34"/>
      <c r="Q2684" s="34"/>
      <c r="R2684" s="34"/>
    </row>
    <row r="2685" spans="13:18">
      <c r="M2685" s="34"/>
      <c r="N2685" s="34"/>
      <c r="O2685" s="34"/>
      <c r="P2685" s="34"/>
      <c r="Q2685" s="34"/>
      <c r="R2685" s="34"/>
    </row>
    <row r="2686" spans="13:18">
      <c r="M2686" s="34"/>
      <c r="N2686" s="34"/>
      <c r="O2686" s="34"/>
      <c r="P2686" s="34"/>
      <c r="Q2686" s="34"/>
      <c r="R2686" s="34"/>
    </row>
    <row r="2687" spans="13:18">
      <c r="M2687" s="34"/>
      <c r="N2687" s="34"/>
      <c r="O2687" s="34"/>
      <c r="P2687" s="34"/>
      <c r="Q2687" s="34"/>
      <c r="R2687" s="34"/>
    </row>
    <row r="2688" spans="13:18">
      <c r="M2688" s="34"/>
      <c r="N2688" s="34"/>
      <c r="O2688" s="34"/>
      <c r="P2688" s="34"/>
      <c r="Q2688" s="34"/>
      <c r="R2688" s="34"/>
    </row>
    <row r="2689" spans="13:18">
      <c r="M2689" s="34"/>
      <c r="N2689" s="34"/>
      <c r="O2689" s="34"/>
      <c r="P2689" s="34"/>
      <c r="Q2689" s="34"/>
      <c r="R2689" s="34"/>
    </row>
    <row r="2690" spans="13:18">
      <c r="M2690" s="34"/>
      <c r="N2690" s="34"/>
      <c r="O2690" s="34"/>
      <c r="P2690" s="34"/>
      <c r="Q2690" s="34"/>
      <c r="R2690" s="34"/>
    </row>
    <row r="2691" spans="13:18">
      <c r="M2691" s="34"/>
      <c r="N2691" s="34"/>
      <c r="O2691" s="34"/>
      <c r="P2691" s="34"/>
      <c r="Q2691" s="34"/>
      <c r="R2691" s="34"/>
    </row>
    <row r="2692" spans="13:18">
      <c r="M2692" s="34"/>
      <c r="N2692" s="34"/>
      <c r="O2692" s="34"/>
      <c r="P2692" s="34"/>
      <c r="Q2692" s="34"/>
      <c r="R2692" s="34"/>
    </row>
    <row r="2693" spans="13:18">
      <c r="M2693" s="34"/>
      <c r="N2693" s="34"/>
      <c r="O2693" s="34"/>
      <c r="P2693" s="34"/>
      <c r="Q2693" s="34"/>
      <c r="R2693" s="34"/>
    </row>
    <row r="2694" spans="13:18">
      <c r="M2694" s="34"/>
      <c r="N2694" s="34"/>
      <c r="O2694" s="34"/>
      <c r="P2694" s="34"/>
      <c r="Q2694" s="34"/>
      <c r="R2694" s="34"/>
    </row>
    <row r="2695" spans="13:18">
      <c r="M2695" s="34"/>
      <c r="N2695" s="34"/>
      <c r="O2695" s="34"/>
      <c r="P2695" s="34"/>
      <c r="Q2695" s="34"/>
      <c r="R2695" s="34"/>
    </row>
    <row r="2696" spans="13:18">
      <c r="M2696" s="34"/>
      <c r="N2696" s="34"/>
      <c r="O2696" s="34"/>
      <c r="P2696" s="34"/>
      <c r="Q2696" s="34"/>
      <c r="R2696" s="34"/>
    </row>
    <row r="2697" spans="13:18">
      <c r="M2697" s="34"/>
      <c r="N2697" s="34"/>
      <c r="O2697" s="34"/>
      <c r="P2697" s="34"/>
      <c r="Q2697" s="34"/>
      <c r="R2697" s="34"/>
    </row>
    <row r="2698" spans="13:18">
      <c r="M2698" s="34"/>
      <c r="N2698" s="34"/>
      <c r="O2698" s="34"/>
      <c r="P2698" s="34"/>
      <c r="Q2698" s="34"/>
      <c r="R2698" s="34"/>
    </row>
    <row r="2699" spans="13:18">
      <c r="M2699" s="34"/>
      <c r="N2699" s="34"/>
      <c r="O2699" s="34"/>
      <c r="P2699" s="34"/>
      <c r="Q2699" s="34"/>
      <c r="R2699" s="34"/>
    </row>
    <row r="2700" spans="13:18">
      <c r="M2700" s="34"/>
      <c r="N2700" s="34"/>
      <c r="O2700" s="34"/>
      <c r="P2700" s="34"/>
      <c r="Q2700" s="34"/>
      <c r="R2700" s="34"/>
    </row>
    <row r="2701" spans="13:18">
      <c r="M2701" s="34"/>
      <c r="N2701" s="34"/>
      <c r="O2701" s="34"/>
      <c r="P2701" s="34"/>
      <c r="Q2701" s="34"/>
      <c r="R2701" s="34"/>
    </row>
    <row r="2702" spans="13:18">
      <c r="M2702" s="34"/>
      <c r="N2702" s="34"/>
      <c r="O2702" s="34"/>
      <c r="P2702" s="34"/>
      <c r="Q2702" s="34"/>
      <c r="R2702" s="34"/>
    </row>
    <row r="2703" spans="13:18">
      <c r="M2703" s="34"/>
      <c r="N2703" s="34"/>
      <c r="O2703" s="34"/>
      <c r="P2703" s="34"/>
      <c r="Q2703" s="34"/>
      <c r="R2703" s="34"/>
    </row>
    <row r="2704" spans="13:18">
      <c r="M2704" s="34"/>
      <c r="N2704" s="34"/>
      <c r="O2704" s="34"/>
      <c r="P2704" s="34"/>
      <c r="Q2704" s="34"/>
      <c r="R2704" s="34"/>
    </row>
    <row r="2705" spans="13:18">
      <c r="M2705" s="34"/>
      <c r="N2705" s="34"/>
      <c r="O2705" s="34"/>
      <c r="P2705" s="34"/>
      <c r="Q2705" s="34"/>
      <c r="R2705" s="34"/>
    </row>
    <row r="2706" spans="13:18">
      <c r="M2706" s="34"/>
      <c r="N2706" s="34"/>
      <c r="O2706" s="34"/>
      <c r="P2706" s="34"/>
      <c r="Q2706" s="34"/>
      <c r="R2706" s="34"/>
    </row>
    <row r="2707" spans="13:18">
      <c r="M2707" s="34"/>
      <c r="N2707" s="34"/>
      <c r="O2707" s="34"/>
      <c r="P2707" s="34"/>
      <c r="Q2707" s="34"/>
      <c r="R2707" s="34"/>
    </row>
    <row r="2708" spans="13:18">
      <c r="M2708" s="34"/>
      <c r="N2708" s="34"/>
      <c r="O2708" s="34"/>
      <c r="P2708" s="34"/>
      <c r="Q2708" s="34"/>
      <c r="R2708" s="34"/>
    </row>
    <row r="2709" spans="13:18">
      <c r="M2709" s="34"/>
      <c r="N2709" s="34"/>
      <c r="O2709" s="34"/>
      <c r="P2709" s="34"/>
      <c r="Q2709" s="34"/>
      <c r="R2709" s="34"/>
    </row>
    <row r="2710" spans="13:18">
      <c r="M2710" s="34"/>
      <c r="N2710" s="34"/>
      <c r="O2710" s="34"/>
      <c r="P2710" s="34"/>
      <c r="Q2710" s="34"/>
      <c r="R2710" s="34"/>
    </row>
    <row r="2711" spans="13:18">
      <c r="M2711" s="34"/>
      <c r="N2711" s="34"/>
      <c r="O2711" s="34"/>
      <c r="P2711" s="34"/>
      <c r="Q2711" s="34"/>
      <c r="R2711" s="34"/>
    </row>
    <row r="2712" spans="13:18">
      <c r="M2712" s="34"/>
      <c r="N2712" s="34"/>
      <c r="O2712" s="34"/>
      <c r="P2712" s="34"/>
      <c r="Q2712" s="34"/>
      <c r="R2712" s="34"/>
    </row>
    <row r="2713" spans="13:18">
      <c r="M2713" s="34"/>
      <c r="N2713" s="34"/>
      <c r="O2713" s="34"/>
      <c r="P2713" s="34"/>
      <c r="Q2713" s="34"/>
      <c r="R2713" s="34"/>
    </row>
    <row r="2714" spans="13:18">
      <c r="M2714" s="34"/>
      <c r="N2714" s="34"/>
      <c r="O2714" s="34"/>
      <c r="P2714" s="34"/>
      <c r="Q2714" s="34"/>
      <c r="R2714" s="34"/>
    </row>
    <row r="2715" spans="13:18">
      <c r="M2715" s="34"/>
      <c r="N2715" s="34"/>
      <c r="O2715" s="34"/>
      <c r="P2715" s="34"/>
      <c r="Q2715" s="34"/>
      <c r="R2715" s="34"/>
    </row>
    <row r="2716" spans="13:18">
      <c r="M2716" s="34"/>
      <c r="N2716" s="34"/>
      <c r="O2716" s="34"/>
      <c r="P2716" s="34"/>
      <c r="Q2716" s="34"/>
      <c r="R2716" s="34"/>
    </row>
    <row r="2717" spans="13:18">
      <c r="M2717" s="34"/>
      <c r="N2717" s="34"/>
      <c r="O2717" s="34"/>
      <c r="P2717" s="34"/>
      <c r="Q2717" s="34"/>
      <c r="R2717" s="34"/>
    </row>
    <row r="2718" spans="13:18">
      <c r="M2718" s="34"/>
      <c r="N2718" s="34"/>
      <c r="O2718" s="34"/>
      <c r="P2718" s="34"/>
      <c r="Q2718" s="34"/>
      <c r="R2718" s="34"/>
    </row>
    <row r="2719" spans="13:18">
      <c r="M2719" s="34"/>
      <c r="N2719" s="34"/>
      <c r="O2719" s="34"/>
      <c r="P2719" s="34"/>
      <c r="Q2719" s="34"/>
      <c r="R2719" s="34"/>
    </row>
    <row r="2720" spans="13:18">
      <c r="M2720" s="34"/>
      <c r="N2720" s="34"/>
      <c r="O2720" s="34"/>
      <c r="P2720" s="34"/>
      <c r="Q2720" s="34"/>
      <c r="R2720" s="34"/>
    </row>
    <row r="2721" spans="13:18">
      <c r="M2721" s="34"/>
      <c r="N2721" s="34"/>
      <c r="O2721" s="34"/>
      <c r="P2721" s="34"/>
      <c r="Q2721" s="34"/>
      <c r="R2721" s="34"/>
    </row>
    <row r="2722" spans="13:18">
      <c r="M2722" s="34"/>
      <c r="N2722" s="34"/>
      <c r="O2722" s="34"/>
      <c r="P2722" s="34"/>
      <c r="Q2722" s="34"/>
      <c r="R2722" s="34"/>
    </row>
    <row r="2723" spans="13:18">
      <c r="M2723" s="34"/>
      <c r="N2723" s="34"/>
      <c r="O2723" s="34"/>
      <c r="P2723" s="34"/>
      <c r="Q2723" s="34"/>
      <c r="R2723" s="34"/>
    </row>
    <row r="2724" spans="13:18">
      <c r="M2724" s="34"/>
      <c r="N2724" s="34"/>
      <c r="O2724" s="34"/>
      <c r="P2724" s="34"/>
      <c r="Q2724" s="34"/>
      <c r="R2724" s="34"/>
    </row>
    <row r="2725" spans="13:18">
      <c r="M2725" s="34"/>
      <c r="N2725" s="34"/>
      <c r="O2725" s="34"/>
      <c r="P2725" s="34"/>
      <c r="Q2725" s="34"/>
      <c r="R2725" s="34"/>
    </row>
    <row r="2726" spans="13:18">
      <c r="M2726" s="34"/>
      <c r="N2726" s="34"/>
      <c r="O2726" s="34"/>
      <c r="P2726" s="34"/>
      <c r="Q2726" s="34"/>
      <c r="R2726" s="34"/>
    </row>
    <row r="2727" spans="13:18">
      <c r="M2727" s="34"/>
      <c r="N2727" s="34"/>
      <c r="O2727" s="34"/>
      <c r="P2727" s="34"/>
      <c r="Q2727" s="34"/>
      <c r="R2727" s="34"/>
    </row>
    <row r="2728" spans="13:18">
      <c r="M2728" s="34"/>
      <c r="N2728" s="34"/>
      <c r="O2728" s="34"/>
      <c r="P2728" s="34"/>
      <c r="Q2728" s="34"/>
      <c r="R2728" s="34"/>
    </row>
    <row r="2729" spans="13:18">
      <c r="M2729" s="34"/>
      <c r="N2729" s="34"/>
      <c r="O2729" s="34"/>
      <c r="P2729" s="34"/>
      <c r="Q2729" s="34"/>
      <c r="R2729" s="34"/>
    </row>
    <row r="2730" spans="13:18">
      <c r="M2730" s="34"/>
      <c r="N2730" s="34"/>
      <c r="O2730" s="34"/>
      <c r="P2730" s="34"/>
      <c r="Q2730" s="34"/>
      <c r="R2730" s="34"/>
    </row>
    <row r="2731" spans="13:18">
      <c r="M2731" s="34"/>
      <c r="N2731" s="34"/>
      <c r="O2731" s="34"/>
      <c r="P2731" s="34"/>
      <c r="Q2731" s="34"/>
      <c r="R2731" s="34"/>
    </row>
    <row r="2732" spans="13:18">
      <c r="M2732" s="34"/>
      <c r="N2732" s="34"/>
      <c r="O2732" s="34"/>
      <c r="P2732" s="34"/>
      <c r="Q2732" s="34"/>
      <c r="R2732" s="34"/>
    </row>
    <row r="2733" spans="13:18">
      <c r="M2733" s="34"/>
      <c r="N2733" s="34"/>
      <c r="O2733" s="34"/>
      <c r="P2733" s="34"/>
      <c r="Q2733" s="34"/>
      <c r="R2733" s="34"/>
    </row>
    <row r="2734" spans="13:18">
      <c r="M2734" s="34"/>
      <c r="N2734" s="34"/>
      <c r="O2734" s="34"/>
      <c r="P2734" s="34"/>
      <c r="Q2734" s="34"/>
      <c r="R2734" s="34"/>
    </row>
    <row r="2735" spans="13:18">
      <c r="M2735" s="34"/>
      <c r="N2735" s="34"/>
      <c r="O2735" s="34"/>
      <c r="P2735" s="34"/>
      <c r="Q2735" s="34"/>
      <c r="R2735" s="34"/>
    </row>
    <row r="2736" spans="13:18">
      <c r="M2736" s="34"/>
      <c r="N2736" s="34"/>
      <c r="O2736" s="34"/>
      <c r="P2736" s="34"/>
      <c r="Q2736" s="34"/>
      <c r="R2736" s="34"/>
    </row>
    <row r="2737" spans="13:18">
      <c r="M2737" s="34"/>
      <c r="N2737" s="34"/>
      <c r="O2737" s="34"/>
      <c r="P2737" s="34"/>
      <c r="Q2737" s="34"/>
      <c r="R2737" s="34"/>
    </row>
    <row r="2738" spans="13:18">
      <c r="M2738" s="34"/>
      <c r="N2738" s="34"/>
      <c r="O2738" s="34"/>
      <c r="P2738" s="34"/>
      <c r="Q2738" s="34"/>
      <c r="R2738" s="34"/>
    </row>
    <row r="2739" spans="13:18">
      <c r="M2739" s="34"/>
      <c r="N2739" s="34"/>
      <c r="O2739" s="34"/>
      <c r="P2739" s="34"/>
      <c r="Q2739" s="34"/>
      <c r="R2739" s="34"/>
    </row>
    <row r="2740" spans="13:18">
      <c r="M2740" s="34"/>
      <c r="N2740" s="34"/>
      <c r="O2740" s="34"/>
      <c r="P2740" s="34"/>
      <c r="Q2740" s="34"/>
      <c r="R2740" s="34"/>
    </row>
    <row r="2741" spans="13:18">
      <c r="M2741" s="34"/>
      <c r="N2741" s="34"/>
      <c r="O2741" s="34"/>
      <c r="P2741" s="34"/>
      <c r="Q2741" s="34"/>
      <c r="R2741" s="34"/>
    </row>
    <row r="2742" spans="13:18">
      <c r="M2742" s="34"/>
      <c r="N2742" s="34"/>
      <c r="O2742" s="34"/>
      <c r="P2742" s="34"/>
      <c r="Q2742" s="34"/>
      <c r="R2742" s="34"/>
    </row>
    <row r="2743" spans="13:18">
      <c r="M2743" s="34"/>
      <c r="N2743" s="34"/>
      <c r="O2743" s="34"/>
      <c r="P2743" s="34"/>
      <c r="Q2743" s="34"/>
      <c r="R2743" s="34"/>
    </row>
    <row r="2744" spans="13:18">
      <c r="M2744" s="34"/>
      <c r="N2744" s="34"/>
      <c r="O2744" s="34"/>
      <c r="P2744" s="34"/>
      <c r="Q2744" s="34"/>
      <c r="R2744" s="34"/>
    </row>
    <row r="2745" spans="13:18">
      <c r="M2745" s="34"/>
      <c r="N2745" s="34"/>
      <c r="O2745" s="34"/>
      <c r="P2745" s="34"/>
      <c r="Q2745" s="34"/>
      <c r="R2745" s="34"/>
    </row>
    <row r="2746" spans="13:18">
      <c r="M2746" s="34"/>
      <c r="N2746" s="34"/>
      <c r="O2746" s="34"/>
      <c r="P2746" s="34"/>
      <c r="Q2746" s="34"/>
      <c r="R2746" s="34"/>
    </row>
    <row r="2747" spans="13:18">
      <c r="M2747" s="34"/>
      <c r="N2747" s="34"/>
      <c r="O2747" s="34"/>
      <c r="P2747" s="34"/>
      <c r="Q2747" s="34"/>
      <c r="R2747" s="34"/>
    </row>
    <row r="2748" spans="13:18">
      <c r="M2748" s="34"/>
      <c r="N2748" s="34"/>
      <c r="O2748" s="34"/>
      <c r="P2748" s="34"/>
      <c r="Q2748" s="34"/>
      <c r="R2748" s="34"/>
    </row>
    <row r="2749" spans="13:18">
      <c r="M2749" s="34"/>
      <c r="N2749" s="34"/>
      <c r="O2749" s="34"/>
      <c r="P2749" s="34"/>
      <c r="Q2749" s="34"/>
      <c r="R2749" s="34"/>
    </row>
    <row r="2750" spans="13:18">
      <c r="M2750" s="34"/>
      <c r="N2750" s="34"/>
      <c r="O2750" s="34"/>
      <c r="P2750" s="34"/>
      <c r="Q2750" s="34"/>
      <c r="R2750" s="34"/>
    </row>
    <row r="2751" spans="13:18">
      <c r="M2751" s="34"/>
      <c r="N2751" s="34"/>
      <c r="O2751" s="34"/>
      <c r="P2751" s="34"/>
      <c r="Q2751" s="34"/>
      <c r="R2751" s="34"/>
    </row>
    <row r="2752" spans="13:18">
      <c r="M2752" s="34"/>
      <c r="N2752" s="34"/>
      <c r="O2752" s="34"/>
      <c r="P2752" s="34"/>
      <c r="Q2752" s="34"/>
      <c r="R2752" s="34"/>
    </row>
    <row r="2753" spans="13:18">
      <c r="M2753" s="34"/>
      <c r="N2753" s="34"/>
      <c r="O2753" s="34"/>
      <c r="P2753" s="34"/>
      <c r="Q2753" s="34"/>
      <c r="R2753" s="34"/>
    </row>
    <row r="2754" spans="13:18">
      <c r="M2754" s="34"/>
      <c r="N2754" s="34"/>
      <c r="O2754" s="34"/>
      <c r="P2754" s="34"/>
      <c r="Q2754" s="34"/>
      <c r="R2754" s="34"/>
    </row>
    <row r="2755" spans="13:18">
      <c r="M2755" s="34"/>
      <c r="N2755" s="34"/>
      <c r="O2755" s="34"/>
      <c r="P2755" s="34"/>
      <c r="Q2755" s="34"/>
      <c r="R2755" s="34"/>
    </row>
    <row r="2756" spans="13:18">
      <c r="M2756" s="34"/>
      <c r="N2756" s="34"/>
      <c r="O2756" s="34"/>
      <c r="P2756" s="34"/>
      <c r="Q2756" s="34"/>
      <c r="R2756" s="34"/>
    </row>
    <row r="2757" spans="13:18">
      <c r="M2757" s="34"/>
      <c r="N2757" s="34"/>
      <c r="O2757" s="34"/>
      <c r="P2757" s="34"/>
      <c r="Q2757" s="34"/>
      <c r="R2757" s="34"/>
    </row>
    <row r="2758" spans="13:18">
      <c r="M2758" s="34"/>
      <c r="N2758" s="34"/>
      <c r="O2758" s="34"/>
      <c r="P2758" s="34"/>
      <c r="Q2758" s="34"/>
      <c r="R2758" s="34"/>
    </row>
    <row r="2759" spans="13:18">
      <c r="M2759" s="34"/>
      <c r="N2759" s="34"/>
      <c r="O2759" s="34"/>
      <c r="P2759" s="34"/>
      <c r="Q2759" s="34"/>
      <c r="R2759" s="34"/>
    </row>
    <row r="2760" spans="13:18">
      <c r="M2760" s="34"/>
      <c r="N2760" s="34"/>
      <c r="O2760" s="34"/>
      <c r="P2760" s="34"/>
      <c r="Q2760" s="34"/>
      <c r="R2760" s="34"/>
    </row>
    <row r="2761" spans="13:18">
      <c r="M2761" s="34"/>
      <c r="N2761" s="34"/>
      <c r="O2761" s="34"/>
      <c r="P2761" s="34"/>
      <c r="Q2761" s="34"/>
      <c r="R2761" s="34"/>
    </row>
    <row r="2762" spans="13:18">
      <c r="M2762" s="34"/>
      <c r="N2762" s="34"/>
      <c r="O2762" s="34"/>
      <c r="P2762" s="34"/>
      <c r="Q2762" s="34"/>
      <c r="R2762" s="34"/>
    </row>
    <row r="2763" spans="13:18">
      <c r="M2763" s="34"/>
      <c r="N2763" s="34"/>
      <c r="O2763" s="34"/>
      <c r="P2763" s="34"/>
      <c r="Q2763" s="34"/>
      <c r="R2763" s="34"/>
    </row>
    <row r="2764" spans="13:18">
      <c r="M2764" s="34"/>
      <c r="N2764" s="34"/>
      <c r="O2764" s="34"/>
      <c r="P2764" s="34"/>
      <c r="Q2764" s="34"/>
      <c r="R2764" s="34"/>
    </row>
    <row r="2765" spans="13:18">
      <c r="M2765" s="34"/>
      <c r="N2765" s="34"/>
      <c r="O2765" s="34"/>
      <c r="P2765" s="34"/>
      <c r="Q2765" s="34"/>
      <c r="R2765" s="34"/>
    </row>
    <row r="2766" spans="13:18">
      <c r="M2766" s="34"/>
      <c r="N2766" s="34"/>
      <c r="O2766" s="34"/>
      <c r="P2766" s="34"/>
      <c r="Q2766" s="34"/>
      <c r="R2766" s="34"/>
    </row>
    <row r="2767" spans="13:18">
      <c r="M2767" s="34"/>
      <c r="N2767" s="34"/>
      <c r="O2767" s="34"/>
      <c r="P2767" s="34"/>
      <c r="Q2767" s="34"/>
      <c r="R2767" s="34"/>
    </row>
    <row r="2768" spans="13:18">
      <c r="M2768" s="34"/>
      <c r="N2768" s="34"/>
      <c r="O2768" s="34"/>
      <c r="P2768" s="34"/>
      <c r="Q2768" s="34"/>
      <c r="R2768" s="34"/>
    </row>
    <row r="2769" spans="13:18">
      <c r="M2769" s="34"/>
      <c r="N2769" s="34"/>
      <c r="O2769" s="34"/>
      <c r="P2769" s="34"/>
      <c r="Q2769" s="34"/>
      <c r="R2769" s="34"/>
    </row>
    <row r="2770" spans="13:18">
      <c r="M2770" s="34"/>
      <c r="N2770" s="34"/>
      <c r="O2770" s="34"/>
      <c r="P2770" s="34"/>
      <c r="Q2770" s="34"/>
      <c r="R2770" s="34"/>
    </row>
    <row r="2771" spans="13:18">
      <c r="M2771" s="34"/>
      <c r="N2771" s="34"/>
      <c r="O2771" s="34"/>
      <c r="P2771" s="34"/>
      <c r="Q2771" s="34"/>
      <c r="R2771" s="34"/>
    </row>
    <row r="2772" spans="13:18">
      <c r="M2772" s="34"/>
      <c r="N2772" s="34"/>
      <c r="O2772" s="34"/>
      <c r="P2772" s="34"/>
      <c r="Q2772" s="34"/>
      <c r="R2772" s="34"/>
    </row>
    <row r="2773" spans="13:18">
      <c r="M2773" s="34"/>
      <c r="N2773" s="34"/>
      <c r="O2773" s="34"/>
      <c r="P2773" s="34"/>
      <c r="Q2773" s="34"/>
      <c r="R2773" s="34"/>
    </row>
    <row r="2774" spans="13:18">
      <c r="M2774" s="34"/>
      <c r="N2774" s="34"/>
      <c r="O2774" s="34"/>
      <c r="P2774" s="34"/>
      <c r="Q2774" s="34"/>
      <c r="R2774" s="34"/>
    </row>
    <row r="2775" spans="13:18">
      <c r="M2775" s="34"/>
      <c r="N2775" s="34"/>
      <c r="O2775" s="34"/>
      <c r="P2775" s="34"/>
      <c r="Q2775" s="34"/>
      <c r="R2775" s="34"/>
    </row>
    <row r="2776" spans="13:18">
      <c r="M2776" s="34"/>
      <c r="N2776" s="34"/>
      <c r="O2776" s="34"/>
      <c r="P2776" s="34"/>
      <c r="Q2776" s="34"/>
      <c r="R2776" s="34"/>
    </row>
    <row r="2777" spans="13:18">
      <c r="M2777" s="34"/>
      <c r="N2777" s="34"/>
      <c r="O2777" s="34"/>
      <c r="P2777" s="34"/>
      <c r="Q2777" s="34"/>
      <c r="R2777" s="34"/>
    </row>
    <row r="2778" spans="13:18">
      <c r="M2778" s="34"/>
      <c r="N2778" s="34"/>
      <c r="O2778" s="34"/>
      <c r="P2778" s="34"/>
      <c r="Q2778" s="34"/>
      <c r="R2778" s="34"/>
    </row>
    <row r="2779" spans="13:18">
      <c r="M2779" s="34"/>
      <c r="N2779" s="34"/>
      <c r="O2779" s="34"/>
      <c r="P2779" s="34"/>
      <c r="Q2779" s="34"/>
      <c r="R2779" s="34"/>
    </row>
    <row r="2780" spans="13:18">
      <c r="M2780" s="34"/>
      <c r="N2780" s="34"/>
      <c r="O2780" s="34"/>
      <c r="P2780" s="34"/>
      <c r="Q2780" s="34"/>
      <c r="R2780" s="34"/>
    </row>
    <row r="2781" spans="13:18">
      <c r="M2781" s="34"/>
      <c r="N2781" s="34"/>
      <c r="O2781" s="34"/>
      <c r="P2781" s="34"/>
      <c r="Q2781" s="34"/>
      <c r="R2781" s="34"/>
    </row>
    <row r="2782" spans="13:18">
      <c r="M2782" s="34"/>
      <c r="N2782" s="34"/>
      <c r="O2782" s="34"/>
      <c r="P2782" s="34"/>
      <c r="Q2782" s="34"/>
      <c r="R2782" s="34"/>
    </row>
    <row r="2783" spans="13:18">
      <c r="M2783" s="34"/>
      <c r="N2783" s="34"/>
      <c r="O2783" s="34"/>
      <c r="P2783" s="34"/>
      <c r="Q2783" s="34"/>
      <c r="R2783" s="34"/>
    </row>
    <row r="2784" spans="13:18">
      <c r="M2784" s="34"/>
      <c r="N2784" s="34"/>
      <c r="O2784" s="34"/>
      <c r="P2784" s="34"/>
      <c r="Q2784" s="34"/>
      <c r="R2784" s="34"/>
    </row>
    <row r="2785" spans="13:18">
      <c r="M2785" s="34"/>
      <c r="N2785" s="34"/>
      <c r="O2785" s="34"/>
      <c r="P2785" s="34"/>
      <c r="Q2785" s="34"/>
      <c r="R2785" s="34"/>
    </row>
    <row r="2786" spans="13:18">
      <c r="M2786" s="34"/>
      <c r="N2786" s="34"/>
      <c r="O2786" s="34"/>
      <c r="P2786" s="34"/>
      <c r="Q2786" s="34"/>
      <c r="R2786" s="34"/>
    </row>
    <row r="2787" spans="13:18">
      <c r="M2787" s="34"/>
      <c r="N2787" s="34"/>
      <c r="O2787" s="34"/>
      <c r="P2787" s="34"/>
      <c r="Q2787" s="34"/>
      <c r="R2787" s="34"/>
    </row>
    <row r="2788" spans="13:18">
      <c r="M2788" s="34"/>
      <c r="N2788" s="34"/>
      <c r="O2788" s="34"/>
      <c r="P2788" s="34"/>
      <c r="Q2788" s="34"/>
      <c r="R2788" s="34"/>
    </row>
    <row r="2789" spans="13:18">
      <c r="M2789" s="34"/>
      <c r="N2789" s="34"/>
      <c r="O2789" s="34"/>
      <c r="P2789" s="34"/>
      <c r="Q2789" s="34"/>
      <c r="R2789" s="34"/>
    </row>
    <row r="2790" spans="13:18">
      <c r="M2790" s="34"/>
      <c r="N2790" s="34"/>
      <c r="O2790" s="34"/>
      <c r="P2790" s="34"/>
      <c r="Q2790" s="34"/>
      <c r="R2790" s="34"/>
    </row>
    <row r="2791" spans="13:18">
      <c r="M2791" s="34"/>
      <c r="N2791" s="34"/>
      <c r="O2791" s="34"/>
      <c r="P2791" s="34"/>
      <c r="Q2791" s="34"/>
      <c r="R2791" s="34"/>
    </row>
    <row r="2792" spans="13:18">
      <c r="M2792" s="34"/>
      <c r="N2792" s="34"/>
      <c r="O2792" s="34"/>
      <c r="P2792" s="34"/>
      <c r="Q2792" s="34"/>
      <c r="R2792" s="34"/>
    </row>
    <row r="2793" spans="13:18">
      <c r="M2793" s="34"/>
      <c r="N2793" s="34"/>
      <c r="O2793" s="34"/>
      <c r="P2793" s="34"/>
      <c r="Q2793" s="34"/>
      <c r="R2793" s="34"/>
    </row>
    <row r="2794" spans="13:18">
      <c r="M2794" s="34"/>
      <c r="N2794" s="34"/>
      <c r="O2794" s="34"/>
      <c r="P2794" s="34"/>
      <c r="Q2794" s="34"/>
      <c r="R2794" s="34"/>
    </row>
    <row r="2795" spans="13:18">
      <c r="M2795" s="34"/>
      <c r="N2795" s="34"/>
      <c r="O2795" s="34"/>
      <c r="P2795" s="34"/>
      <c r="Q2795" s="34"/>
      <c r="R2795" s="34"/>
    </row>
    <row r="2796" spans="13:18">
      <c r="M2796" s="34"/>
      <c r="N2796" s="34"/>
      <c r="O2796" s="34"/>
      <c r="P2796" s="34"/>
      <c r="Q2796" s="34"/>
      <c r="R2796" s="34"/>
    </row>
    <row r="2797" spans="13:18">
      <c r="M2797" s="34"/>
      <c r="N2797" s="34"/>
      <c r="O2797" s="34"/>
      <c r="P2797" s="34"/>
      <c r="Q2797" s="34"/>
      <c r="R2797" s="34"/>
    </row>
    <row r="2798" spans="13:18">
      <c r="M2798" s="34"/>
      <c r="N2798" s="34"/>
      <c r="O2798" s="34"/>
      <c r="P2798" s="34"/>
      <c r="Q2798" s="34"/>
      <c r="R2798" s="34"/>
    </row>
    <row r="2799" spans="13:18">
      <c r="M2799" s="34"/>
      <c r="N2799" s="34"/>
      <c r="O2799" s="34"/>
      <c r="P2799" s="34"/>
      <c r="Q2799" s="34"/>
      <c r="R2799" s="34"/>
    </row>
    <row r="2800" spans="13:18">
      <c r="M2800" s="34"/>
      <c r="N2800" s="34"/>
      <c r="O2800" s="34"/>
      <c r="P2800" s="34"/>
      <c r="Q2800" s="34"/>
      <c r="R2800" s="34"/>
    </row>
    <row r="2801" spans="13:18">
      <c r="M2801" s="34"/>
      <c r="N2801" s="34"/>
      <c r="O2801" s="34"/>
      <c r="P2801" s="34"/>
      <c r="Q2801" s="34"/>
      <c r="R2801" s="34"/>
    </row>
    <row r="2802" spans="13:18">
      <c r="M2802" s="34"/>
      <c r="N2802" s="34"/>
      <c r="O2802" s="34"/>
      <c r="P2802" s="34"/>
      <c r="Q2802" s="34"/>
      <c r="R2802" s="34"/>
    </row>
    <row r="2803" spans="13:18">
      <c r="M2803" s="34"/>
      <c r="N2803" s="34"/>
      <c r="O2803" s="34"/>
      <c r="P2803" s="34"/>
      <c r="Q2803" s="34"/>
      <c r="R2803" s="34"/>
    </row>
    <row r="2804" spans="13:18">
      <c r="M2804" s="34"/>
      <c r="N2804" s="34"/>
      <c r="O2804" s="34"/>
      <c r="P2804" s="34"/>
      <c r="Q2804" s="34"/>
      <c r="R2804" s="34"/>
    </row>
    <row r="2805" spans="13:18">
      <c r="M2805" s="34"/>
      <c r="N2805" s="34"/>
      <c r="O2805" s="34"/>
      <c r="P2805" s="34"/>
      <c r="Q2805" s="34"/>
      <c r="R2805" s="34"/>
    </row>
    <row r="2806" spans="13:18">
      <c r="M2806" s="34"/>
      <c r="N2806" s="34"/>
      <c r="O2806" s="34"/>
      <c r="P2806" s="34"/>
      <c r="Q2806" s="34"/>
      <c r="R2806" s="34"/>
    </row>
    <row r="2807" spans="13:18">
      <c r="M2807" s="34"/>
      <c r="N2807" s="34"/>
      <c r="O2807" s="34"/>
      <c r="P2807" s="34"/>
      <c r="Q2807" s="34"/>
      <c r="R2807" s="34"/>
    </row>
    <row r="2808" spans="13:18">
      <c r="M2808" s="34"/>
      <c r="N2808" s="34"/>
      <c r="O2808" s="34"/>
      <c r="P2808" s="34"/>
      <c r="Q2808" s="34"/>
      <c r="R2808" s="34"/>
    </row>
    <row r="2809" spans="13:18">
      <c r="M2809" s="34"/>
      <c r="N2809" s="34"/>
      <c r="O2809" s="34"/>
      <c r="P2809" s="34"/>
      <c r="Q2809" s="34"/>
      <c r="R2809" s="34"/>
    </row>
    <row r="2810" spans="13:18">
      <c r="M2810" s="34"/>
      <c r="N2810" s="34"/>
      <c r="O2810" s="34"/>
      <c r="P2810" s="34"/>
      <c r="Q2810" s="34"/>
      <c r="R2810" s="34"/>
    </row>
    <row r="2811" spans="13:18">
      <c r="M2811" s="34"/>
      <c r="N2811" s="34"/>
      <c r="O2811" s="34"/>
      <c r="P2811" s="34"/>
      <c r="Q2811" s="34"/>
      <c r="R2811" s="34"/>
    </row>
    <row r="2812" spans="13:18">
      <c r="M2812" s="34"/>
      <c r="N2812" s="34"/>
      <c r="O2812" s="34"/>
      <c r="P2812" s="34"/>
      <c r="Q2812" s="34"/>
      <c r="R2812" s="34"/>
    </row>
    <row r="2813" spans="13:18">
      <c r="M2813" s="34"/>
      <c r="N2813" s="34"/>
      <c r="O2813" s="34"/>
      <c r="P2813" s="34"/>
      <c r="Q2813" s="34"/>
      <c r="R2813" s="34"/>
    </row>
    <row r="2814" spans="13:18">
      <c r="M2814" s="34"/>
      <c r="N2814" s="34"/>
      <c r="O2814" s="34"/>
      <c r="P2814" s="34"/>
      <c r="Q2814" s="34"/>
      <c r="R2814" s="34"/>
    </row>
    <row r="2815" spans="13:18">
      <c r="M2815" s="34"/>
      <c r="N2815" s="34"/>
      <c r="O2815" s="34"/>
      <c r="P2815" s="34"/>
      <c r="Q2815" s="34"/>
      <c r="R2815" s="34"/>
    </row>
    <row r="2816" spans="13:18">
      <c r="M2816" s="34"/>
      <c r="N2816" s="34"/>
      <c r="O2816" s="34"/>
      <c r="P2816" s="34"/>
      <c r="Q2816" s="34"/>
      <c r="R2816" s="34"/>
    </row>
    <row r="2817" spans="13:18">
      <c r="M2817" s="34"/>
      <c r="N2817" s="34"/>
      <c r="O2817" s="34"/>
      <c r="P2817" s="34"/>
      <c r="Q2817" s="34"/>
      <c r="R2817" s="34"/>
    </row>
    <row r="2818" spans="13:18">
      <c r="M2818" s="34"/>
      <c r="N2818" s="34"/>
      <c r="O2818" s="34"/>
      <c r="P2818" s="34"/>
      <c r="Q2818" s="34"/>
      <c r="R2818" s="34"/>
    </row>
    <row r="2819" spans="13:18">
      <c r="M2819" s="34"/>
      <c r="N2819" s="34"/>
      <c r="O2819" s="34"/>
      <c r="P2819" s="34"/>
      <c r="Q2819" s="34"/>
      <c r="R2819" s="34"/>
    </row>
    <row r="2820" spans="13:18">
      <c r="M2820" s="34"/>
      <c r="N2820" s="34"/>
      <c r="O2820" s="34"/>
      <c r="P2820" s="34"/>
      <c r="Q2820" s="34"/>
      <c r="R2820" s="34"/>
    </row>
    <row r="2821" spans="13:18">
      <c r="M2821" s="34"/>
      <c r="N2821" s="34"/>
      <c r="O2821" s="34"/>
      <c r="P2821" s="34"/>
      <c r="Q2821" s="34"/>
      <c r="R2821" s="34"/>
    </row>
    <row r="2822" spans="13:18">
      <c r="M2822" s="34"/>
      <c r="N2822" s="34"/>
      <c r="O2822" s="34"/>
      <c r="P2822" s="34"/>
      <c r="Q2822" s="34"/>
      <c r="R2822" s="34"/>
    </row>
    <row r="2823" spans="13:18">
      <c r="M2823" s="34"/>
      <c r="N2823" s="34"/>
      <c r="O2823" s="34"/>
      <c r="P2823" s="34"/>
      <c r="Q2823" s="34"/>
      <c r="R2823" s="34"/>
    </row>
    <row r="2824" spans="13:18">
      <c r="M2824" s="34"/>
      <c r="N2824" s="34"/>
      <c r="O2824" s="34"/>
      <c r="P2824" s="34"/>
      <c r="Q2824" s="34"/>
      <c r="R2824" s="34"/>
    </row>
    <row r="2825" spans="13:18">
      <c r="M2825" s="34"/>
      <c r="N2825" s="34"/>
      <c r="O2825" s="34"/>
      <c r="P2825" s="34"/>
      <c r="Q2825" s="34"/>
      <c r="R2825" s="34"/>
    </row>
    <row r="2826" spans="13:18">
      <c r="M2826" s="34"/>
      <c r="N2826" s="34"/>
      <c r="O2826" s="34"/>
      <c r="P2826" s="34"/>
      <c r="Q2826" s="34"/>
      <c r="R2826" s="34"/>
    </row>
    <row r="2827" spans="13:18">
      <c r="M2827" s="34"/>
      <c r="N2827" s="34"/>
      <c r="O2827" s="34"/>
      <c r="P2827" s="34"/>
      <c r="Q2827" s="34"/>
      <c r="R2827" s="34"/>
    </row>
    <row r="2828" spans="13:18">
      <c r="M2828" s="34"/>
      <c r="N2828" s="34"/>
      <c r="O2828" s="34"/>
      <c r="P2828" s="34"/>
      <c r="Q2828" s="34"/>
      <c r="R2828" s="34"/>
    </row>
    <row r="2829" spans="13:18">
      <c r="M2829" s="34"/>
      <c r="N2829" s="34"/>
      <c r="O2829" s="34"/>
      <c r="P2829" s="34"/>
      <c r="Q2829" s="34"/>
      <c r="R2829" s="34"/>
    </row>
    <row r="2830" spans="13:18">
      <c r="M2830" s="34"/>
      <c r="N2830" s="34"/>
      <c r="O2830" s="34"/>
      <c r="P2830" s="34"/>
      <c r="Q2830" s="34"/>
      <c r="R2830" s="34"/>
    </row>
    <row r="2831" spans="13:18">
      <c r="M2831" s="34"/>
      <c r="N2831" s="34"/>
      <c r="O2831" s="34"/>
      <c r="P2831" s="34"/>
      <c r="Q2831" s="34"/>
      <c r="R2831" s="34"/>
    </row>
    <row r="2832" spans="13:18">
      <c r="M2832" s="34"/>
      <c r="N2832" s="34"/>
      <c r="O2832" s="34"/>
      <c r="P2832" s="34"/>
      <c r="Q2832" s="34"/>
      <c r="R2832" s="34"/>
    </row>
    <row r="2833" spans="13:18">
      <c r="M2833" s="34"/>
      <c r="N2833" s="34"/>
      <c r="O2833" s="34"/>
      <c r="P2833" s="34"/>
      <c r="Q2833" s="34"/>
      <c r="R2833" s="34"/>
    </row>
    <row r="2834" spans="13:18">
      <c r="M2834" s="34"/>
      <c r="N2834" s="34"/>
      <c r="O2834" s="34"/>
      <c r="P2834" s="34"/>
      <c r="Q2834" s="34"/>
      <c r="R2834" s="34"/>
    </row>
    <row r="2835" spans="13:18">
      <c r="M2835" s="34"/>
      <c r="N2835" s="34"/>
      <c r="O2835" s="34"/>
      <c r="P2835" s="34"/>
      <c r="Q2835" s="34"/>
      <c r="R2835" s="34"/>
    </row>
    <row r="2836" spans="13:18">
      <c r="M2836" s="34"/>
      <c r="N2836" s="34"/>
      <c r="O2836" s="34"/>
      <c r="P2836" s="34"/>
      <c r="Q2836" s="34"/>
      <c r="R2836" s="34"/>
    </row>
    <row r="2837" spans="13:18">
      <c r="M2837" s="34"/>
      <c r="N2837" s="34"/>
      <c r="O2837" s="34"/>
      <c r="P2837" s="34"/>
      <c r="Q2837" s="34"/>
      <c r="R2837" s="34"/>
    </row>
    <row r="2838" spans="13:18">
      <c r="M2838" s="34"/>
      <c r="N2838" s="34"/>
      <c r="O2838" s="34"/>
      <c r="P2838" s="34"/>
      <c r="Q2838" s="34"/>
      <c r="R2838" s="34"/>
    </row>
    <row r="2839" spans="13:18">
      <c r="M2839" s="34"/>
      <c r="N2839" s="34"/>
      <c r="O2839" s="34"/>
      <c r="P2839" s="34"/>
      <c r="Q2839" s="34"/>
      <c r="R2839" s="34"/>
    </row>
    <row r="2840" spans="13:18">
      <c r="M2840" s="34"/>
      <c r="N2840" s="34"/>
      <c r="O2840" s="34"/>
      <c r="P2840" s="34"/>
      <c r="Q2840" s="34"/>
      <c r="R2840" s="34"/>
    </row>
    <row r="2841" spans="13:18">
      <c r="M2841" s="34"/>
      <c r="N2841" s="34"/>
      <c r="O2841" s="34"/>
      <c r="P2841" s="34"/>
      <c r="Q2841" s="34"/>
      <c r="R2841" s="34"/>
    </row>
    <row r="2842" spans="13:18">
      <c r="M2842" s="34"/>
      <c r="N2842" s="34"/>
      <c r="O2842" s="34"/>
      <c r="P2842" s="34"/>
      <c r="Q2842" s="34"/>
      <c r="R2842" s="34"/>
    </row>
    <row r="2843" spans="13:18">
      <c r="M2843" s="34"/>
      <c r="N2843" s="34"/>
      <c r="O2843" s="34"/>
      <c r="P2843" s="34"/>
      <c r="Q2843" s="34"/>
      <c r="R2843" s="34"/>
    </row>
    <row r="2844" spans="13:18">
      <c r="M2844" s="34"/>
      <c r="N2844" s="34"/>
      <c r="O2844" s="34"/>
      <c r="P2844" s="34"/>
      <c r="Q2844" s="34"/>
      <c r="R2844" s="34"/>
    </row>
    <row r="2845" spans="13:18">
      <c r="M2845" s="34"/>
      <c r="N2845" s="34"/>
      <c r="O2845" s="34"/>
      <c r="P2845" s="34"/>
      <c r="Q2845" s="34"/>
      <c r="R2845" s="34"/>
    </row>
    <row r="2846" spans="13:18">
      <c r="M2846" s="34"/>
      <c r="N2846" s="34"/>
      <c r="O2846" s="34"/>
      <c r="P2846" s="34"/>
      <c r="Q2846" s="34"/>
      <c r="R2846" s="34"/>
    </row>
    <row r="2847" spans="13:18">
      <c r="M2847" s="34"/>
      <c r="N2847" s="34"/>
      <c r="O2847" s="34"/>
      <c r="P2847" s="34"/>
      <c r="Q2847" s="34"/>
      <c r="R2847" s="34"/>
    </row>
    <row r="2848" spans="13:18">
      <c r="M2848" s="34"/>
      <c r="N2848" s="34"/>
      <c r="O2848" s="34"/>
      <c r="P2848" s="34"/>
      <c r="Q2848" s="34"/>
      <c r="R2848" s="34"/>
    </row>
    <row r="2849" spans="13:18">
      <c r="M2849" s="34"/>
      <c r="N2849" s="34"/>
      <c r="O2849" s="34"/>
      <c r="P2849" s="34"/>
      <c r="Q2849" s="34"/>
      <c r="R2849" s="34"/>
    </row>
    <row r="2850" spans="13:18">
      <c r="M2850" s="34"/>
      <c r="N2850" s="34"/>
      <c r="O2850" s="34"/>
      <c r="P2850" s="34"/>
      <c r="Q2850" s="34"/>
      <c r="R2850" s="34"/>
    </row>
    <row r="2851" spans="13:18">
      <c r="M2851" s="34"/>
      <c r="N2851" s="34"/>
      <c r="O2851" s="34"/>
      <c r="P2851" s="34"/>
      <c r="Q2851" s="34"/>
      <c r="R2851" s="34"/>
    </row>
    <row r="2852" spans="13:18">
      <c r="M2852" s="34"/>
      <c r="N2852" s="34"/>
      <c r="O2852" s="34"/>
      <c r="P2852" s="34"/>
      <c r="Q2852" s="34"/>
      <c r="R2852" s="34"/>
    </row>
    <row r="2853" spans="13:18">
      <c r="M2853" s="34"/>
      <c r="N2853" s="34"/>
      <c r="O2853" s="34"/>
      <c r="P2853" s="34"/>
      <c r="Q2853" s="34"/>
      <c r="R2853" s="34"/>
    </row>
    <row r="2854" spans="13:18">
      <c r="M2854" s="34"/>
      <c r="N2854" s="34"/>
      <c r="O2854" s="34"/>
      <c r="P2854" s="34"/>
      <c r="Q2854" s="34"/>
      <c r="R2854" s="34"/>
    </row>
    <row r="2855" spans="13:18">
      <c r="M2855" s="34"/>
      <c r="N2855" s="34"/>
      <c r="O2855" s="34"/>
      <c r="P2855" s="34"/>
      <c r="Q2855" s="34"/>
      <c r="R2855" s="34"/>
    </row>
    <row r="2856" spans="13:18">
      <c r="M2856" s="34"/>
      <c r="N2856" s="34"/>
      <c r="O2856" s="34"/>
      <c r="P2856" s="34"/>
      <c r="Q2856" s="34"/>
      <c r="R2856" s="34"/>
    </row>
    <row r="2857" spans="13:18">
      <c r="M2857" s="34"/>
      <c r="N2857" s="34"/>
      <c r="O2857" s="34"/>
      <c r="P2857" s="34"/>
      <c r="Q2857" s="34"/>
      <c r="R2857" s="34"/>
    </row>
    <row r="2858" spans="13:18">
      <c r="M2858" s="34"/>
      <c r="N2858" s="34"/>
      <c r="O2858" s="34"/>
      <c r="P2858" s="34"/>
      <c r="Q2858" s="34"/>
      <c r="R2858" s="34"/>
    </row>
    <row r="2859" spans="13:18">
      <c r="M2859" s="34"/>
      <c r="N2859" s="34"/>
      <c r="O2859" s="34"/>
      <c r="P2859" s="34"/>
      <c r="Q2859" s="34"/>
      <c r="R2859" s="34"/>
    </row>
    <row r="2860" spans="13:18">
      <c r="M2860" s="34"/>
      <c r="N2860" s="34"/>
      <c r="O2860" s="34"/>
      <c r="P2860" s="34"/>
      <c r="Q2860" s="34"/>
      <c r="R2860" s="34"/>
    </row>
    <row r="2861" spans="13:18">
      <c r="M2861" s="34"/>
      <c r="N2861" s="34"/>
      <c r="O2861" s="34"/>
      <c r="P2861" s="34"/>
      <c r="Q2861" s="34"/>
      <c r="R2861" s="34"/>
    </row>
    <row r="2862" spans="13:18">
      <c r="M2862" s="34"/>
      <c r="N2862" s="34"/>
      <c r="O2862" s="34"/>
      <c r="P2862" s="34"/>
      <c r="Q2862" s="34"/>
      <c r="R2862" s="34"/>
    </row>
    <row r="2863" spans="13:18">
      <c r="M2863" s="34"/>
      <c r="N2863" s="34"/>
      <c r="O2863" s="34"/>
      <c r="P2863" s="34"/>
      <c r="Q2863" s="34"/>
      <c r="R2863" s="34"/>
    </row>
    <row r="2864" spans="13:18">
      <c r="M2864" s="34"/>
      <c r="N2864" s="34"/>
      <c r="O2864" s="34"/>
      <c r="P2864" s="34"/>
      <c r="Q2864" s="34"/>
      <c r="R2864" s="34"/>
    </row>
    <row r="2865" spans="13:18">
      <c r="M2865" s="34"/>
      <c r="N2865" s="34"/>
      <c r="O2865" s="34"/>
      <c r="P2865" s="34"/>
      <c r="Q2865" s="34"/>
      <c r="R2865" s="34"/>
    </row>
    <row r="2866" spans="13:18">
      <c r="M2866" s="34"/>
      <c r="N2866" s="34"/>
      <c r="O2866" s="34"/>
      <c r="P2866" s="34"/>
      <c r="Q2866" s="34"/>
      <c r="R2866" s="34"/>
    </row>
    <row r="2867" spans="13:18">
      <c r="M2867" s="34"/>
      <c r="N2867" s="34"/>
      <c r="O2867" s="34"/>
      <c r="P2867" s="34"/>
      <c r="Q2867" s="34"/>
      <c r="R2867" s="34"/>
    </row>
    <row r="2868" spans="13:18">
      <c r="M2868" s="34"/>
      <c r="N2868" s="34"/>
      <c r="O2868" s="34"/>
      <c r="P2868" s="34"/>
      <c r="Q2868" s="34"/>
      <c r="R2868" s="34"/>
    </row>
    <row r="2869" spans="13:18">
      <c r="M2869" s="34"/>
      <c r="N2869" s="34"/>
      <c r="O2869" s="34"/>
      <c r="P2869" s="34"/>
      <c r="Q2869" s="34"/>
      <c r="R2869" s="34"/>
    </row>
    <row r="2870" spans="13:18">
      <c r="M2870" s="34"/>
      <c r="N2870" s="34"/>
      <c r="O2870" s="34"/>
      <c r="P2870" s="34"/>
      <c r="Q2870" s="34"/>
      <c r="R2870" s="34"/>
    </row>
    <row r="2871" spans="13:18">
      <c r="M2871" s="34"/>
      <c r="N2871" s="34"/>
      <c r="O2871" s="34"/>
      <c r="P2871" s="34"/>
      <c r="Q2871" s="34"/>
      <c r="R2871" s="34"/>
    </row>
    <row r="2872" spans="13:18">
      <c r="M2872" s="34"/>
      <c r="N2872" s="34"/>
      <c r="O2872" s="34"/>
      <c r="P2872" s="34"/>
      <c r="Q2872" s="34"/>
      <c r="R2872" s="34"/>
    </row>
    <row r="2873" spans="13:18">
      <c r="M2873" s="34"/>
      <c r="N2873" s="34"/>
      <c r="O2873" s="34"/>
      <c r="P2873" s="34"/>
      <c r="Q2873" s="34"/>
      <c r="R2873" s="34"/>
    </row>
    <row r="2874" spans="13:18">
      <c r="M2874" s="34"/>
      <c r="N2874" s="34"/>
      <c r="O2874" s="34"/>
      <c r="P2874" s="34"/>
      <c r="Q2874" s="34"/>
      <c r="R2874" s="34"/>
    </row>
    <row r="2875" spans="13:18">
      <c r="M2875" s="34"/>
      <c r="N2875" s="34"/>
      <c r="O2875" s="34"/>
      <c r="P2875" s="34"/>
      <c r="Q2875" s="34"/>
      <c r="R2875" s="34"/>
    </row>
    <row r="2876" spans="13:18">
      <c r="M2876" s="34"/>
      <c r="N2876" s="34"/>
      <c r="O2876" s="34"/>
      <c r="P2876" s="34"/>
      <c r="Q2876" s="34"/>
      <c r="R2876" s="34"/>
    </row>
    <row r="2877" spans="13:18">
      <c r="M2877" s="34"/>
      <c r="N2877" s="34"/>
      <c r="O2877" s="34"/>
      <c r="P2877" s="34"/>
      <c r="Q2877" s="34"/>
      <c r="R2877" s="34"/>
    </row>
    <row r="2878" spans="13:18">
      <c r="M2878" s="34"/>
      <c r="N2878" s="34"/>
      <c r="O2878" s="34"/>
      <c r="P2878" s="34"/>
      <c r="Q2878" s="34"/>
      <c r="R2878" s="34"/>
    </row>
    <row r="2879" spans="13:18">
      <c r="M2879" s="34"/>
      <c r="N2879" s="34"/>
      <c r="O2879" s="34"/>
      <c r="P2879" s="34"/>
      <c r="Q2879" s="34"/>
      <c r="R2879" s="34"/>
    </row>
    <row r="2880" spans="13:18">
      <c r="M2880" s="34"/>
      <c r="N2880" s="34"/>
      <c r="O2880" s="34"/>
      <c r="P2880" s="34"/>
      <c r="Q2880" s="34"/>
      <c r="R2880" s="34"/>
    </row>
    <row r="2881" spans="13:18">
      <c r="M2881" s="34"/>
      <c r="N2881" s="34"/>
      <c r="O2881" s="34"/>
      <c r="P2881" s="34"/>
      <c r="Q2881" s="34"/>
      <c r="R2881" s="34"/>
    </row>
    <row r="2882" spans="13:18">
      <c r="M2882" s="34"/>
      <c r="N2882" s="34"/>
      <c r="O2882" s="34"/>
      <c r="P2882" s="34"/>
      <c r="Q2882" s="34"/>
      <c r="R2882" s="34"/>
    </row>
    <row r="2883" spans="13:18">
      <c r="M2883" s="34"/>
      <c r="N2883" s="34"/>
      <c r="O2883" s="34"/>
      <c r="P2883" s="34"/>
      <c r="Q2883" s="34"/>
      <c r="R2883" s="34"/>
    </row>
    <row r="2884" spans="13:18">
      <c r="M2884" s="34"/>
      <c r="N2884" s="34"/>
      <c r="O2884" s="34"/>
      <c r="P2884" s="34"/>
      <c r="Q2884" s="34"/>
      <c r="R2884" s="34"/>
    </row>
    <row r="2885" spans="13:18">
      <c r="M2885" s="34"/>
      <c r="N2885" s="34"/>
      <c r="O2885" s="34"/>
      <c r="P2885" s="34"/>
      <c r="Q2885" s="34"/>
      <c r="R2885" s="34"/>
    </row>
    <row r="2886" spans="13:18">
      <c r="M2886" s="34"/>
      <c r="N2886" s="34"/>
      <c r="O2886" s="34"/>
      <c r="P2886" s="34"/>
      <c r="Q2886" s="34"/>
      <c r="R2886" s="34"/>
    </row>
    <row r="2887" spans="13:18">
      <c r="M2887" s="34"/>
      <c r="N2887" s="34"/>
      <c r="O2887" s="34"/>
      <c r="P2887" s="34"/>
      <c r="Q2887" s="34"/>
      <c r="R2887" s="34"/>
    </row>
    <row r="2888" spans="13:18">
      <c r="M2888" s="34"/>
      <c r="N2888" s="34"/>
      <c r="O2888" s="34"/>
      <c r="P2888" s="34"/>
      <c r="Q2888" s="34"/>
      <c r="R2888" s="34"/>
    </row>
    <row r="2889" spans="13:18">
      <c r="M2889" s="34"/>
      <c r="N2889" s="34"/>
      <c r="O2889" s="34"/>
      <c r="P2889" s="34"/>
      <c r="Q2889" s="34"/>
      <c r="R2889" s="34"/>
    </row>
    <row r="2890" spans="13:18">
      <c r="M2890" s="34"/>
      <c r="N2890" s="34"/>
      <c r="O2890" s="34"/>
      <c r="P2890" s="34"/>
      <c r="Q2890" s="34"/>
      <c r="R2890" s="34"/>
    </row>
    <row r="2891" spans="13:18">
      <c r="M2891" s="34"/>
      <c r="N2891" s="34"/>
      <c r="O2891" s="34"/>
      <c r="P2891" s="34"/>
      <c r="Q2891" s="34"/>
      <c r="R2891" s="34"/>
    </row>
    <row r="2892" spans="13:18">
      <c r="M2892" s="34"/>
      <c r="N2892" s="34"/>
      <c r="O2892" s="34"/>
      <c r="P2892" s="34"/>
      <c r="Q2892" s="34"/>
      <c r="R2892" s="34"/>
    </row>
    <row r="2893" spans="13:18">
      <c r="M2893" s="34"/>
      <c r="N2893" s="34"/>
      <c r="O2893" s="34"/>
      <c r="P2893" s="34"/>
      <c r="Q2893" s="34"/>
      <c r="R2893" s="34"/>
    </row>
    <row r="2894" spans="13:18">
      <c r="M2894" s="34"/>
      <c r="N2894" s="34"/>
      <c r="O2894" s="34"/>
      <c r="P2894" s="34"/>
      <c r="Q2894" s="34"/>
      <c r="R2894" s="34"/>
    </row>
    <row r="2895" spans="13:18">
      <c r="M2895" s="34"/>
      <c r="N2895" s="34"/>
      <c r="O2895" s="34"/>
      <c r="P2895" s="34"/>
      <c r="Q2895" s="34"/>
      <c r="R2895" s="34"/>
    </row>
    <row r="2896" spans="13:18">
      <c r="M2896" s="34"/>
      <c r="N2896" s="34"/>
      <c r="O2896" s="34"/>
      <c r="P2896" s="34"/>
      <c r="Q2896" s="34"/>
      <c r="R2896" s="34"/>
    </row>
    <row r="2897" spans="13:18">
      <c r="M2897" s="34"/>
      <c r="N2897" s="34"/>
      <c r="O2897" s="34"/>
      <c r="P2897" s="34"/>
      <c r="Q2897" s="34"/>
      <c r="R2897" s="34"/>
    </row>
    <row r="2898" spans="13:18">
      <c r="M2898" s="34"/>
      <c r="N2898" s="34"/>
      <c r="O2898" s="34"/>
      <c r="P2898" s="34"/>
      <c r="Q2898" s="34"/>
      <c r="R2898" s="34"/>
    </row>
    <row r="2899" spans="13:18">
      <c r="M2899" s="34"/>
      <c r="N2899" s="34"/>
      <c r="O2899" s="34"/>
      <c r="P2899" s="34"/>
      <c r="Q2899" s="34"/>
      <c r="R2899" s="34"/>
    </row>
    <row r="2900" spans="13:18">
      <c r="M2900" s="34"/>
      <c r="N2900" s="34"/>
      <c r="O2900" s="34"/>
      <c r="P2900" s="34"/>
      <c r="Q2900" s="34"/>
      <c r="R2900" s="34"/>
    </row>
    <row r="2901" spans="13:18">
      <c r="M2901" s="34"/>
      <c r="N2901" s="34"/>
      <c r="O2901" s="34"/>
      <c r="P2901" s="34"/>
      <c r="Q2901" s="34"/>
      <c r="R2901" s="34"/>
    </row>
    <row r="2902" spans="13:18">
      <c r="M2902" s="34"/>
      <c r="N2902" s="34"/>
      <c r="O2902" s="34"/>
      <c r="P2902" s="34"/>
      <c r="Q2902" s="34"/>
      <c r="R2902" s="34"/>
    </row>
    <row r="2903" spans="13:18">
      <c r="M2903" s="34"/>
      <c r="N2903" s="34"/>
      <c r="O2903" s="34"/>
      <c r="P2903" s="34"/>
      <c r="Q2903" s="34"/>
      <c r="R2903" s="34"/>
    </row>
    <row r="2904" spans="13:18">
      <c r="M2904" s="34"/>
      <c r="N2904" s="34"/>
      <c r="O2904" s="34"/>
      <c r="P2904" s="34"/>
      <c r="Q2904" s="34"/>
      <c r="R2904" s="34"/>
    </row>
    <row r="2905" spans="13:18">
      <c r="M2905" s="34"/>
      <c r="N2905" s="34"/>
      <c r="O2905" s="34"/>
      <c r="P2905" s="34"/>
      <c r="Q2905" s="34"/>
      <c r="R2905" s="34"/>
    </row>
    <row r="2906" spans="13:18">
      <c r="M2906" s="34"/>
      <c r="N2906" s="34"/>
      <c r="O2906" s="34"/>
      <c r="P2906" s="34"/>
      <c r="Q2906" s="34"/>
      <c r="R2906" s="34"/>
    </row>
    <row r="2907" spans="13:18">
      <c r="M2907" s="34"/>
      <c r="N2907" s="34"/>
      <c r="O2907" s="34"/>
      <c r="P2907" s="34"/>
      <c r="Q2907" s="34"/>
      <c r="R2907" s="34"/>
    </row>
    <row r="2908" spans="13:18">
      <c r="M2908" s="34"/>
      <c r="N2908" s="34"/>
      <c r="O2908" s="34"/>
      <c r="P2908" s="34"/>
      <c r="Q2908" s="34"/>
      <c r="R2908" s="34"/>
    </row>
    <row r="2909" spans="13:18">
      <c r="M2909" s="34"/>
      <c r="N2909" s="34"/>
      <c r="O2909" s="34"/>
      <c r="P2909" s="34"/>
      <c r="Q2909" s="34"/>
      <c r="R2909" s="34"/>
    </row>
    <row r="2910" spans="13:18">
      <c r="M2910" s="34"/>
      <c r="N2910" s="34"/>
      <c r="O2910" s="34"/>
      <c r="P2910" s="34"/>
      <c r="Q2910" s="34"/>
      <c r="R2910" s="34"/>
    </row>
    <row r="2911" spans="13:18">
      <c r="M2911" s="34"/>
      <c r="N2911" s="34"/>
      <c r="O2911" s="34"/>
      <c r="P2911" s="34"/>
      <c r="Q2911" s="34"/>
      <c r="R2911" s="34"/>
    </row>
    <row r="2912" spans="13:18">
      <c r="M2912" s="34"/>
      <c r="N2912" s="34"/>
      <c r="O2912" s="34"/>
      <c r="P2912" s="34"/>
      <c r="Q2912" s="34"/>
      <c r="R2912" s="34"/>
    </row>
    <row r="2913" spans="13:18">
      <c r="M2913" s="34"/>
      <c r="N2913" s="34"/>
      <c r="O2913" s="34"/>
      <c r="P2913" s="34"/>
      <c r="Q2913" s="34"/>
      <c r="R2913" s="34"/>
    </row>
    <row r="2914" spans="13:18">
      <c r="M2914" s="34"/>
      <c r="N2914" s="34"/>
      <c r="O2914" s="34"/>
      <c r="P2914" s="34"/>
      <c r="Q2914" s="34"/>
      <c r="R2914" s="34"/>
    </row>
    <row r="2915" spans="13:18">
      <c r="M2915" s="34"/>
      <c r="N2915" s="34"/>
      <c r="O2915" s="34"/>
      <c r="P2915" s="34"/>
      <c r="Q2915" s="34"/>
      <c r="R2915" s="34"/>
    </row>
    <row r="2916" spans="13:18">
      <c r="M2916" s="34"/>
      <c r="N2916" s="34"/>
      <c r="O2916" s="34"/>
      <c r="P2916" s="34"/>
      <c r="Q2916" s="34"/>
      <c r="R2916" s="34"/>
    </row>
    <row r="2917" spans="13:18">
      <c r="M2917" s="34"/>
      <c r="N2917" s="34"/>
      <c r="O2917" s="34"/>
      <c r="P2917" s="34"/>
      <c r="Q2917" s="34"/>
      <c r="R2917" s="34"/>
    </row>
    <row r="2918" spans="13:18">
      <c r="M2918" s="34"/>
      <c r="N2918" s="34"/>
      <c r="O2918" s="34"/>
      <c r="P2918" s="34"/>
      <c r="Q2918" s="34"/>
      <c r="R2918" s="34"/>
    </row>
    <row r="2919" spans="13:18">
      <c r="M2919" s="34"/>
      <c r="N2919" s="34"/>
      <c r="O2919" s="34"/>
      <c r="P2919" s="34"/>
      <c r="Q2919" s="34"/>
      <c r="R2919" s="34"/>
    </row>
    <row r="2920" spans="13:18">
      <c r="M2920" s="34"/>
      <c r="N2920" s="34"/>
      <c r="O2920" s="34"/>
      <c r="P2920" s="34"/>
      <c r="Q2920" s="34"/>
      <c r="R2920" s="34"/>
    </row>
    <row r="2921" spans="13:18">
      <c r="M2921" s="34"/>
      <c r="N2921" s="34"/>
      <c r="O2921" s="34"/>
      <c r="P2921" s="34"/>
      <c r="Q2921" s="34"/>
      <c r="R2921" s="34"/>
    </row>
    <row r="2922" spans="13:18">
      <c r="M2922" s="34"/>
      <c r="N2922" s="34"/>
      <c r="O2922" s="34"/>
      <c r="P2922" s="34"/>
      <c r="Q2922" s="34"/>
      <c r="R2922" s="34"/>
    </row>
    <row r="2923" spans="13:18">
      <c r="M2923" s="34"/>
      <c r="N2923" s="34"/>
      <c r="O2923" s="34"/>
      <c r="P2923" s="34"/>
      <c r="Q2923" s="34"/>
      <c r="R2923" s="34"/>
    </row>
    <row r="2924" spans="13:18">
      <c r="M2924" s="34"/>
      <c r="N2924" s="34"/>
      <c r="O2924" s="34"/>
      <c r="P2924" s="34"/>
      <c r="Q2924" s="34"/>
      <c r="R2924" s="34"/>
    </row>
    <row r="2925" spans="13:18">
      <c r="M2925" s="34"/>
      <c r="N2925" s="34"/>
      <c r="O2925" s="34"/>
      <c r="P2925" s="34"/>
      <c r="Q2925" s="34"/>
      <c r="R2925" s="34"/>
    </row>
    <row r="2926" spans="13:18">
      <c r="M2926" s="34"/>
      <c r="N2926" s="34"/>
      <c r="O2926" s="34"/>
      <c r="P2926" s="34"/>
      <c r="Q2926" s="34"/>
      <c r="R2926" s="34"/>
    </row>
    <row r="2927" spans="13:18">
      <c r="M2927" s="34"/>
      <c r="N2927" s="34"/>
      <c r="O2927" s="34"/>
      <c r="P2927" s="34"/>
      <c r="Q2927" s="34"/>
      <c r="R2927" s="34"/>
    </row>
    <row r="2928" spans="13:18">
      <c r="M2928" s="34"/>
      <c r="N2928" s="34"/>
      <c r="O2928" s="34"/>
      <c r="P2928" s="34"/>
      <c r="Q2928" s="34"/>
      <c r="R2928" s="34"/>
    </row>
    <row r="2929" spans="13:18">
      <c r="M2929" s="34"/>
      <c r="N2929" s="34"/>
      <c r="O2929" s="34"/>
      <c r="P2929" s="34"/>
      <c r="Q2929" s="34"/>
      <c r="R2929" s="34"/>
    </row>
    <row r="2930" spans="13:18">
      <c r="M2930" s="34"/>
      <c r="N2930" s="34"/>
      <c r="O2930" s="34"/>
      <c r="P2930" s="34"/>
      <c r="Q2930" s="34"/>
      <c r="R2930" s="34"/>
    </row>
    <row r="2931" spans="13:18">
      <c r="M2931" s="34"/>
      <c r="N2931" s="34"/>
      <c r="O2931" s="34"/>
      <c r="P2931" s="34"/>
      <c r="Q2931" s="34"/>
      <c r="R2931" s="34"/>
    </row>
    <row r="2932" spans="13:18">
      <c r="M2932" s="34"/>
      <c r="N2932" s="34"/>
      <c r="O2932" s="34"/>
      <c r="P2932" s="34"/>
      <c r="Q2932" s="34"/>
      <c r="R2932" s="34"/>
    </row>
    <row r="2933" spans="13:18">
      <c r="M2933" s="34"/>
      <c r="N2933" s="34"/>
      <c r="O2933" s="34"/>
      <c r="P2933" s="34"/>
      <c r="Q2933" s="34"/>
      <c r="R2933" s="34"/>
    </row>
    <row r="2934" spans="13:18">
      <c r="M2934" s="34"/>
      <c r="N2934" s="34"/>
      <c r="O2934" s="34"/>
      <c r="P2934" s="34"/>
      <c r="Q2934" s="34"/>
      <c r="R2934" s="34"/>
    </row>
    <row r="2935" spans="13:18">
      <c r="M2935" s="34"/>
      <c r="N2935" s="34"/>
      <c r="O2935" s="34"/>
      <c r="P2935" s="34"/>
      <c r="Q2935" s="34"/>
      <c r="R2935" s="34"/>
    </row>
    <row r="2936" spans="13:18">
      <c r="M2936" s="34"/>
      <c r="N2936" s="34"/>
      <c r="O2936" s="34"/>
      <c r="P2936" s="34"/>
      <c r="Q2936" s="34"/>
      <c r="R2936" s="34"/>
    </row>
    <row r="2937" spans="13:18">
      <c r="M2937" s="34"/>
      <c r="N2937" s="34"/>
      <c r="O2937" s="34"/>
      <c r="P2937" s="34"/>
      <c r="Q2937" s="34"/>
      <c r="R2937" s="34"/>
    </row>
    <row r="2938" spans="13:18">
      <c r="M2938" s="34"/>
      <c r="N2938" s="34"/>
      <c r="O2938" s="34"/>
      <c r="P2938" s="34"/>
      <c r="Q2938" s="34"/>
      <c r="R2938" s="34"/>
    </row>
    <row r="2939" spans="13:18">
      <c r="M2939" s="34"/>
      <c r="N2939" s="34"/>
      <c r="O2939" s="34"/>
      <c r="P2939" s="34"/>
      <c r="Q2939" s="34"/>
      <c r="R2939" s="34"/>
    </row>
    <row r="2940" spans="13:18">
      <c r="M2940" s="34"/>
      <c r="N2940" s="34"/>
      <c r="O2940" s="34"/>
      <c r="P2940" s="34"/>
      <c r="Q2940" s="34"/>
      <c r="R2940" s="34"/>
    </row>
    <row r="2941" spans="13:18">
      <c r="M2941" s="34"/>
      <c r="N2941" s="34"/>
      <c r="O2941" s="34"/>
      <c r="P2941" s="34"/>
      <c r="Q2941" s="34"/>
      <c r="R2941" s="34"/>
    </row>
    <row r="2942" spans="13:18">
      <c r="M2942" s="34"/>
      <c r="N2942" s="34"/>
      <c r="O2942" s="34"/>
      <c r="P2942" s="34"/>
      <c r="Q2942" s="34"/>
      <c r="R2942" s="34"/>
    </row>
    <row r="2943" spans="13:18">
      <c r="M2943" s="34"/>
      <c r="N2943" s="34"/>
      <c r="O2943" s="34"/>
      <c r="P2943" s="34"/>
      <c r="Q2943" s="34"/>
      <c r="R2943" s="34"/>
    </row>
    <row r="2944" spans="13:18">
      <c r="M2944" s="34"/>
      <c r="N2944" s="34"/>
      <c r="O2944" s="34"/>
      <c r="P2944" s="34"/>
      <c r="Q2944" s="34"/>
      <c r="R2944" s="34"/>
    </row>
    <row r="2945" spans="13:18">
      <c r="M2945" s="34"/>
      <c r="N2945" s="34"/>
      <c r="O2945" s="34"/>
      <c r="P2945" s="34"/>
      <c r="Q2945" s="34"/>
      <c r="R2945" s="34"/>
    </row>
    <row r="2946" spans="13:18">
      <c r="M2946" s="34"/>
      <c r="N2946" s="34"/>
      <c r="O2946" s="34"/>
      <c r="P2946" s="34"/>
      <c r="Q2946" s="34"/>
      <c r="R2946" s="34"/>
    </row>
    <row r="2947" spans="13:18">
      <c r="M2947" s="34"/>
      <c r="N2947" s="34"/>
      <c r="O2947" s="34"/>
      <c r="P2947" s="34"/>
      <c r="Q2947" s="34"/>
      <c r="R2947" s="34"/>
    </row>
    <row r="2948" spans="13:18">
      <c r="M2948" s="34"/>
      <c r="N2948" s="34"/>
      <c r="O2948" s="34"/>
      <c r="P2948" s="34"/>
      <c r="Q2948" s="34"/>
      <c r="R2948" s="34"/>
    </row>
    <row r="2949" spans="13:18">
      <c r="M2949" s="34"/>
      <c r="N2949" s="34"/>
      <c r="O2949" s="34"/>
      <c r="P2949" s="34"/>
      <c r="Q2949" s="34"/>
      <c r="R2949" s="34"/>
    </row>
    <row r="2950" spans="13:18">
      <c r="M2950" s="34"/>
      <c r="N2950" s="34"/>
      <c r="O2950" s="34"/>
      <c r="P2950" s="34"/>
      <c r="Q2950" s="34"/>
      <c r="R2950" s="34"/>
    </row>
    <row r="2951" spans="13:18">
      <c r="M2951" s="34"/>
      <c r="N2951" s="34"/>
      <c r="O2951" s="34"/>
      <c r="P2951" s="34"/>
      <c r="Q2951" s="34"/>
      <c r="R2951" s="34"/>
    </row>
    <row r="2952" spans="13:18">
      <c r="M2952" s="34"/>
      <c r="N2952" s="34"/>
      <c r="O2952" s="34"/>
      <c r="P2952" s="34"/>
      <c r="Q2952" s="34"/>
      <c r="R2952" s="34"/>
    </row>
    <row r="2953" spans="13:18">
      <c r="M2953" s="34"/>
      <c r="N2953" s="34"/>
      <c r="O2953" s="34"/>
      <c r="P2953" s="34"/>
      <c r="Q2953" s="34"/>
      <c r="R2953" s="34"/>
    </row>
    <row r="2954" spans="13:18">
      <c r="M2954" s="34"/>
      <c r="N2954" s="34"/>
      <c r="O2954" s="34"/>
      <c r="P2954" s="34"/>
      <c r="Q2954" s="34"/>
      <c r="R2954" s="34"/>
    </row>
    <row r="2955" spans="13:18">
      <c r="M2955" s="34"/>
      <c r="N2955" s="34"/>
      <c r="O2955" s="34"/>
      <c r="P2955" s="34"/>
      <c r="Q2955" s="34"/>
      <c r="R2955" s="34"/>
    </row>
    <row r="2956" spans="13:18">
      <c r="M2956" s="34"/>
      <c r="N2956" s="34"/>
      <c r="O2956" s="34"/>
      <c r="P2956" s="34"/>
      <c r="Q2956" s="34"/>
      <c r="R2956" s="34"/>
    </row>
    <row r="2957" spans="13:18">
      <c r="M2957" s="34"/>
      <c r="N2957" s="34"/>
      <c r="O2957" s="34"/>
      <c r="P2957" s="34"/>
      <c r="Q2957" s="34"/>
      <c r="R2957" s="34"/>
    </row>
    <row r="2958" spans="13:18">
      <c r="M2958" s="34"/>
      <c r="N2958" s="34"/>
      <c r="O2958" s="34"/>
      <c r="P2958" s="34"/>
      <c r="Q2958" s="34"/>
      <c r="R2958" s="34"/>
    </row>
    <row r="2959" spans="13:18">
      <c r="M2959" s="34"/>
      <c r="N2959" s="34"/>
      <c r="O2959" s="34"/>
      <c r="P2959" s="34"/>
      <c r="Q2959" s="34"/>
      <c r="R2959" s="34"/>
    </row>
    <row r="2960" spans="13:18">
      <c r="M2960" s="34"/>
      <c r="N2960" s="34"/>
      <c r="O2960" s="34"/>
      <c r="P2960" s="34"/>
      <c r="Q2960" s="34"/>
      <c r="R2960" s="34"/>
    </row>
    <row r="2961" spans="13:18">
      <c r="M2961" s="34"/>
      <c r="N2961" s="34"/>
      <c r="O2961" s="34"/>
      <c r="P2961" s="34"/>
      <c r="Q2961" s="34"/>
      <c r="R2961" s="34"/>
    </row>
    <row r="2962" spans="13:18">
      <c r="M2962" s="34"/>
      <c r="N2962" s="34"/>
      <c r="O2962" s="34"/>
      <c r="P2962" s="34"/>
      <c r="Q2962" s="34"/>
      <c r="R2962" s="34"/>
    </row>
    <row r="2963" spans="13:18">
      <c r="M2963" s="34"/>
      <c r="N2963" s="34"/>
      <c r="O2963" s="34"/>
      <c r="P2963" s="34"/>
      <c r="Q2963" s="34"/>
      <c r="R2963" s="34"/>
    </row>
    <row r="2964" spans="13:18">
      <c r="M2964" s="34"/>
      <c r="N2964" s="34"/>
      <c r="O2964" s="34"/>
      <c r="P2964" s="34"/>
      <c r="Q2964" s="34"/>
      <c r="R2964" s="34"/>
    </row>
    <row r="2965" spans="13:18">
      <c r="M2965" s="34"/>
      <c r="N2965" s="34"/>
      <c r="O2965" s="34"/>
      <c r="P2965" s="34"/>
      <c r="Q2965" s="34"/>
      <c r="R2965" s="34"/>
    </row>
    <row r="2966" spans="13:18">
      <c r="M2966" s="34"/>
      <c r="N2966" s="34"/>
      <c r="O2966" s="34"/>
      <c r="P2966" s="34"/>
      <c r="Q2966" s="34"/>
      <c r="R2966" s="34"/>
    </row>
    <row r="2967" spans="13:18">
      <c r="M2967" s="34"/>
      <c r="N2967" s="34"/>
      <c r="O2967" s="34"/>
      <c r="P2967" s="34"/>
      <c r="Q2967" s="34"/>
      <c r="R2967" s="34"/>
    </row>
    <row r="2968" spans="13:18">
      <c r="M2968" s="34"/>
      <c r="N2968" s="34"/>
      <c r="O2968" s="34"/>
      <c r="P2968" s="34"/>
      <c r="Q2968" s="34"/>
      <c r="R2968" s="34"/>
    </row>
    <row r="2969" spans="13:18">
      <c r="M2969" s="34"/>
      <c r="N2969" s="34"/>
      <c r="O2969" s="34"/>
      <c r="P2969" s="34"/>
      <c r="Q2969" s="34"/>
      <c r="R2969" s="34"/>
    </row>
    <row r="2970" spans="13:18">
      <c r="M2970" s="34"/>
      <c r="N2970" s="34"/>
      <c r="O2970" s="34"/>
      <c r="P2970" s="34"/>
      <c r="Q2970" s="34"/>
      <c r="R2970" s="34"/>
    </row>
    <row r="2971" spans="13:18">
      <c r="M2971" s="34"/>
      <c r="N2971" s="34"/>
      <c r="O2971" s="34"/>
      <c r="P2971" s="34"/>
      <c r="Q2971" s="34"/>
      <c r="R2971" s="34"/>
    </row>
    <row r="2972" spans="13:18">
      <c r="M2972" s="34"/>
      <c r="N2972" s="34"/>
      <c r="O2972" s="34"/>
      <c r="P2972" s="34"/>
      <c r="Q2972" s="34"/>
      <c r="R2972" s="34"/>
    </row>
    <row r="2973" spans="13:18">
      <c r="M2973" s="34"/>
      <c r="N2973" s="34"/>
      <c r="O2973" s="34"/>
      <c r="P2973" s="34"/>
      <c r="Q2973" s="34"/>
      <c r="R2973" s="34"/>
    </row>
    <row r="2974" spans="13:18">
      <c r="M2974" s="34"/>
      <c r="N2974" s="34"/>
      <c r="O2974" s="34"/>
      <c r="P2974" s="34"/>
      <c r="Q2974" s="34"/>
      <c r="R2974" s="34"/>
    </row>
    <row r="2975" spans="13:18">
      <c r="M2975" s="34"/>
      <c r="N2975" s="34"/>
      <c r="O2975" s="34"/>
      <c r="P2975" s="34"/>
      <c r="Q2975" s="34"/>
      <c r="R2975" s="34"/>
    </row>
    <row r="2976" spans="13:18">
      <c r="M2976" s="34"/>
      <c r="N2976" s="34"/>
      <c r="O2976" s="34"/>
      <c r="P2976" s="34"/>
      <c r="Q2976" s="34"/>
      <c r="R2976" s="34"/>
    </row>
    <row r="2977" spans="13:18">
      <c r="M2977" s="34"/>
      <c r="N2977" s="34"/>
      <c r="O2977" s="34"/>
      <c r="P2977" s="34"/>
      <c r="Q2977" s="34"/>
      <c r="R2977" s="34"/>
    </row>
    <row r="2978" spans="13:18">
      <c r="M2978" s="34"/>
      <c r="N2978" s="34"/>
      <c r="O2978" s="34"/>
      <c r="P2978" s="34"/>
      <c r="Q2978" s="34"/>
      <c r="R2978" s="34"/>
    </row>
    <row r="2979" spans="13:18">
      <c r="M2979" s="34"/>
      <c r="N2979" s="34"/>
      <c r="O2979" s="34"/>
      <c r="P2979" s="34"/>
      <c r="Q2979" s="34"/>
      <c r="R2979" s="34"/>
    </row>
    <row r="2980" spans="13:18">
      <c r="M2980" s="34"/>
      <c r="N2980" s="34"/>
      <c r="O2980" s="34"/>
      <c r="P2980" s="34"/>
      <c r="Q2980" s="34"/>
      <c r="R2980" s="34"/>
    </row>
    <row r="2981" spans="13:18">
      <c r="M2981" s="34"/>
      <c r="N2981" s="34"/>
      <c r="O2981" s="34"/>
      <c r="P2981" s="34"/>
      <c r="Q2981" s="34"/>
      <c r="R2981" s="34"/>
    </row>
    <row r="2982" spans="13:18">
      <c r="M2982" s="34"/>
      <c r="N2982" s="34"/>
      <c r="O2982" s="34"/>
      <c r="P2982" s="34"/>
      <c r="Q2982" s="34"/>
      <c r="R2982" s="34"/>
    </row>
    <row r="2983" spans="13:18">
      <c r="M2983" s="34"/>
      <c r="N2983" s="34"/>
      <c r="O2983" s="34"/>
      <c r="P2983" s="34"/>
      <c r="Q2983" s="34"/>
      <c r="R2983" s="34"/>
    </row>
    <row r="2984" spans="13:18">
      <c r="M2984" s="34"/>
      <c r="N2984" s="34"/>
      <c r="O2984" s="34"/>
      <c r="P2984" s="34"/>
      <c r="Q2984" s="34"/>
      <c r="R2984" s="34"/>
    </row>
    <row r="2985" spans="13:18">
      <c r="M2985" s="34"/>
      <c r="N2985" s="34"/>
      <c r="O2985" s="34"/>
      <c r="P2985" s="34"/>
      <c r="Q2985" s="34"/>
      <c r="R2985" s="34"/>
    </row>
    <row r="2986" spans="13:18">
      <c r="M2986" s="34"/>
      <c r="N2986" s="34"/>
      <c r="O2986" s="34"/>
      <c r="P2986" s="34"/>
      <c r="Q2986" s="34"/>
      <c r="R2986" s="34"/>
    </row>
    <row r="2987" spans="13:18">
      <c r="M2987" s="34"/>
      <c r="N2987" s="34"/>
      <c r="O2987" s="34"/>
      <c r="P2987" s="34"/>
      <c r="Q2987" s="34"/>
      <c r="R2987" s="34"/>
    </row>
    <row r="2988" spans="13:18">
      <c r="M2988" s="34"/>
      <c r="N2988" s="34"/>
      <c r="O2988" s="34"/>
      <c r="P2988" s="34"/>
      <c r="Q2988" s="34"/>
      <c r="R2988" s="34"/>
    </row>
    <row r="2989" spans="13:18">
      <c r="M2989" s="34"/>
      <c r="N2989" s="34"/>
      <c r="O2989" s="34"/>
      <c r="P2989" s="34"/>
      <c r="Q2989" s="34"/>
      <c r="R2989" s="34"/>
    </row>
    <row r="2990" spans="13:18">
      <c r="M2990" s="34"/>
      <c r="N2990" s="34"/>
      <c r="O2990" s="34"/>
      <c r="P2990" s="34"/>
      <c r="Q2990" s="34"/>
      <c r="R2990" s="34"/>
    </row>
    <row r="2991" spans="13:18">
      <c r="M2991" s="34"/>
      <c r="N2991" s="34"/>
      <c r="O2991" s="34"/>
      <c r="P2991" s="34"/>
      <c r="Q2991" s="34"/>
      <c r="R2991" s="34"/>
    </row>
    <row r="2992" spans="13:18">
      <c r="M2992" s="34"/>
      <c r="N2992" s="34"/>
      <c r="O2992" s="34"/>
      <c r="P2992" s="34"/>
      <c r="Q2992" s="34"/>
      <c r="R2992" s="34"/>
    </row>
    <row r="2993" spans="13:18">
      <c r="M2993" s="34"/>
      <c r="N2993" s="34"/>
      <c r="O2993" s="34"/>
      <c r="P2993" s="34"/>
      <c r="Q2993" s="34"/>
      <c r="R2993" s="34"/>
    </row>
    <row r="2994" spans="13:18">
      <c r="M2994" s="34"/>
      <c r="N2994" s="34"/>
      <c r="O2994" s="34"/>
      <c r="P2994" s="34"/>
      <c r="Q2994" s="34"/>
      <c r="R2994" s="34"/>
    </row>
    <row r="2995" spans="13:18">
      <c r="M2995" s="34"/>
      <c r="N2995" s="34"/>
      <c r="O2995" s="34"/>
      <c r="P2995" s="34"/>
      <c r="Q2995" s="34"/>
      <c r="R2995" s="34"/>
    </row>
    <row r="2996" spans="13:18">
      <c r="M2996" s="34"/>
      <c r="N2996" s="34"/>
      <c r="O2996" s="34"/>
      <c r="P2996" s="34"/>
      <c r="Q2996" s="34"/>
      <c r="R2996" s="34"/>
    </row>
    <row r="2997" spans="13:18">
      <c r="M2997" s="34"/>
      <c r="N2997" s="34"/>
      <c r="O2997" s="34"/>
      <c r="P2997" s="34"/>
      <c r="Q2997" s="34"/>
      <c r="R2997" s="34"/>
    </row>
    <row r="2998" spans="13:18">
      <c r="M2998" s="34"/>
      <c r="N2998" s="34"/>
      <c r="O2998" s="34"/>
      <c r="P2998" s="34"/>
      <c r="Q2998" s="34"/>
      <c r="R2998" s="34"/>
    </row>
    <row r="2999" spans="13:18">
      <c r="M2999" s="34"/>
      <c r="N2999" s="34"/>
      <c r="O2999" s="34"/>
      <c r="P2999" s="34"/>
      <c r="Q2999" s="34"/>
      <c r="R2999" s="34"/>
    </row>
    <row r="3000" spans="13:18">
      <c r="M3000" s="34"/>
      <c r="N3000" s="34"/>
      <c r="O3000" s="34"/>
      <c r="P3000" s="34"/>
      <c r="Q3000" s="34"/>
      <c r="R3000" s="34"/>
    </row>
    <row r="3001" spans="13:18">
      <c r="M3001" s="34"/>
      <c r="N3001" s="34"/>
      <c r="O3001" s="34"/>
      <c r="P3001" s="34"/>
      <c r="Q3001" s="34"/>
      <c r="R3001" s="34"/>
    </row>
    <row r="3002" spans="13:18">
      <c r="M3002" s="34"/>
      <c r="N3002" s="34"/>
      <c r="O3002" s="34"/>
      <c r="P3002" s="34"/>
      <c r="Q3002" s="34"/>
      <c r="R3002" s="34"/>
    </row>
    <row r="3003" spans="13:18">
      <c r="M3003" s="34"/>
      <c r="N3003" s="34"/>
      <c r="O3003" s="34"/>
      <c r="P3003" s="34"/>
      <c r="Q3003" s="34"/>
      <c r="R3003" s="34"/>
    </row>
    <row r="3004" spans="13:18">
      <c r="M3004" s="34"/>
      <c r="N3004" s="34"/>
      <c r="O3004" s="34"/>
      <c r="P3004" s="34"/>
      <c r="Q3004" s="34"/>
      <c r="R3004" s="34"/>
    </row>
    <row r="3005" spans="13:18">
      <c r="M3005" s="34"/>
      <c r="N3005" s="34"/>
      <c r="O3005" s="34"/>
      <c r="P3005" s="34"/>
      <c r="Q3005" s="34"/>
      <c r="R3005" s="34"/>
    </row>
    <row r="3006" spans="13:18">
      <c r="M3006" s="34"/>
      <c r="N3006" s="34"/>
      <c r="O3006" s="34"/>
      <c r="P3006" s="34"/>
      <c r="Q3006" s="34"/>
      <c r="R3006" s="34"/>
    </row>
    <row r="3007" spans="13:18">
      <c r="M3007" s="34"/>
      <c r="N3007" s="34"/>
      <c r="O3007" s="34"/>
      <c r="P3007" s="34"/>
      <c r="Q3007" s="34"/>
      <c r="R3007" s="34"/>
    </row>
    <row r="3008" spans="13:18">
      <c r="M3008" s="34"/>
      <c r="N3008" s="34"/>
      <c r="O3008" s="34"/>
      <c r="P3008" s="34"/>
      <c r="Q3008" s="34"/>
      <c r="R3008" s="34"/>
    </row>
    <row r="3009" spans="13:18">
      <c r="M3009" s="34"/>
      <c r="N3009" s="34"/>
      <c r="O3009" s="34"/>
      <c r="P3009" s="34"/>
      <c r="Q3009" s="34"/>
      <c r="R3009" s="34"/>
    </row>
    <row r="3010" spans="13:18">
      <c r="M3010" s="34"/>
      <c r="N3010" s="34"/>
      <c r="O3010" s="34"/>
      <c r="P3010" s="34"/>
      <c r="Q3010" s="34"/>
      <c r="R3010" s="34"/>
    </row>
    <row r="3011" spans="13:18">
      <c r="M3011" s="34"/>
      <c r="N3011" s="34"/>
      <c r="O3011" s="34"/>
      <c r="P3011" s="34"/>
      <c r="Q3011" s="34"/>
      <c r="R3011" s="34"/>
    </row>
    <row r="3012" spans="13:18">
      <c r="M3012" s="34"/>
      <c r="N3012" s="34"/>
      <c r="O3012" s="34"/>
      <c r="P3012" s="34"/>
      <c r="Q3012" s="34"/>
      <c r="R3012" s="34"/>
    </row>
    <row r="3013" spans="13:18">
      <c r="M3013" s="34"/>
      <c r="N3013" s="34"/>
      <c r="O3013" s="34"/>
      <c r="P3013" s="34"/>
      <c r="Q3013" s="34"/>
      <c r="R3013" s="34"/>
    </row>
    <row r="3014" spans="13:18">
      <c r="M3014" s="34"/>
      <c r="N3014" s="34"/>
      <c r="O3014" s="34"/>
      <c r="P3014" s="34"/>
      <c r="Q3014" s="34"/>
      <c r="R3014" s="34"/>
    </row>
    <row r="3015" spans="13:18">
      <c r="M3015" s="34"/>
      <c r="N3015" s="34"/>
      <c r="O3015" s="34"/>
      <c r="P3015" s="34"/>
      <c r="Q3015" s="34"/>
      <c r="R3015" s="34"/>
    </row>
    <row r="3016" spans="13:18">
      <c r="M3016" s="34"/>
      <c r="N3016" s="34"/>
      <c r="O3016" s="34"/>
      <c r="P3016" s="34"/>
      <c r="Q3016" s="34"/>
      <c r="R3016" s="34"/>
    </row>
    <row r="3017" spans="13:18">
      <c r="M3017" s="34"/>
      <c r="N3017" s="34"/>
      <c r="O3017" s="34"/>
      <c r="P3017" s="34"/>
      <c r="Q3017" s="34"/>
      <c r="R3017" s="34"/>
    </row>
    <row r="3018" spans="13:18">
      <c r="M3018" s="34"/>
      <c r="N3018" s="34"/>
      <c r="O3018" s="34"/>
      <c r="P3018" s="34"/>
      <c r="Q3018" s="34"/>
      <c r="R3018" s="34"/>
    </row>
    <row r="3019" spans="13:18">
      <c r="M3019" s="34"/>
      <c r="N3019" s="34"/>
      <c r="O3019" s="34"/>
      <c r="P3019" s="34"/>
      <c r="Q3019" s="34"/>
      <c r="R3019" s="34"/>
    </row>
    <row r="3020" spans="13:18">
      <c r="M3020" s="34"/>
      <c r="N3020" s="34"/>
      <c r="O3020" s="34"/>
      <c r="P3020" s="34"/>
      <c r="Q3020" s="34"/>
      <c r="R3020" s="34"/>
    </row>
    <row r="3021" spans="13:18">
      <c r="M3021" s="34"/>
      <c r="N3021" s="34"/>
      <c r="O3021" s="34"/>
      <c r="P3021" s="34"/>
      <c r="Q3021" s="34"/>
      <c r="R3021" s="34"/>
    </row>
    <row r="3022" spans="13:18">
      <c r="M3022" s="34"/>
      <c r="N3022" s="34"/>
      <c r="O3022" s="34"/>
      <c r="P3022" s="34"/>
      <c r="Q3022" s="34"/>
      <c r="R3022" s="34"/>
    </row>
    <row r="3023" spans="13:18">
      <c r="M3023" s="34"/>
      <c r="N3023" s="34"/>
      <c r="O3023" s="34"/>
      <c r="P3023" s="34"/>
      <c r="Q3023" s="34"/>
      <c r="R3023" s="34"/>
    </row>
    <row r="3024" spans="13:18">
      <c r="M3024" s="34"/>
      <c r="N3024" s="34"/>
      <c r="O3024" s="34"/>
      <c r="P3024" s="34"/>
      <c r="Q3024" s="34"/>
      <c r="R3024" s="34"/>
    </row>
    <row r="3025" spans="13:18">
      <c r="M3025" s="34"/>
      <c r="N3025" s="34"/>
      <c r="O3025" s="34"/>
      <c r="P3025" s="34"/>
      <c r="Q3025" s="34"/>
      <c r="R3025" s="34"/>
    </row>
    <row r="3026" spans="13:18">
      <c r="M3026" s="34"/>
      <c r="N3026" s="34"/>
      <c r="O3026" s="34"/>
      <c r="P3026" s="34"/>
      <c r="Q3026" s="34"/>
      <c r="R3026" s="34"/>
    </row>
    <row r="3027" spans="13:18">
      <c r="M3027" s="34"/>
      <c r="N3027" s="34"/>
      <c r="O3027" s="34"/>
      <c r="P3027" s="34"/>
      <c r="Q3027" s="34"/>
      <c r="R3027" s="34"/>
    </row>
    <row r="3028" spans="13:18">
      <c r="M3028" s="34"/>
      <c r="N3028" s="34"/>
      <c r="O3028" s="34"/>
      <c r="P3028" s="34"/>
      <c r="Q3028" s="34"/>
      <c r="R3028" s="34"/>
    </row>
    <row r="3029" spans="13:18">
      <c r="M3029" s="34"/>
      <c r="N3029" s="34"/>
      <c r="O3029" s="34"/>
      <c r="P3029" s="34"/>
      <c r="Q3029" s="34"/>
      <c r="R3029" s="34"/>
    </row>
    <row r="3030" spans="13:18">
      <c r="M3030" s="34"/>
      <c r="N3030" s="34"/>
      <c r="O3030" s="34"/>
      <c r="P3030" s="34"/>
      <c r="Q3030" s="34"/>
      <c r="R3030" s="34"/>
    </row>
    <row r="3031" spans="13:18">
      <c r="M3031" s="34"/>
      <c r="N3031" s="34"/>
      <c r="O3031" s="34"/>
      <c r="P3031" s="34"/>
      <c r="Q3031" s="34"/>
      <c r="R3031" s="34"/>
    </row>
    <row r="3032" spans="13:18">
      <c r="M3032" s="34"/>
      <c r="N3032" s="34"/>
      <c r="O3032" s="34"/>
      <c r="P3032" s="34"/>
      <c r="Q3032" s="34"/>
      <c r="R3032" s="34"/>
    </row>
    <row r="3033" spans="13:18">
      <c r="M3033" s="34"/>
      <c r="N3033" s="34"/>
      <c r="O3033" s="34"/>
      <c r="P3033" s="34"/>
      <c r="Q3033" s="34"/>
      <c r="R3033" s="34"/>
    </row>
    <row r="3034" spans="13:18">
      <c r="M3034" s="34"/>
      <c r="N3034" s="34"/>
      <c r="O3034" s="34"/>
      <c r="P3034" s="34"/>
      <c r="Q3034" s="34"/>
      <c r="R3034" s="34"/>
    </row>
    <row r="3035" spans="13:18">
      <c r="M3035" s="34"/>
      <c r="N3035" s="34"/>
      <c r="O3035" s="34"/>
      <c r="P3035" s="34"/>
      <c r="Q3035" s="34"/>
      <c r="R3035" s="34"/>
    </row>
    <row r="3036" spans="13:18">
      <c r="M3036" s="34"/>
      <c r="N3036" s="34"/>
      <c r="O3036" s="34"/>
      <c r="P3036" s="34"/>
      <c r="Q3036" s="34"/>
      <c r="R3036" s="34"/>
    </row>
    <row r="3037" spans="13:18">
      <c r="M3037" s="34"/>
      <c r="N3037" s="34"/>
      <c r="O3037" s="34"/>
      <c r="P3037" s="34"/>
      <c r="Q3037" s="34"/>
      <c r="R3037" s="34"/>
    </row>
    <row r="3038" spans="13:18">
      <c r="M3038" s="34"/>
      <c r="N3038" s="34"/>
      <c r="O3038" s="34"/>
      <c r="P3038" s="34"/>
      <c r="Q3038" s="34"/>
      <c r="R3038" s="34"/>
    </row>
    <row r="3039" spans="13:18">
      <c r="M3039" s="34"/>
      <c r="N3039" s="34"/>
      <c r="O3039" s="34"/>
      <c r="P3039" s="34"/>
      <c r="Q3039" s="34"/>
      <c r="R3039" s="34"/>
    </row>
    <row r="3040" spans="13:18">
      <c r="M3040" s="34"/>
      <c r="N3040" s="34"/>
      <c r="O3040" s="34"/>
      <c r="P3040" s="34"/>
      <c r="Q3040" s="34"/>
      <c r="R3040" s="34"/>
    </row>
    <row r="3041" spans="13:18">
      <c r="M3041" s="34"/>
      <c r="N3041" s="34"/>
      <c r="O3041" s="34"/>
      <c r="P3041" s="34"/>
      <c r="Q3041" s="34"/>
      <c r="R3041" s="34"/>
    </row>
    <row r="3042" spans="13:18">
      <c r="M3042" s="34"/>
      <c r="N3042" s="34"/>
      <c r="O3042" s="34"/>
      <c r="P3042" s="34"/>
      <c r="Q3042" s="34"/>
      <c r="R3042" s="34"/>
    </row>
    <row r="3043" spans="13:18">
      <c r="M3043" s="34"/>
      <c r="N3043" s="34"/>
      <c r="O3043" s="34"/>
      <c r="P3043" s="34"/>
      <c r="Q3043" s="34"/>
      <c r="R3043" s="34"/>
    </row>
    <row r="3044" spans="13:18">
      <c r="M3044" s="34"/>
      <c r="N3044" s="34"/>
      <c r="O3044" s="34"/>
      <c r="P3044" s="34"/>
      <c r="Q3044" s="34"/>
      <c r="R3044" s="34"/>
    </row>
    <row r="3045" spans="13:18">
      <c r="M3045" s="34"/>
      <c r="N3045" s="34"/>
      <c r="O3045" s="34"/>
      <c r="P3045" s="34"/>
      <c r="Q3045" s="34"/>
      <c r="R3045" s="34"/>
    </row>
    <row r="3046" spans="13:18">
      <c r="M3046" s="34"/>
      <c r="N3046" s="34"/>
      <c r="O3046" s="34"/>
      <c r="P3046" s="34"/>
      <c r="Q3046" s="34"/>
      <c r="R3046" s="34"/>
    </row>
    <row r="3047" spans="13:18">
      <c r="M3047" s="34"/>
      <c r="N3047" s="34"/>
      <c r="O3047" s="34"/>
      <c r="P3047" s="34"/>
      <c r="Q3047" s="34"/>
      <c r="R3047" s="34"/>
    </row>
    <row r="3048" spans="13:18">
      <c r="M3048" s="34"/>
      <c r="N3048" s="34"/>
      <c r="O3048" s="34"/>
      <c r="P3048" s="34"/>
      <c r="Q3048" s="34"/>
      <c r="R3048" s="34"/>
    </row>
    <row r="3049" spans="13:18">
      <c r="M3049" s="34"/>
      <c r="N3049" s="34"/>
      <c r="O3049" s="34"/>
      <c r="P3049" s="34"/>
      <c r="Q3049" s="34"/>
      <c r="R3049" s="34"/>
    </row>
    <row r="3050" spans="13:18">
      <c r="M3050" s="34"/>
      <c r="N3050" s="34"/>
      <c r="O3050" s="34"/>
      <c r="P3050" s="34"/>
      <c r="Q3050" s="34"/>
      <c r="R3050" s="34"/>
    </row>
    <row r="3051" spans="13:18">
      <c r="M3051" s="34"/>
      <c r="N3051" s="34"/>
      <c r="O3051" s="34"/>
      <c r="P3051" s="34"/>
      <c r="Q3051" s="34"/>
      <c r="R3051" s="34"/>
    </row>
    <row r="3052" spans="13:18">
      <c r="M3052" s="34"/>
      <c r="N3052" s="34"/>
      <c r="O3052" s="34"/>
      <c r="P3052" s="34"/>
      <c r="Q3052" s="34"/>
      <c r="R3052" s="34"/>
    </row>
    <row r="3053" spans="13:18">
      <c r="M3053" s="34"/>
      <c r="N3053" s="34"/>
      <c r="O3053" s="34"/>
      <c r="P3053" s="34"/>
      <c r="Q3053" s="34"/>
      <c r="R3053" s="34"/>
    </row>
    <row r="3054" spans="13:18">
      <c r="M3054" s="34"/>
      <c r="N3054" s="34"/>
      <c r="O3054" s="34"/>
      <c r="P3054" s="34"/>
      <c r="Q3054" s="34"/>
      <c r="R3054" s="34"/>
    </row>
    <row r="3055" spans="13:18">
      <c r="M3055" s="34"/>
      <c r="N3055" s="34"/>
      <c r="O3055" s="34"/>
      <c r="P3055" s="34"/>
      <c r="Q3055" s="34"/>
      <c r="R3055" s="34"/>
    </row>
    <row r="3056" spans="13:18">
      <c r="M3056" s="34"/>
      <c r="N3056" s="34"/>
      <c r="O3056" s="34"/>
      <c r="P3056" s="34"/>
      <c r="Q3056" s="34"/>
      <c r="R3056" s="34"/>
    </row>
    <row r="3057" spans="13:18">
      <c r="M3057" s="34"/>
      <c r="N3057" s="34"/>
      <c r="O3057" s="34"/>
      <c r="P3057" s="34"/>
      <c r="Q3057" s="34"/>
      <c r="R3057" s="34"/>
    </row>
    <row r="3058" spans="13:18">
      <c r="M3058" s="34"/>
      <c r="N3058" s="34"/>
      <c r="O3058" s="34"/>
      <c r="P3058" s="34"/>
      <c r="Q3058" s="34"/>
      <c r="R3058" s="34"/>
    </row>
    <row r="3059" spans="13:18">
      <c r="M3059" s="34"/>
      <c r="N3059" s="34"/>
      <c r="O3059" s="34"/>
      <c r="P3059" s="34"/>
      <c r="Q3059" s="34"/>
      <c r="R3059" s="34"/>
    </row>
    <row r="3060" spans="13:18">
      <c r="M3060" s="34"/>
      <c r="N3060" s="34"/>
      <c r="O3060" s="34"/>
      <c r="P3060" s="34"/>
      <c r="Q3060" s="34"/>
      <c r="R3060" s="34"/>
    </row>
    <row r="3061" spans="13:18">
      <c r="M3061" s="34"/>
      <c r="N3061" s="34"/>
      <c r="O3061" s="34"/>
      <c r="P3061" s="34"/>
      <c r="Q3061" s="34"/>
      <c r="R3061" s="34"/>
    </row>
    <row r="3062" spans="13:18">
      <c r="M3062" s="34"/>
      <c r="N3062" s="34"/>
      <c r="O3062" s="34"/>
      <c r="P3062" s="34"/>
      <c r="Q3062" s="34"/>
      <c r="R3062" s="34"/>
    </row>
    <row r="3063" spans="13:18">
      <c r="M3063" s="34"/>
      <c r="N3063" s="34"/>
      <c r="O3063" s="34"/>
      <c r="P3063" s="34"/>
      <c r="Q3063" s="34"/>
      <c r="R3063" s="34"/>
    </row>
    <row r="3064" spans="13:18">
      <c r="M3064" s="34"/>
      <c r="N3064" s="34"/>
      <c r="O3064" s="34"/>
      <c r="P3064" s="34"/>
      <c r="Q3064" s="34"/>
      <c r="R3064" s="34"/>
    </row>
    <row r="3065" spans="13:18">
      <c r="M3065" s="34"/>
      <c r="N3065" s="34"/>
      <c r="O3065" s="34"/>
      <c r="P3065" s="34"/>
      <c r="Q3065" s="34"/>
      <c r="R3065" s="34"/>
    </row>
    <row r="3066" spans="13:18">
      <c r="M3066" s="34"/>
      <c r="N3066" s="34"/>
      <c r="O3066" s="34"/>
      <c r="P3066" s="34"/>
      <c r="Q3066" s="34"/>
      <c r="R3066" s="34"/>
    </row>
    <row r="3067" spans="13:18">
      <c r="M3067" s="34"/>
      <c r="N3067" s="34"/>
      <c r="O3067" s="34"/>
      <c r="P3067" s="34"/>
      <c r="Q3067" s="34"/>
      <c r="R3067" s="34"/>
    </row>
    <row r="3068" spans="13:18">
      <c r="M3068" s="34"/>
      <c r="N3068" s="34"/>
      <c r="O3068" s="34"/>
      <c r="P3068" s="34"/>
      <c r="Q3068" s="34"/>
      <c r="R3068" s="34"/>
    </row>
    <row r="3069" spans="13:18">
      <c r="M3069" s="34"/>
      <c r="N3069" s="34"/>
      <c r="O3069" s="34"/>
      <c r="P3069" s="34"/>
      <c r="Q3069" s="34"/>
      <c r="R3069" s="34"/>
    </row>
    <row r="3070" spans="13:18">
      <c r="M3070" s="34"/>
      <c r="N3070" s="34"/>
      <c r="O3070" s="34"/>
      <c r="P3070" s="34"/>
      <c r="Q3070" s="34"/>
      <c r="R3070" s="34"/>
    </row>
    <row r="3071" spans="13:18">
      <c r="M3071" s="34"/>
      <c r="N3071" s="34"/>
      <c r="O3071" s="34"/>
      <c r="P3071" s="34"/>
      <c r="Q3071" s="34"/>
      <c r="R3071" s="34"/>
    </row>
    <row r="3072" spans="13:18">
      <c r="M3072" s="34"/>
      <c r="N3072" s="34"/>
      <c r="O3072" s="34"/>
      <c r="P3072" s="34"/>
      <c r="Q3072" s="34"/>
      <c r="R3072" s="34"/>
    </row>
    <row r="3073" spans="13:18">
      <c r="M3073" s="34"/>
      <c r="N3073" s="34"/>
      <c r="O3073" s="34"/>
      <c r="P3073" s="34"/>
      <c r="Q3073" s="34"/>
      <c r="R3073" s="34"/>
    </row>
    <row r="3074" spans="13:18">
      <c r="M3074" s="34"/>
      <c r="N3074" s="34"/>
      <c r="O3074" s="34"/>
      <c r="P3074" s="34"/>
      <c r="Q3074" s="34"/>
      <c r="R3074" s="34"/>
    </row>
    <row r="3075" spans="13:18">
      <c r="M3075" s="34"/>
      <c r="N3075" s="34"/>
      <c r="O3075" s="34"/>
      <c r="P3075" s="34"/>
      <c r="Q3075" s="34"/>
      <c r="R3075" s="34"/>
    </row>
    <row r="3076" spans="13:18">
      <c r="M3076" s="34"/>
      <c r="N3076" s="34"/>
      <c r="O3076" s="34"/>
      <c r="P3076" s="34"/>
      <c r="Q3076" s="34"/>
      <c r="R3076" s="34"/>
    </row>
    <row r="3077" spans="13:18">
      <c r="M3077" s="34"/>
      <c r="N3077" s="34"/>
      <c r="O3077" s="34"/>
      <c r="P3077" s="34"/>
      <c r="Q3077" s="34"/>
      <c r="R3077" s="34"/>
    </row>
    <row r="3078" spans="13:18">
      <c r="M3078" s="34"/>
      <c r="N3078" s="34"/>
      <c r="O3078" s="34"/>
      <c r="P3078" s="34"/>
      <c r="Q3078" s="34"/>
      <c r="R3078" s="34"/>
    </row>
    <row r="3079" spans="13:18">
      <c r="M3079" s="34"/>
      <c r="N3079" s="34"/>
      <c r="O3079" s="34"/>
      <c r="P3079" s="34"/>
      <c r="Q3079" s="34"/>
      <c r="R3079" s="34"/>
    </row>
    <row r="3080" spans="13:18">
      <c r="M3080" s="34"/>
      <c r="N3080" s="34"/>
      <c r="O3080" s="34"/>
      <c r="P3080" s="34"/>
      <c r="Q3080" s="34"/>
      <c r="R3080" s="34"/>
    </row>
    <row r="3081" spans="13:18">
      <c r="M3081" s="34"/>
      <c r="N3081" s="34"/>
      <c r="O3081" s="34"/>
      <c r="P3081" s="34"/>
      <c r="Q3081" s="34"/>
      <c r="R3081" s="34"/>
    </row>
    <row r="3082" spans="13:18">
      <c r="M3082" s="34"/>
      <c r="N3082" s="34"/>
      <c r="O3082" s="34"/>
      <c r="P3082" s="34"/>
      <c r="Q3082" s="34"/>
      <c r="R3082" s="34"/>
    </row>
    <row r="3083" spans="13:18">
      <c r="M3083" s="34"/>
      <c r="N3083" s="34"/>
      <c r="O3083" s="34"/>
      <c r="P3083" s="34"/>
      <c r="Q3083" s="34"/>
      <c r="R3083" s="34"/>
    </row>
    <row r="3084" spans="13:18">
      <c r="M3084" s="34"/>
      <c r="N3084" s="34"/>
      <c r="O3084" s="34"/>
      <c r="P3084" s="34"/>
      <c r="Q3084" s="34"/>
      <c r="R3084" s="34"/>
    </row>
    <row r="3085" spans="13:18">
      <c r="M3085" s="34"/>
      <c r="N3085" s="34"/>
      <c r="O3085" s="34"/>
      <c r="P3085" s="34"/>
      <c r="Q3085" s="34"/>
      <c r="R3085" s="34"/>
    </row>
    <row r="3086" spans="13:18">
      <c r="M3086" s="34"/>
      <c r="N3086" s="34"/>
      <c r="O3086" s="34"/>
      <c r="P3086" s="34"/>
      <c r="Q3086" s="34"/>
      <c r="R3086" s="34"/>
    </row>
    <row r="3087" spans="13:18">
      <c r="M3087" s="34"/>
      <c r="N3087" s="34"/>
      <c r="O3087" s="34"/>
      <c r="P3087" s="34"/>
      <c r="Q3087" s="34"/>
      <c r="R3087" s="34"/>
    </row>
    <row r="3088" spans="13:18">
      <c r="M3088" s="34"/>
      <c r="N3088" s="34"/>
      <c r="O3088" s="34"/>
      <c r="P3088" s="34"/>
      <c r="Q3088" s="34"/>
      <c r="R3088" s="34"/>
    </row>
    <row r="3089" spans="13:18">
      <c r="M3089" s="34"/>
      <c r="N3089" s="34"/>
      <c r="O3089" s="34"/>
      <c r="P3089" s="34"/>
      <c r="Q3089" s="34"/>
      <c r="R3089" s="34"/>
    </row>
    <row r="3090" spans="13:18">
      <c r="M3090" s="34"/>
      <c r="N3090" s="34"/>
      <c r="O3090" s="34"/>
      <c r="P3090" s="34"/>
      <c r="Q3090" s="34"/>
      <c r="R3090" s="34"/>
    </row>
    <row r="3091" spans="13:18">
      <c r="M3091" s="34"/>
      <c r="N3091" s="34"/>
      <c r="O3091" s="34"/>
      <c r="P3091" s="34"/>
      <c r="Q3091" s="34"/>
      <c r="R3091" s="34"/>
    </row>
    <row r="3092" spans="13:18">
      <c r="M3092" s="34"/>
      <c r="N3092" s="34"/>
      <c r="O3092" s="34"/>
      <c r="P3092" s="34"/>
      <c r="Q3092" s="34"/>
      <c r="R3092" s="34"/>
    </row>
    <row r="3093" spans="13:18">
      <c r="M3093" s="34"/>
      <c r="N3093" s="34"/>
      <c r="O3093" s="34"/>
      <c r="P3093" s="34"/>
      <c r="Q3093" s="34"/>
      <c r="R3093" s="34"/>
    </row>
    <row r="3094" spans="13:18">
      <c r="M3094" s="34"/>
      <c r="N3094" s="34"/>
      <c r="O3094" s="34"/>
      <c r="P3094" s="34"/>
      <c r="Q3094" s="34"/>
      <c r="R3094" s="34"/>
    </row>
    <row r="3095" spans="13:18">
      <c r="M3095" s="34"/>
      <c r="N3095" s="34"/>
      <c r="O3095" s="34"/>
      <c r="P3095" s="34"/>
      <c r="Q3095" s="34"/>
      <c r="R3095" s="34"/>
    </row>
    <row r="3096" spans="13:18">
      <c r="M3096" s="34"/>
      <c r="N3096" s="34"/>
      <c r="O3096" s="34"/>
      <c r="P3096" s="34"/>
      <c r="Q3096" s="34"/>
      <c r="R3096" s="34"/>
    </row>
    <row r="3097" spans="13:18">
      <c r="M3097" s="34"/>
      <c r="N3097" s="34"/>
      <c r="O3097" s="34"/>
      <c r="P3097" s="34"/>
      <c r="Q3097" s="34"/>
      <c r="R3097" s="34"/>
    </row>
    <row r="3098" spans="13:18">
      <c r="M3098" s="34"/>
      <c r="N3098" s="34"/>
      <c r="O3098" s="34"/>
      <c r="P3098" s="34"/>
      <c r="Q3098" s="34"/>
      <c r="R3098" s="34"/>
    </row>
    <row r="3099" spans="13:18">
      <c r="M3099" s="34"/>
      <c r="N3099" s="34"/>
      <c r="O3099" s="34"/>
      <c r="P3099" s="34"/>
      <c r="Q3099" s="34"/>
      <c r="R3099" s="34"/>
    </row>
    <row r="3100" spans="13:18">
      <c r="M3100" s="34"/>
      <c r="N3100" s="34"/>
      <c r="O3100" s="34"/>
      <c r="P3100" s="34"/>
      <c r="Q3100" s="34"/>
      <c r="R3100" s="34"/>
    </row>
    <row r="3101" spans="13:18">
      <c r="M3101" s="34"/>
      <c r="N3101" s="34"/>
      <c r="O3101" s="34"/>
      <c r="P3101" s="34"/>
      <c r="Q3101" s="34"/>
      <c r="R3101" s="34"/>
    </row>
    <row r="3102" spans="13:18">
      <c r="M3102" s="34"/>
      <c r="N3102" s="34"/>
      <c r="O3102" s="34"/>
      <c r="P3102" s="34"/>
      <c r="Q3102" s="34"/>
      <c r="R3102" s="34"/>
    </row>
    <row r="3103" spans="13:18">
      <c r="M3103" s="34"/>
      <c r="N3103" s="34"/>
      <c r="O3103" s="34"/>
      <c r="P3103" s="34"/>
      <c r="Q3103" s="34"/>
      <c r="R3103" s="34"/>
    </row>
    <row r="3104" spans="13:18">
      <c r="M3104" s="34"/>
      <c r="N3104" s="34"/>
      <c r="O3104" s="34"/>
      <c r="P3104" s="34"/>
      <c r="Q3104" s="34"/>
      <c r="R3104" s="34"/>
    </row>
    <row r="3105" spans="13:18">
      <c r="M3105" s="34"/>
      <c r="N3105" s="34"/>
      <c r="O3105" s="34"/>
      <c r="P3105" s="34"/>
      <c r="Q3105" s="34"/>
      <c r="R3105" s="34"/>
    </row>
    <row r="3106" spans="13:18">
      <c r="M3106" s="34"/>
      <c r="N3106" s="34"/>
      <c r="O3106" s="34"/>
      <c r="P3106" s="34"/>
      <c r="Q3106" s="34"/>
      <c r="R3106" s="34"/>
    </row>
    <row r="3107" spans="13:18">
      <c r="M3107" s="34"/>
      <c r="N3107" s="34"/>
      <c r="O3107" s="34"/>
      <c r="P3107" s="34"/>
      <c r="Q3107" s="34"/>
      <c r="R3107" s="34"/>
    </row>
    <row r="3108" spans="13:18">
      <c r="M3108" s="34"/>
      <c r="N3108" s="34"/>
      <c r="O3108" s="34"/>
      <c r="P3108" s="34"/>
      <c r="Q3108" s="34"/>
      <c r="R3108" s="34"/>
    </row>
    <row r="3109" spans="13:18">
      <c r="M3109" s="34"/>
      <c r="N3109" s="34"/>
      <c r="O3109" s="34"/>
      <c r="P3109" s="34"/>
      <c r="Q3109" s="34"/>
      <c r="R3109" s="34"/>
    </row>
    <row r="3110" spans="13:18">
      <c r="M3110" s="34"/>
      <c r="N3110" s="34"/>
      <c r="O3110" s="34"/>
      <c r="P3110" s="34"/>
      <c r="Q3110" s="34"/>
      <c r="R3110" s="34"/>
    </row>
    <row r="3111" spans="13:18">
      <c r="M3111" s="34"/>
      <c r="N3111" s="34"/>
      <c r="O3111" s="34"/>
      <c r="P3111" s="34"/>
      <c r="Q3111" s="34"/>
      <c r="R3111" s="34"/>
    </row>
    <row r="3112" spans="13:18">
      <c r="M3112" s="34"/>
      <c r="N3112" s="34"/>
      <c r="O3112" s="34"/>
      <c r="P3112" s="34"/>
      <c r="Q3112" s="34"/>
      <c r="R3112" s="34"/>
    </row>
    <row r="3113" spans="13:18">
      <c r="M3113" s="34"/>
      <c r="N3113" s="34"/>
      <c r="O3113" s="34"/>
      <c r="P3113" s="34"/>
      <c r="Q3113" s="34"/>
      <c r="R3113" s="34"/>
    </row>
    <row r="3114" spans="13:18">
      <c r="M3114" s="34"/>
      <c r="N3114" s="34"/>
      <c r="O3114" s="34"/>
      <c r="P3114" s="34"/>
      <c r="Q3114" s="34"/>
      <c r="R3114" s="34"/>
    </row>
    <row r="3115" spans="13:18">
      <c r="M3115" s="34"/>
      <c r="N3115" s="34"/>
      <c r="O3115" s="34"/>
      <c r="P3115" s="34"/>
      <c r="Q3115" s="34"/>
      <c r="R3115" s="34"/>
    </row>
    <row r="3116" spans="13:18">
      <c r="M3116" s="34"/>
      <c r="N3116" s="34"/>
      <c r="O3116" s="34"/>
      <c r="P3116" s="34"/>
      <c r="Q3116" s="34"/>
      <c r="R3116" s="34"/>
    </row>
    <row r="3117" spans="13:18">
      <c r="M3117" s="34"/>
      <c r="N3117" s="34"/>
      <c r="O3117" s="34"/>
      <c r="P3117" s="34"/>
      <c r="Q3117" s="34"/>
      <c r="R3117" s="34"/>
    </row>
    <row r="3118" spans="13:18">
      <c r="M3118" s="34"/>
      <c r="N3118" s="34"/>
      <c r="O3118" s="34"/>
      <c r="P3118" s="34"/>
      <c r="Q3118" s="34"/>
      <c r="R3118" s="34"/>
    </row>
    <row r="3119" spans="13:18">
      <c r="M3119" s="34"/>
      <c r="N3119" s="34"/>
      <c r="O3119" s="34"/>
      <c r="P3119" s="34"/>
      <c r="Q3119" s="34"/>
      <c r="R3119" s="34"/>
    </row>
    <row r="3120" spans="13:18">
      <c r="M3120" s="34"/>
      <c r="N3120" s="34"/>
      <c r="O3120" s="34"/>
      <c r="P3120" s="34"/>
      <c r="Q3120" s="34"/>
      <c r="R3120" s="34"/>
    </row>
    <row r="3121" spans="13:18">
      <c r="M3121" s="34"/>
      <c r="N3121" s="34"/>
      <c r="O3121" s="34"/>
      <c r="P3121" s="34"/>
      <c r="Q3121" s="34"/>
      <c r="R3121" s="34"/>
    </row>
    <row r="3122" spans="13:18">
      <c r="M3122" s="34"/>
      <c r="N3122" s="34"/>
      <c r="O3122" s="34"/>
      <c r="P3122" s="34"/>
      <c r="Q3122" s="34"/>
      <c r="R3122" s="34"/>
    </row>
    <row r="3123" spans="13:18">
      <c r="M3123" s="34"/>
      <c r="N3123" s="34"/>
      <c r="O3123" s="34"/>
      <c r="P3123" s="34"/>
      <c r="Q3123" s="34"/>
      <c r="R3123" s="34"/>
    </row>
    <row r="3124" spans="13:18">
      <c r="M3124" s="34"/>
      <c r="N3124" s="34"/>
      <c r="O3124" s="34"/>
      <c r="P3124" s="34"/>
      <c r="Q3124" s="34"/>
      <c r="R3124" s="34"/>
    </row>
    <row r="3125" spans="13:18">
      <c r="M3125" s="34"/>
      <c r="N3125" s="34"/>
      <c r="O3125" s="34"/>
      <c r="P3125" s="34"/>
      <c r="Q3125" s="34"/>
      <c r="R3125" s="34"/>
    </row>
    <row r="3126" spans="13:18">
      <c r="M3126" s="34"/>
      <c r="N3126" s="34"/>
      <c r="O3126" s="34"/>
      <c r="P3126" s="34"/>
      <c r="Q3126" s="34"/>
      <c r="R3126" s="34"/>
    </row>
    <row r="3127" spans="13:18">
      <c r="M3127" s="34"/>
      <c r="N3127" s="34"/>
      <c r="O3127" s="34"/>
      <c r="P3127" s="34"/>
      <c r="Q3127" s="34"/>
      <c r="R3127" s="34"/>
    </row>
    <row r="3128" spans="13:18">
      <c r="M3128" s="34"/>
      <c r="N3128" s="34"/>
      <c r="O3128" s="34"/>
      <c r="P3128" s="34"/>
      <c r="Q3128" s="34"/>
      <c r="R3128" s="34"/>
    </row>
    <row r="3129" spans="13:18">
      <c r="M3129" s="34"/>
      <c r="N3129" s="34"/>
      <c r="O3129" s="34"/>
      <c r="P3129" s="34"/>
      <c r="Q3129" s="34"/>
      <c r="R3129" s="34"/>
    </row>
    <row r="3130" spans="13:18">
      <c r="M3130" s="34"/>
      <c r="N3130" s="34"/>
      <c r="O3130" s="34"/>
      <c r="P3130" s="34"/>
      <c r="Q3130" s="34"/>
      <c r="R3130" s="34"/>
    </row>
    <row r="3131" spans="13:18">
      <c r="M3131" s="34"/>
      <c r="N3131" s="34"/>
      <c r="O3131" s="34"/>
      <c r="P3131" s="34"/>
      <c r="Q3131" s="34"/>
      <c r="R3131" s="34"/>
    </row>
    <row r="3132" spans="13:18">
      <c r="M3132" s="34"/>
      <c r="N3132" s="34"/>
      <c r="O3132" s="34"/>
      <c r="P3132" s="34"/>
      <c r="Q3132" s="34"/>
      <c r="R3132" s="34"/>
    </row>
    <row r="3133" spans="13:18">
      <c r="M3133" s="34"/>
      <c r="N3133" s="34"/>
      <c r="O3133" s="34"/>
      <c r="P3133" s="34"/>
      <c r="Q3133" s="34"/>
      <c r="R3133" s="34"/>
    </row>
    <row r="3134" spans="13:18">
      <c r="M3134" s="34"/>
      <c r="N3134" s="34"/>
      <c r="O3134" s="34"/>
      <c r="P3134" s="34"/>
      <c r="Q3134" s="34"/>
      <c r="R3134" s="34"/>
    </row>
    <row r="3135" spans="13:18">
      <c r="M3135" s="34"/>
      <c r="N3135" s="34"/>
      <c r="O3135" s="34"/>
      <c r="P3135" s="34"/>
      <c r="Q3135" s="34"/>
      <c r="R3135" s="34"/>
    </row>
    <row r="3136" spans="13:18">
      <c r="M3136" s="34"/>
      <c r="N3136" s="34"/>
      <c r="O3136" s="34"/>
      <c r="P3136" s="34"/>
      <c r="Q3136" s="34"/>
      <c r="R3136" s="34"/>
    </row>
    <row r="3137" spans="13:18">
      <c r="M3137" s="34"/>
      <c r="N3137" s="34"/>
      <c r="O3137" s="34"/>
      <c r="P3137" s="34"/>
      <c r="Q3137" s="34"/>
      <c r="R3137" s="34"/>
    </row>
    <row r="3138" spans="13:18">
      <c r="M3138" s="34"/>
      <c r="N3138" s="34"/>
      <c r="O3138" s="34"/>
      <c r="P3138" s="34"/>
      <c r="Q3138" s="34"/>
      <c r="R3138" s="34"/>
    </row>
    <row r="3139" spans="13:18">
      <c r="M3139" s="34"/>
      <c r="N3139" s="34"/>
      <c r="O3139" s="34"/>
      <c r="P3139" s="34"/>
      <c r="Q3139" s="34"/>
      <c r="R3139" s="34"/>
    </row>
    <row r="3140" spans="13:18">
      <c r="M3140" s="34"/>
      <c r="N3140" s="34"/>
      <c r="O3140" s="34"/>
      <c r="P3140" s="34"/>
      <c r="Q3140" s="34"/>
      <c r="R3140" s="34"/>
    </row>
    <row r="3141" spans="13:18">
      <c r="M3141" s="34"/>
      <c r="N3141" s="34"/>
      <c r="O3141" s="34"/>
      <c r="P3141" s="34"/>
      <c r="Q3141" s="34"/>
      <c r="R3141" s="34"/>
    </row>
    <row r="3142" spans="13:18">
      <c r="M3142" s="34"/>
      <c r="N3142" s="34"/>
      <c r="O3142" s="34"/>
      <c r="P3142" s="34"/>
      <c r="Q3142" s="34"/>
      <c r="R3142" s="34"/>
    </row>
    <row r="3143" spans="13:18">
      <c r="M3143" s="34"/>
      <c r="N3143" s="34"/>
      <c r="O3143" s="34"/>
      <c r="P3143" s="34"/>
      <c r="Q3143" s="34"/>
      <c r="R3143" s="34"/>
    </row>
    <row r="3144" spans="13:18">
      <c r="M3144" s="34"/>
      <c r="N3144" s="34"/>
      <c r="O3144" s="34"/>
      <c r="P3144" s="34"/>
      <c r="Q3144" s="34"/>
      <c r="R3144" s="34"/>
    </row>
    <row r="3145" spans="13:18">
      <c r="M3145" s="34"/>
      <c r="N3145" s="34"/>
      <c r="O3145" s="34"/>
      <c r="P3145" s="34"/>
      <c r="Q3145" s="34"/>
      <c r="R3145" s="34"/>
    </row>
    <row r="3146" spans="13:18">
      <c r="M3146" s="34"/>
      <c r="N3146" s="34"/>
      <c r="O3146" s="34"/>
      <c r="P3146" s="34"/>
      <c r="Q3146" s="34"/>
      <c r="R3146" s="34"/>
    </row>
    <row r="3147" spans="13:18">
      <c r="M3147" s="34"/>
      <c r="N3147" s="34"/>
      <c r="O3147" s="34"/>
      <c r="P3147" s="34"/>
      <c r="Q3147" s="34"/>
      <c r="R3147" s="34"/>
    </row>
    <row r="3148" spans="13:18">
      <c r="M3148" s="34"/>
      <c r="N3148" s="34"/>
      <c r="O3148" s="34"/>
      <c r="P3148" s="34"/>
      <c r="Q3148" s="34"/>
      <c r="R3148" s="34"/>
    </row>
    <row r="3149" spans="13:18">
      <c r="M3149" s="34"/>
      <c r="N3149" s="34"/>
      <c r="O3149" s="34"/>
      <c r="P3149" s="34"/>
      <c r="Q3149" s="34"/>
      <c r="R3149" s="34"/>
    </row>
    <row r="3150" spans="13:18">
      <c r="M3150" s="34"/>
      <c r="N3150" s="34"/>
      <c r="O3150" s="34"/>
      <c r="P3150" s="34"/>
      <c r="Q3150" s="34"/>
      <c r="R3150" s="34"/>
    </row>
    <row r="3151" spans="13:18">
      <c r="M3151" s="34"/>
      <c r="N3151" s="34"/>
      <c r="O3151" s="34"/>
      <c r="P3151" s="34"/>
      <c r="Q3151" s="34"/>
      <c r="R3151" s="34"/>
    </row>
    <row r="3152" spans="13:18">
      <c r="M3152" s="34"/>
      <c r="N3152" s="34"/>
      <c r="O3152" s="34"/>
      <c r="P3152" s="34"/>
      <c r="Q3152" s="34"/>
      <c r="R3152" s="34"/>
    </row>
    <row r="3153" spans="13:18">
      <c r="M3153" s="34"/>
      <c r="N3153" s="34"/>
      <c r="O3153" s="34"/>
      <c r="P3153" s="34"/>
      <c r="Q3153" s="34"/>
      <c r="R3153" s="34"/>
    </row>
    <row r="3154" spans="13:18">
      <c r="M3154" s="34"/>
      <c r="N3154" s="34"/>
      <c r="O3154" s="34"/>
      <c r="P3154" s="34"/>
      <c r="Q3154" s="34"/>
      <c r="R3154" s="34"/>
    </row>
    <row r="3155" spans="13:18">
      <c r="M3155" s="34"/>
      <c r="N3155" s="34"/>
      <c r="O3155" s="34"/>
      <c r="P3155" s="34"/>
      <c r="Q3155" s="34"/>
      <c r="R3155" s="34"/>
    </row>
    <row r="3156" spans="13:18">
      <c r="M3156" s="34"/>
      <c r="N3156" s="34"/>
      <c r="O3156" s="34"/>
      <c r="P3156" s="34"/>
      <c r="Q3156" s="34"/>
      <c r="R3156" s="34"/>
    </row>
    <row r="3157" spans="13:18">
      <c r="M3157" s="34"/>
      <c r="N3157" s="34"/>
      <c r="O3157" s="34"/>
      <c r="P3157" s="34"/>
      <c r="Q3157" s="34"/>
      <c r="R3157" s="34"/>
    </row>
    <row r="3158" spans="13:18">
      <c r="M3158" s="34"/>
      <c r="N3158" s="34"/>
      <c r="O3158" s="34"/>
      <c r="P3158" s="34"/>
      <c r="Q3158" s="34"/>
      <c r="R3158" s="34"/>
    </row>
    <row r="3159" spans="13:18">
      <c r="M3159" s="34"/>
      <c r="N3159" s="34"/>
      <c r="O3159" s="34"/>
      <c r="P3159" s="34"/>
      <c r="Q3159" s="34"/>
      <c r="R3159" s="34"/>
    </row>
    <row r="3160" spans="13:18">
      <c r="M3160" s="34"/>
      <c r="N3160" s="34"/>
      <c r="O3160" s="34"/>
      <c r="P3160" s="34"/>
      <c r="Q3160" s="34"/>
      <c r="R3160" s="34"/>
    </row>
    <row r="3161" spans="13:18">
      <c r="M3161" s="34"/>
      <c r="N3161" s="34"/>
      <c r="O3161" s="34"/>
      <c r="P3161" s="34"/>
      <c r="Q3161" s="34"/>
      <c r="R3161" s="34"/>
    </row>
    <row r="3162" spans="13:18">
      <c r="M3162" s="34"/>
      <c r="N3162" s="34"/>
      <c r="O3162" s="34"/>
      <c r="P3162" s="34"/>
      <c r="Q3162" s="34"/>
      <c r="R3162" s="34"/>
    </row>
    <row r="3163" spans="13:18">
      <c r="M3163" s="34"/>
      <c r="N3163" s="34"/>
      <c r="O3163" s="34"/>
      <c r="P3163" s="34"/>
      <c r="Q3163" s="34"/>
      <c r="R3163" s="34"/>
    </row>
    <row r="3164" spans="13:18">
      <c r="M3164" s="34"/>
      <c r="N3164" s="34"/>
      <c r="O3164" s="34"/>
      <c r="P3164" s="34"/>
      <c r="Q3164" s="34"/>
      <c r="R3164" s="34"/>
    </row>
    <row r="3165" spans="13:18">
      <c r="M3165" s="34"/>
      <c r="N3165" s="34"/>
      <c r="O3165" s="34"/>
      <c r="P3165" s="34"/>
      <c r="Q3165" s="34"/>
      <c r="R3165" s="34"/>
    </row>
    <row r="3166" spans="13:18">
      <c r="M3166" s="34"/>
      <c r="N3166" s="34"/>
      <c r="O3166" s="34"/>
      <c r="P3166" s="34"/>
      <c r="Q3166" s="34"/>
      <c r="R3166" s="34"/>
    </row>
    <row r="3167" spans="13:18">
      <c r="M3167" s="34"/>
      <c r="N3167" s="34"/>
      <c r="O3167" s="34"/>
      <c r="P3167" s="34"/>
      <c r="Q3167" s="34"/>
      <c r="R3167" s="34"/>
    </row>
    <row r="3168" spans="13:18">
      <c r="M3168" s="34"/>
      <c r="N3168" s="34"/>
      <c r="O3168" s="34"/>
      <c r="P3168" s="34"/>
      <c r="Q3168" s="34"/>
      <c r="R3168" s="34"/>
    </row>
    <row r="3169" spans="13:18">
      <c r="M3169" s="34"/>
      <c r="N3169" s="34"/>
      <c r="O3169" s="34"/>
      <c r="P3169" s="34"/>
      <c r="Q3169" s="34"/>
      <c r="R3169" s="34"/>
    </row>
    <row r="3170" spans="13:18">
      <c r="M3170" s="34"/>
      <c r="N3170" s="34"/>
      <c r="O3170" s="34"/>
      <c r="P3170" s="34"/>
      <c r="Q3170" s="34"/>
      <c r="R3170" s="34"/>
    </row>
    <row r="3171" spans="13:18">
      <c r="M3171" s="34"/>
      <c r="N3171" s="34"/>
      <c r="O3171" s="34"/>
      <c r="P3171" s="34"/>
      <c r="Q3171" s="34"/>
      <c r="R3171" s="34"/>
    </row>
    <row r="3172" spans="13:18">
      <c r="M3172" s="34"/>
      <c r="N3172" s="34"/>
      <c r="O3172" s="34"/>
      <c r="P3172" s="34"/>
      <c r="Q3172" s="34"/>
      <c r="R3172" s="34"/>
    </row>
    <row r="3173" spans="13:18">
      <c r="M3173" s="34"/>
      <c r="N3173" s="34"/>
      <c r="O3173" s="34"/>
      <c r="P3173" s="34"/>
      <c r="Q3173" s="34"/>
      <c r="R3173" s="34"/>
    </row>
    <row r="3174" spans="13:18">
      <c r="M3174" s="34"/>
      <c r="N3174" s="34"/>
      <c r="O3174" s="34"/>
      <c r="P3174" s="34"/>
      <c r="Q3174" s="34"/>
      <c r="R3174" s="34"/>
    </row>
    <row r="3175" spans="13:18">
      <c r="M3175" s="34"/>
      <c r="N3175" s="34"/>
      <c r="O3175" s="34"/>
      <c r="P3175" s="34"/>
      <c r="Q3175" s="34"/>
      <c r="R3175" s="34"/>
    </row>
    <row r="3176" spans="13:18">
      <c r="M3176" s="34"/>
      <c r="N3176" s="34"/>
      <c r="O3176" s="34"/>
      <c r="P3176" s="34"/>
      <c r="Q3176" s="34"/>
      <c r="R3176" s="34"/>
    </row>
    <row r="3177" spans="13:18">
      <c r="M3177" s="34"/>
      <c r="N3177" s="34"/>
      <c r="O3177" s="34"/>
      <c r="P3177" s="34"/>
      <c r="Q3177" s="34"/>
      <c r="R3177" s="34"/>
    </row>
    <row r="3178" spans="13:18">
      <c r="M3178" s="34"/>
      <c r="N3178" s="34"/>
      <c r="O3178" s="34"/>
      <c r="P3178" s="34"/>
      <c r="Q3178" s="34"/>
      <c r="R3178" s="34"/>
    </row>
    <row r="3179" spans="13:18">
      <c r="M3179" s="34"/>
      <c r="N3179" s="34"/>
      <c r="O3179" s="34"/>
      <c r="P3179" s="34"/>
      <c r="Q3179" s="34"/>
      <c r="R3179" s="34"/>
    </row>
    <row r="3180" spans="13:18">
      <c r="M3180" s="34"/>
      <c r="N3180" s="34"/>
      <c r="O3180" s="34"/>
      <c r="P3180" s="34"/>
      <c r="Q3180" s="34"/>
      <c r="R3180" s="34"/>
    </row>
    <row r="3181" spans="13:18">
      <c r="M3181" s="34"/>
      <c r="N3181" s="34"/>
      <c r="O3181" s="34"/>
      <c r="P3181" s="34"/>
      <c r="Q3181" s="34"/>
      <c r="R3181" s="34"/>
    </row>
    <row r="3182" spans="13:18">
      <c r="M3182" s="34"/>
      <c r="N3182" s="34"/>
      <c r="O3182" s="34"/>
      <c r="P3182" s="34"/>
      <c r="Q3182" s="34"/>
      <c r="R3182" s="34"/>
    </row>
    <row r="3183" spans="13:18">
      <c r="M3183" s="34"/>
      <c r="N3183" s="34"/>
      <c r="O3183" s="34"/>
      <c r="P3183" s="34"/>
      <c r="Q3183" s="34"/>
      <c r="R3183" s="34"/>
    </row>
    <row r="3184" spans="13:18">
      <c r="M3184" s="34"/>
      <c r="N3184" s="34"/>
      <c r="O3184" s="34"/>
      <c r="P3184" s="34"/>
      <c r="Q3184" s="34"/>
      <c r="R3184" s="34"/>
    </row>
    <row r="3185" spans="13:18">
      <c r="M3185" s="34"/>
      <c r="N3185" s="34"/>
      <c r="O3185" s="34"/>
      <c r="P3185" s="34"/>
      <c r="Q3185" s="34"/>
      <c r="R3185" s="34"/>
    </row>
    <row r="3186" spans="13:18">
      <c r="M3186" s="34"/>
      <c r="N3186" s="34"/>
      <c r="O3186" s="34"/>
      <c r="P3186" s="34"/>
      <c r="Q3186" s="34"/>
      <c r="R3186" s="34"/>
    </row>
    <row r="3187" spans="13:18">
      <c r="M3187" s="34"/>
      <c r="N3187" s="34"/>
      <c r="O3187" s="34"/>
      <c r="P3187" s="34"/>
      <c r="Q3187" s="34"/>
      <c r="R3187" s="34"/>
    </row>
    <row r="3188" spans="13:18">
      <c r="M3188" s="34"/>
      <c r="N3188" s="34"/>
      <c r="O3188" s="34"/>
      <c r="P3188" s="34"/>
      <c r="Q3188" s="34"/>
      <c r="R3188" s="34"/>
    </row>
    <row r="3189" spans="13:18">
      <c r="M3189" s="34"/>
      <c r="N3189" s="34"/>
      <c r="O3189" s="34"/>
      <c r="P3189" s="34"/>
      <c r="Q3189" s="34"/>
      <c r="R3189" s="34"/>
    </row>
    <row r="3190" spans="13:18">
      <c r="M3190" s="34"/>
      <c r="N3190" s="34"/>
      <c r="O3190" s="34"/>
      <c r="P3190" s="34"/>
      <c r="Q3190" s="34"/>
      <c r="R3190" s="34"/>
    </row>
    <row r="3191" spans="13:18">
      <c r="M3191" s="34"/>
      <c r="N3191" s="34"/>
      <c r="O3191" s="34"/>
      <c r="P3191" s="34"/>
      <c r="Q3191" s="34"/>
      <c r="R3191" s="34"/>
    </row>
    <row r="3192" spans="13:18">
      <c r="M3192" s="34"/>
      <c r="N3192" s="34"/>
      <c r="O3192" s="34"/>
      <c r="P3192" s="34"/>
      <c r="Q3192" s="34"/>
      <c r="R3192" s="34"/>
    </row>
    <row r="3193" spans="13:18">
      <c r="M3193" s="34"/>
      <c r="N3193" s="34"/>
      <c r="O3193" s="34"/>
      <c r="P3193" s="34"/>
      <c r="Q3193" s="34"/>
      <c r="R3193" s="34"/>
    </row>
    <row r="3194" spans="13:18">
      <c r="M3194" s="34"/>
      <c r="N3194" s="34"/>
      <c r="O3194" s="34"/>
      <c r="P3194" s="34"/>
      <c r="Q3194" s="34"/>
      <c r="R3194" s="34"/>
    </row>
    <row r="3195" spans="13:18">
      <c r="M3195" s="34"/>
      <c r="N3195" s="34"/>
      <c r="O3195" s="34"/>
      <c r="P3195" s="34"/>
      <c r="Q3195" s="34"/>
      <c r="R3195" s="34"/>
    </row>
    <row r="3196" spans="13:18">
      <c r="M3196" s="34"/>
      <c r="N3196" s="34"/>
      <c r="O3196" s="34"/>
      <c r="P3196" s="34"/>
      <c r="Q3196" s="34"/>
      <c r="R3196" s="34"/>
    </row>
    <row r="3197" spans="13:18">
      <c r="M3197" s="34"/>
      <c r="N3197" s="34"/>
      <c r="O3197" s="34"/>
      <c r="P3197" s="34"/>
      <c r="Q3197" s="34"/>
      <c r="R3197" s="34"/>
    </row>
    <row r="3198" spans="13:18">
      <c r="M3198" s="34"/>
      <c r="N3198" s="34"/>
      <c r="O3198" s="34"/>
      <c r="P3198" s="34"/>
      <c r="Q3198" s="34"/>
      <c r="R3198" s="34"/>
    </row>
    <row r="3199" spans="13:18">
      <c r="M3199" s="34"/>
      <c r="N3199" s="34"/>
      <c r="O3199" s="34"/>
      <c r="P3199" s="34"/>
      <c r="Q3199" s="34"/>
      <c r="R3199" s="34"/>
    </row>
    <row r="3200" spans="13:18">
      <c r="M3200" s="34"/>
      <c r="N3200" s="34"/>
      <c r="O3200" s="34"/>
      <c r="P3200" s="34"/>
      <c r="Q3200" s="34"/>
      <c r="R3200" s="34"/>
    </row>
    <row r="3201" spans="13:18">
      <c r="M3201" s="34"/>
      <c r="N3201" s="34"/>
      <c r="O3201" s="34"/>
      <c r="P3201" s="34"/>
      <c r="Q3201" s="34"/>
      <c r="R3201" s="34"/>
    </row>
    <row r="3202" spans="13:18">
      <c r="M3202" s="34"/>
      <c r="N3202" s="34"/>
      <c r="O3202" s="34"/>
      <c r="P3202" s="34"/>
      <c r="Q3202" s="34"/>
      <c r="R3202" s="34"/>
    </row>
    <row r="3203" spans="13:18">
      <c r="M3203" s="34"/>
      <c r="N3203" s="34"/>
      <c r="O3203" s="34"/>
      <c r="P3203" s="34"/>
      <c r="Q3203" s="34"/>
      <c r="R3203" s="34"/>
    </row>
    <row r="3204" spans="13:18">
      <c r="M3204" s="34"/>
      <c r="N3204" s="34"/>
      <c r="O3204" s="34"/>
      <c r="P3204" s="34"/>
      <c r="Q3204" s="34"/>
      <c r="R3204" s="34"/>
    </row>
    <row r="3205" spans="13:18">
      <c r="M3205" s="34"/>
      <c r="N3205" s="34"/>
      <c r="O3205" s="34"/>
      <c r="P3205" s="34"/>
      <c r="Q3205" s="34"/>
      <c r="R3205" s="34"/>
    </row>
    <row r="3206" spans="13:18">
      <c r="M3206" s="34"/>
      <c r="N3206" s="34"/>
      <c r="O3206" s="34"/>
      <c r="P3206" s="34"/>
      <c r="Q3206" s="34"/>
      <c r="R3206" s="34"/>
    </row>
    <row r="3207" spans="13:18">
      <c r="M3207" s="34"/>
      <c r="N3207" s="34"/>
      <c r="O3207" s="34"/>
      <c r="P3207" s="34"/>
      <c r="Q3207" s="34"/>
      <c r="R3207" s="34"/>
    </row>
    <row r="3208" spans="13:18">
      <c r="M3208" s="34"/>
      <c r="N3208" s="34"/>
      <c r="O3208" s="34"/>
      <c r="P3208" s="34"/>
      <c r="Q3208" s="34"/>
      <c r="R3208" s="34"/>
    </row>
    <row r="3209" spans="13:18">
      <c r="M3209" s="34"/>
      <c r="N3209" s="34"/>
      <c r="O3209" s="34"/>
      <c r="P3209" s="34"/>
      <c r="Q3209" s="34"/>
      <c r="R3209" s="34"/>
    </row>
    <row r="3210" spans="13:18">
      <c r="M3210" s="34"/>
      <c r="N3210" s="34"/>
      <c r="O3210" s="34"/>
      <c r="P3210" s="34"/>
      <c r="Q3210" s="34"/>
      <c r="R3210" s="34"/>
    </row>
    <row r="3211" spans="13:18">
      <c r="M3211" s="34"/>
      <c r="N3211" s="34"/>
      <c r="O3211" s="34"/>
      <c r="P3211" s="34"/>
      <c r="Q3211" s="34"/>
      <c r="R3211" s="34"/>
    </row>
    <row r="3212" spans="13:18">
      <c r="M3212" s="34"/>
      <c r="N3212" s="34"/>
      <c r="O3212" s="34"/>
      <c r="P3212" s="34"/>
      <c r="Q3212" s="34"/>
      <c r="R3212" s="34"/>
    </row>
    <row r="3213" spans="13:18">
      <c r="M3213" s="34"/>
      <c r="N3213" s="34"/>
      <c r="O3213" s="34"/>
      <c r="P3213" s="34"/>
      <c r="Q3213" s="34"/>
      <c r="R3213" s="34"/>
    </row>
    <row r="3214" spans="13:18">
      <c r="M3214" s="34"/>
      <c r="N3214" s="34"/>
      <c r="O3214" s="34"/>
      <c r="P3214" s="34"/>
      <c r="Q3214" s="34"/>
      <c r="R3214" s="34"/>
    </row>
    <row r="3215" spans="13:18">
      <c r="M3215" s="34"/>
      <c r="N3215" s="34"/>
      <c r="O3215" s="34"/>
      <c r="P3215" s="34"/>
      <c r="Q3215" s="34"/>
      <c r="R3215" s="34"/>
    </row>
    <row r="3216" spans="13:18">
      <c r="M3216" s="34"/>
      <c r="N3216" s="34"/>
      <c r="O3216" s="34"/>
      <c r="P3216" s="34"/>
      <c r="Q3216" s="34"/>
      <c r="R3216" s="34"/>
    </row>
    <row r="3217" spans="13:18">
      <c r="M3217" s="34"/>
      <c r="N3217" s="34"/>
      <c r="O3217" s="34"/>
      <c r="P3217" s="34"/>
      <c r="Q3217" s="34"/>
      <c r="R3217" s="34"/>
    </row>
    <row r="3218" spans="13:18">
      <c r="M3218" s="34"/>
      <c r="N3218" s="34"/>
      <c r="O3218" s="34"/>
      <c r="P3218" s="34"/>
      <c r="Q3218" s="34"/>
      <c r="R3218" s="34"/>
    </row>
    <row r="3219" spans="13:18">
      <c r="M3219" s="34"/>
      <c r="N3219" s="34"/>
      <c r="O3219" s="34"/>
      <c r="P3219" s="34"/>
      <c r="Q3219" s="34"/>
      <c r="R3219" s="34"/>
    </row>
    <row r="3220" spans="13:18">
      <c r="M3220" s="34"/>
      <c r="N3220" s="34"/>
      <c r="O3220" s="34"/>
      <c r="P3220" s="34"/>
      <c r="Q3220" s="34"/>
      <c r="R3220" s="34"/>
    </row>
    <row r="3221" spans="13:18">
      <c r="M3221" s="34"/>
      <c r="N3221" s="34"/>
      <c r="O3221" s="34"/>
      <c r="P3221" s="34"/>
      <c r="Q3221" s="34"/>
      <c r="R3221" s="34"/>
    </row>
    <row r="3222" spans="13:18">
      <c r="M3222" s="34"/>
      <c r="N3222" s="34"/>
      <c r="O3222" s="34"/>
      <c r="P3222" s="34"/>
      <c r="Q3222" s="34"/>
      <c r="R3222" s="34"/>
    </row>
    <row r="3223" spans="13:18">
      <c r="M3223" s="34"/>
      <c r="N3223" s="34"/>
      <c r="O3223" s="34"/>
      <c r="P3223" s="34"/>
      <c r="Q3223" s="34"/>
      <c r="R3223" s="34"/>
    </row>
    <row r="3224" spans="13:18">
      <c r="M3224" s="34"/>
      <c r="N3224" s="34"/>
      <c r="O3224" s="34"/>
      <c r="P3224" s="34"/>
      <c r="Q3224" s="34"/>
      <c r="R3224" s="34"/>
    </row>
    <row r="3225" spans="13:18">
      <c r="M3225" s="34"/>
      <c r="N3225" s="34"/>
      <c r="O3225" s="34"/>
      <c r="P3225" s="34"/>
      <c r="Q3225" s="34"/>
      <c r="R3225" s="34"/>
    </row>
    <row r="3226" spans="13:18">
      <c r="M3226" s="34"/>
      <c r="N3226" s="34"/>
      <c r="O3226" s="34"/>
      <c r="P3226" s="34"/>
      <c r="Q3226" s="34"/>
      <c r="R3226" s="34"/>
    </row>
    <row r="3227" spans="13:18">
      <c r="M3227" s="34"/>
      <c r="N3227" s="34"/>
      <c r="O3227" s="34"/>
      <c r="P3227" s="34"/>
      <c r="Q3227" s="34"/>
      <c r="R3227" s="34"/>
    </row>
    <row r="3228" spans="13:18">
      <c r="M3228" s="34"/>
      <c r="N3228" s="34"/>
      <c r="O3228" s="34"/>
      <c r="P3228" s="34"/>
      <c r="Q3228" s="34"/>
      <c r="R3228" s="34"/>
    </row>
    <row r="3229" spans="13:18">
      <c r="M3229" s="34"/>
      <c r="N3229" s="34"/>
      <c r="O3229" s="34"/>
      <c r="P3229" s="34"/>
      <c r="Q3229" s="34"/>
      <c r="R3229" s="34"/>
    </row>
    <row r="3230" spans="13:18">
      <c r="M3230" s="34"/>
      <c r="N3230" s="34"/>
      <c r="O3230" s="34"/>
      <c r="P3230" s="34"/>
      <c r="Q3230" s="34"/>
      <c r="R3230" s="34"/>
    </row>
    <row r="3231" spans="13:18">
      <c r="M3231" s="34"/>
      <c r="N3231" s="34"/>
      <c r="O3231" s="34"/>
      <c r="P3231" s="34"/>
      <c r="Q3231" s="34"/>
      <c r="R3231" s="34"/>
    </row>
    <row r="3232" spans="13:18">
      <c r="M3232" s="34"/>
      <c r="N3232" s="34"/>
      <c r="O3232" s="34"/>
      <c r="P3232" s="34"/>
      <c r="Q3232" s="34"/>
      <c r="R3232" s="34"/>
    </row>
    <row r="3233" spans="13:18">
      <c r="M3233" s="34"/>
      <c r="N3233" s="34"/>
      <c r="O3233" s="34"/>
      <c r="P3233" s="34"/>
      <c r="Q3233" s="34"/>
      <c r="R3233" s="34"/>
    </row>
    <row r="3234" spans="13:18">
      <c r="M3234" s="34"/>
      <c r="N3234" s="34"/>
      <c r="O3234" s="34"/>
      <c r="P3234" s="34"/>
      <c r="Q3234" s="34"/>
      <c r="R3234" s="34"/>
    </row>
    <row r="3235" spans="13:18">
      <c r="M3235" s="34"/>
      <c r="N3235" s="34"/>
      <c r="O3235" s="34"/>
      <c r="P3235" s="34"/>
      <c r="Q3235" s="34"/>
      <c r="R3235" s="34"/>
    </row>
    <row r="3236" spans="13:18">
      <c r="M3236" s="34"/>
      <c r="N3236" s="34"/>
      <c r="O3236" s="34"/>
      <c r="P3236" s="34"/>
      <c r="Q3236" s="34"/>
      <c r="R3236" s="34"/>
    </row>
    <row r="3237" spans="13:18">
      <c r="M3237" s="34"/>
      <c r="N3237" s="34"/>
      <c r="O3237" s="34"/>
      <c r="P3237" s="34"/>
      <c r="Q3237" s="34"/>
      <c r="R3237" s="34"/>
    </row>
    <row r="3238" spans="13:18">
      <c r="M3238" s="34"/>
      <c r="N3238" s="34"/>
      <c r="O3238" s="34"/>
      <c r="P3238" s="34"/>
      <c r="Q3238" s="34"/>
      <c r="R3238" s="34"/>
    </row>
    <row r="3239" spans="13:18">
      <c r="M3239" s="34"/>
      <c r="N3239" s="34"/>
      <c r="O3239" s="34"/>
      <c r="P3239" s="34"/>
      <c r="Q3239" s="34"/>
      <c r="R3239" s="34"/>
    </row>
    <row r="3240" spans="13:18">
      <c r="M3240" s="34"/>
      <c r="N3240" s="34"/>
      <c r="O3240" s="34"/>
      <c r="P3240" s="34"/>
      <c r="Q3240" s="34"/>
      <c r="R3240" s="34"/>
    </row>
    <row r="3241" spans="13:18">
      <c r="M3241" s="34"/>
      <c r="N3241" s="34"/>
      <c r="O3241" s="34"/>
      <c r="P3241" s="34"/>
      <c r="Q3241" s="34"/>
      <c r="R3241" s="34"/>
    </row>
    <row r="3242" spans="13:18">
      <c r="M3242" s="34"/>
      <c r="N3242" s="34"/>
      <c r="O3242" s="34"/>
      <c r="P3242" s="34"/>
      <c r="Q3242" s="34"/>
      <c r="R3242" s="34"/>
    </row>
    <row r="3243" spans="13:18">
      <c r="M3243" s="34"/>
      <c r="N3243" s="34"/>
      <c r="O3243" s="34"/>
      <c r="P3243" s="34"/>
      <c r="Q3243" s="34"/>
      <c r="R3243" s="34"/>
    </row>
    <row r="3244" spans="13:18">
      <c r="M3244" s="34"/>
      <c r="N3244" s="34"/>
      <c r="O3244" s="34"/>
      <c r="P3244" s="34"/>
      <c r="Q3244" s="34"/>
      <c r="R3244" s="34"/>
    </row>
    <row r="3245" spans="13:18">
      <c r="M3245" s="34"/>
      <c r="N3245" s="34"/>
      <c r="O3245" s="34"/>
      <c r="P3245" s="34"/>
      <c r="Q3245" s="34"/>
      <c r="R3245" s="34"/>
    </row>
    <row r="3246" spans="13:18">
      <c r="M3246" s="34"/>
      <c r="N3246" s="34"/>
      <c r="O3246" s="34"/>
      <c r="P3246" s="34"/>
      <c r="Q3246" s="34"/>
      <c r="R3246" s="34"/>
    </row>
    <row r="3247" spans="13:18">
      <c r="M3247" s="34"/>
      <c r="N3247" s="34"/>
      <c r="O3247" s="34"/>
      <c r="P3247" s="34"/>
      <c r="Q3247" s="34"/>
      <c r="R3247" s="34"/>
    </row>
    <row r="3248" spans="13:18">
      <c r="M3248" s="34"/>
      <c r="N3248" s="34"/>
      <c r="O3248" s="34"/>
      <c r="P3248" s="34"/>
      <c r="Q3248" s="34"/>
      <c r="R3248" s="34"/>
    </row>
    <row r="3249" spans="13:18">
      <c r="M3249" s="34"/>
      <c r="N3249" s="34"/>
      <c r="O3249" s="34"/>
      <c r="P3249" s="34"/>
      <c r="Q3249" s="34"/>
      <c r="R3249" s="34"/>
    </row>
    <row r="3250" spans="13:18">
      <c r="M3250" s="34"/>
      <c r="N3250" s="34"/>
      <c r="O3250" s="34"/>
      <c r="P3250" s="34"/>
      <c r="Q3250" s="34"/>
      <c r="R3250" s="34"/>
    </row>
    <row r="3251" spans="13:18">
      <c r="M3251" s="34"/>
      <c r="N3251" s="34"/>
      <c r="O3251" s="34"/>
      <c r="P3251" s="34"/>
      <c r="Q3251" s="34"/>
      <c r="R3251" s="34"/>
    </row>
    <row r="3252" spans="13:18">
      <c r="M3252" s="34"/>
      <c r="N3252" s="34"/>
      <c r="O3252" s="34"/>
      <c r="P3252" s="34"/>
      <c r="Q3252" s="34"/>
      <c r="R3252" s="34"/>
    </row>
    <row r="3253" spans="13:18">
      <c r="M3253" s="34"/>
      <c r="N3253" s="34"/>
      <c r="O3253" s="34"/>
      <c r="P3253" s="34"/>
      <c r="Q3253" s="34"/>
      <c r="R3253" s="34"/>
    </row>
    <row r="3254" spans="13:18">
      <c r="M3254" s="34"/>
      <c r="N3254" s="34"/>
      <c r="O3254" s="34"/>
      <c r="P3254" s="34"/>
      <c r="Q3254" s="34"/>
      <c r="R3254" s="34"/>
    </row>
    <row r="3255" spans="13:18">
      <c r="M3255" s="34"/>
      <c r="N3255" s="34"/>
      <c r="O3255" s="34"/>
      <c r="P3255" s="34"/>
      <c r="Q3255" s="34"/>
      <c r="R3255" s="34"/>
    </row>
    <row r="3256" spans="13:18">
      <c r="M3256" s="34"/>
      <c r="N3256" s="34"/>
      <c r="O3256" s="34"/>
      <c r="P3256" s="34"/>
      <c r="Q3256" s="34"/>
      <c r="R3256" s="34"/>
    </row>
    <row r="3257" spans="13:18">
      <c r="M3257" s="34"/>
      <c r="N3257" s="34"/>
      <c r="O3257" s="34"/>
      <c r="P3257" s="34"/>
      <c r="Q3257" s="34"/>
      <c r="R3257" s="34"/>
    </row>
    <row r="3258" spans="13:18">
      <c r="M3258" s="34"/>
      <c r="N3258" s="34"/>
      <c r="O3258" s="34"/>
      <c r="P3258" s="34"/>
      <c r="Q3258" s="34"/>
      <c r="R3258" s="34"/>
    </row>
    <row r="3259" spans="13:18">
      <c r="M3259" s="34"/>
      <c r="N3259" s="34"/>
      <c r="O3259" s="34"/>
      <c r="P3259" s="34"/>
      <c r="Q3259" s="34"/>
      <c r="R3259" s="34"/>
    </row>
    <row r="3260" spans="13:18">
      <c r="M3260" s="34"/>
      <c r="N3260" s="34"/>
      <c r="O3260" s="34"/>
      <c r="P3260" s="34"/>
      <c r="Q3260" s="34"/>
      <c r="R3260" s="34"/>
    </row>
    <row r="3261" spans="13:18">
      <c r="M3261" s="34"/>
      <c r="N3261" s="34"/>
      <c r="O3261" s="34"/>
      <c r="P3261" s="34"/>
      <c r="Q3261" s="34"/>
      <c r="R3261" s="34"/>
    </row>
    <row r="3262" spans="13:18">
      <c r="M3262" s="34"/>
      <c r="N3262" s="34"/>
      <c r="O3262" s="34"/>
      <c r="P3262" s="34"/>
      <c r="Q3262" s="34"/>
      <c r="R3262" s="34"/>
    </row>
    <row r="3263" spans="13:18">
      <c r="M3263" s="34"/>
      <c r="N3263" s="34"/>
      <c r="O3263" s="34"/>
      <c r="P3263" s="34"/>
      <c r="Q3263" s="34"/>
      <c r="R3263" s="34"/>
    </row>
    <row r="3264" spans="13:18">
      <c r="M3264" s="34"/>
      <c r="N3264" s="34"/>
      <c r="O3264" s="34"/>
      <c r="P3264" s="34"/>
      <c r="Q3264" s="34"/>
      <c r="R3264" s="34"/>
    </row>
    <row r="3265" spans="13:18">
      <c r="M3265" s="34"/>
      <c r="N3265" s="34"/>
      <c r="O3265" s="34"/>
      <c r="P3265" s="34"/>
      <c r="Q3265" s="34"/>
      <c r="R3265" s="34"/>
    </row>
    <row r="3266" spans="13:18">
      <c r="M3266" s="34"/>
      <c r="N3266" s="34"/>
      <c r="O3266" s="34"/>
      <c r="P3266" s="34"/>
      <c r="Q3266" s="34"/>
      <c r="R3266" s="34"/>
    </row>
    <row r="3267" spans="13:18">
      <c r="M3267" s="34"/>
      <c r="N3267" s="34"/>
      <c r="O3267" s="34"/>
      <c r="P3267" s="34"/>
      <c r="Q3267" s="34"/>
      <c r="R3267" s="34"/>
    </row>
    <row r="3268" spans="13:18">
      <c r="M3268" s="34"/>
      <c r="N3268" s="34"/>
      <c r="O3268" s="34"/>
      <c r="P3268" s="34"/>
      <c r="Q3268" s="34"/>
      <c r="R3268" s="34"/>
    </row>
    <row r="3269" spans="13:18">
      <c r="M3269" s="34"/>
      <c r="N3269" s="34"/>
      <c r="O3269" s="34"/>
      <c r="P3269" s="34"/>
      <c r="Q3269" s="34"/>
      <c r="R3269" s="34"/>
    </row>
    <row r="3270" spans="13:18">
      <c r="M3270" s="34"/>
      <c r="N3270" s="34"/>
      <c r="O3270" s="34"/>
      <c r="P3270" s="34"/>
      <c r="Q3270" s="34"/>
      <c r="R3270" s="34"/>
    </row>
    <row r="3271" spans="13:18">
      <c r="M3271" s="34"/>
      <c r="N3271" s="34"/>
      <c r="O3271" s="34"/>
      <c r="P3271" s="34"/>
      <c r="Q3271" s="34"/>
      <c r="R3271" s="34"/>
    </row>
    <row r="3272" spans="13:18">
      <c r="M3272" s="34"/>
      <c r="N3272" s="34"/>
      <c r="O3272" s="34"/>
      <c r="P3272" s="34"/>
      <c r="Q3272" s="34"/>
      <c r="R3272" s="34"/>
    </row>
    <row r="3273" spans="13:18">
      <c r="M3273" s="34"/>
      <c r="N3273" s="34"/>
      <c r="O3273" s="34"/>
      <c r="P3273" s="34"/>
      <c r="Q3273" s="34"/>
      <c r="R3273" s="34"/>
    </row>
    <row r="3274" spans="13:18">
      <c r="M3274" s="34"/>
      <c r="N3274" s="34"/>
      <c r="O3274" s="34"/>
      <c r="P3274" s="34"/>
      <c r="Q3274" s="34"/>
      <c r="R3274" s="34"/>
    </row>
    <row r="3275" spans="13:18">
      <c r="M3275" s="34"/>
      <c r="N3275" s="34"/>
      <c r="O3275" s="34"/>
      <c r="P3275" s="34"/>
      <c r="Q3275" s="34"/>
      <c r="R3275" s="34"/>
    </row>
    <row r="3276" spans="13:18">
      <c r="M3276" s="34"/>
      <c r="N3276" s="34"/>
      <c r="O3276" s="34"/>
      <c r="P3276" s="34"/>
      <c r="Q3276" s="34"/>
      <c r="R3276" s="34"/>
    </row>
    <row r="3277" spans="13:18">
      <c r="M3277" s="34"/>
      <c r="N3277" s="34"/>
      <c r="O3277" s="34"/>
      <c r="P3277" s="34"/>
      <c r="Q3277" s="34"/>
      <c r="R3277" s="34"/>
    </row>
    <row r="3278" spans="13:18">
      <c r="M3278" s="34"/>
      <c r="N3278" s="34"/>
      <c r="O3278" s="34"/>
      <c r="P3278" s="34"/>
      <c r="Q3278" s="34"/>
      <c r="R3278" s="34"/>
    </row>
    <row r="3279" spans="13:18">
      <c r="M3279" s="34"/>
      <c r="N3279" s="34"/>
      <c r="O3279" s="34"/>
      <c r="P3279" s="34"/>
      <c r="Q3279" s="34"/>
      <c r="R3279" s="34"/>
    </row>
    <row r="3280" spans="13:18">
      <c r="M3280" s="34"/>
      <c r="N3280" s="34"/>
      <c r="O3280" s="34"/>
      <c r="P3280" s="34"/>
      <c r="Q3280" s="34"/>
      <c r="R3280" s="34"/>
    </row>
    <row r="3281" spans="13:18">
      <c r="M3281" s="34"/>
      <c r="N3281" s="34"/>
      <c r="O3281" s="34"/>
      <c r="P3281" s="34"/>
      <c r="Q3281" s="34"/>
      <c r="R3281" s="34"/>
    </row>
    <row r="3282" spans="13:18">
      <c r="M3282" s="34"/>
      <c r="N3282" s="34"/>
      <c r="O3282" s="34"/>
      <c r="P3282" s="34"/>
      <c r="Q3282" s="34"/>
      <c r="R3282" s="34"/>
    </row>
    <row r="3283" spans="13:18">
      <c r="M3283" s="34"/>
      <c r="N3283" s="34"/>
      <c r="O3283" s="34"/>
      <c r="P3283" s="34"/>
      <c r="Q3283" s="34"/>
      <c r="R3283" s="34"/>
    </row>
    <row r="3284" spans="13:18">
      <c r="M3284" s="34"/>
      <c r="N3284" s="34"/>
      <c r="O3284" s="34"/>
      <c r="P3284" s="34"/>
      <c r="Q3284" s="34"/>
      <c r="R3284" s="34"/>
    </row>
    <row r="3285" spans="13:18">
      <c r="M3285" s="34"/>
      <c r="N3285" s="34"/>
      <c r="O3285" s="34"/>
      <c r="P3285" s="34"/>
      <c r="Q3285" s="34"/>
      <c r="R3285" s="34"/>
    </row>
    <row r="3286" spans="13:18">
      <c r="M3286" s="34"/>
      <c r="N3286" s="34"/>
      <c r="O3286" s="34"/>
      <c r="P3286" s="34"/>
      <c r="Q3286" s="34"/>
      <c r="R3286" s="34"/>
    </row>
    <row r="3287" spans="13:18">
      <c r="M3287" s="34"/>
      <c r="N3287" s="34"/>
      <c r="O3287" s="34"/>
      <c r="P3287" s="34"/>
      <c r="Q3287" s="34"/>
      <c r="R3287" s="34"/>
    </row>
    <row r="3288" spans="13:18">
      <c r="M3288" s="34"/>
      <c r="N3288" s="34"/>
      <c r="O3288" s="34"/>
      <c r="P3288" s="34"/>
      <c r="Q3288" s="34"/>
      <c r="R3288" s="34"/>
    </row>
    <row r="3289" spans="13:18">
      <c r="M3289" s="34"/>
      <c r="N3289" s="34"/>
      <c r="O3289" s="34"/>
      <c r="P3289" s="34"/>
      <c r="Q3289" s="34"/>
      <c r="R3289" s="34"/>
    </row>
    <row r="3290" spans="13:18">
      <c r="M3290" s="34"/>
      <c r="N3290" s="34"/>
      <c r="O3290" s="34"/>
      <c r="P3290" s="34"/>
      <c r="Q3290" s="34"/>
      <c r="R3290" s="34"/>
    </row>
    <row r="3291" spans="13:18">
      <c r="M3291" s="34"/>
      <c r="N3291" s="34"/>
      <c r="O3291" s="34"/>
      <c r="P3291" s="34"/>
      <c r="Q3291" s="34"/>
      <c r="R3291" s="34"/>
    </row>
    <row r="3292" spans="13:18">
      <c r="M3292" s="34"/>
      <c r="N3292" s="34"/>
      <c r="O3292" s="34"/>
      <c r="P3292" s="34"/>
      <c r="Q3292" s="34"/>
      <c r="R3292" s="34"/>
    </row>
    <row r="3293" spans="13:18">
      <c r="M3293" s="34"/>
      <c r="N3293" s="34"/>
      <c r="O3293" s="34"/>
      <c r="P3293" s="34"/>
      <c r="Q3293" s="34"/>
      <c r="R3293" s="34"/>
    </row>
    <row r="3294" spans="13:18">
      <c r="M3294" s="34"/>
      <c r="N3294" s="34"/>
      <c r="O3294" s="34"/>
      <c r="P3294" s="34"/>
      <c r="Q3294" s="34"/>
      <c r="R3294" s="34"/>
    </row>
    <row r="3295" spans="13:18">
      <c r="M3295" s="34"/>
      <c r="N3295" s="34"/>
      <c r="O3295" s="34"/>
      <c r="P3295" s="34"/>
      <c r="Q3295" s="34"/>
      <c r="R3295" s="34"/>
    </row>
    <row r="3296" spans="13:18">
      <c r="M3296" s="34"/>
      <c r="N3296" s="34"/>
      <c r="O3296" s="34"/>
      <c r="P3296" s="34"/>
      <c r="Q3296" s="34"/>
      <c r="R3296" s="34"/>
    </row>
    <row r="3297" spans="13:18">
      <c r="M3297" s="34"/>
      <c r="N3297" s="34"/>
      <c r="O3297" s="34"/>
      <c r="P3297" s="34"/>
      <c r="Q3297" s="34"/>
      <c r="R3297" s="34"/>
    </row>
    <row r="3298" spans="13:18">
      <c r="M3298" s="34"/>
      <c r="N3298" s="34"/>
      <c r="O3298" s="34"/>
      <c r="P3298" s="34"/>
      <c r="Q3298" s="34"/>
      <c r="R3298" s="34"/>
    </row>
    <row r="3299" spans="13:18">
      <c r="M3299" s="34"/>
      <c r="N3299" s="34"/>
      <c r="O3299" s="34"/>
      <c r="P3299" s="34"/>
      <c r="Q3299" s="34"/>
      <c r="R3299" s="34"/>
    </row>
    <row r="3300" spans="13:18">
      <c r="M3300" s="34"/>
      <c r="N3300" s="34"/>
      <c r="O3300" s="34"/>
      <c r="P3300" s="34"/>
      <c r="Q3300" s="34"/>
      <c r="R3300" s="34"/>
    </row>
    <row r="3301" spans="13:18">
      <c r="M3301" s="34"/>
      <c r="N3301" s="34"/>
      <c r="O3301" s="34"/>
      <c r="P3301" s="34"/>
      <c r="Q3301" s="34"/>
      <c r="R3301" s="34"/>
    </row>
    <row r="3302" spans="13:18">
      <c r="M3302" s="34"/>
      <c r="N3302" s="34"/>
      <c r="O3302" s="34"/>
      <c r="P3302" s="34"/>
      <c r="Q3302" s="34"/>
      <c r="R3302" s="34"/>
    </row>
    <row r="3303" spans="13:18">
      <c r="M3303" s="34"/>
      <c r="N3303" s="34"/>
      <c r="O3303" s="34"/>
      <c r="P3303" s="34"/>
      <c r="Q3303" s="34"/>
      <c r="R3303" s="34"/>
    </row>
    <row r="3304" spans="13:18">
      <c r="M3304" s="34"/>
      <c r="N3304" s="34"/>
      <c r="O3304" s="34"/>
      <c r="P3304" s="34"/>
      <c r="Q3304" s="34"/>
      <c r="R3304" s="34"/>
    </row>
    <row r="3305" spans="13:18">
      <c r="M3305" s="34"/>
      <c r="N3305" s="34"/>
      <c r="O3305" s="34"/>
      <c r="P3305" s="34"/>
      <c r="Q3305" s="34"/>
      <c r="R3305" s="34"/>
    </row>
    <row r="3306" spans="13:18">
      <c r="M3306" s="34"/>
      <c r="N3306" s="34"/>
      <c r="O3306" s="34"/>
      <c r="P3306" s="34"/>
      <c r="Q3306" s="34"/>
      <c r="R3306" s="34"/>
    </row>
    <row r="3307" spans="13:18">
      <c r="M3307" s="34"/>
      <c r="N3307" s="34"/>
      <c r="O3307" s="34"/>
      <c r="P3307" s="34"/>
      <c r="Q3307" s="34"/>
      <c r="R3307" s="34"/>
    </row>
    <row r="3308" spans="13:18">
      <c r="M3308" s="34"/>
      <c r="N3308" s="34"/>
      <c r="O3308" s="34"/>
      <c r="P3308" s="34"/>
      <c r="Q3308" s="34"/>
      <c r="R3308" s="34"/>
    </row>
    <row r="3309" spans="13:18">
      <c r="M3309" s="34"/>
      <c r="N3309" s="34"/>
      <c r="O3309" s="34"/>
      <c r="P3309" s="34"/>
      <c r="Q3309" s="34"/>
      <c r="R3309" s="34"/>
    </row>
    <row r="3310" spans="13:18">
      <c r="M3310" s="34"/>
      <c r="N3310" s="34"/>
      <c r="O3310" s="34"/>
      <c r="P3310" s="34"/>
      <c r="Q3310" s="34"/>
      <c r="R3310" s="34"/>
    </row>
    <row r="3311" spans="13:18">
      <c r="M3311" s="34"/>
      <c r="N3311" s="34"/>
      <c r="O3311" s="34"/>
      <c r="P3311" s="34"/>
      <c r="Q3311" s="34"/>
      <c r="R3311" s="34"/>
    </row>
    <row r="3312" spans="13:18">
      <c r="M3312" s="34"/>
      <c r="N3312" s="34"/>
      <c r="O3312" s="34"/>
      <c r="P3312" s="34"/>
      <c r="Q3312" s="34"/>
      <c r="R3312" s="34"/>
    </row>
    <row r="3313" spans="13:18">
      <c r="M3313" s="34"/>
      <c r="N3313" s="34"/>
      <c r="O3313" s="34"/>
      <c r="P3313" s="34"/>
      <c r="Q3313" s="34"/>
      <c r="R3313" s="34"/>
    </row>
    <row r="3314" spans="13:18">
      <c r="M3314" s="34"/>
      <c r="N3314" s="34"/>
      <c r="O3314" s="34"/>
      <c r="P3314" s="34"/>
      <c r="Q3314" s="34"/>
      <c r="R3314" s="34"/>
    </row>
    <row r="3315" spans="13:18">
      <c r="M3315" s="34"/>
      <c r="N3315" s="34"/>
      <c r="O3315" s="34"/>
      <c r="P3315" s="34"/>
      <c r="Q3315" s="34"/>
      <c r="R3315" s="34"/>
    </row>
    <row r="3316" spans="13:18">
      <c r="M3316" s="34"/>
      <c r="N3316" s="34"/>
      <c r="O3316" s="34"/>
      <c r="P3316" s="34"/>
      <c r="Q3316" s="34"/>
      <c r="R3316" s="34"/>
    </row>
    <row r="3317" spans="13:18">
      <c r="M3317" s="34"/>
      <c r="N3317" s="34"/>
      <c r="O3317" s="34"/>
      <c r="P3317" s="34"/>
      <c r="Q3317" s="34"/>
      <c r="R3317" s="34"/>
    </row>
    <row r="3318" spans="13:18">
      <c r="M3318" s="34"/>
      <c r="N3318" s="34"/>
      <c r="O3318" s="34"/>
      <c r="P3318" s="34"/>
      <c r="Q3318" s="34"/>
      <c r="R3318" s="34"/>
    </row>
    <row r="3319" spans="13:18">
      <c r="M3319" s="34"/>
      <c r="N3319" s="34"/>
      <c r="O3319" s="34"/>
      <c r="P3319" s="34"/>
      <c r="Q3319" s="34"/>
      <c r="R3319" s="34"/>
    </row>
    <row r="3320" spans="13:18">
      <c r="M3320" s="34"/>
      <c r="N3320" s="34"/>
      <c r="O3320" s="34"/>
      <c r="P3320" s="34"/>
      <c r="Q3320" s="34"/>
      <c r="R3320" s="34"/>
    </row>
    <row r="3321" spans="13:18">
      <c r="M3321" s="34"/>
      <c r="N3321" s="34"/>
      <c r="O3321" s="34"/>
      <c r="P3321" s="34"/>
      <c r="Q3321" s="34"/>
      <c r="R3321" s="34"/>
    </row>
    <row r="3322" spans="13:18">
      <c r="M3322" s="34"/>
      <c r="N3322" s="34"/>
      <c r="O3322" s="34"/>
      <c r="P3322" s="34"/>
      <c r="Q3322" s="34"/>
      <c r="R3322" s="34"/>
    </row>
    <row r="3323" spans="13:18">
      <c r="M3323" s="34"/>
      <c r="N3323" s="34"/>
      <c r="O3323" s="34"/>
      <c r="P3323" s="34"/>
      <c r="Q3323" s="34"/>
      <c r="R3323" s="34"/>
    </row>
    <row r="3324" spans="13:18">
      <c r="M3324" s="34"/>
      <c r="N3324" s="34"/>
      <c r="O3324" s="34"/>
      <c r="P3324" s="34"/>
      <c r="Q3324" s="34"/>
      <c r="R3324" s="34"/>
    </row>
    <row r="3325" spans="13:18">
      <c r="M3325" s="34"/>
      <c r="N3325" s="34"/>
      <c r="O3325" s="34"/>
      <c r="P3325" s="34"/>
      <c r="Q3325" s="34"/>
      <c r="R3325" s="34"/>
    </row>
    <row r="3326" spans="13:18">
      <c r="M3326" s="34"/>
      <c r="N3326" s="34"/>
      <c r="O3326" s="34"/>
      <c r="P3326" s="34"/>
      <c r="Q3326" s="34"/>
      <c r="R3326" s="34"/>
    </row>
    <row r="3327" spans="13:18">
      <c r="M3327" s="34"/>
      <c r="N3327" s="34"/>
      <c r="O3327" s="34"/>
      <c r="P3327" s="34"/>
      <c r="Q3327" s="34"/>
      <c r="R3327" s="34"/>
    </row>
    <row r="3328" spans="13:18">
      <c r="M3328" s="34"/>
      <c r="N3328" s="34"/>
      <c r="O3328" s="34"/>
      <c r="P3328" s="34"/>
      <c r="Q3328" s="34"/>
      <c r="R3328" s="34"/>
    </row>
    <row r="3329" spans="13:18">
      <c r="M3329" s="34"/>
      <c r="N3329" s="34"/>
      <c r="O3329" s="34"/>
      <c r="P3329" s="34"/>
      <c r="Q3329" s="34"/>
      <c r="R3329" s="34"/>
    </row>
    <row r="3330" spans="13:18">
      <c r="M3330" s="34"/>
      <c r="N3330" s="34"/>
      <c r="O3330" s="34"/>
      <c r="P3330" s="34"/>
      <c r="Q3330" s="34"/>
      <c r="R3330" s="34"/>
    </row>
    <row r="3331" spans="13:18">
      <c r="M3331" s="34"/>
      <c r="N3331" s="34"/>
      <c r="O3331" s="34"/>
      <c r="P3331" s="34"/>
      <c r="Q3331" s="34"/>
      <c r="R3331" s="34"/>
    </row>
    <row r="3332" spans="13:18">
      <c r="M3332" s="34"/>
      <c r="N3332" s="34"/>
      <c r="O3332" s="34"/>
      <c r="P3332" s="34"/>
      <c r="Q3332" s="34"/>
      <c r="R3332" s="34"/>
    </row>
    <row r="3333" spans="13:18">
      <c r="M3333" s="34"/>
      <c r="N3333" s="34"/>
      <c r="O3333" s="34"/>
      <c r="P3333" s="34"/>
      <c r="Q3333" s="34"/>
      <c r="R3333" s="34"/>
    </row>
    <row r="3334" spans="13:18">
      <c r="M3334" s="34"/>
      <c r="N3334" s="34"/>
      <c r="O3334" s="34"/>
      <c r="P3334" s="34"/>
      <c r="Q3334" s="34"/>
      <c r="R3334" s="34"/>
    </row>
    <row r="3335" spans="13:18">
      <c r="M3335" s="34"/>
      <c r="N3335" s="34"/>
      <c r="O3335" s="34"/>
      <c r="P3335" s="34"/>
      <c r="Q3335" s="34"/>
      <c r="R3335" s="34"/>
    </row>
    <row r="3336" spans="13:18">
      <c r="M3336" s="34"/>
      <c r="N3336" s="34"/>
      <c r="O3336" s="34"/>
      <c r="P3336" s="34"/>
      <c r="Q3336" s="34"/>
      <c r="R3336" s="34"/>
    </row>
    <row r="3337" spans="13:18">
      <c r="M3337" s="34"/>
      <c r="N3337" s="34"/>
      <c r="O3337" s="34"/>
      <c r="P3337" s="34"/>
      <c r="Q3337" s="34"/>
      <c r="R3337" s="34"/>
    </row>
    <row r="3338" spans="13:18">
      <c r="M3338" s="34"/>
      <c r="N3338" s="34"/>
      <c r="O3338" s="34"/>
      <c r="P3338" s="34"/>
      <c r="Q3338" s="34"/>
      <c r="R3338" s="34"/>
    </row>
    <row r="3339" spans="13:18">
      <c r="M3339" s="34"/>
      <c r="N3339" s="34"/>
      <c r="O3339" s="34"/>
      <c r="P3339" s="34"/>
      <c r="Q3339" s="34"/>
      <c r="R3339" s="34"/>
    </row>
    <row r="3340" spans="13:18">
      <c r="M3340" s="34"/>
      <c r="N3340" s="34"/>
      <c r="O3340" s="34"/>
      <c r="P3340" s="34"/>
      <c r="Q3340" s="34"/>
      <c r="R3340" s="34"/>
    </row>
    <row r="3341" spans="13:18">
      <c r="M3341" s="34"/>
      <c r="N3341" s="34"/>
      <c r="O3341" s="34"/>
      <c r="P3341" s="34"/>
      <c r="Q3341" s="34"/>
      <c r="R3341" s="34"/>
    </row>
    <row r="3342" spans="13:18">
      <c r="M3342" s="34"/>
      <c r="N3342" s="34"/>
      <c r="O3342" s="34"/>
      <c r="P3342" s="34"/>
      <c r="Q3342" s="34"/>
      <c r="R3342" s="34"/>
    </row>
    <row r="3343" spans="13:18">
      <c r="M3343" s="34"/>
      <c r="N3343" s="34"/>
      <c r="O3343" s="34"/>
      <c r="P3343" s="34"/>
      <c r="Q3343" s="34"/>
      <c r="R3343" s="34"/>
    </row>
    <row r="3344" spans="13:18">
      <c r="M3344" s="34"/>
      <c r="N3344" s="34"/>
      <c r="O3344" s="34"/>
      <c r="P3344" s="34"/>
      <c r="Q3344" s="34"/>
      <c r="R3344" s="34"/>
    </row>
    <row r="3345" spans="13:18">
      <c r="M3345" s="34"/>
      <c r="N3345" s="34"/>
      <c r="O3345" s="34"/>
      <c r="P3345" s="34"/>
      <c r="Q3345" s="34"/>
      <c r="R3345" s="34"/>
    </row>
    <row r="3346" spans="13:18">
      <c r="M3346" s="34"/>
      <c r="N3346" s="34"/>
      <c r="O3346" s="34"/>
      <c r="P3346" s="34"/>
      <c r="Q3346" s="34"/>
      <c r="R3346" s="34"/>
    </row>
    <row r="3347" spans="13:18">
      <c r="M3347" s="34"/>
      <c r="N3347" s="34"/>
      <c r="O3347" s="34"/>
      <c r="P3347" s="34"/>
      <c r="Q3347" s="34"/>
      <c r="R3347" s="34"/>
    </row>
    <row r="3348" spans="13:18">
      <c r="M3348" s="34"/>
      <c r="N3348" s="34"/>
      <c r="O3348" s="34"/>
      <c r="P3348" s="34"/>
      <c r="Q3348" s="34"/>
      <c r="R3348" s="34"/>
    </row>
    <row r="3349" spans="13:18">
      <c r="M3349" s="34"/>
      <c r="N3349" s="34"/>
      <c r="O3349" s="34"/>
      <c r="P3349" s="34"/>
      <c r="Q3349" s="34"/>
      <c r="R3349" s="34"/>
    </row>
    <row r="3350" spans="13:18">
      <c r="M3350" s="34"/>
      <c r="N3350" s="34"/>
      <c r="O3350" s="34"/>
      <c r="P3350" s="34"/>
      <c r="Q3350" s="34"/>
      <c r="R3350" s="34"/>
    </row>
    <row r="3351" spans="13:18">
      <c r="M3351" s="34"/>
      <c r="N3351" s="34"/>
      <c r="O3351" s="34"/>
      <c r="P3351" s="34"/>
      <c r="Q3351" s="34"/>
      <c r="R3351" s="34"/>
    </row>
    <row r="3352" spans="13:18">
      <c r="M3352" s="34"/>
      <c r="N3352" s="34"/>
      <c r="O3352" s="34"/>
      <c r="P3352" s="34"/>
      <c r="Q3352" s="34"/>
      <c r="R3352" s="34"/>
    </row>
    <row r="3353" spans="13:18">
      <c r="M3353" s="34"/>
      <c r="N3353" s="34"/>
      <c r="O3353" s="34"/>
      <c r="P3353" s="34"/>
      <c r="Q3353" s="34"/>
      <c r="R3353" s="34"/>
    </row>
    <row r="3354" spans="13:18">
      <c r="M3354" s="34"/>
      <c r="N3354" s="34"/>
      <c r="O3354" s="34"/>
      <c r="P3354" s="34"/>
      <c r="Q3354" s="34"/>
      <c r="R3354" s="34"/>
    </row>
    <row r="3355" spans="13:18">
      <c r="M3355" s="34"/>
      <c r="N3355" s="34"/>
      <c r="O3355" s="34"/>
      <c r="P3355" s="34"/>
      <c r="Q3355" s="34"/>
      <c r="R3355" s="34"/>
    </row>
    <row r="3356" spans="13:18">
      <c r="M3356" s="34"/>
      <c r="N3356" s="34"/>
      <c r="O3356" s="34"/>
      <c r="P3356" s="34"/>
      <c r="Q3356" s="34"/>
      <c r="R3356" s="34"/>
    </row>
    <row r="3357" spans="13:18">
      <c r="M3357" s="34"/>
      <c r="N3357" s="34"/>
      <c r="O3357" s="34"/>
      <c r="P3357" s="34"/>
      <c r="Q3357" s="34"/>
      <c r="R3357" s="34"/>
    </row>
    <row r="3358" spans="13:18">
      <c r="M3358" s="34"/>
      <c r="N3358" s="34"/>
      <c r="O3358" s="34"/>
      <c r="P3358" s="34"/>
      <c r="Q3358" s="34"/>
      <c r="R3358" s="34"/>
    </row>
    <row r="3359" spans="13:18">
      <c r="M3359" s="34"/>
      <c r="N3359" s="34"/>
      <c r="O3359" s="34"/>
      <c r="P3359" s="34"/>
      <c r="Q3359" s="34"/>
      <c r="R3359" s="34"/>
    </row>
    <row r="3360" spans="13:18">
      <c r="M3360" s="34"/>
      <c r="N3360" s="34"/>
      <c r="O3360" s="34"/>
      <c r="P3360" s="34"/>
      <c r="Q3360" s="34"/>
      <c r="R3360" s="34"/>
    </row>
    <row r="3361" spans="13:18">
      <c r="M3361" s="34"/>
      <c r="N3361" s="34"/>
      <c r="O3361" s="34"/>
      <c r="P3361" s="34"/>
      <c r="Q3361" s="34"/>
      <c r="R3361" s="34"/>
    </row>
    <row r="3362" spans="13:18">
      <c r="M3362" s="34"/>
      <c r="N3362" s="34"/>
      <c r="O3362" s="34"/>
      <c r="P3362" s="34"/>
      <c r="Q3362" s="34"/>
      <c r="R3362" s="34"/>
    </row>
    <row r="3363" spans="13:18">
      <c r="M3363" s="34"/>
      <c r="N3363" s="34"/>
      <c r="O3363" s="34"/>
      <c r="P3363" s="34"/>
      <c r="Q3363" s="34"/>
      <c r="R3363" s="34"/>
    </row>
    <row r="3364" spans="13:18">
      <c r="M3364" s="34"/>
      <c r="N3364" s="34"/>
      <c r="O3364" s="34"/>
      <c r="P3364" s="34"/>
      <c r="Q3364" s="34"/>
      <c r="R3364" s="34"/>
    </row>
    <row r="3365" spans="13:18">
      <c r="M3365" s="34"/>
      <c r="N3365" s="34"/>
      <c r="O3365" s="34"/>
      <c r="P3365" s="34"/>
      <c r="Q3365" s="34"/>
      <c r="R3365" s="34"/>
    </row>
    <row r="3366" spans="13:18">
      <c r="M3366" s="34"/>
      <c r="N3366" s="34"/>
      <c r="O3366" s="34"/>
      <c r="P3366" s="34"/>
      <c r="Q3366" s="34"/>
      <c r="R3366" s="34"/>
    </row>
    <row r="3367" spans="13:18">
      <c r="M3367" s="34"/>
      <c r="N3367" s="34"/>
      <c r="O3367" s="34"/>
      <c r="P3367" s="34"/>
      <c r="Q3367" s="34"/>
      <c r="R3367" s="34"/>
    </row>
    <row r="3368" spans="13:18">
      <c r="M3368" s="34"/>
      <c r="N3368" s="34"/>
      <c r="O3368" s="34"/>
      <c r="P3368" s="34"/>
      <c r="Q3368" s="34"/>
      <c r="R3368" s="34"/>
    </row>
    <row r="3369" spans="13:18">
      <c r="M3369" s="34"/>
      <c r="N3369" s="34"/>
      <c r="O3369" s="34"/>
      <c r="P3369" s="34"/>
      <c r="Q3369" s="34"/>
      <c r="R3369" s="34"/>
    </row>
    <row r="3370" spans="13:18">
      <c r="M3370" s="34"/>
      <c r="N3370" s="34"/>
      <c r="O3370" s="34"/>
      <c r="P3370" s="34"/>
      <c r="Q3370" s="34"/>
      <c r="R3370" s="34"/>
    </row>
    <row r="3371" spans="13:18">
      <c r="M3371" s="34"/>
      <c r="N3371" s="34"/>
      <c r="O3371" s="34"/>
      <c r="P3371" s="34"/>
      <c r="Q3371" s="34"/>
      <c r="R3371" s="34"/>
    </row>
    <row r="3372" spans="13:18">
      <c r="M3372" s="34"/>
      <c r="N3372" s="34"/>
      <c r="O3372" s="34"/>
      <c r="P3372" s="34"/>
      <c r="Q3372" s="34"/>
      <c r="R3372" s="34"/>
    </row>
    <row r="3373" spans="13:18">
      <c r="M3373" s="34"/>
      <c r="N3373" s="34"/>
      <c r="O3373" s="34"/>
      <c r="P3373" s="34"/>
      <c r="Q3373" s="34"/>
      <c r="R3373" s="34"/>
    </row>
    <row r="3374" spans="13:18">
      <c r="M3374" s="34"/>
      <c r="N3374" s="34"/>
      <c r="O3374" s="34"/>
      <c r="P3374" s="34"/>
      <c r="Q3374" s="34"/>
      <c r="R3374" s="34"/>
    </row>
    <row r="3375" spans="13:18">
      <c r="M3375" s="34"/>
      <c r="N3375" s="34"/>
      <c r="O3375" s="34"/>
      <c r="P3375" s="34"/>
      <c r="Q3375" s="34"/>
      <c r="R3375" s="34"/>
    </row>
    <row r="3376" spans="13:18">
      <c r="M3376" s="34"/>
      <c r="N3376" s="34"/>
      <c r="O3376" s="34"/>
      <c r="P3376" s="34"/>
      <c r="Q3376" s="34"/>
      <c r="R3376" s="34"/>
    </row>
    <row r="3377" spans="13:18">
      <c r="M3377" s="34"/>
      <c r="N3377" s="34"/>
      <c r="O3377" s="34"/>
      <c r="P3377" s="34"/>
      <c r="Q3377" s="34"/>
      <c r="R3377" s="34"/>
    </row>
    <row r="3378" spans="13:18">
      <c r="M3378" s="34"/>
      <c r="N3378" s="34"/>
      <c r="O3378" s="34"/>
      <c r="P3378" s="34"/>
      <c r="Q3378" s="34"/>
      <c r="R3378" s="34"/>
    </row>
    <row r="3379" spans="13:18">
      <c r="M3379" s="34"/>
      <c r="N3379" s="34"/>
      <c r="O3379" s="34"/>
      <c r="P3379" s="34"/>
      <c r="Q3379" s="34"/>
      <c r="R3379" s="34"/>
    </row>
    <row r="3380" spans="13:18">
      <c r="M3380" s="34"/>
      <c r="N3380" s="34"/>
      <c r="O3380" s="34"/>
      <c r="P3380" s="34"/>
      <c r="Q3380" s="34"/>
      <c r="R3380" s="34"/>
    </row>
    <row r="3381" spans="13:18">
      <c r="M3381" s="34"/>
      <c r="N3381" s="34"/>
      <c r="O3381" s="34"/>
      <c r="P3381" s="34"/>
      <c r="Q3381" s="34"/>
      <c r="R3381" s="34"/>
    </row>
    <row r="3382" spans="13:18">
      <c r="M3382" s="34"/>
      <c r="N3382" s="34"/>
      <c r="O3382" s="34"/>
      <c r="P3382" s="34"/>
      <c r="Q3382" s="34"/>
      <c r="R3382" s="34"/>
    </row>
    <row r="3383" spans="13:18">
      <c r="M3383" s="34"/>
      <c r="N3383" s="34"/>
      <c r="O3383" s="34"/>
      <c r="P3383" s="34"/>
      <c r="Q3383" s="34"/>
      <c r="R3383" s="34"/>
    </row>
    <row r="3384" spans="13:18">
      <c r="M3384" s="34"/>
      <c r="N3384" s="34"/>
      <c r="O3384" s="34"/>
      <c r="P3384" s="34"/>
      <c r="Q3384" s="34"/>
      <c r="R3384" s="34"/>
    </row>
    <row r="3385" spans="13:18">
      <c r="M3385" s="34"/>
      <c r="N3385" s="34"/>
      <c r="O3385" s="34"/>
      <c r="P3385" s="34"/>
      <c r="Q3385" s="34"/>
      <c r="R3385" s="34"/>
    </row>
    <row r="3386" spans="13:18">
      <c r="M3386" s="34"/>
      <c r="N3386" s="34"/>
      <c r="O3386" s="34"/>
      <c r="P3386" s="34"/>
      <c r="Q3386" s="34"/>
      <c r="R3386" s="34"/>
    </row>
    <row r="3387" spans="13:18">
      <c r="M3387" s="34"/>
      <c r="N3387" s="34"/>
      <c r="O3387" s="34"/>
      <c r="P3387" s="34"/>
      <c r="Q3387" s="34"/>
      <c r="R3387" s="34"/>
    </row>
    <row r="3388" spans="13:18">
      <c r="M3388" s="34"/>
      <c r="N3388" s="34"/>
      <c r="O3388" s="34"/>
      <c r="P3388" s="34"/>
      <c r="Q3388" s="34"/>
      <c r="R3388" s="34"/>
    </row>
    <row r="3389" spans="13:18">
      <c r="M3389" s="34"/>
      <c r="N3389" s="34"/>
      <c r="O3389" s="34"/>
      <c r="P3389" s="34"/>
      <c r="Q3389" s="34"/>
      <c r="R3389" s="34"/>
    </row>
    <row r="3390" spans="13:18">
      <c r="M3390" s="34"/>
      <c r="N3390" s="34"/>
      <c r="O3390" s="34"/>
      <c r="P3390" s="34"/>
      <c r="Q3390" s="34"/>
      <c r="R3390" s="34"/>
    </row>
    <row r="3391" spans="13:18">
      <c r="M3391" s="34"/>
      <c r="N3391" s="34"/>
      <c r="O3391" s="34"/>
      <c r="P3391" s="34"/>
      <c r="Q3391" s="34"/>
      <c r="R3391" s="34"/>
    </row>
    <row r="3392" spans="13:18">
      <c r="M3392" s="34"/>
      <c r="N3392" s="34"/>
      <c r="O3392" s="34"/>
      <c r="P3392" s="34"/>
      <c r="Q3392" s="34"/>
      <c r="R3392" s="34"/>
    </row>
    <row r="3393" spans="13:18">
      <c r="M3393" s="34"/>
      <c r="N3393" s="34"/>
      <c r="O3393" s="34"/>
      <c r="P3393" s="34"/>
      <c r="Q3393" s="34"/>
      <c r="R3393" s="34"/>
    </row>
    <row r="3394" spans="13:18">
      <c r="M3394" s="34"/>
      <c r="N3394" s="34"/>
      <c r="O3394" s="34"/>
      <c r="P3394" s="34"/>
      <c r="Q3394" s="34"/>
      <c r="R3394" s="34"/>
    </row>
    <row r="3395" spans="13:18">
      <c r="M3395" s="34"/>
      <c r="N3395" s="34"/>
      <c r="O3395" s="34"/>
      <c r="P3395" s="34"/>
      <c r="Q3395" s="34"/>
      <c r="R3395" s="34"/>
    </row>
    <row r="3396" spans="13:18">
      <c r="M3396" s="34"/>
      <c r="N3396" s="34"/>
      <c r="O3396" s="34"/>
      <c r="P3396" s="34"/>
      <c r="Q3396" s="34"/>
      <c r="R3396" s="34"/>
    </row>
    <row r="3397" spans="13:18">
      <c r="M3397" s="34"/>
      <c r="N3397" s="34"/>
      <c r="O3397" s="34"/>
      <c r="P3397" s="34"/>
      <c r="Q3397" s="34"/>
      <c r="R3397" s="34"/>
    </row>
    <row r="3398" spans="13:18">
      <c r="M3398" s="34"/>
      <c r="N3398" s="34"/>
      <c r="O3398" s="34"/>
      <c r="P3398" s="34"/>
      <c r="Q3398" s="34"/>
      <c r="R3398" s="34"/>
    </row>
    <row r="3399" spans="13:18">
      <c r="M3399" s="34"/>
      <c r="N3399" s="34"/>
      <c r="O3399" s="34"/>
      <c r="P3399" s="34"/>
      <c r="Q3399" s="34"/>
      <c r="R3399" s="34"/>
    </row>
    <row r="3400" spans="13:18">
      <c r="M3400" s="34"/>
      <c r="N3400" s="34"/>
      <c r="O3400" s="34"/>
      <c r="P3400" s="34"/>
      <c r="Q3400" s="34"/>
      <c r="R3400" s="34"/>
    </row>
    <row r="3401" spans="13:18">
      <c r="M3401" s="34"/>
      <c r="N3401" s="34"/>
      <c r="O3401" s="34"/>
      <c r="P3401" s="34"/>
      <c r="Q3401" s="34"/>
      <c r="R3401" s="34"/>
    </row>
    <row r="3402" spans="13:18">
      <c r="M3402" s="34"/>
      <c r="N3402" s="34"/>
      <c r="O3402" s="34"/>
      <c r="P3402" s="34"/>
      <c r="Q3402" s="34"/>
      <c r="R3402" s="34"/>
    </row>
    <row r="3403" spans="13:18">
      <c r="M3403" s="34"/>
      <c r="N3403" s="34"/>
      <c r="O3403" s="34"/>
      <c r="P3403" s="34"/>
      <c r="Q3403" s="34"/>
      <c r="R3403" s="34"/>
    </row>
    <row r="3404" spans="13:18">
      <c r="M3404" s="34"/>
      <c r="N3404" s="34"/>
      <c r="O3404" s="34"/>
      <c r="P3404" s="34"/>
      <c r="Q3404" s="34"/>
      <c r="R3404" s="34"/>
    </row>
    <row r="3405" spans="13:18">
      <c r="M3405" s="34"/>
      <c r="N3405" s="34"/>
      <c r="O3405" s="34"/>
      <c r="P3405" s="34"/>
      <c r="Q3405" s="34"/>
      <c r="R3405" s="34"/>
    </row>
    <row r="3406" spans="13:18">
      <c r="M3406" s="34"/>
      <c r="N3406" s="34"/>
      <c r="O3406" s="34"/>
      <c r="P3406" s="34"/>
      <c r="Q3406" s="34"/>
      <c r="R3406" s="34"/>
    </row>
    <row r="3407" spans="13:18">
      <c r="M3407" s="34"/>
      <c r="N3407" s="34"/>
      <c r="O3407" s="34"/>
      <c r="P3407" s="34"/>
      <c r="Q3407" s="34"/>
      <c r="R3407" s="34"/>
    </row>
    <row r="3408" spans="13:18">
      <c r="M3408" s="34"/>
      <c r="N3408" s="34"/>
      <c r="O3408" s="34"/>
      <c r="P3408" s="34"/>
      <c r="Q3408" s="34"/>
      <c r="R3408" s="34"/>
    </row>
    <row r="3409" spans="13:18">
      <c r="M3409" s="34"/>
      <c r="N3409" s="34"/>
      <c r="O3409" s="34"/>
      <c r="P3409" s="34"/>
      <c r="Q3409" s="34"/>
      <c r="R3409" s="34"/>
    </row>
    <row r="3410" spans="13:18">
      <c r="M3410" s="34"/>
      <c r="N3410" s="34"/>
      <c r="O3410" s="34"/>
      <c r="P3410" s="34"/>
      <c r="Q3410" s="34"/>
      <c r="R3410" s="34"/>
    </row>
    <row r="3411" spans="13:18">
      <c r="M3411" s="34"/>
      <c r="N3411" s="34"/>
      <c r="O3411" s="34"/>
      <c r="P3411" s="34"/>
      <c r="Q3411" s="34"/>
      <c r="R3411" s="34"/>
    </row>
    <row r="3412" spans="13:18">
      <c r="M3412" s="34"/>
      <c r="N3412" s="34"/>
      <c r="O3412" s="34"/>
      <c r="P3412" s="34"/>
      <c r="Q3412" s="34"/>
      <c r="R3412" s="34"/>
    </row>
    <row r="3413" spans="13:18">
      <c r="M3413" s="34"/>
      <c r="N3413" s="34"/>
      <c r="O3413" s="34"/>
      <c r="P3413" s="34"/>
      <c r="Q3413" s="34"/>
      <c r="R3413" s="34"/>
    </row>
    <row r="3414" spans="13:18">
      <c r="M3414" s="34"/>
      <c r="N3414" s="34"/>
      <c r="O3414" s="34"/>
      <c r="P3414" s="34"/>
      <c r="Q3414" s="34"/>
      <c r="R3414" s="34"/>
    </row>
    <row r="3415" spans="13:18">
      <c r="M3415" s="34"/>
      <c r="N3415" s="34"/>
      <c r="O3415" s="34"/>
      <c r="P3415" s="34"/>
      <c r="Q3415" s="34"/>
      <c r="R3415" s="34"/>
    </row>
    <row r="3416" spans="13:18">
      <c r="M3416" s="34"/>
      <c r="N3416" s="34"/>
      <c r="O3416" s="34"/>
      <c r="P3416" s="34"/>
      <c r="Q3416" s="34"/>
      <c r="R3416" s="34"/>
    </row>
    <row r="3417" spans="13:18">
      <c r="M3417" s="34"/>
      <c r="N3417" s="34"/>
      <c r="O3417" s="34"/>
      <c r="P3417" s="34"/>
      <c r="Q3417" s="34"/>
      <c r="R3417" s="34"/>
    </row>
    <row r="3418" spans="13:18">
      <c r="M3418" s="34"/>
      <c r="N3418" s="34"/>
      <c r="O3418" s="34"/>
      <c r="P3418" s="34"/>
      <c r="Q3418" s="34"/>
      <c r="R3418" s="34"/>
    </row>
    <row r="3419" spans="13:18">
      <c r="M3419" s="34"/>
      <c r="N3419" s="34"/>
      <c r="O3419" s="34"/>
      <c r="P3419" s="34"/>
      <c r="Q3419" s="34"/>
      <c r="R3419" s="34"/>
    </row>
    <row r="3420" spans="13:18">
      <c r="M3420" s="34"/>
      <c r="N3420" s="34"/>
      <c r="O3420" s="34"/>
      <c r="P3420" s="34"/>
      <c r="Q3420" s="34"/>
      <c r="R3420" s="34"/>
    </row>
    <row r="3421" spans="13:18">
      <c r="M3421" s="34"/>
      <c r="N3421" s="34"/>
      <c r="O3421" s="34"/>
      <c r="P3421" s="34"/>
      <c r="Q3421" s="34"/>
      <c r="R3421" s="34"/>
    </row>
    <row r="3422" spans="13:18">
      <c r="M3422" s="34"/>
      <c r="N3422" s="34"/>
      <c r="O3422" s="34"/>
      <c r="P3422" s="34"/>
      <c r="Q3422" s="34"/>
      <c r="R3422" s="34"/>
    </row>
    <row r="3423" spans="13:18">
      <c r="M3423" s="34"/>
      <c r="N3423" s="34"/>
      <c r="O3423" s="34"/>
      <c r="P3423" s="34"/>
      <c r="Q3423" s="34"/>
      <c r="R3423" s="34"/>
    </row>
    <row r="3424" spans="13:18">
      <c r="M3424" s="34"/>
      <c r="N3424" s="34"/>
      <c r="O3424" s="34"/>
      <c r="P3424" s="34"/>
      <c r="Q3424" s="34"/>
      <c r="R3424" s="34"/>
    </row>
    <row r="3425" spans="13:18">
      <c r="M3425" s="34"/>
      <c r="N3425" s="34"/>
      <c r="O3425" s="34"/>
      <c r="P3425" s="34"/>
      <c r="Q3425" s="34"/>
      <c r="R3425" s="34"/>
    </row>
    <row r="3426" spans="13:18">
      <c r="M3426" s="34"/>
      <c r="N3426" s="34"/>
      <c r="O3426" s="34"/>
      <c r="P3426" s="34"/>
      <c r="Q3426" s="34"/>
      <c r="R3426" s="34"/>
    </row>
    <row r="3427" spans="13:18">
      <c r="M3427" s="34"/>
      <c r="N3427" s="34"/>
      <c r="O3427" s="34"/>
      <c r="P3427" s="34"/>
      <c r="Q3427" s="34"/>
      <c r="R3427" s="34"/>
    </row>
    <row r="3428" spans="13:18">
      <c r="M3428" s="34"/>
      <c r="N3428" s="34"/>
      <c r="O3428" s="34"/>
      <c r="P3428" s="34"/>
      <c r="Q3428" s="34"/>
      <c r="R3428" s="34"/>
    </row>
    <row r="3429" spans="13:18">
      <c r="M3429" s="34"/>
      <c r="N3429" s="34"/>
      <c r="O3429" s="34"/>
      <c r="P3429" s="34"/>
      <c r="Q3429" s="34"/>
      <c r="R3429" s="34"/>
    </row>
    <row r="3430" spans="13:18">
      <c r="M3430" s="34"/>
      <c r="N3430" s="34"/>
      <c r="O3430" s="34"/>
      <c r="P3430" s="34"/>
      <c r="Q3430" s="34"/>
      <c r="R3430" s="34"/>
    </row>
    <row r="3431" spans="13:18">
      <c r="M3431" s="34"/>
      <c r="N3431" s="34"/>
      <c r="O3431" s="34"/>
      <c r="P3431" s="34"/>
      <c r="Q3431" s="34"/>
      <c r="R3431" s="34"/>
    </row>
    <row r="3432" spans="13:18">
      <c r="M3432" s="34"/>
      <c r="N3432" s="34"/>
      <c r="O3432" s="34"/>
      <c r="P3432" s="34"/>
      <c r="Q3432" s="34"/>
      <c r="R3432" s="34"/>
    </row>
    <row r="3433" spans="13:18">
      <c r="M3433" s="34"/>
      <c r="N3433" s="34"/>
      <c r="O3433" s="34"/>
      <c r="P3433" s="34"/>
      <c r="Q3433" s="34"/>
      <c r="R3433" s="34"/>
    </row>
    <row r="3434" spans="13:18">
      <c r="M3434" s="34"/>
      <c r="N3434" s="34"/>
      <c r="O3434" s="34"/>
      <c r="P3434" s="34"/>
      <c r="Q3434" s="34"/>
      <c r="R3434" s="34"/>
    </row>
    <row r="3435" spans="13:18">
      <c r="M3435" s="34"/>
      <c r="N3435" s="34"/>
      <c r="O3435" s="34"/>
      <c r="P3435" s="34"/>
      <c r="Q3435" s="34"/>
      <c r="R3435" s="34"/>
    </row>
    <row r="3436" spans="13:18">
      <c r="M3436" s="34"/>
      <c r="N3436" s="34"/>
      <c r="O3436" s="34"/>
      <c r="P3436" s="34"/>
      <c r="Q3436" s="34"/>
      <c r="R3436" s="34"/>
    </row>
    <row r="3437" spans="13:18">
      <c r="M3437" s="34"/>
      <c r="N3437" s="34"/>
      <c r="O3437" s="34"/>
      <c r="P3437" s="34"/>
      <c r="Q3437" s="34"/>
      <c r="R3437" s="34"/>
    </row>
    <row r="3438" spans="13:18">
      <c r="M3438" s="34"/>
      <c r="N3438" s="34"/>
      <c r="O3438" s="34"/>
      <c r="P3438" s="34"/>
      <c r="Q3438" s="34"/>
      <c r="R3438" s="34"/>
    </row>
    <row r="3439" spans="13:18">
      <c r="M3439" s="34"/>
      <c r="N3439" s="34"/>
      <c r="O3439" s="34"/>
      <c r="P3439" s="34"/>
      <c r="Q3439" s="34"/>
      <c r="R3439" s="34"/>
    </row>
    <row r="3440" spans="13:18">
      <c r="M3440" s="34"/>
      <c r="N3440" s="34"/>
      <c r="O3440" s="34"/>
      <c r="P3440" s="34"/>
      <c r="Q3440" s="34"/>
      <c r="R3440" s="34"/>
    </row>
    <row r="3441" spans="13:18">
      <c r="M3441" s="34"/>
      <c r="N3441" s="34"/>
      <c r="O3441" s="34"/>
      <c r="P3441" s="34"/>
      <c r="Q3441" s="34"/>
      <c r="R3441" s="34"/>
    </row>
    <row r="3442" spans="13:18">
      <c r="M3442" s="34"/>
      <c r="N3442" s="34"/>
      <c r="O3442" s="34"/>
      <c r="P3442" s="34"/>
      <c r="Q3442" s="34"/>
      <c r="R3442" s="34"/>
    </row>
    <row r="3443" spans="13:18">
      <c r="M3443" s="34"/>
      <c r="N3443" s="34"/>
      <c r="O3443" s="34"/>
      <c r="P3443" s="34"/>
      <c r="Q3443" s="34"/>
      <c r="R3443" s="34"/>
    </row>
    <row r="3444" spans="13:18">
      <c r="M3444" s="34"/>
      <c r="N3444" s="34"/>
      <c r="O3444" s="34"/>
      <c r="P3444" s="34"/>
      <c r="Q3444" s="34"/>
      <c r="R3444" s="34"/>
    </row>
    <row r="3445" spans="13:18">
      <c r="M3445" s="34"/>
      <c r="N3445" s="34"/>
      <c r="O3445" s="34"/>
      <c r="P3445" s="34"/>
      <c r="Q3445" s="34"/>
      <c r="R3445" s="34"/>
    </row>
    <row r="3446" spans="13:18">
      <c r="M3446" s="34"/>
      <c r="N3446" s="34"/>
      <c r="O3446" s="34"/>
      <c r="P3446" s="34"/>
      <c r="Q3446" s="34"/>
      <c r="R3446" s="34"/>
    </row>
    <row r="3447" spans="13:18">
      <c r="M3447" s="34"/>
      <c r="N3447" s="34"/>
      <c r="O3447" s="34"/>
      <c r="P3447" s="34"/>
      <c r="Q3447" s="34"/>
      <c r="R3447" s="34"/>
    </row>
    <row r="3448" spans="13:18">
      <c r="M3448" s="34"/>
      <c r="N3448" s="34"/>
      <c r="O3448" s="34"/>
      <c r="P3448" s="34"/>
      <c r="Q3448" s="34"/>
      <c r="R3448" s="34"/>
    </row>
    <row r="3449" spans="13:18">
      <c r="M3449" s="34"/>
      <c r="N3449" s="34"/>
      <c r="O3449" s="34"/>
      <c r="P3449" s="34"/>
      <c r="Q3449" s="34"/>
      <c r="R3449" s="34"/>
    </row>
    <row r="3450" spans="13:18">
      <c r="M3450" s="34"/>
      <c r="N3450" s="34"/>
      <c r="O3450" s="34"/>
      <c r="P3450" s="34"/>
      <c r="Q3450" s="34"/>
      <c r="R3450" s="34"/>
    </row>
    <row r="3451" spans="13:18">
      <c r="M3451" s="34"/>
      <c r="N3451" s="34"/>
      <c r="O3451" s="34"/>
      <c r="P3451" s="34"/>
      <c r="Q3451" s="34"/>
      <c r="R3451" s="34"/>
    </row>
    <row r="3452" spans="13:18">
      <c r="M3452" s="34"/>
      <c r="N3452" s="34"/>
      <c r="O3452" s="34"/>
      <c r="P3452" s="34"/>
      <c r="Q3452" s="34"/>
      <c r="R3452" s="34"/>
    </row>
    <row r="3453" spans="13:18">
      <c r="M3453" s="34"/>
      <c r="N3453" s="34"/>
      <c r="O3453" s="34"/>
      <c r="P3453" s="34"/>
      <c r="Q3453" s="34"/>
      <c r="R3453" s="34"/>
    </row>
    <row r="3454" spans="13:18">
      <c r="M3454" s="34"/>
      <c r="N3454" s="34"/>
      <c r="O3454" s="34"/>
      <c r="P3454" s="34"/>
      <c r="Q3454" s="34"/>
      <c r="R3454" s="34"/>
    </row>
    <row r="3455" spans="13:18">
      <c r="M3455" s="34"/>
      <c r="N3455" s="34"/>
      <c r="O3455" s="34"/>
      <c r="P3455" s="34"/>
      <c r="Q3455" s="34"/>
      <c r="R3455" s="34"/>
    </row>
    <row r="3456" spans="13:18">
      <c r="M3456" s="34"/>
      <c r="N3456" s="34"/>
      <c r="O3456" s="34"/>
      <c r="P3456" s="34"/>
      <c r="Q3456" s="34"/>
      <c r="R3456" s="34"/>
    </row>
    <row r="3457" spans="13:18">
      <c r="M3457" s="34"/>
      <c r="N3457" s="34"/>
      <c r="O3457" s="34"/>
      <c r="P3457" s="34"/>
      <c r="Q3457" s="34"/>
      <c r="R3457" s="34"/>
    </row>
    <row r="3458" spans="13:18">
      <c r="M3458" s="34"/>
      <c r="N3458" s="34"/>
      <c r="O3458" s="34"/>
      <c r="P3458" s="34"/>
      <c r="Q3458" s="34"/>
      <c r="R3458" s="34"/>
    </row>
    <row r="3459" spans="13:18">
      <c r="M3459" s="34"/>
      <c r="N3459" s="34"/>
      <c r="O3459" s="34"/>
      <c r="P3459" s="34"/>
      <c r="Q3459" s="34"/>
      <c r="R3459" s="34"/>
    </row>
    <row r="3460" spans="13:18">
      <c r="M3460" s="34"/>
      <c r="N3460" s="34"/>
      <c r="O3460" s="34"/>
      <c r="P3460" s="34"/>
      <c r="Q3460" s="34"/>
      <c r="R3460" s="34"/>
    </row>
    <row r="3461" spans="13:18">
      <c r="M3461" s="34"/>
      <c r="N3461" s="34"/>
      <c r="O3461" s="34"/>
      <c r="P3461" s="34"/>
      <c r="Q3461" s="34"/>
      <c r="R3461" s="34"/>
    </row>
    <row r="3462" spans="13:18">
      <c r="M3462" s="34"/>
      <c r="N3462" s="34"/>
      <c r="O3462" s="34"/>
      <c r="P3462" s="34"/>
      <c r="Q3462" s="34"/>
      <c r="R3462" s="34"/>
    </row>
    <row r="3463" spans="13:18">
      <c r="M3463" s="34"/>
      <c r="N3463" s="34"/>
      <c r="O3463" s="34"/>
      <c r="P3463" s="34"/>
      <c r="Q3463" s="34"/>
      <c r="R3463" s="34"/>
    </row>
    <row r="3464" spans="13:18">
      <c r="M3464" s="34"/>
      <c r="N3464" s="34"/>
      <c r="O3464" s="34"/>
      <c r="P3464" s="34"/>
      <c r="Q3464" s="34"/>
      <c r="R3464" s="34"/>
    </row>
    <row r="3465" spans="13:18">
      <c r="M3465" s="34"/>
      <c r="N3465" s="34"/>
      <c r="O3465" s="34"/>
      <c r="P3465" s="34"/>
      <c r="Q3465" s="34"/>
      <c r="R3465" s="34"/>
    </row>
    <row r="3466" spans="13:18">
      <c r="M3466" s="34"/>
      <c r="N3466" s="34"/>
      <c r="O3466" s="34"/>
      <c r="P3466" s="34"/>
      <c r="Q3466" s="34"/>
      <c r="R3466" s="34"/>
    </row>
    <row r="3467" spans="13:18">
      <c r="M3467" s="34"/>
      <c r="N3467" s="34"/>
      <c r="O3467" s="34"/>
      <c r="P3467" s="34"/>
      <c r="Q3467" s="34"/>
      <c r="R3467" s="34"/>
    </row>
    <row r="3468" spans="13:18">
      <c r="M3468" s="34"/>
      <c r="N3468" s="34"/>
      <c r="O3468" s="34"/>
      <c r="P3468" s="34"/>
      <c r="Q3468" s="34"/>
      <c r="R3468" s="34"/>
    </row>
    <row r="3469" spans="13:18">
      <c r="M3469" s="34"/>
      <c r="N3469" s="34"/>
      <c r="O3469" s="34"/>
      <c r="P3469" s="34"/>
      <c r="Q3469" s="34"/>
      <c r="R3469" s="34"/>
    </row>
    <row r="3470" spans="13:18">
      <c r="M3470" s="34"/>
      <c r="N3470" s="34"/>
      <c r="O3470" s="34"/>
      <c r="P3470" s="34"/>
      <c r="Q3470" s="34"/>
      <c r="R3470" s="34"/>
    </row>
    <row r="3471" spans="13:18">
      <c r="M3471" s="34"/>
      <c r="N3471" s="34"/>
      <c r="O3471" s="34"/>
      <c r="P3471" s="34"/>
      <c r="Q3471" s="34"/>
      <c r="R3471" s="34"/>
    </row>
    <row r="3472" spans="13:18">
      <c r="M3472" s="34"/>
      <c r="N3472" s="34"/>
      <c r="O3472" s="34"/>
      <c r="P3472" s="34"/>
      <c r="Q3472" s="34"/>
      <c r="R3472" s="34"/>
    </row>
    <row r="3473" spans="13:18">
      <c r="M3473" s="34"/>
      <c r="N3473" s="34"/>
      <c r="O3473" s="34"/>
      <c r="P3473" s="34"/>
      <c r="Q3473" s="34"/>
      <c r="R3473" s="34"/>
    </row>
    <row r="3474" spans="13:18">
      <c r="M3474" s="34"/>
      <c r="N3474" s="34"/>
      <c r="O3474" s="34"/>
      <c r="P3474" s="34"/>
      <c r="Q3474" s="34"/>
      <c r="R3474" s="34"/>
    </row>
    <row r="3475" spans="13:18">
      <c r="M3475" s="34"/>
      <c r="N3475" s="34"/>
      <c r="O3475" s="34"/>
      <c r="P3475" s="34"/>
      <c r="Q3475" s="34"/>
      <c r="R3475" s="34"/>
    </row>
    <row r="3476" spans="13:18">
      <c r="M3476" s="34"/>
      <c r="N3476" s="34"/>
      <c r="O3476" s="34"/>
      <c r="P3476" s="34"/>
      <c r="Q3476" s="34"/>
      <c r="R3476" s="34"/>
    </row>
    <row r="3477" spans="13:18">
      <c r="M3477" s="34"/>
      <c r="N3477" s="34"/>
      <c r="O3477" s="34"/>
      <c r="P3477" s="34"/>
      <c r="Q3477" s="34"/>
      <c r="R3477" s="34"/>
    </row>
    <row r="3478" spans="13:18">
      <c r="M3478" s="34"/>
      <c r="N3478" s="34"/>
      <c r="O3478" s="34"/>
      <c r="P3478" s="34"/>
      <c r="Q3478" s="34"/>
      <c r="R3478" s="34"/>
    </row>
    <row r="3479" spans="13:18">
      <c r="M3479" s="34"/>
      <c r="N3479" s="34"/>
      <c r="O3479" s="34"/>
      <c r="P3479" s="34"/>
      <c r="Q3479" s="34"/>
      <c r="R3479" s="34"/>
    </row>
    <row r="3480" spans="13:18">
      <c r="M3480" s="34"/>
      <c r="N3480" s="34"/>
      <c r="O3480" s="34"/>
      <c r="P3480" s="34"/>
      <c r="Q3480" s="34"/>
      <c r="R3480" s="34"/>
    </row>
    <row r="3481" spans="13:18">
      <c r="M3481" s="34"/>
      <c r="N3481" s="34"/>
      <c r="O3481" s="34"/>
      <c r="P3481" s="34"/>
      <c r="Q3481" s="34"/>
      <c r="R3481" s="34"/>
    </row>
    <row r="3482" spans="13:18">
      <c r="M3482" s="34"/>
      <c r="N3482" s="34"/>
      <c r="O3482" s="34"/>
      <c r="P3482" s="34"/>
      <c r="Q3482" s="34"/>
      <c r="R3482" s="34"/>
    </row>
    <row r="3483" spans="13:18">
      <c r="M3483" s="34"/>
      <c r="N3483" s="34"/>
      <c r="O3483" s="34"/>
      <c r="P3483" s="34"/>
      <c r="Q3483" s="34"/>
      <c r="R3483" s="34"/>
    </row>
    <row r="3484" spans="13:18">
      <c r="M3484" s="34"/>
      <c r="N3484" s="34"/>
      <c r="O3484" s="34"/>
      <c r="P3484" s="34"/>
      <c r="Q3484" s="34"/>
      <c r="R3484" s="34"/>
    </row>
    <row r="3485" spans="13:18">
      <c r="M3485" s="34"/>
      <c r="N3485" s="34"/>
      <c r="O3485" s="34"/>
      <c r="P3485" s="34"/>
      <c r="Q3485" s="34"/>
      <c r="R3485" s="34"/>
    </row>
    <row r="3486" spans="13:18">
      <c r="M3486" s="34"/>
      <c r="N3486" s="34"/>
      <c r="O3486" s="34"/>
      <c r="P3486" s="34"/>
      <c r="Q3486" s="34"/>
      <c r="R3486" s="34"/>
    </row>
    <row r="3487" spans="13:18">
      <c r="M3487" s="34"/>
      <c r="N3487" s="34"/>
      <c r="O3487" s="34"/>
      <c r="P3487" s="34"/>
      <c r="Q3487" s="34"/>
      <c r="R3487" s="34"/>
    </row>
    <row r="3488" spans="13:18">
      <c r="M3488" s="34"/>
      <c r="N3488" s="34"/>
      <c r="O3488" s="34"/>
      <c r="P3488" s="34"/>
      <c r="Q3488" s="34"/>
      <c r="R3488" s="34"/>
    </row>
    <row r="3489" spans="13:18">
      <c r="M3489" s="34"/>
      <c r="N3489" s="34"/>
      <c r="O3489" s="34"/>
      <c r="P3489" s="34"/>
      <c r="Q3489" s="34"/>
      <c r="R3489" s="34"/>
    </row>
    <row r="3490" spans="13:18">
      <c r="M3490" s="34"/>
      <c r="N3490" s="34"/>
      <c r="O3490" s="34"/>
      <c r="P3490" s="34"/>
      <c r="Q3490" s="34"/>
      <c r="R3490" s="34"/>
    </row>
    <row r="3491" spans="13:18">
      <c r="M3491" s="34"/>
      <c r="N3491" s="34"/>
      <c r="O3491" s="34"/>
      <c r="P3491" s="34"/>
      <c r="Q3491" s="34"/>
      <c r="R3491" s="34"/>
    </row>
    <row r="3492" spans="13:18">
      <c r="M3492" s="34"/>
      <c r="N3492" s="34"/>
      <c r="O3492" s="34"/>
      <c r="P3492" s="34"/>
      <c r="Q3492" s="34"/>
      <c r="R3492" s="34"/>
    </row>
    <row r="3493" spans="13:18">
      <c r="M3493" s="34"/>
      <c r="N3493" s="34"/>
      <c r="O3493" s="34"/>
      <c r="P3493" s="34"/>
      <c r="Q3493" s="34"/>
      <c r="R3493" s="34"/>
    </row>
    <row r="3494" spans="13:18">
      <c r="M3494" s="34"/>
      <c r="N3494" s="34"/>
      <c r="O3494" s="34"/>
      <c r="P3494" s="34"/>
      <c r="Q3494" s="34"/>
      <c r="R3494" s="34"/>
    </row>
    <row r="3495" spans="13:18">
      <c r="M3495" s="34"/>
      <c r="N3495" s="34"/>
      <c r="O3495" s="34"/>
      <c r="P3495" s="34"/>
      <c r="Q3495" s="34"/>
      <c r="R3495" s="34"/>
    </row>
    <row r="3496" spans="13:18">
      <c r="M3496" s="34"/>
      <c r="N3496" s="34"/>
      <c r="O3496" s="34"/>
      <c r="P3496" s="34"/>
      <c r="Q3496" s="34"/>
      <c r="R3496" s="34"/>
    </row>
    <row r="3497" spans="13:18">
      <c r="M3497" s="34"/>
      <c r="N3497" s="34"/>
      <c r="O3497" s="34"/>
      <c r="P3497" s="34"/>
      <c r="Q3497" s="34"/>
      <c r="R3497" s="34"/>
    </row>
    <row r="3498" spans="13:18">
      <c r="M3498" s="34"/>
      <c r="N3498" s="34"/>
      <c r="O3498" s="34"/>
      <c r="P3498" s="34"/>
      <c r="Q3498" s="34"/>
      <c r="R3498" s="34"/>
    </row>
    <row r="3499" spans="13:18">
      <c r="M3499" s="34"/>
      <c r="N3499" s="34"/>
      <c r="O3499" s="34"/>
      <c r="P3499" s="34"/>
      <c r="Q3499" s="34"/>
      <c r="R3499" s="34"/>
    </row>
    <row r="3500" spans="13:18">
      <c r="M3500" s="34"/>
      <c r="N3500" s="34"/>
      <c r="O3500" s="34"/>
      <c r="P3500" s="34"/>
      <c r="Q3500" s="34"/>
      <c r="R3500" s="34"/>
    </row>
    <row r="3501" spans="13:18">
      <c r="M3501" s="34"/>
      <c r="N3501" s="34"/>
      <c r="O3501" s="34"/>
      <c r="P3501" s="34"/>
      <c r="Q3501" s="34"/>
      <c r="R3501" s="34"/>
    </row>
    <row r="3502" spans="13:18">
      <c r="M3502" s="34"/>
      <c r="N3502" s="34"/>
      <c r="O3502" s="34"/>
      <c r="P3502" s="34"/>
      <c r="Q3502" s="34"/>
      <c r="R3502" s="34"/>
    </row>
    <row r="3503" spans="13:18">
      <c r="M3503" s="34"/>
      <c r="N3503" s="34"/>
      <c r="O3503" s="34"/>
      <c r="P3503" s="34"/>
      <c r="Q3503" s="34"/>
      <c r="R3503" s="34"/>
    </row>
    <row r="3504" spans="13:18">
      <c r="M3504" s="34"/>
      <c r="N3504" s="34"/>
      <c r="O3504" s="34"/>
      <c r="P3504" s="34"/>
      <c r="Q3504" s="34"/>
      <c r="R3504" s="34"/>
    </row>
    <row r="3505" spans="13:18">
      <c r="M3505" s="34"/>
      <c r="N3505" s="34"/>
      <c r="O3505" s="34"/>
      <c r="P3505" s="34"/>
      <c r="Q3505" s="34"/>
      <c r="R3505" s="34"/>
    </row>
    <row r="3506" spans="13:18">
      <c r="M3506" s="34"/>
      <c r="N3506" s="34"/>
      <c r="O3506" s="34"/>
      <c r="P3506" s="34"/>
      <c r="Q3506" s="34"/>
      <c r="R3506" s="34"/>
    </row>
    <row r="3507" spans="13:18">
      <c r="M3507" s="34"/>
      <c r="N3507" s="34"/>
      <c r="O3507" s="34"/>
      <c r="P3507" s="34"/>
      <c r="Q3507" s="34"/>
      <c r="R3507" s="34"/>
    </row>
    <row r="3508" spans="13:18">
      <c r="M3508" s="34"/>
      <c r="N3508" s="34"/>
      <c r="O3508" s="34"/>
      <c r="P3508" s="34"/>
      <c r="Q3508" s="34"/>
      <c r="R3508" s="34"/>
    </row>
    <row r="3509" spans="13:18">
      <c r="M3509" s="34"/>
      <c r="N3509" s="34"/>
      <c r="O3509" s="34"/>
      <c r="P3509" s="34"/>
      <c r="Q3509" s="34"/>
      <c r="R3509" s="34"/>
    </row>
    <row r="3510" spans="13:18">
      <c r="M3510" s="34"/>
      <c r="N3510" s="34"/>
      <c r="O3510" s="34"/>
      <c r="P3510" s="34"/>
      <c r="Q3510" s="34"/>
      <c r="R3510" s="34"/>
    </row>
    <row r="3511" spans="13:18">
      <c r="M3511" s="34"/>
      <c r="N3511" s="34"/>
      <c r="O3511" s="34"/>
      <c r="P3511" s="34"/>
      <c r="Q3511" s="34"/>
      <c r="R3511" s="34"/>
    </row>
    <row r="3512" spans="13:18">
      <c r="M3512" s="34"/>
      <c r="N3512" s="34"/>
      <c r="O3512" s="34"/>
      <c r="P3512" s="34"/>
      <c r="Q3512" s="34"/>
      <c r="R3512" s="34"/>
    </row>
    <row r="3513" spans="13:18">
      <c r="M3513" s="34"/>
      <c r="N3513" s="34"/>
      <c r="O3513" s="34"/>
      <c r="P3513" s="34"/>
      <c r="Q3513" s="34"/>
      <c r="R3513" s="34"/>
    </row>
    <row r="3514" spans="13:18">
      <c r="M3514" s="34"/>
      <c r="N3514" s="34"/>
      <c r="O3514" s="34"/>
      <c r="P3514" s="34"/>
      <c r="Q3514" s="34"/>
      <c r="R3514" s="34"/>
    </row>
    <row r="3515" spans="13:18">
      <c r="M3515" s="34"/>
      <c r="N3515" s="34"/>
      <c r="O3515" s="34"/>
      <c r="P3515" s="34"/>
      <c r="Q3515" s="34"/>
      <c r="R3515" s="34"/>
    </row>
    <row r="3516" spans="13:18">
      <c r="M3516" s="34"/>
      <c r="N3516" s="34"/>
      <c r="O3516" s="34"/>
      <c r="P3516" s="34"/>
      <c r="Q3516" s="34"/>
      <c r="R3516" s="34"/>
    </row>
    <row r="3517" spans="13:18">
      <c r="M3517" s="34"/>
      <c r="N3517" s="34"/>
      <c r="O3517" s="34"/>
      <c r="P3517" s="34"/>
      <c r="Q3517" s="34"/>
      <c r="R3517" s="34"/>
    </row>
    <row r="3518" spans="13:18">
      <c r="M3518" s="34"/>
      <c r="N3518" s="34"/>
      <c r="O3518" s="34"/>
      <c r="P3518" s="34"/>
      <c r="Q3518" s="34"/>
      <c r="R3518" s="34"/>
    </row>
    <row r="3519" spans="13:18">
      <c r="M3519" s="34"/>
      <c r="N3519" s="34"/>
      <c r="O3519" s="34"/>
      <c r="P3519" s="34"/>
      <c r="Q3519" s="34"/>
      <c r="R3519" s="34"/>
    </row>
    <row r="3520" spans="13:18">
      <c r="M3520" s="34"/>
      <c r="N3520" s="34"/>
      <c r="O3520" s="34"/>
      <c r="P3520" s="34"/>
      <c r="Q3520" s="34"/>
      <c r="R3520" s="34"/>
    </row>
    <row r="3521" spans="13:18">
      <c r="M3521" s="34"/>
      <c r="N3521" s="34"/>
      <c r="O3521" s="34"/>
      <c r="P3521" s="34"/>
      <c r="Q3521" s="34"/>
      <c r="R3521" s="34"/>
    </row>
    <row r="3522" spans="13:18">
      <c r="M3522" s="34"/>
      <c r="N3522" s="34"/>
      <c r="O3522" s="34"/>
      <c r="P3522" s="34"/>
      <c r="Q3522" s="34"/>
      <c r="R3522" s="34"/>
    </row>
    <row r="3523" spans="13:18">
      <c r="M3523" s="34"/>
      <c r="N3523" s="34"/>
      <c r="O3523" s="34"/>
      <c r="P3523" s="34"/>
      <c r="Q3523" s="34"/>
      <c r="R3523" s="34"/>
    </row>
    <row r="3524" spans="13:18">
      <c r="M3524" s="34"/>
      <c r="N3524" s="34"/>
      <c r="O3524" s="34"/>
      <c r="P3524" s="34"/>
      <c r="Q3524" s="34"/>
      <c r="R3524" s="34"/>
    </row>
    <row r="3525" spans="13:18">
      <c r="M3525" s="34"/>
      <c r="N3525" s="34"/>
      <c r="O3525" s="34"/>
      <c r="P3525" s="34"/>
      <c r="Q3525" s="34"/>
      <c r="R3525" s="34"/>
    </row>
    <row r="3526" spans="13:18">
      <c r="M3526" s="34"/>
      <c r="N3526" s="34"/>
      <c r="O3526" s="34"/>
      <c r="P3526" s="34"/>
      <c r="Q3526" s="34"/>
      <c r="R3526" s="34"/>
    </row>
    <row r="3527" spans="13:18">
      <c r="M3527" s="34"/>
      <c r="N3527" s="34"/>
      <c r="O3527" s="34"/>
      <c r="P3527" s="34"/>
      <c r="Q3527" s="34"/>
      <c r="R3527" s="34"/>
    </row>
    <row r="3528" spans="13:18">
      <c r="M3528" s="34"/>
      <c r="N3528" s="34"/>
      <c r="O3528" s="34"/>
      <c r="P3528" s="34"/>
      <c r="Q3528" s="34"/>
      <c r="R3528" s="34"/>
    </row>
    <row r="3529" spans="13:18">
      <c r="M3529" s="34"/>
      <c r="N3529" s="34"/>
      <c r="O3529" s="34"/>
      <c r="P3529" s="34"/>
      <c r="Q3529" s="34"/>
      <c r="R3529" s="34"/>
    </row>
    <row r="3530" spans="13:18">
      <c r="M3530" s="34"/>
      <c r="N3530" s="34"/>
      <c r="O3530" s="34"/>
      <c r="P3530" s="34"/>
      <c r="Q3530" s="34"/>
      <c r="R3530" s="34"/>
    </row>
    <row r="3531" spans="13:18">
      <c r="M3531" s="34"/>
      <c r="N3531" s="34"/>
      <c r="O3531" s="34"/>
      <c r="P3531" s="34"/>
      <c r="Q3531" s="34"/>
      <c r="R3531" s="34"/>
    </row>
    <row r="3532" spans="13:18">
      <c r="M3532" s="34"/>
      <c r="N3532" s="34"/>
      <c r="O3532" s="34"/>
      <c r="P3532" s="34"/>
      <c r="Q3532" s="34"/>
      <c r="R3532" s="34"/>
    </row>
    <row r="3533" spans="13:18">
      <c r="M3533" s="34"/>
      <c r="N3533" s="34"/>
      <c r="O3533" s="34"/>
      <c r="P3533" s="34"/>
      <c r="Q3533" s="34"/>
      <c r="R3533" s="34"/>
    </row>
    <row r="3534" spans="13:18">
      <c r="M3534" s="34"/>
      <c r="N3534" s="34"/>
      <c r="O3534" s="34"/>
      <c r="P3534" s="34"/>
      <c r="Q3534" s="34"/>
      <c r="R3534" s="34"/>
    </row>
    <row r="3535" spans="13:18">
      <c r="M3535" s="34"/>
      <c r="N3535" s="34"/>
      <c r="O3535" s="34"/>
      <c r="P3535" s="34"/>
      <c r="Q3535" s="34"/>
      <c r="R3535" s="34"/>
    </row>
    <row r="3536" spans="13:18">
      <c r="M3536" s="34"/>
      <c r="N3536" s="34"/>
      <c r="O3536" s="34"/>
      <c r="P3536" s="34"/>
      <c r="Q3536" s="34"/>
      <c r="R3536" s="34"/>
    </row>
    <row r="3537" spans="13:18">
      <c r="M3537" s="34"/>
      <c r="N3537" s="34"/>
      <c r="O3537" s="34"/>
      <c r="P3537" s="34"/>
      <c r="Q3537" s="34"/>
      <c r="R3537" s="34"/>
    </row>
    <row r="3538" spans="13:18">
      <c r="M3538" s="34"/>
      <c r="N3538" s="34"/>
      <c r="O3538" s="34"/>
      <c r="P3538" s="34"/>
      <c r="Q3538" s="34"/>
      <c r="R3538" s="34"/>
    </row>
    <row r="3539" spans="13:18">
      <c r="M3539" s="34"/>
      <c r="N3539" s="34"/>
      <c r="O3539" s="34"/>
      <c r="P3539" s="34"/>
      <c r="Q3539" s="34"/>
      <c r="R3539" s="34"/>
    </row>
    <row r="3540" spans="13:18">
      <c r="M3540" s="34"/>
      <c r="N3540" s="34"/>
      <c r="O3540" s="34"/>
      <c r="P3540" s="34"/>
      <c r="Q3540" s="34"/>
      <c r="R3540" s="34"/>
    </row>
    <row r="3541" spans="13:18">
      <c r="M3541" s="34"/>
      <c r="N3541" s="34"/>
      <c r="O3541" s="34"/>
      <c r="P3541" s="34"/>
      <c r="Q3541" s="34"/>
      <c r="R3541" s="34"/>
    </row>
    <row r="3542" spans="13:18">
      <c r="M3542" s="34"/>
      <c r="N3542" s="34"/>
      <c r="O3542" s="34"/>
      <c r="P3542" s="34"/>
      <c r="Q3542" s="34"/>
      <c r="R3542" s="34"/>
    </row>
    <row r="3543" spans="13:18">
      <c r="M3543" s="34"/>
      <c r="N3543" s="34"/>
      <c r="O3543" s="34"/>
      <c r="P3543" s="34"/>
      <c r="Q3543" s="34"/>
      <c r="R3543" s="34"/>
    </row>
    <row r="3544" spans="13:18">
      <c r="M3544" s="34"/>
      <c r="N3544" s="34"/>
      <c r="O3544" s="34"/>
      <c r="P3544" s="34"/>
      <c r="Q3544" s="34"/>
      <c r="R3544" s="34"/>
    </row>
    <row r="3545" spans="13:18">
      <c r="M3545" s="34"/>
      <c r="N3545" s="34"/>
      <c r="O3545" s="34"/>
      <c r="P3545" s="34"/>
      <c r="Q3545" s="34"/>
      <c r="R3545" s="34"/>
    </row>
    <row r="3546" spans="13:18">
      <c r="M3546" s="34"/>
      <c r="N3546" s="34"/>
      <c r="O3546" s="34"/>
      <c r="P3546" s="34"/>
      <c r="Q3546" s="34"/>
      <c r="R3546" s="34"/>
    </row>
    <row r="3547" spans="13:18">
      <c r="M3547" s="34"/>
      <c r="N3547" s="34"/>
      <c r="O3547" s="34"/>
      <c r="P3547" s="34"/>
      <c r="Q3547" s="34"/>
      <c r="R3547" s="34"/>
    </row>
    <row r="3548" spans="13:18">
      <c r="M3548" s="34"/>
      <c r="N3548" s="34"/>
      <c r="O3548" s="34"/>
      <c r="P3548" s="34"/>
      <c r="Q3548" s="34"/>
      <c r="R3548" s="34"/>
    </row>
    <row r="3549" spans="13:18">
      <c r="M3549" s="34"/>
      <c r="N3549" s="34"/>
      <c r="O3549" s="34"/>
      <c r="P3549" s="34"/>
      <c r="Q3549" s="34"/>
      <c r="R3549" s="34"/>
    </row>
    <row r="3550" spans="13:18">
      <c r="M3550" s="34"/>
      <c r="N3550" s="34"/>
      <c r="O3550" s="34"/>
      <c r="P3550" s="34"/>
      <c r="Q3550" s="34"/>
      <c r="R3550" s="34"/>
    </row>
    <row r="3551" spans="13:18">
      <c r="M3551" s="34"/>
      <c r="N3551" s="34"/>
      <c r="O3551" s="34"/>
      <c r="P3551" s="34"/>
      <c r="Q3551" s="34"/>
      <c r="R3551" s="34"/>
    </row>
    <row r="3552" spans="13:18">
      <c r="M3552" s="34"/>
      <c r="N3552" s="34"/>
      <c r="O3552" s="34"/>
      <c r="P3552" s="34"/>
      <c r="Q3552" s="34"/>
      <c r="R3552" s="34"/>
    </row>
    <row r="3553" spans="13:18">
      <c r="M3553" s="34"/>
      <c r="N3553" s="34"/>
      <c r="O3553" s="34"/>
      <c r="P3553" s="34"/>
      <c r="Q3553" s="34"/>
      <c r="R3553" s="34"/>
    </row>
    <row r="3554" spans="13:18">
      <c r="M3554" s="34"/>
      <c r="N3554" s="34"/>
      <c r="O3554" s="34"/>
      <c r="P3554" s="34"/>
      <c r="Q3554" s="34"/>
      <c r="R3554" s="34"/>
    </row>
    <row r="3555" spans="13:18">
      <c r="M3555" s="34"/>
      <c r="N3555" s="34"/>
      <c r="O3555" s="34"/>
      <c r="P3555" s="34"/>
      <c r="Q3555" s="34"/>
      <c r="R3555" s="34"/>
    </row>
    <row r="3556" spans="13:18">
      <c r="M3556" s="34"/>
      <c r="N3556" s="34"/>
      <c r="O3556" s="34"/>
      <c r="P3556" s="34"/>
      <c r="Q3556" s="34"/>
      <c r="R3556" s="34"/>
    </row>
    <row r="3557" spans="13:18">
      <c r="M3557" s="34"/>
      <c r="N3557" s="34"/>
      <c r="O3557" s="34"/>
      <c r="P3557" s="34"/>
      <c r="Q3557" s="34"/>
      <c r="R3557" s="34"/>
    </row>
    <row r="3558" spans="13:18">
      <c r="M3558" s="34"/>
      <c r="N3558" s="34"/>
      <c r="O3558" s="34"/>
      <c r="P3558" s="34"/>
      <c r="Q3558" s="34"/>
      <c r="R3558" s="34"/>
    </row>
    <row r="3559" spans="13:18">
      <c r="M3559" s="34"/>
      <c r="N3559" s="34"/>
      <c r="O3559" s="34"/>
      <c r="P3559" s="34"/>
      <c r="Q3559" s="34"/>
      <c r="R3559" s="34"/>
    </row>
    <row r="3560" spans="13:18">
      <c r="M3560" s="34"/>
      <c r="N3560" s="34"/>
      <c r="O3560" s="34"/>
      <c r="P3560" s="34"/>
      <c r="Q3560" s="34"/>
      <c r="R3560" s="34"/>
    </row>
    <row r="3561" spans="13:18">
      <c r="M3561" s="34"/>
      <c r="N3561" s="34"/>
      <c r="O3561" s="34"/>
      <c r="P3561" s="34"/>
      <c r="Q3561" s="34"/>
      <c r="R3561" s="34"/>
    </row>
    <row r="3562" spans="13:18">
      <c r="M3562" s="34"/>
      <c r="N3562" s="34"/>
      <c r="O3562" s="34"/>
      <c r="P3562" s="34"/>
      <c r="Q3562" s="34"/>
      <c r="R3562" s="34"/>
    </row>
    <row r="3563" spans="13:18">
      <c r="M3563" s="34"/>
      <c r="N3563" s="34"/>
      <c r="O3563" s="34"/>
      <c r="P3563" s="34"/>
      <c r="Q3563" s="34"/>
      <c r="R3563" s="34"/>
    </row>
    <row r="3564" spans="13:18">
      <c r="M3564" s="34"/>
      <c r="N3564" s="34"/>
      <c r="O3564" s="34"/>
      <c r="P3564" s="34"/>
      <c r="Q3564" s="34"/>
      <c r="R3564" s="34"/>
    </row>
    <row r="3565" spans="13:18">
      <c r="M3565" s="34"/>
      <c r="N3565" s="34"/>
      <c r="O3565" s="34"/>
      <c r="P3565" s="34"/>
      <c r="Q3565" s="34"/>
      <c r="R3565" s="34"/>
    </row>
    <row r="3566" spans="13:18">
      <c r="M3566" s="34"/>
      <c r="N3566" s="34"/>
      <c r="O3566" s="34"/>
      <c r="P3566" s="34"/>
      <c r="Q3566" s="34"/>
      <c r="R3566" s="34"/>
    </row>
    <row r="3567" spans="13:18">
      <c r="M3567" s="34"/>
      <c r="N3567" s="34"/>
      <c r="O3567" s="34"/>
      <c r="P3567" s="34"/>
      <c r="Q3567" s="34"/>
      <c r="R3567" s="34"/>
    </row>
    <row r="3568" spans="13:18">
      <c r="M3568" s="34"/>
      <c r="N3568" s="34"/>
      <c r="O3568" s="34"/>
      <c r="P3568" s="34"/>
      <c r="Q3568" s="34"/>
      <c r="R3568" s="34"/>
    </row>
    <row r="3569" spans="13:18">
      <c r="M3569" s="34"/>
      <c r="N3569" s="34"/>
      <c r="O3569" s="34"/>
      <c r="P3569" s="34"/>
      <c r="Q3569" s="34"/>
      <c r="R3569" s="34"/>
    </row>
    <row r="3570" spans="13:18">
      <c r="M3570" s="34"/>
      <c r="N3570" s="34"/>
      <c r="O3570" s="34"/>
      <c r="P3570" s="34"/>
      <c r="Q3570" s="34"/>
      <c r="R3570" s="34"/>
    </row>
    <row r="3571" spans="13:18">
      <c r="M3571" s="34"/>
      <c r="N3571" s="34"/>
      <c r="O3571" s="34"/>
      <c r="P3571" s="34"/>
      <c r="Q3571" s="34"/>
      <c r="R3571" s="34"/>
    </row>
    <row r="3572" spans="13:18">
      <c r="M3572" s="34"/>
      <c r="N3572" s="34"/>
      <c r="O3572" s="34"/>
      <c r="P3572" s="34"/>
      <c r="Q3572" s="34"/>
      <c r="R3572" s="34"/>
    </row>
    <row r="3573" spans="13:18">
      <c r="M3573" s="34"/>
      <c r="N3573" s="34"/>
      <c r="O3573" s="34"/>
      <c r="P3573" s="34"/>
      <c r="Q3573" s="34"/>
      <c r="R3573" s="34"/>
    </row>
    <row r="3574" spans="13:18">
      <c r="M3574" s="34"/>
      <c r="N3574" s="34"/>
      <c r="O3574" s="34"/>
      <c r="P3574" s="34"/>
      <c r="Q3574" s="34"/>
      <c r="R3574" s="34"/>
    </row>
    <row r="3575" spans="13:18">
      <c r="M3575" s="34"/>
      <c r="N3575" s="34"/>
      <c r="O3575" s="34"/>
      <c r="P3575" s="34"/>
      <c r="Q3575" s="34"/>
      <c r="R3575" s="34"/>
    </row>
    <row r="3576" spans="13:18">
      <c r="M3576" s="34"/>
      <c r="N3576" s="34"/>
      <c r="O3576" s="34"/>
      <c r="P3576" s="34"/>
      <c r="Q3576" s="34"/>
      <c r="R3576" s="34"/>
    </row>
    <row r="3577" spans="13:18">
      <c r="M3577" s="34"/>
      <c r="N3577" s="34"/>
      <c r="O3577" s="34"/>
      <c r="P3577" s="34"/>
      <c r="Q3577" s="34"/>
      <c r="R3577" s="34"/>
    </row>
    <row r="3578" spans="13:18">
      <c r="M3578" s="34"/>
      <c r="N3578" s="34"/>
      <c r="O3578" s="34"/>
      <c r="P3578" s="34"/>
      <c r="Q3578" s="34"/>
      <c r="R3578" s="34"/>
    </row>
    <row r="3579" spans="13:18">
      <c r="M3579" s="34"/>
      <c r="N3579" s="34"/>
      <c r="O3579" s="34"/>
      <c r="P3579" s="34"/>
      <c r="Q3579" s="34"/>
      <c r="R3579" s="34"/>
    </row>
    <row r="3580" spans="13:18">
      <c r="M3580" s="34"/>
      <c r="N3580" s="34"/>
      <c r="O3580" s="34"/>
      <c r="P3580" s="34"/>
      <c r="Q3580" s="34"/>
      <c r="R3580" s="34"/>
    </row>
    <row r="3581" spans="13:18">
      <c r="M3581" s="34"/>
      <c r="N3581" s="34"/>
      <c r="O3581" s="34"/>
      <c r="P3581" s="34"/>
      <c r="Q3581" s="34"/>
      <c r="R3581" s="34"/>
    </row>
    <row r="3582" spans="13:18">
      <c r="M3582" s="34"/>
      <c r="N3582" s="34"/>
      <c r="O3582" s="34"/>
      <c r="P3582" s="34"/>
      <c r="Q3582" s="34"/>
      <c r="R3582" s="34"/>
    </row>
    <row r="3583" spans="13:18">
      <c r="M3583" s="34"/>
      <c r="N3583" s="34"/>
      <c r="O3583" s="34"/>
      <c r="P3583" s="34"/>
      <c r="Q3583" s="34"/>
      <c r="R3583" s="34"/>
    </row>
    <row r="3584" spans="13:18">
      <c r="M3584" s="34"/>
      <c r="N3584" s="34"/>
      <c r="O3584" s="34"/>
      <c r="P3584" s="34"/>
      <c r="Q3584" s="34"/>
      <c r="R3584" s="34"/>
    </row>
    <row r="3585" spans="13:18">
      <c r="M3585" s="34"/>
      <c r="N3585" s="34"/>
      <c r="O3585" s="34"/>
      <c r="P3585" s="34"/>
      <c r="Q3585" s="34"/>
      <c r="R3585" s="34"/>
    </row>
    <row r="3586" spans="13:18">
      <c r="M3586" s="34"/>
      <c r="N3586" s="34"/>
      <c r="O3586" s="34"/>
      <c r="P3586" s="34"/>
      <c r="Q3586" s="34"/>
      <c r="R3586" s="34"/>
    </row>
    <row r="3587" spans="13:18">
      <c r="M3587" s="34"/>
      <c r="N3587" s="34"/>
      <c r="O3587" s="34"/>
      <c r="P3587" s="34"/>
      <c r="Q3587" s="34"/>
      <c r="R3587" s="34"/>
    </row>
    <row r="3588" spans="13:18">
      <c r="M3588" s="34"/>
      <c r="N3588" s="34"/>
      <c r="O3588" s="34"/>
      <c r="P3588" s="34"/>
      <c r="Q3588" s="34"/>
      <c r="R3588" s="34"/>
    </row>
    <row r="3589" spans="13:18">
      <c r="M3589" s="34"/>
      <c r="N3589" s="34"/>
      <c r="O3589" s="34"/>
      <c r="P3589" s="34"/>
      <c r="Q3589" s="34"/>
      <c r="R3589" s="34"/>
    </row>
    <row r="3590" spans="13:18">
      <c r="M3590" s="34"/>
      <c r="N3590" s="34"/>
      <c r="O3590" s="34"/>
      <c r="P3590" s="34"/>
      <c r="Q3590" s="34"/>
      <c r="R3590" s="34"/>
    </row>
    <row r="3591" spans="13:18">
      <c r="M3591" s="34"/>
      <c r="N3591" s="34"/>
      <c r="O3591" s="34"/>
      <c r="P3591" s="34"/>
      <c r="Q3591" s="34"/>
      <c r="R3591" s="34"/>
    </row>
    <row r="3592" spans="13:18">
      <c r="M3592" s="34"/>
      <c r="N3592" s="34"/>
      <c r="O3592" s="34"/>
      <c r="P3592" s="34"/>
      <c r="Q3592" s="34"/>
      <c r="R3592" s="34"/>
    </row>
    <row r="3593" spans="13:18">
      <c r="M3593" s="34"/>
      <c r="N3593" s="34"/>
      <c r="O3593" s="34"/>
      <c r="P3593" s="34"/>
      <c r="Q3593" s="34"/>
      <c r="R3593" s="34"/>
    </row>
    <row r="3594" spans="13:18">
      <c r="M3594" s="34"/>
      <c r="N3594" s="34"/>
      <c r="O3594" s="34"/>
      <c r="P3594" s="34"/>
      <c r="Q3594" s="34"/>
      <c r="R3594" s="34"/>
    </row>
    <row r="3595" spans="13:18">
      <c r="M3595" s="34"/>
      <c r="N3595" s="34"/>
      <c r="O3595" s="34"/>
      <c r="P3595" s="34"/>
      <c r="Q3595" s="34"/>
      <c r="R3595" s="34"/>
    </row>
    <row r="3596" spans="13:18">
      <c r="M3596" s="34"/>
      <c r="N3596" s="34"/>
      <c r="O3596" s="34"/>
      <c r="P3596" s="34"/>
      <c r="Q3596" s="34"/>
      <c r="R3596" s="34"/>
    </row>
    <row r="3597" spans="13:18">
      <c r="M3597" s="34"/>
      <c r="N3597" s="34"/>
      <c r="O3597" s="34"/>
      <c r="P3597" s="34"/>
      <c r="Q3597" s="34"/>
      <c r="R3597" s="34"/>
    </row>
    <row r="3598" spans="13:18">
      <c r="M3598" s="34"/>
      <c r="N3598" s="34"/>
      <c r="O3598" s="34"/>
      <c r="P3598" s="34"/>
      <c r="Q3598" s="34"/>
      <c r="R3598" s="34"/>
    </row>
    <row r="3599" spans="13:18">
      <c r="M3599" s="34"/>
      <c r="N3599" s="34"/>
      <c r="O3599" s="34"/>
      <c r="P3599" s="34"/>
      <c r="Q3599" s="34"/>
      <c r="R3599" s="34"/>
    </row>
    <row r="3600" spans="13:18">
      <c r="M3600" s="34"/>
      <c r="N3600" s="34"/>
      <c r="O3600" s="34"/>
      <c r="P3600" s="34"/>
      <c r="Q3600" s="34"/>
      <c r="R3600" s="34"/>
    </row>
    <row r="3601" spans="13:18">
      <c r="M3601" s="34"/>
      <c r="N3601" s="34"/>
      <c r="O3601" s="34"/>
      <c r="P3601" s="34"/>
      <c r="Q3601" s="34"/>
      <c r="R3601" s="34"/>
    </row>
    <row r="3602" spans="13:18">
      <c r="M3602" s="34"/>
      <c r="N3602" s="34"/>
      <c r="O3602" s="34"/>
      <c r="P3602" s="34"/>
      <c r="Q3602" s="34"/>
      <c r="R3602" s="34"/>
    </row>
    <row r="3603" spans="13:18">
      <c r="M3603" s="34"/>
      <c r="N3603" s="34"/>
      <c r="O3603" s="34"/>
      <c r="P3603" s="34"/>
      <c r="Q3603" s="34"/>
      <c r="R3603" s="34"/>
    </row>
    <row r="3604" spans="13:18">
      <c r="M3604" s="34"/>
      <c r="N3604" s="34"/>
      <c r="O3604" s="34"/>
      <c r="P3604" s="34"/>
      <c r="Q3604" s="34"/>
      <c r="R3604" s="34"/>
    </row>
    <row r="3605" spans="13:18">
      <c r="M3605" s="34"/>
      <c r="N3605" s="34"/>
      <c r="O3605" s="34"/>
      <c r="P3605" s="34"/>
      <c r="Q3605" s="34"/>
      <c r="R3605" s="34"/>
    </row>
    <row r="3606" spans="13:18">
      <c r="M3606" s="34"/>
      <c r="N3606" s="34"/>
      <c r="O3606" s="34"/>
      <c r="P3606" s="34"/>
      <c r="Q3606" s="34"/>
      <c r="R3606" s="34"/>
    </row>
    <row r="3607" spans="13:18">
      <c r="M3607" s="34"/>
      <c r="N3607" s="34"/>
      <c r="O3607" s="34"/>
      <c r="P3607" s="34"/>
      <c r="Q3607" s="34"/>
      <c r="R3607" s="34"/>
    </row>
    <row r="3608" spans="13:18">
      <c r="M3608" s="34"/>
      <c r="N3608" s="34"/>
      <c r="O3608" s="34"/>
      <c r="P3608" s="34"/>
      <c r="Q3608" s="34"/>
      <c r="R3608" s="34"/>
    </row>
    <row r="3609" spans="13:18">
      <c r="M3609" s="34"/>
      <c r="N3609" s="34"/>
      <c r="O3609" s="34"/>
      <c r="P3609" s="34"/>
      <c r="Q3609" s="34"/>
      <c r="R3609" s="34"/>
    </row>
    <row r="3610" spans="13:18">
      <c r="M3610" s="34"/>
      <c r="N3610" s="34"/>
      <c r="O3610" s="34"/>
      <c r="P3610" s="34"/>
      <c r="Q3610" s="34"/>
      <c r="R3610" s="34"/>
    </row>
    <row r="3611" spans="13:18">
      <c r="M3611" s="34"/>
      <c r="N3611" s="34"/>
      <c r="O3611" s="34"/>
      <c r="P3611" s="34"/>
      <c r="Q3611" s="34"/>
      <c r="R3611" s="34"/>
    </row>
    <row r="3612" spans="13:18">
      <c r="M3612" s="34"/>
      <c r="N3612" s="34"/>
      <c r="O3612" s="34"/>
      <c r="P3612" s="34"/>
      <c r="Q3612" s="34"/>
      <c r="R3612" s="34"/>
    </row>
    <row r="3613" spans="13:18">
      <c r="M3613" s="34"/>
      <c r="N3613" s="34"/>
      <c r="O3613" s="34"/>
      <c r="P3613" s="34"/>
      <c r="Q3613" s="34"/>
      <c r="R3613" s="34"/>
    </row>
    <row r="3614" spans="13:18">
      <c r="M3614" s="34"/>
      <c r="N3614" s="34"/>
      <c r="O3614" s="34"/>
      <c r="P3614" s="34"/>
      <c r="Q3614" s="34"/>
      <c r="R3614" s="34"/>
    </row>
    <row r="3615" spans="13:18">
      <c r="M3615" s="34"/>
      <c r="N3615" s="34"/>
      <c r="O3615" s="34"/>
      <c r="P3615" s="34"/>
      <c r="Q3615" s="34"/>
      <c r="R3615" s="34"/>
    </row>
    <row r="3616" spans="13:18">
      <c r="M3616" s="34"/>
      <c r="N3616" s="34"/>
      <c r="O3616" s="34"/>
      <c r="P3616" s="34"/>
      <c r="Q3616" s="34"/>
      <c r="R3616" s="34"/>
    </row>
    <row r="3617" spans="13:18">
      <c r="M3617" s="34"/>
      <c r="N3617" s="34"/>
      <c r="O3617" s="34"/>
      <c r="P3617" s="34"/>
      <c r="Q3617" s="34"/>
      <c r="R3617" s="34"/>
    </row>
    <row r="3618" spans="13:18">
      <c r="M3618" s="34"/>
      <c r="N3618" s="34"/>
      <c r="O3618" s="34"/>
      <c r="P3618" s="34"/>
      <c r="Q3618" s="34"/>
      <c r="R3618" s="34"/>
    </row>
    <row r="3619" spans="13:18">
      <c r="M3619" s="34"/>
      <c r="N3619" s="34"/>
      <c r="O3619" s="34"/>
      <c r="P3619" s="34"/>
      <c r="Q3619" s="34"/>
      <c r="R3619" s="34"/>
    </row>
    <row r="3620" spans="13:18">
      <c r="M3620" s="34"/>
      <c r="N3620" s="34"/>
      <c r="O3620" s="34"/>
      <c r="P3620" s="34"/>
      <c r="Q3620" s="34"/>
      <c r="R3620" s="34"/>
    </row>
    <row r="3621" spans="13:18">
      <c r="M3621" s="34"/>
      <c r="N3621" s="34"/>
      <c r="O3621" s="34"/>
      <c r="P3621" s="34"/>
      <c r="Q3621" s="34"/>
      <c r="R3621" s="34"/>
    </row>
    <row r="3622" spans="13:18">
      <c r="M3622" s="34"/>
      <c r="N3622" s="34"/>
      <c r="O3622" s="34"/>
      <c r="P3622" s="34"/>
      <c r="Q3622" s="34"/>
      <c r="R3622" s="34"/>
    </row>
    <row r="3623" spans="13:18">
      <c r="M3623" s="34"/>
      <c r="N3623" s="34"/>
      <c r="O3623" s="34"/>
      <c r="P3623" s="34"/>
      <c r="Q3623" s="34"/>
      <c r="R3623" s="34"/>
    </row>
    <row r="3624" spans="13:18">
      <c r="M3624" s="34"/>
      <c r="N3624" s="34"/>
      <c r="O3624" s="34"/>
      <c r="P3624" s="34"/>
      <c r="Q3624" s="34"/>
      <c r="R3624" s="34"/>
    </row>
    <row r="3625" spans="13:18">
      <c r="M3625" s="34"/>
      <c r="N3625" s="34"/>
      <c r="O3625" s="34"/>
      <c r="P3625" s="34"/>
      <c r="Q3625" s="34"/>
      <c r="R3625" s="34"/>
    </row>
    <row r="3626" spans="13:18">
      <c r="M3626" s="34"/>
      <c r="N3626" s="34"/>
      <c r="O3626" s="34"/>
      <c r="P3626" s="34"/>
      <c r="Q3626" s="34"/>
      <c r="R3626" s="34"/>
    </row>
    <row r="3627" spans="13:18">
      <c r="M3627" s="34"/>
      <c r="N3627" s="34"/>
      <c r="O3627" s="34"/>
      <c r="P3627" s="34"/>
      <c r="Q3627" s="34"/>
      <c r="R3627" s="34"/>
    </row>
    <row r="3628" spans="13:18">
      <c r="M3628" s="34"/>
      <c r="N3628" s="34"/>
      <c r="O3628" s="34"/>
      <c r="P3628" s="34"/>
      <c r="Q3628" s="34"/>
      <c r="R3628" s="34"/>
    </row>
    <row r="3629" spans="13:18">
      <c r="M3629" s="34"/>
      <c r="N3629" s="34"/>
      <c r="O3629" s="34"/>
      <c r="P3629" s="34"/>
      <c r="Q3629" s="34"/>
      <c r="R3629" s="34"/>
    </row>
    <row r="3630" spans="13:18">
      <c r="M3630" s="34"/>
      <c r="N3630" s="34"/>
      <c r="O3630" s="34"/>
      <c r="P3630" s="34"/>
      <c r="Q3630" s="34"/>
      <c r="R3630" s="34"/>
    </row>
    <row r="3631" spans="13:18">
      <c r="M3631" s="34"/>
      <c r="N3631" s="34"/>
      <c r="O3631" s="34"/>
      <c r="P3631" s="34"/>
      <c r="Q3631" s="34"/>
      <c r="R3631" s="34"/>
    </row>
    <row r="3632" spans="13:18">
      <c r="M3632" s="34"/>
      <c r="N3632" s="34"/>
      <c r="O3632" s="34"/>
      <c r="P3632" s="34"/>
      <c r="Q3632" s="34"/>
      <c r="R3632" s="34"/>
    </row>
    <row r="3633" spans="13:18">
      <c r="M3633" s="34"/>
      <c r="N3633" s="34"/>
      <c r="O3633" s="34"/>
      <c r="P3633" s="34"/>
      <c r="Q3633" s="34"/>
      <c r="R3633" s="34"/>
    </row>
    <row r="3634" spans="13:18">
      <c r="M3634" s="34"/>
      <c r="N3634" s="34"/>
      <c r="O3634" s="34"/>
      <c r="P3634" s="34"/>
      <c r="Q3634" s="34"/>
      <c r="R3634" s="34"/>
    </row>
    <row r="3635" spans="13:18">
      <c r="M3635" s="34"/>
      <c r="N3635" s="34"/>
      <c r="O3635" s="34"/>
      <c r="P3635" s="34"/>
      <c r="Q3635" s="34"/>
      <c r="R3635" s="34"/>
    </row>
    <row r="3636" spans="13:18">
      <c r="M3636" s="34"/>
      <c r="N3636" s="34"/>
      <c r="O3636" s="34"/>
      <c r="P3636" s="34"/>
      <c r="Q3636" s="34"/>
      <c r="R3636" s="34"/>
    </row>
    <row r="3637" spans="13:18">
      <c r="M3637" s="34"/>
      <c r="N3637" s="34"/>
      <c r="O3637" s="34"/>
      <c r="P3637" s="34"/>
      <c r="Q3637" s="34"/>
      <c r="R3637" s="34"/>
    </row>
    <row r="3638" spans="13:18">
      <c r="M3638" s="34"/>
      <c r="N3638" s="34"/>
      <c r="O3638" s="34"/>
      <c r="P3638" s="34"/>
      <c r="Q3638" s="34"/>
      <c r="R3638" s="34"/>
    </row>
    <row r="3639" spans="13:18">
      <c r="M3639" s="34"/>
      <c r="N3639" s="34"/>
      <c r="O3639" s="34"/>
      <c r="P3639" s="34"/>
      <c r="Q3639" s="34"/>
      <c r="R3639" s="34"/>
    </row>
    <row r="3640" spans="13:18">
      <c r="M3640" s="34"/>
      <c r="N3640" s="34"/>
      <c r="O3640" s="34"/>
      <c r="P3640" s="34"/>
      <c r="Q3640" s="34"/>
      <c r="R3640" s="34"/>
    </row>
    <row r="3641" spans="13:18">
      <c r="M3641" s="34"/>
      <c r="N3641" s="34"/>
      <c r="O3641" s="34"/>
      <c r="P3641" s="34"/>
      <c r="Q3641" s="34"/>
      <c r="R3641" s="34"/>
    </row>
    <row r="3642" spans="13:18">
      <c r="M3642" s="34"/>
      <c r="N3642" s="34"/>
      <c r="O3642" s="34"/>
      <c r="P3642" s="34"/>
      <c r="Q3642" s="34"/>
      <c r="R3642" s="34"/>
    </row>
    <row r="3643" spans="13:18">
      <c r="M3643" s="34"/>
      <c r="N3643" s="34"/>
      <c r="O3643" s="34"/>
      <c r="P3643" s="34"/>
      <c r="Q3643" s="34"/>
      <c r="R3643" s="34"/>
    </row>
    <row r="3644" spans="13:18">
      <c r="M3644" s="34"/>
      <c r="N3644" s="34"/>
      <c r="O3644" s="34"/>
      <c r="P3644" s="34"/>
      <c r="Q3644" s="34"/>
      <c r="R3644" s="34"/>
    </row>
    <row r="3645" spans="13:18">
      <c r="M3645" s="34"/>
      <c r="N3645" s="34"/>
      <c r="O3645" s="34"/>
      <c r="P3645" s="34"/>
      <c r="Q3645" s="34"/>
      <c r="R3645" s="34"/>
    </row>
    <row r="3646" spans="13:18">
      <c r="M3646" s="34"/>
      <c r="N3646" s="34"/>
      <c r="O3646" s="34"/>
      <c r="P3646" s="34"/>
      <c r="Q3646" s="34"/>
      <c r="R3646" s="34"/>
    </row>
    <row r="3647" spans="13:18">
      <c r="M3647" s="34"/>
      <c r="N3647" s="34"/>
      <c r="O3647" s="34"/>
      <c r="P3647" s="34"/>
      <c r="Q3647" s="34"/>
      <c r="R3647" s="34"/>
    </row>
    <row r="3648" spans="13:18">
      <c r="M3648" s="34"/>
      <c r="N3648" s="34"/>
      <c r="O3648" s="34"/>
      <c r="P3648" s="34"/>
      <c r="Q3648" s="34"/>
      <c r="R3648" s="34"/>
    </row>
    <row r="3649" spans="13:18">
      <c r="M3649" s="34"/>
      <c r="N3649" s="34"/>
      <c r="O3649" s="34"/>
      <c r="P3649" s="34"/>
      <c r="Q3649" s="34"/>
      <c r="R3649" s="34"/>
    </row>
    <row r="3650" spans="13:18">
      <c r="M3650" s="34"/>
      <c r="N3650" s="34"/>
      <c r="O3650" s="34"/>
      <c r="P3650" s="34"/>
      <c r="Q3650" s="34"/>
      <c r="R3650" s="34"/>
    </row>
    <row r="3651" spans="13:18">
      <c r="M3651" s="34"/>
      <c r="N3651" s="34"/>
      <c r="O3651" s="34"/>
      <c r="P3651" s="34"/>
      <c r="Q3651" s="34"/>
      <c r="R3651" s="34"/>
    </row>
    <row r="3652" spans="13:18">
      <c r="M3652" s="34"/>
      <c r="N3652" s="34"/>
      <c r="O3652" s="34"/>
      <c r="P3652" s="34"/>
      <c r="Q3652" s="34"/>
      <c r="R3652" s="34"/>
    </row>
    <row r="3653" spans="13:18">
      <c r="M3653" s="34"/>
      <c r="N3653" s="34"/>
      <c r="O3653" s="34"/>
      <c r="P3653" s="34"/>
      <c r="Q3653" s="34"/>
      <c r="R3653" s="34"/>
    </row>
    <row r="3654" spans="13:18">
      <c r="M3654" s="34"/>
      <c r="N3654" s="34"/>
      <c r="O3654" s="34"/>
      <c r="P3654" s="34"/>
      <c r="Q3654" s="34"/>
      <c r="R3654" s="34"/>
    </row>
    <row r="3655" spans="13:18">
      <c r="M3655" s="34"/>
      <c r="N3655" s="34"/>
      <c r="O3655" s="34"/>
      <c r="P3655" s="34"/>
      <c r="Q3655" s="34"/>
      <c r="R3655" s="34"/>
    </row>
    <row r="3656" spans="13:18">
      <c r="M3656" s="34"/>
      <c r="N3656" s="34"/>
      <c r="O3656" s="34"/>
      <c r="P3656" s="34"/>
      <c r="Q3656" s="34"/>
      <c r="R3656" s="34"/>
    </row>
    <row r="3657" spans="13:18">
      <c r="M3657" s="34"/>
      <c r="N3657" s="34"/>
      <c r="O3657" s="34"/>
      <c r="P3657" s="34"/>
      <c r="Q3657" s="34"/>
      <c r="R3657" s="34"/>
    </row>
    <row r="3658" spans="13:18">
      <c r="M3658" s="34"/>
      <c r="N3658" s="34"/>
      <c r="O3658" s="34"/>
      <c r="P3658" s="34"/>
      <c r="Q3658" s="34"/>
      <c r="R3658" s="34"/>
    </row>
    <row r="3659" spans="13:18">
      <c r="M3659" s="34"/>
      <c r="N3659" s="34"/>
      <c r="O3659" s="34"/>
      <c r="P3659" s="34"/>
      <c r="Q3659" s="34"/>
      <c r="R3659" s="34"/>
    </row>
    <row r="3660" spans="13:18">
      <c r="M3660" s="34"/>
      <c r="N3660" s="34"/>
      <c r="O3660" s="34"/>
      <c r="P3660" s="34"/>
      <c r="Q3660" s="34"/>
      <c r="R3660" s="34"/>
    </row>
    <row r="3661" spans="13:18">
      <c r="M3661" s="34"/>
      <c r="N3661" s="34"/>
      <c r="O3661" s="34"/>
      <c r="P3661" s="34"/>
      <c r="Q3661" s="34"/>
      <c r="R3661" s="34"/>
    </row>
    <row r="3662" spans="13:18">
      <c r="M3662" s="34"/>
      <c r="N3662" s="34"/>
      <c r="O3662" s="34"/>
      <c r="P3662" s="34"/>
      <c r="Q3662" s="34"/>
      <c r="R3662" s="34"/>
    </row>
    <row r="3663" spans="13:18">
      <c r="M3663" s="34"/>
      <c r="N3663" s="34"/>
      <c r="O3663" s="34"/>
      <c r="P3663" s="34"/>
      <c r="Q3663" s="34"/>
      <c r="R3663" s="34"/>
    </row>
    <row r="3664" spans="13:18">
      <c r="M3664" s="34"/>
      <c r="N3664" s="34"/>
      <c r="O3664" s="34"/>
      <c r="P3664" s="34"/>
      <c r="Q3664" s="34"/>
      <c r="R3664" s="34"/>
    </row>
    <row r="3665" spans="13:18">
      <c r="M3665" s="34"/>
      <c r="N3665" s="34"/>
      <c r="O3665" s="34"/>
      <c r="P3665" s="34"/>
      <c r="Q3665" s="34"/>
      <c r="R3665" s="34"/>
    </row>
    <row r="3666" spans="13:18">
      <c r="M3666" s="34"/>
      <c r="N3666" s="34"/>
      <c r="O3666" s="34"/>
      <c r="P3666" s="34"/>
      <c r="Q3666" s="34"/>
      <c r="R3666" s="34"/>
    </row>
    <row r="3667" spans="13:18">
      <c r="M3667" s="34"/>
      <c r="N3667" s="34"/>
      <c r="O3667" s="34"/>
      <c r="P3667" s="34"/>
      <c r="Q3667" s="34"/>
      <c r="R3667" s="34"/>
    </row>
    <row r="3668" spans="13:18">
      <c r="M3668" s="34"/>
      <c r="N3668" s="34"/>
      <c r="O3668" s="34"/>
      <c r="P3668" s="34"/>
      <c r="Q3668" s="34"/>
      <c r="R3668" s="34"/>
    </row>
    <row r="3669" spans="13:18">
      <c r="M3669" s="34"/>
      <c r="N3669" s="34"/>
      <c r="O3669" s="34"/>
      <c r="P3669" s="34"/>
      <c r="Q3669" s="34"/>
      <c r="R3669" s="34"/>
    </row>
    <row r="3670" spans="13:18">
      <c r="M3670" s="34"/>
      <c r="N3670" s="34"/>
      <c r="O3670" s="34"/>
      <c r="P3670" s="34"/>
      <c r="Q3670" s="34"/>
      <c r="R3670" s="34"/>
    </row>
    <row r="3671" spans="13:18">
      <c r="M3671" s="34"/>
      <c r="N3671" s="34"/>
      <c r="O3671" s="34"/>
      <c r="P3671" s="34"/>
      <c r="Q3671" s="34"/>
      <c r="R3671" s="34"/>
    </row>
    <row r="3672" spans="13:18">
      <c r="M3672" s="34"/>
      <c r="N3672" s="34"/>
      <c r="O3672" s="34"/>
      <c r="P3672" s="34"/>
      <c r="Q3672" s="34"/>
      <c r="R3672" s="34"/>
    </row>
    <row r="3673" spans="13:18">
      <c r="M3673" s="34"/>
      <c r="N3673" s="34"/>
      <c r="O3673" s="34"/>
      <c r="P3673" s="34"/>
      <c r="Q3673" s="34"/>
      <c r="R3673" s="34"/>
    </row>
    <row r="3674" spans="13:18">
      <c r="M3674" s="34"/>
      <c r="N3674" s="34"/>
      <c r="O3674" s="34"/>
      <c r="P3674" s="34"/>
      <c r="Q3674" s="34"/>
      <c r="R3674" s="34"/>
    </row>
    <row r="3675" spans="13:18">
      <c r="M3675" s="34"/>
      <c r="N3675" s="34"/>
      <c r="O3675" s="34"/>
      <c r="P3675" s="34"/>
      <c r="Q3675" s="34"/>
      <c r="R3675" s="34"/>
    </row>
    <row r="3676" spans="13:18">
      <c r="M3676" s="34"/>
      <c r="N3676" s="34"/>
      <c r="O3676" s="34"/>
      <c r="P3676" s="34"/>
      <c r="Q3676" s="34"/>
      <c r="R3676" s="34"/>
    </row>
    <row r="3677" spans="13:18">
      <c r="M3677" s="34"/>
      <c r="N3677" s="34"/>
      <c r="O3677" s="34"/>
      <c r="P3677" s="34"/>
      <c r="Q3677" s="34"/>
      <c r="R3677" s="34"/>
    </row>
    <row r="3678" spans="13:18">
      <c r="M3678" s="34"/>
      <c r="N3678" s="34"/>
      <c r="O3678" s="34"/>
      <c r="P3678" s="34"/>
      <c r="Q3678" s="34"/>
      <c r="R3678" s="34"/>
    </row>
    <row r="3679" spans="13:18">
      <c r="M3679" s="34"/>
      <c r="N3679" s="34"/>
      <c r="O3679" s="34"/>
      <c r="P3679" s="34"/>
      <c r="Q3679" s="34"/>
      <c r="R3679" s="34"/>
    </row>
    <row r="3680" spans="13:18">
      <c r="M3680" s="34"/>
      <c r="N3680" s="34"/>
      <c r="O3680" s="34"/>
      <c r="P3680" s="34"/>
      <c r="Q3680" s="34"/>
      <c r="R3680" s="34"/>
    </row>
    <row r="3681" spans="13:18">
      <c r="M3681" s="34"/>
      <c r="N3681" s="34"/>
      <c r="O3681" s="34"/>
      <c r="P3681" s="34"/>
      <c r="Q3681" s="34"/>
      <c r="R3681" s="34"/>
    </row>
    <row r="3682" spans="13:18">
      <c r="M3682" s="34"/>
      <c r="N3682" s="34"/>
      <c r="O3682" s="34"/>
      <c r="P3682" s="34"/>
      <c r="Q3682" s="34"/>
      <c r="R3682" s="34"/>
    </row>
    <row r="3683" spans="13:18">
      <c r="M3683" s="34"/>
      <c r="N3683" s="34"/>
      <c r="O3683" s="34"/>
      <c r="P3683" s="34"/>
      <c r="Q3683" s="34"/>
      <c r="R3683" s="34"/>
    </row>
    <row r="3684" spans="13:18">
      <c r="M3684" s="34"/>
      <c r="N3684" s="34"/>
      <c r="O3684" s="34"/>
      <c r="P3684" s="34"/>
      <c r="Q3684" s="34"/>
      <c r="R3684" s="34"/>
    </row>
    <row r="3685" spans="13:18">
      <c r="M3685" s="34"/>
      <c r="N3685" s="34"/>
      <c r="O3685" s="34"/>
      <c r="P3685" s="34"/>
      <c r="Q3685" s="34"/>
      <c r="R3685" s="34"/>
    </row>
    <row r="3686" spans="13:18">
      <c r="M3686" s="34"/>
      <c r="N3686" s="34"/>
      <c r="O3686" s="34"/>
      <c r="P3686" s="34"/>
      <c r="Q3686" s="34"/>
      <c r="R3686" s="34"/>
    </row>
    <row r="3687" spans="13:18">
      <c r="M3687" s="34"/>
      <c r="N3687" s="34"/>
      <c r="O3687" s="34"/>
      <c r="P3687" s="34"/>
      <c r="Q3687" s="34"/>
      <c r="R3687" s="34"/>
    </row>
    <row r="3688" spans="13:18">
      <c r="M3688" s="34"/>
      <c r="N3688" s="34"/>
      <c r="O3688" s="34"/>
      <c r="P3688" s="34"/>
      <c r="Q3688" s="34"/>
      <c r="R3688" s="34"/>
    </row>
    <row r="3689" spans="13:18">
      <c r="M3689" s="34"/>
      <c r="N3689" s="34"/>
      <c r="O3689" s="34"/>
      <c r="P3689" s="34"/>
      <c r="Q3689" s="34"/>
      <c r="R3689" s="34"/>
    </row>
    <row r="3690" spans="13:18">
      <c r="M3690" s="34"/>
      <c r="N3690" s="34"/>
      <c r="O3690" s="34"/>
      <c r="P3690" s="34"/>
      <c r="Q3690" s="34"/>
      <c r="R3690" s="34"/>
    </row>
    <row r="3691" spans="13:18">
      <c r="M3691" s="34"/>
      <c r="N3691" s="34"/>
      <c r="O3691" s="34"/>
      <c r="P3691" s="34"/>
      <c r="Q3691" s="34"/>
      <c r="R3691" s="34"/>
    </row>
    <row r="3692" spans="13:18">
      <c r="M3692" s="34"/>
      <c r="N3692" s="34"/>
      <c r="O3692" s="34"/>
      <c r="P3692" s="34"/>
      <c r="Q3692" s="34"/>
      <c r="R3692" s="34"/>
    </row>
    <row r="3693" spans="13:18">
      <c r="M3693" s="34"/>
      <c r="N3693" s="34"/>
      <c r="O3693" s="34"/>
      <c r="P3693" s="34"/>
      <c r="Q3693" s="34"/>
      <c r="R3693" s="34"/>
    </row>
    <row r="3694" spans="13:18">
      <c r="M3694" s="34"/>
      <c r="N3694" s="34"/>
      <c r="O3694" s="34"/>
      <c r="P3694" s="34"/>
      <c r="Q3694" s="34"/>
      <c r="R3694" s="34"/>
    </row>
    <row r="3695" spans="13:18">
      <c r="M3695" s="34"/>
      <c r="N3695" s="34"/>
      <c r="O3695" s="34"/>
      <c r="P3695" s="34"/>
      <c r="Q3695" s="34"/>
      <c r="R3695" s="34"/>
    </row>
    <row r="3696" spans="13:18">
      <c r="M3696" s="34"/>
      <c r="N3696" s="34"/>
      <c r="O3696" s="34"/>
      <c r="P3696" s="34"/>
      <c r="Q3696" s="34"/>
      <c r="R3696" s="34"/>
    </row>
    <row r="3697" spans="13:18">
      <c r="M3697" s="34"/>
      <c r="N3697" s="34"/>
      <c r="O3697" s="34"/>
      <c r="P3697" s="34"/>
      <c r="Q3697" s="34"/>
      <c r="R3697" s="34"/>
    </row>
    <row r="3698" spans="13:18">
      <c r="M3698" s="34"/>
      <c r="N3698" s="34"/>
      <c r="O3698" s="34"/>
      <c r="P3698" s="34"/>
      <c r="Q3698" s="34"/>
      <c r="R3698" s="34"/>
    </row>
    <row r="3699" spans="13:18">
      <c r="M3699" s="34"/>
      <c r="N3699" s="34"/>
      <c r="O3699" s="34"/>
      <c r="P3699" s="34"/>
      <c r="Q3699" s="34"/>
      <c r="R3699" s="34"/>
    </row>
    <row r="3700" spans="13:18">
      <c r="M3700" s="34"/>
      <c r="N3700" s="34"/>
      <c r="O3700" s="34"/>
      <c r="P3700" s="34"/>
      <c r="Q3700" s="34"/>
      <c r="R3700" s="34"/>
    </row>
    <row r="3701" spans="13:18">
      <c r="M3701" s="34"/>
      <c r="N3701" s="34"/>
      <c r="O3701" s="34"/>
      <c r="P3701" s="34"/>
      <c r="Q3701" s="34"/>
      <c r="R3701" s="34"/>
    </row>
    <row r="3702" spans="13:18">
      <c r="M3702" s="34"/>
      <c r="N3702" s="34"/>
      <c r="O3702" s="34"/>
      <c r="P3702" s="34"/>
      <c r="Q3702" s="34"/>
      <c r="R3702" s="34"/>
    </row>
    <row r="3703" spans="13:18">
      <c r="M3703" s="34"/>
      <c r="N3703" s="34"/>
      <c r="O3703" s="34"/>
      <c r="P3703" s="34"/>
      <c r="Q3703" s="34"/>
      <c r="R3703" s="34"/>
    </row>
    <row r="3704" spans="13:18">
      <c r="M3704" s="34"/>
      <c r="N3704" s="34"/>
      <c r="O3704" s="34"/>
      <c r="P3704" s="34"/>
      <c r="Q3704" s="34"/>
      <c r="R3704" s="34"/>
    </row>
    <row r="3705" spans="13:18">
      <c r="M3705" s="34"/>
      <c r="N3705" s="34"/>
      <c r="O3705" s="34"/>
      <c r="P3705" s="34"/>
      <c r="Q3705" s="34"/>
      <c r="R3705" s="34"/>
    </row>
    <row r="3706" spans="13:18">
      <c r="M3706" s="34"/>
      <c r="N3706" s="34"/>
      <c r="O3706" s="34"/>
      <c r="P3706" s="34"/>
      <c r="Q3706" s="34"/>
      <c r="R3706" s="34"/>
    </row>
    <row r="3707" spans="13:18">
      <c r="M3707" s="34"/>
      <c r="N3707" s="34"/>
      <c r="O3707" s="34"/>
      <c r="P3707" s="34"/>
      <c r="Q3707" s="34"/>
      <c r="R3707" s="34"/>
    </row>
    <row r="3708" spans="13:18">
      <c r="M3708" s="34"/>
      <c r="N3708" s="34"/>
      <c r="O3708" s="34"/>
      <c r="P3708" s="34"/>
      <c r="Q3708" s="34"/>
      <c r="R3708" s="34"/>
    </row>
    <row r="3709" spans="13:18">
      <c r="M3709" s="34"/>
      <c r="N3709" s="34"/>
      <c r="O3709" s="34"/>
      <c r="P3709" s="34"/>
      <c r="Q3709" s="34"/>
      <c r="R3709" s="34"/>
    </row>
    <row r="3710" spans="13:18">
      <c r="M3710" s="34"/>
      <c r="N3710" s="34"/>
      <c r="O3710" s="34"/>
      <c r="P3710" s="34"/>
      <c r="Q3710" s="34"/>
      <c r="R3710" s="34"/>
    </row>
    <row r="3711" spans="13:18">
      <c r="M3711" s="34"/>
      <c r="N3711" s="34"/>
      <c r="O3711" s="34"/>
      <c r="P3711" s="34"/>
      <c r="Q3711" s="34"/>
      <c r="R3711" s="34"/>
    </row>
    <row r="3712" spans="13:18">
      <c r="M3712" s="34"/>
      <c r="N3712" s="34"/>
      <c r="O3712" s="34"/>
      <c r="P3712" s="34"/>
      <c r="Q3712" s="34"/>
      <c r="R3712" s="34"/>
    </row>
    <row r="3713" spans="13:18">
      <c r="M3713" s="34"/>
      <c r="N3713" s="34"/>
      <c r="O3713" s="34"/>
      <c r="P3713" s="34"/>
      <c r="Q3713" s="34"/>
      <c r="R3713" s="34"/>
    </row>
    <row r="3714" spans="13:18">
      <c r="M3714" s="34"/>
      <c r="N3714" s="34"/>
      <c r="O3714" s="34"/>
      <c r="P3714" s="34"/>
      <c r="Q3714" s="34"/>
      <c r="R3714" s="34"/>
    </row>
    <row r="3715" spans="13:18">
      <c r="M3715" s="34"/>
      <c r="N3715" s="34"/>
      <c r="O3715" s="34"/>
      <c r="P3715" s="34"/>
      <c r="Q3715" s="34"/>
      <c r="R3715" s="34"/>
    </row>
    <row r="3716" spans="13:18">
      <c r="M3716" s="34"/>
      <c r="N3716" s="34"/>
      <c r="O3716" s="34"/>
      <c r="P3716" s="34"/>
      <c r="Q3716" s="34"/>
      <c r="R3716" s="34"/>
    </row>
    <row r="3717" spans="13:18">
      <c r="M3717" s="34"/>
      <c r="N3717" s="34"/>
      <c r="O3717" s="34"/>
      <c r="P3717" s="34"/>
      <c r="Q3717" s="34"/>
      <c r="R3717" s="34"/>
    </row>
    <row r="3718" spans="13:18">
      <c r="M3718" s="34"/>
      <c r="N3718" s="34"/>
      <c r="O3718" s="34"/>
      <c r="P3718" s="34"/>
      <c r="Q3718" s="34"/>
      <c r="R3718" s="34"/>
    </row>
    <row r="3719" spans="13:18">
      <c r="M3719" s="34"/>
      <c r="N3719" s="34"/>
      <c r="O3719" s="34"/>
      <c r="P3719" s="34"/>
      <c r="Q3719" s="34"/>
      <c r="R3719" s="34"/>
    </row>
    <row r="3720" spans="13:18">
      <c r="M3720" s="34"/>
      <c r="N3720" s="34"/>
      <c r="O3720" s="34"/>
      <c r="P3720" s="34"/>
      <c r="Q3720" s="34"/>
      <c r="R3720" s="34"/>
    </row>
    <row r="3721" spans="13:18">
      <c r="M3721" s="34"/>
      <c r="N3721" s="34"/>
      <c r="O3721" s="34"/>
      <c r="P3721" s="34"/>
      <c r="Q3721" s="34"/>
      <c r="R3721" s="34"/>
    </row>
    <row r="3722" spans="13:18">
      <c r="M3722" s="34"/>
      <c r="N3722" s="34"/>
      <c r="O3722" s="34"/>
      <c r="P3722" s="34"/>
      <c r="Q3722" s="34"/>
      <c r="R3722" s="34"/>
    </row>
    <row r="3723" spans="13:18">
      <c r="M3723" s="34"/>
      <c r="N3723" s="34"/>
      <c r="O3723" s="34"/>
      <c r="P3723" s="34"/>
      <c r="Q3723" s="34"/>
      <c r="R3723" s="34"/>
    </row>
    <row r="3724" spans="13:18">
      <c r="M3724" s="34"/>
      <c r="N3724" s="34"/>
      <c r="O3724" s="34"/>
      <c r="P3724" s="34"/>
      <c r="Q3724" s="34"/>
      <c r="R3724" s="34"/>
    </row>
    <row r="3725" spans="13:18">
      <c r="M3725" s="34"/>
      <c r="N3725" s="34"/>
      <c r="O3725" s="34"/>
      <c r="P3725" s="34"/>
      <c r="Q3725" s="34"/>
      <c r="R3725" s="34"/>
    </row>
    <row r="3726" spans="13:18">
      <c r="M3726" s="34"/>
      <c r="N3726" s="34"/>
      <c r="O3726" s="34"/>
      <c r="P3726" s="34"/>
      <c r="Q3726" s="34"/>
      <c r="R3726" s="34"/>
    </row>
    <row r="3727" spans="13:18">
      <c r="M3727" s="34"/>
      <c r="N3727" s="34"/>
      <c r="O3727" s="34"/>
      <c r="P3727" s="34"/>
      <c r="Q3727" s="34"/>
      <c r="R3727" s="34"/>
    </row>
    <row r="3728" spans="13:18">
      <c r="M3728" s="34"/>
      <c r="N3728" s="34"/>
      <c r="O3728" s="34"/>
      <c r="P3728" s="34"/>
      <c r="Q3728" s="34"/>
      <c r="R3728" s="34"/>
    </row>
    <row r="3729" spans="13:18">
      <c r="M3729" s="34"/>
      <c r="N3729" s="34"/>
      <c r="O3729" s="34"/>
      <c r="P3729" s="34"/>
      <c r="Q3729" s="34"/>
      <c r="R3729" s="34"/>
    </row>
    <row r="3730" spans="13:18">
      <c r="M3730" s="34"/>
      <c r="N3730" s="34"/>
      <c r="O3730" s="34"/>
      <c r="P3730" s="34"/>
      <c r="Q3730" s="34"/>
      <c r="R3730" s="34"/>
    </row>
    <row r="3731" spans="13:18">
      <c r="M3731" s="34"/>
      <c r="N3731" s="34"/>
      <c r="O3731" s="34"/>
      <c r="P3731" s="34"/>
      <c r="Q3731" s="34"/>
      <c r="R3731" s="34"/>
    </row>
    <row r="3732" spans="13:18">
      <c r="M3732" s="34"/>
      <c r="N3732" s="34"/>
      <c r="O3732" s="34"/>
      <c r="P3732" s="34"/>
      <c r="Q3732" s="34"/>
      <c r="R3732" s="34"/>
    </row>
    <row r="3733" spans="13:18">
      <c r="M3733" s="34"/>
      <c r="N3733" s="34"/>
      <c r="O3733" s="34"/>
      <c r="P3733" s="34"/>
      <c r="Q3733" s="34"/>
      <c r="R3733" s="34"/>
    </row>
    <row r="3734" spans="13:18">
      <c r="M3734" s="34"/>
      <c r="N3734" s="34"/>
      <c r="O3734" s="34"/>
      <c r="P3734" s="34"/>
      <c r="Q3734" s="34"/>
      <c r="R3734" s="34"/>
    </row>
    <row r="3735" spans="13:18">
      <c r="M3735" s="34"/>
      <c r="N3735" s="34"/>
      <c r="O3735" s="34"/>
      <c r="P3735" s="34"/>
      <c r="Q3735" s="34"/>
      <c r="R3735" s="34"/>
    </row>
    <row r="3736" spans="13:18">
      <c r="M3736" s="34"/>
      <c r="N3736" s="34"/>
      <c r="O3736" s="34"/>
      <c r="P3736" s="34"/>
      <c r="Q3736" s="34"/>
      <c r="R3736" s="34"/>
    </row>
    <row r="3737" spans="13:18">
      <c r="M3737" s="34"/>
      <c r="N3737" s="34"/>
      <c r="O3737" s="34"/>
      <c r="P3737" s="34"/>
      <c r="Q3737" s="34"/>
      <c r="R3737" s="34"/>
    </row>
    <row r="3738" spans="13:18">
      <c r="M3738" s="34"/>
      <c r="N3738" s="34"/>
      <c r="O3738" s="34"/>
      <c r="P3738" s="34"/>
      <c r="Q3738" s="34"/>
      <c r="R3738" s="34"/>
    </row>
    <row r="3739" spans="13:18">
      <c r="M3739" s="34"/>
      <c r="N3739" s="34"/>
      <c r="O3739" s="34"/>
      <c r="P3739" s="34"/>
      <c r="Q3739" s="34"/>
      <c r="R3739" s="34"/>
    </row>
    <row r="3740" spans="13:18">
      <c r="M3740" s="34"/>
      <c r="N3740" s="34"/>
      <c r="O3740" s="34"/>
      <c r="P3740" s="34"/>
      <c r="Q3740" s="34"/>
      <c r="R3740" s="34"/>
    </row>
    <row r="3741" spans="13:18">
      <c r="M3741" s="34"/>
      <c r="N3741" s="34"/>
      <c r="O3741" s="34"/>
      <c r="P3741" s="34"/>
      <c r="Q3741" s="34"/>
      <c r="R3741" s="34"/>
    </row>
    <row r="3742" spans="13:18">
      <c r="M3742" s="34"/>
      <c r="N3742" s="34"/>
      <c r="O3742" s="34"/>
      <c r="P3742" s="34"/>
      <c r="Q3742" s="34"/>
      <c r="R3742" s="34"/>
    </row>
    <row r="3743" spans="13:18">
      <c r="M3743" s="34"/>
      <c r="N3743" s="34"/>
      <c r="O3743" s="34"/>
      <c r="P3743" s="34"/>
      <c r="Q3743" s="34"/>
      <c r="R3743" s="34"/>
    </row>
    <row r="3744" spans="13:18">
      <c r="M3744" s="34"/>
      <c r="N3744" s="34"/>
      <c r="O3744" s="34"/>
      <c r="P3744" s="34"/>
      <c r="Q3744" s="34"/>
      <c r="R3744" s="34"/>
    </row>
    <row r="3745" spans="13:18">
      <c r="M3745" s="34"/>
      <c r="N3745" s="34"/>
      <c r="O3745" s="34"/>
      <c r="P3745" s="34"/>
      <c r="Q3745" s="34"/>
      <c r="R3745" s="34"/>
    </row>
    <row r="3746" spans="13:18">
      <c r="M3746" s="34"/>
      <c r="N3746" s="34"/>
      <c r="O3746" s="34"/>
      <c r="P3746" s="34"/>
      <c r="Q3746" s="34"/>
      <c r="R3746" s="34"/>
    </row>
    <row r="3747" spans="13:18">
      <c r="M3747" s="34"/>
      <c r="N3747" s="34"/>
      <c r="O3747" s="34"/>
      <c r="P3747" s="34"/>
      <c r="Q3747" s="34"/>
      <c r="R3747" s="34"/>
    </row>
    <row r="3748" spans="13:18">
      <c r="M3748" s="34"/>
      <c r="N3748" s="34"/>
      <c r="O3748" s="34"/>
      <c r="P3748" s="34"/>
      <c r="Q3748" s="34"/>
      <c r="R3748" s="34"/>
    </row>
    <row r="3749" spans="13:18">
      <c r="M3749" s="34"/>
      <c r="N3749" s="34"/>
      <c r="O3749" s="34"/>
      <c r="P3749" s="34"/>
      <c r="Q3749" s="34"/>
      <c r="R3749" s="34"/>
    </row>
    <row r="3750" spans="13:18">
      <c r="M3750" s="34"/>
      <c r="N3750" s="34"/>
      <c r="O3750" s="34"/>
      <c r="P3750" s="34"/>
      <c r="Q3750" s="34"/>
      <c r="R3750" s="34"/>
    </row>
    <row r="3751" spans="13:18">
      <c r="M3751" s="34"/>
      <c r="N3751" s="34"/>
      <c r="O3751" s="34"/>
      <c r="P3751" s="34"/>
      <c r="Q3751" s="34"/>
      <c r="R3751" s="34"/>
    </row>
    <row r="3752" spans="13:18">
      <c r="M3752" s="34"/>
      <c r="N3752" s="34"/>
      <c r="O3752" s="34"/>
      <c r="P3752" s="34"/>
      <c r="Q3752" s="34"/>
      <c r="R3752" s="34"/>
    </row>
    <row r="3753" spans="13:18">
      <c r="M3753" s="34"/>
      <c r="N3753" s="34"/>
      <c r="O3753" s="34"/>
      <c r="P3753" s="34"/>
      <c r="Q3753" s="34"/>
      <c r="R3753" s="34"/>
    </row>
    <row r="3754" spans="13:18">
      <c r="M3754" s="34"/>
      <c r="N3754" s="34"/>
      <c r="O3754" s="34"/>
      <c r="P3754" s="34"/>
      <c r="Q3754" s="34"/>
      <c r="R3754" s="34"/>
    </row>
    <row r="3755" spans="13:18">
      <c r="M3755" s="34"/>
      <c r="N3755" s="34"/>
      <c r="O3755" s="34"/>
      <c r="P3755" s="34"/>
      <c r="Q3755" s="34"/>
      <c r="R3755" s="34"/>
    </row>
    <row r="3756" spans="13:18">
      <c r="M3756" s="34"/>
      <c r="N3756" s="34"/>
      <c r="O3756" s="34"/>
      <c r="P3756" s="34"/>
      <c r="Q3756" s="34"/>
      <c r="R3756" s="34"/>
    </row>
    <row r="3757" spans="13:18">
      <c r="M3757" s="34"/>
      <c r="N3757" s="34"/>
      <c r="O3757" s="34"/>
      <c r="P3757" s="34"/>
      <c r="Q3757" s="34"/>
      <c r="R3757" s="34"/>
    </row>
    <row r="3758" spans="13:18">
      <c r="M3758" s="34"/>
      <c r="N3758" s="34"/>
      <c r="O3758" s="34"/>
      <c r="P3758" s="34"/>
      <c r="Q3758" s="34"/>
      <c r="R3758" s="34"/>
    </row>
    <row r="3759" spans="13:18">
      <c r="M3759" s="34"/>
      <c r="N3759" s="34"/>
      <c r="O3759" s="34"/>
      <c r="P3759" s="34"/>
      <c r="Q3759" s="34"/>
      <c r="R3759" s="34"/>
    </row>
    <row r="3760" spans="13:18">
      <c r="M3760" s="34"/>
      <c r="N3760" s="34"/>
      <c r="O3760" s="34"/>
      <c r="P3760" s="34"/>
      <c r="Q3760" s="34"/>
      <c r="R3760" s="34"/>
    </row>
    <row r="3761" spans="13:18">
      <c r="M3761" s="34"/>
      <c r="N3761" s="34"/>
      <c r="O3761" s="34"/>
      <c r="P3761" s="34"/>
      <c r="Q3761" s="34"/>
      <c r="R3761" s="34"/>
    </row>
    <row r="3762" spans="13:18">
      <c r="M3762" s="34"/>
      <c r="N3762" s="34"/>
      <c r="O3762" s="34"/>
      <c r="P3762" s="34"/>
      <c r="Q3762" s="34"/>
      <c r="R3762" s="34"/>
    </row>
    <row r="3763" spans="13:18">
      <c r="M3763" s="34"/>
      <c r="N3763" s="34"/>
      <c r="O3763" s="34"/>
      <c r="P3763" s="34"/>
      <c r="Q3763" s="34"/>
      <c r="R3763" s="34"/>
    </row>
    <row r="3764" spans="13:18">
      <c r="M3764" s="34"/>
      <c r="N3764" s="34"/>
      <c r="O3764" s="34"/>
      <c r="P3764" s="34"/>
      <c r="Q3764" s="34"/>
      <c r="R3764" s="34"/>
    </row>
    <row r="3765" spans="13:18">
      <c r="M3765" s="34"/>
      <c r="N3765" s="34"/>
      <c r="O3765" s="34"/>
      <c r="P3765" s="34"/>
      <c r="Q3765" s="34"/>
      <c r="R3765" s="34"/>
    </row>
    <row r="3766" spans="13:18">
      <c r="M3766" s="34"/>
      <c r="N3766" s="34"/>
      <c r="O3766" s="34"/>
      <c r="P3766" s="34"/>
      <c r="Q3766" s="34"/>
      <c r="R3766" s="34"/>
    </row>
    <row r="3767" spans="13:18">
      <c r="M3767" s="34"/>
      <c r="N3767" s="34"/>
      <c r="O3767" s="34"/>
      <c r="P3767" s="34"/>
      <c r="Q3767" s="34"/>
      <c r="R3767" s="34"/>
    </row>
    <row r="3768" spans="13:18">
      <c r="M3768" s="34"/>
      <c r="N3768" s="34"/>
      <c r="O3768" s="34"/>
      <c r="P3768" s="34"/>
      <c r="Q3768" s="34"/>
      <c r="R3768" s="34"/>
    </row>
    <row r="3769" spans="13:18">
      <c r="M3769" s="34"/>
      <c r="N3769" s="34"/>
      <c r="O3769" s="34"/>
      <c r="P3769" s="34"/>
      <c r="Q3769" s="34"/>
      <c r="R3769" s="34"/>
    </row>
    <row r="3770" spans="13:18">
      <c r="M3770" s="34"/>
      <c r="N3770" s="34"/>
      <c r="O3770" s="34"/>
      <c r="P3770" s="34"/>
      <c r="Q3770" s="34"/>
      <c r="R3770" s="34"/>
    </row>
    <row r="3771" spans="13:18">
      <c r="M3771" s="34"/>
      <c r="N3771" s="34"/>
      <c r="O3771" s="34"/>
      <c r="P3771" s="34"/>
      <c r="Q3771" s="34"/>
      <c r="R3771" s="34"/>
    </row>
    <row r="3772" spans="13:18">
      <c r="M3772" s="34"/>
      <c r="N3772" s="34"/>
      <c r="O3772" s="34"/>
      <c r="P3772" s="34"/>
      <c r="Q3772" s="34"/>
      <c r="R3772" s="34"/>
    </row>
    <row r="3773" spans="13:18">
      <c r="M3773" s="34"/>
      <c r="N3773" s="34"/>
      <c r="O3773" s="34"/>
      <c r="P3773" s="34"/>
      <c r="Q3773" s="34"/>
      <c r="R3773" s="34"/>
    </row>
    <row r="3774" spans="13:18">
      <c r="M3774" s="34"/>
      <c r="N3774" s="34"/>
      <c r="O3774" s="34"/>
      <c r="P3774" s="34"/>
      <c r="Q3774" s="34"/>
      <c r="R3774" s="34"/>
    </row>
    <row r="3775" spans="13:18">
      <c r="M3775" s="34"/>
      <c r="N3775" s="34"/>
      <c r="O3775" s="34"/>
      <c r="P3775" s="34"/>
      <c r="Q3775" s="34"/>
      <c r="R3775" s="34"/>
    </row>
    <row r="3776" spans="13:18">
      <c r="M3776" s="34"/>
      <c r="N3776" s="34"/>
      <c r="O3776" s="34"/>
      <c r="P3776" s="34"/>
      <c r="Q3776" s="34"/>
      <c r="R3776" s="34"/>
    </row>
    <row r="3777" spans="13:18">
      <c r="M3777" s="34"/>
      <c r="N3777" s="34"/>
      <c r="O3777" s="34"/>
      <c r="P3777" s="34"/>
      <c r="Q3777" s="34"/>
      <c r="R3777" s="34"/>
    </row>
    <row r="3778" spans="13:18">
      <c r="M3778" s="34"/>
      <c r="N3778" s="34"/>
      <c r="O3778" s="34"/>
      <c r="P3778" s="34"/>
      <c r="Q3778" s="34"/>
      <c r="R3778" s="34"/>
    </row>
    <row r="3779" spans="13:18">
      <c r="M3779" s="34"/>
      <c r="N3779" s="34"/>
      <c r="O3779" s="34"/>
      <c r="P3779" s="34"/>
      <c r="Q3779" s="34"/>
      <c r="R3779" s="34"/>
    </row>
    <row r="3780" spans="13:18">
      <c r="M3780" s="34"/>
      <c r="N3780" s="34"/>
      <c r="O3780" s="34"/>
      <c r="P3780" s="34"/>
      <c r="Q3780" s="34"/>
      <c r="R3780" s="34"/>
    </row>
    <row r="3781" spans="13:18">
      <c r="M3781" s="34"/>
      <c r="N3781" s="34"/>
      <c r="O3781" s="34"/>
      <c r="P3781" s="34"/>
      <c r="Q3781" s="34"/>
      <c r="R3781" s="34"/>
    </row>
    <row r="3782" spans="13:18">
      <c r="M3782" s="34"/>
      <c r="N3782" s="34"/>
      <c r="O3782" s="34"/>
      <c r="P3782" s="34"/>
      <c r="Q3782" s="34"/>
      <c r="R3782" s="34"/>
    </row>
    <row r="3783" spans="13:18">
      <c r="M3783" s="34"/>
      <c r="N3783" s="34"/>
      <c r="O3783" s="34"/>
      <c r="P3783" s="34"/>
      <c r="Q3783" s="34"/>
      <c r="R3783" s="34"/>
    </row>
    <row r="3784" spans="13:18">
      <c r="M3784" s="34"/>
      <c r="N3784" s="34"/>
      <c r="O3784" s="34"/>
      <c r="P3784" s="34"/>
      <c r="Q3784" s="34"/>
      <c r="R3784" s="34"/>
    </row>
    <row r="3785" spans="13:18">
      <c r="M3785" s="34"/>
      <c r="N3785" s="34"/>
      <c r="O3785" s="34"/>
      <c r="P3785" s="34"/>
      <c r="Q3785" s="34"/>
      <c r="R3785" s="34"/>
    </row>
    <row r="3786" spans="13:18">
      <c r="M3786" s="34"/>
      <c r="N3786" s="34"/>
      <c r="O3786" s="34"/>
      <c r="P3786" s="34"/>
      <c r="Q3786" s="34"/>
      <c r="R3786" s="34"/>
    </row>
    <row r="3787" spans="13:18">
      <c r="M3787" s="34"/>
      <c r="N3787" s="34"/>
      <c r="O3787" s="34"/>
      <c r="P3787" s="34"/>
      <c r="Q3787" s="34"/>
      <c r="R3787" s="34"/>
    </row>
    <row r="3788" spans="13:18">
      <c r="M3788" s="34"/>
      <c r="N3788" s="34"/>
      <c r="O3788" s="34"/>
      <c r="P3788" s="34"/>
      <c r="Q3788" s="34"/>
      <c r="R3788" s="34"/>
    </row>
    <row r="3789" spans="13:18">
      <c r="M3789" s="34"/>
      <c r="N3789" s="34"/>
      <c r="O3789" s="34"/>
      <c r="P3789" s="34"/>
      <c r="Q3789" s="34"/>
      <c r="R3789" s="34"/>
    </row>
    <row r="3790" spans="13:18">
      <c r="M3790" s="34"/>
      <c r="N3790" s="34"/>
      <c r="O3790" s="34"/>
      <c r="P3790" s="34"/>
      <c r="Q3790" s="34"/>
      <c r="R3790" s="34"/>
    </row>
    <row r="3791" spans="13:18">
      <c r="M3791" s="34"/>
      <c r="N3791" s="34"/>
      <c r="O3791" s="34"/>
      <c r="P3791" s="34"/>
      <c r="Q3791" s="34"/>
      <c r="R3791" s="34"/>
    </row>
    <row r="3792" spans="13:18">
      <c r="M3792" s="34"/>
      <c r="N3792" s="34"/>
      <c r="O3792" s="34"/>
      <c r="P3792" s="34"/>
      <c r="Q3792" s="34"/>
      <c r="R3792" s="34"/>
    </row>
    <row r="3793" spans="13:18">
      <c r="M3793" s="34"/>
      <c r="N3793" s="34"/>
      <c r="O3793" s="34"/>
      <c r="P3793" s="34"/>
      <c r="Q3793" s="34"/>
      <c r="R3793" s="34"/>
    </row>
    <row r="3794" spans="13:18">
      <c r="M3794" s="34"/>
      <c r="N3794" s="34"/>
      <c r="O3794" s="34"/>
      <c r="P3794" s="34"/>
      <c r="Q3794" s="34"/>
      <c r="R3794" s="34"/>
    </row>
    <row r="3795" spans="13:18">
      <c r="M3795" s="34"/>
      <c r="N3795" s="34"/>
      <c r="O3795" s="34"/>
      <c r="P3795" s="34"/>
      <c r="Q3795" s="34"/>
      <c r="R3795" s="34"/>
    </row>
    <row r="3796" spans="13:18">
      <c r="M3796" s="34"/>
      <c r="N3796" s="34"/>
      <c r="O3796" s="34"/>
      <c r="P3796" s="34"/>
      <c r="Q3796" s="34"/>
      <c r="R3796" s="34"/>
    </row>
    <row r="3797" spans="13:18">
      <c r="M3797" s="34"/>
      <c r="N3797" s="34"/>
      <c r="O3797" s="34"/>
      <c r="P3797" s="34"/>
      <c r="Q3797" s="34"/>
      <c r="R3797" s="34"/>
    </row>
    <row r="3798" spans="13:18">
      <c r="M3798" s="34"/>
      <c r="N3798" s="34"/>
      <c r="O3798" s="34"/>
      <c r="P3798" s="34"/>
      <c r="Q3798" s="34"/>
      <c r="R3798" s="34"/>
    </row>
    <row r="3799" spans="13:18">
      <c r="M3799" s="34"/>
      <c r="N3799" s="34"/>
      <c r="O3799" s="34"/>
      <c r="P3799" s="34"/>
      <c r="Q3799" s="34"/>
      <c r="R3799" s="34"/>
    </row>
    <row r="3800" spans="13:18">
      <c r="M3800" s="34"/>
      <c r="N3800" s="34"/>
      <c r="O3800" s="34"/>
      <c r="P3800" s="34"/>
      <c r="Q3800" s="34"/>
      <c r="R3800" s="34"/>
    </row>
    <row r="3801" spans="13:18">
      <c r="M3801" s="34"/>
      <c r="N3801" s="34"/>
      <c r="O3801" s="34"/>
      <c r="P3801" s="34"/>
      <c r="Q3801" s="34"/>
      <c r="R3801" s="34"/>
    </row>
    <row r="3802" spans="13:18">
      <c r="M3802" s="34"/>
      <c r="N3802" s="34"/>
      <c r="O3802" s="34"/>
      <c r="P3802" s="34"/>
      <c r="Q3802" s="34"/>
      <c r="R3802" s="34"/>
    </row>
    <row r="3803" spans="13:18">
      <c r="M3803" s="34"/>
      <c r="N3803" s="34"/>
      <c r="O3803" s="34"/>
      <c r="P3803" s="34"/>
      <c r="Q3803" s="34"/>
      <c r="R3803" s="34"/>
    </row>
    <row r="3804" spans="13:18">
      <c r="M3804" s="34"/>
      <c r="N3804" s="34"/>
      <c r="O3804" s="34"/>
      <c r="P3804" s="34"/>
      <c r="Q3804" s="34"/>
      <c r="R3804" s="34"/>
    </row>
    <row r="3805" spans="13:18">
      <c r="M3805" s="34"/>
      <c r="N3805" s="34"/>
      <c r="O3805" s="34"/>
      <c r="P3805" s="34"/>
      <c r="Q3805" s="34"/>
      <c r="R3805" s="34"/>
    </row>
    <row r="3806" spans="13:18">
      <c r="M3806" s="34"/>
      <c r="N3806" s="34"/>
      <c r="O3806" s="34"/>
      <c r="P3806" s="34"/>
      <c r="Q3806" s="34"/>
      <c r="R3806" s="34"/>
    </row>
    <row r="3807" spans="13:18">
      <c r="M3807" s="34"/>
      <c r="N3807" s="34"/>
      <c r="O3807" s="34"/>
      <c r="P3807" s="34"/>
      <c r="Q3807" s="34"/>
      <c r="R3807" s="34"/>
    </row>
    <row r="3808" spans="13:18">
      <c r="M3808" s="34"/>
      <c r="N3808" s="34"/>
      <c r="O3808" s="34"/>
      <c r="P3808" s="34"/>
      <c r="Q3808" s="34"/>
      <c r="R3808" s="34"/>
    </row>
    <row r="3809" spans="13:18">
      <c r="M3809" s="34"/>
      <c r="N3809" s="34"/>
      <c r="O3809" s="34"/>
      <c r="P3809" s="34"/>
      <c r="Q3809" s="34"/>
      <c r="R3809" s="34"/>
    </row>
    <row r="3810" spans="13:18">
      <c r="M3810" s="34"/>
      <c r="N3810" s="34"/>
      <c r="O3810" s="34"/>
      <c r="P3810" s="34"/>
      <c r="Q3810" s="34"/>
      <c r="R3810" s="34"/>
    </row>
    <row r="3811" spans="13:18">
      <c r="M3811" s="34"/>
      <c r="N3811" s="34"/>
      <c r="O3811" s="34"/>
      <c r="P3811" s="34"/>
      <c r="Q3811" s="34"/>
      <c r="R3811" s="34"/>
    </row>
    <row r="3812" spans="13:18">
      <c r="M3812" s="34"/>
      <c r="N3812" s="34"/>
      <c r="O3812" s="34"/>
      <c r="P3812" s="34"/>
      <c r="Q3812" s="34"/>
      <c r="R3812" s="34"/>
    </row>
    <row r="3813" spans="13:18">
      <c r="M3813" s="34"/>
      <c r="N3813" s="34"/>
      <c r="O3813" s="34"/>
      <c r="P3813" s="34"/>
      <c r="Q3813" s="34"/>
      <c r="R3813" s="34"/>
    </row>
    <row r="3814" spans="13:18">
      <c r="M3814" s="34"/>
      <c r="N3814" s="34"/>
      <c r="O3814" s="34"/>
      <c r="P3814" s="34"/>
      <c r="Q3814" s="34"/>
      <c r="R3814" s="34"/>
    </row>
    <row r="3815" spans="13:18">
      <c r="M3815" s="34"/>
      <c r="N3815" s="34"/>
      <c r="O3815" s="34"/>
      <c r="P3815" s="34"/>
      <c r="Q3815" s="34"/>
      <c r="R3815" s="34"/>
    </row>
    <row r="3816" spans="13:18">
      <c r="M3816" s="34"/>
      <c r="N3816" s="34"/>
      <c r="O3816" s="34"/>
      <c r="P3816" s="34"/>
      <c r="Q3816" s="34"/>
      <c r="R3816" s="34"/>
    </row>
    <row r="3817" spans="13:18">
      <c r="M3817" s="34"/>
      <c r="N3817" s="34"/>
      <c r="O3817" s="34"/>
      <c r="P3817" s="34"/>
      <c r="Q3817" s="34"/>
      <c r="R3817" s="34"/>
    </row>
    <row r="3818" spans="13:18">
      <c r="M3818" s="34"/>
      <c r="N3818" s="34"/>
      <c r="O3818" s="34"/>
      <c r="P3818" s="34"/>
      <c r="Q3818" s="34"/>
      <c r="R3818" s="34"/>
    </row>
    <row r="3819" spans="13:18">
      <c r="M3819" s="34"/>
      <c r="N3819" s="34"/>
      <c r="O3819" s="34"/>
      <c r="P3819" s="34"/>
      <c r="Q3819" s="34"/>
      <c r="R3819" s="34"/>
    </row>
    <row r="3820" spans="13:18">
      <c r="M3820" s="34"/>
      <c r="N3820" s="34"/>
      <c r="O3820" s="34"/>
      <c r="P3820" s="34"/>
      <c r="Q3820" s="34"/>
      <c r="R3820" s="34"/>
    </row>
    <row r="3821" spans="13:18">
      <c r="M3821" s="34"/>
      <c r="N3821" s="34"/>
      <c r="O3821" s="34"/>
      <c r="P3821" s="34"/>
      <c r="Q3821" s="34"/>
      <c r="R3821" s="34"/>
    </row>
    <row r="3822" spans="13:18">
      <c r="M3822" s="34"/>
      <c r="N3822" s="34"/>
      <c r="O3822" s="34"/>
      <c r="P3822" s="34"/>
      <c r="Q3822" s="34"/>
      <c r="R3822" s="34"/>
    </row>
    <row r="3823" spans="13:18">
      <c r="M3823" s="34"/>
      <c r="N3823" s="34"/>
      <c r="O3823" s="34"/>
      <c r="P3823" s="34"/>
      <c r="Q3823" s="34"/>
      <c r="R3823" s="34"/>
    </row>
    <row r="3824" spans="13:18">
      <c r="M3824" s="34"/>
      <c r="N3824" s="34"/>
      <c r="O3824" s="34"/>
      <c r="P3824" s="34"/>
      <c r="Q3824" s="34"/>
      <c r="R3824" s="34"/>
    </row>
    <row r="3825" spans="13:18">
      <c r="M3825" s="34"/>
      <c r="N3825" s="34"/>
      <c r="O3825" s="34"/>
      <c r="P3825" s="34"/>
      <c r="Q3825" s="34"/>
      <c r="R3825" s="34"/>
    </row>
    <row r="3826" spans="13:18">
      <c r="M3826" s="34"/>
      <c r="N3826" s="34"/>
      <c r="O3826" s="34"/>
      <c r="P3826" s="34"/>
      <c r="Q3826" s="34"/>
      <c r="R3826" s="34"/>
    </row>
    <row r="3827" spans="13:18">
      <c r="M3827" s="34"/>
      <c r="N3827" s="34"/>
      <c r="O3827" s="34"/>
      <c r="P3827" s="34"/>
      <c r="Q3827" s="34"/>
      <c r="R3827" s="34"/>
    </row>
    <row r="3828" spans="13:18">
      <c r="M3828" s="34"/>
      <c r="N3828" s="34"/>
      <c r="O3828" s="34"/>
      <c r="P3828" s="34"/>
      <c r="Q3828" s="34"/>
      <c r="R3828" s="34"/>
    </row>
    <row r="3829" spans="13:18">
      <c r="M3829" s="34"/>
      <c r="N3829" s="34"/>
      <c r="O3829" s="34"/>
      <c r="P3829" s="34"/>
      <c r="Q3829" s="34"/>
      <c r="R3829" s="34"/>
    </row>
    <row r="3830" spans="13:18">
      <c r="M3830" s="34"/>
      <c r="N3830" s="34"/>
      <c r="O3830" s="34"/>
      <c r="P3830" s="34"/>
      <c r="Q3830" s="34"/>
      <c r="R3830" s="34"/>
    </row>
    <row r="3831" spans="13:18">
      <c r="M3831" s="34"/>
      <c r="N3831" s="34"/>
      <c r="O3831" s="34"/>
      <c r="P3831" s="34"/>
      <c r="Q3831" s="34"/>
      <c r="R3831" s="34"/>
    </row>
    <row r="3832" spans="13:18">
      <c r="M3832" s="34"/>
      <c r="N3832" s="34"/>
      <c r="O3832" s="34"/>
      <c r="P3832" s="34"/>
      <c r="Q3832" s="34"/>
      <c r="R3832" s="34"/>
    </row>
    <row r="3833" spans="13:18">
      <c r="M3833" s="34"/>
      <c r="N3833" s="34"/>
      <c r="O3833" s="34"/>
      <c r="P3833" s="34"/>
      <c r="Q3833" s="34"/>
      <c r="R3833" s="34"/>
    </row>
    <row r="3834" spans="13:18">
      <c r="M3834" s="34"/>
      <c r="N3834" s="34"/>
      <c r="O3834" s="34"/>
      <c r="P3834" s="34"/>
      <c r="Q3834" s="34"/>
      <c r="R3834" s="34"/>
    </row>
    <row r="3835" spans="13:18">
      <c r="M3835" s="34"/>
      <c r="N3835" s="34"/>
      <c r="O3835" s="34"/>
      <c r="P3835" s="34"/>
      <c r="Q3835" s="34"/>
      <c r="R3835" s="34"/>
    </row>
    <row r="3836" spans="13:18">
      <c r="M3836" s="34"/>
      <c r="N3836" s="34"/>
      <c r="O3836" s="34"/>
      <c r="P3836" s="34"/>
      <c r="Q3836" s="34"/>
      <c r="R3836" s="34"/>
    </row>
    <row r="3837" spans="13:18">
      <c r="M3837" s="34"/>
      <c r="N3837" s="34"/>
      <c r="O3837" s="34"/>
      <c r="P3837" s="34"/>
      <c r="Q3837" s="34"/>
      <c r="R3837" s="34"/>
    </row>
    <row r="3838" spans="13:18">
      <c r="M3838" s="34"/>
      <c r="N3838" s="34"/>
      <c r="O3838" s="34"/>
      <c r="P3838" s="34"/>
      <c r="Q3838" s="34"/>
      <c r="R3838" s="34"/>
    </row>
    <row r="3839" spans="13:18">
      <c r="M3839" s="34"/>
      <c r="N3839" s="34"/>
      <c r="O3839" s="34"/>
      <c r="P3839" s="34"/>
      <c r="Q3839" s="34"/>
      <c r="R3839" s="34"/>
    </row>
    <row r="3840" spans="13:18">
      <c r="M3840" s="34"/>
      <c r="N3840" s="34"/>
      <c r="O3840" s="34"/>
      <c r="P3840" s="34"/>
      <c r="Q3840" s="34"/>
      <c r="R3840" s="34"/>
    </row>
    <row r="3841" spans="13:18">
      <c r="M3841" s="34"/>
      <c r="N3841" s="34"/>
      <c r="O3841" s="34"/>
      <c r="P3841" s="34"/>
      <c r="Q3841" s="34"/>
      <c r="R3841" s="34"/>
    </row>
    <row r="3842" spans="13:18">
      <c r="M3842" s="34"/>
      <c r="N3842" s="34"/>
      <c r="O3842" s="34"/>
      <c r="P3842" s="34"/>
      <c r="Q3842" s="34"/>
      <c r="R3842" s="34"/>
    </row>
    <row r="3843" spans="13:18">
      <c r="M3843" s="34"/>
      <c r="N3843" s="34"/>
      <c r="O3843" s="34"/>
      <c r="P3843" s="34"/>
      <c r="Q3843" s="34"/>
      <c r="R3843" s="34"/>
    </row>
    <row r="3844" spans="13:18">
      <c r="M3844" s="34"/>
      <c r="N3844" s="34"/>
      <c r="O3844" s="34"/>
      <c r="P3844" s="34"/>
      <c r="Q3844" s="34"/>
      <c r="R3844" s="34"/>
    </row>
    <row r="3845" spans="13:18">
      <c r="M3845" s="34"/>
      <c r="N3845" s="34"/>
      <c r="O3845" s="34"/>
      <c r="P3845" s="34"/>
      <c r="Q3845" s="34"/>
      <c r="R3845" s="34"/>
    </row>
    <row r="3846" spans="13:18">
      <c r="M3846" s="34"/>
      <c r="N3846" s="34"/>
      <c r="O3846" s="34"/>
      <c r="P3846" s="34"/>
      <c r="Q3846" s="34"/>
      <c r="R3846" s="34"/>
    </row>
    <row r="3847" spans="13:18">
      <c r="M3847" s="34"/>
      <c r="N3847" s="34"/>
      <c r="O3847" s="34"/>
      <c r="P3847" s="34"/>
      <c r="Q3847" s="34"/>
      <c r="R3847" s="34"/>
    </row>
    <row r="3848" spans="13:18">
      <c r="M3848" s="34"/>
      <c r="N3848" s="34"/>
      <c r="O3848" s="34"/>
      <c r="P3848" s="34"/>
      <c r="Q3848" s="34"/>
      <c r="R3848" s="34"/>
    </row>
    <row r="3849" spans="13:18">
      <c r="M3849" s="34"/>
      <c r="N3849" s="34"/>
      <c r="O3849" s="34"/>
      <c r="P3849" s="34"/>
      <c r="Q3849" s="34"/>
      <c r="R3849" s="34"/>
    </row>
    <row r="3850" spans="13:18">
      <c r="M3850" s="34"/>
      <c r="N3850" s="34"/>
      <c r="O3850" s="34"/>
      <c r="P3850" s="34"/>
      <c r="Q3850" s="34"/>
      <c r="R3850" s="34"/>
    </row>
    <row r="3851" spans="13:18">
      <c r="M3851" s="34"/>
      <c r="N3851" s="34"/>
      <c r="O3851" s="34"/>
      <c r="P3851" s="34"/>
      <c r="Q3851" s="34"/>
      <c r="R3851" s="34"/>
    </row>
    <row r="3852" spans="13:18">
      <c r="M3852" s="34"/>
      <c r="N3852" s="34"/>
      <c r="O3852" s="34"/>
      <c r="P3852" s="34"/>
      <c r="Q3852" s="34"/>
      <c r="R3852" s="34"/>
    </row>
    <row r="3853" spans="13:18">
      <c r="M3853" s="34"/>
      <c r="N3853" s="34"/>
      <c r="O3853" s="34"/>
      <c r="P3853" s="34"/>
      <c r="Q3853" s="34"/>
      <c r="R3853" s="34"/>
    </row>
    <row r="3854" spans="13:18">
      <c r="M3854" s="34"/>
      <c r="N3854" s="34"/>
      <c r="O3854" s="34"/>
      <c r="P3854" s="34"/>
      <c r="Q3854" s="34"/>
      <c r="R3854" s="34"/>
    </row>
    <row r="3855" spans="13:18">
      <c r="M3855" s="34"/>
      <c r="N3855" s="34"/>
      <c r="O3855" s="34"/>
      <c r="P3855" s="34"/>
      <c r="Q3855" s="34"/>
      <c r="R3855" s="34"/>
    </row>
    <row r="3856" spans="13:18">
      <c r="M3856" s="34"/>
      <c r="N3856" s="34"/>
      <c r="O3856" s="34"/>
      <c r="P3856" s="34"/>
      <c r="Q3856" s="34"/>
      <c r="R3856" s="34"/>
    </row>
    <row r="3857" spans="13:18">
      <c r="M3857" s="34"/>
      <c r="N3857" s="34"/>
      <c r="O3857" s="34"/>
      <c r="P3857" s="34"/>
      <c r="Q3857" s="34"/>
      <c r="R3857" s="34"/>
    </row>
    <row r="3858" spans="13:18">
      <c r="M3858" s="34"/>
      <c r="N3858" s="34"/>
      <c r="O3858" s="34"/>
      <c r="P3858" s="34"/>
      <c r="Q3858" s="34"/>
      <c r="R3858" s="34"/>
    </row>
    <row r="3859" spans="13:18">
      <c r="M3859" s="34"/>
      <c r="N3859" s="34"/>
      <c r="O3859" s="34"/>
      <c r="P3859" s="34"/>
      <c r="Q3859" s="34"/>
      <c r="R3859" s="34"/>
    </row>
    <row r="3860" spans="13:18">
      <c r="M3860" s="34"/>
      <c r="N3860" s="34"/>
      <c r="O3860" s="34"/>
      <c r="P3860" s="34"/>
      <c r="Q3860" s="34"/>
      <c r="R3860" s="34"/>
    </row>
    <row r="3861" spans="13:18">
      <c r="M3861" s="34"/>
      <c r="N3861" s="34"/>
      <c r="O3861" s="34"/>
      <c r="P3861" s="34"/>
      <c r="Q3861" s="34"/>
      <c r="R3861" s="34"/>
    </row>
    <row r="3862" spans="13:18">
      <c r="M3862" s="34"/>
      <c r="N3862" s="34"/>
      <c r="O3862" s="34"/>
      <c r="P3862" s="34"/>
      <c r="Q3862" s="34"/>
      <c r="R3862" s="34"/>
    </row>
    <row r="3863" spans="13:18">
      <c r="M3863" s="34"/>
      <c r="N3863" s="34"/>
      <c r="O3863" s="34"/>
      <c r="P3863" s="34"/>
      <c r="Q3863" s="34"/>
      <c r="R3863" s="34"/>
    </row>
    <row r="3864" spans="13:18">
      <c r="M3864" s="34"/>
      <c r="N3864" s="34"/>
      <c r="O3864" s="34"/>
      <c r="P3864" s="34"/>
      <c r="Q3864" s="34"/>
      <c r="R3864" s="34"/>
    </row>
    <row r="3865" spans="13:18">
      <c r="M3865" s="34"/>
      <c r="N3865" s="34"/>
      <c r="O3865" s="34"/>
      <c r="P3865" s="34"/>
      <c r="Q3865" s="34"/>
      <c r="R3865" s="34"/>
    </row>
    <row r="3866" spans="13:18">
      <c r="M3866" s="34"/>
      <c r="N3866" s="34"/>
      <c r="O3866" s="34"/>
      <c r="P3866" s="34"/>
      <c r="Q3866" s="34"/>
      <c r="R3866" s="34"/>
    </row>
    <row r="3867" spans="13:18">
      <c r="M3867" s="34"/>
      <c r="N3867" s="34"/>
      <c r="O3867" s="34"/>
      <c r="P3867" s="34"/>
      <c r="Q3867" s="34"/>
      <c r="R3867" s="34"/>
    </row>
    <row r="3868" spans="13:18">
      <c r="M3868" s="34"/>
      <c r="N3868" s="34"/>
      <c r="O3868" s="34"/>
      <c r="P3868" s="34"/>
      <c r="Q3868" s="34"/>
      <c r="R3868" s="34"/>
    </row>
    <row r="3869" spans="13:18">
      <c r="M3869" s="34"/>
      <c r="N3869" s="34"/>
      <c r="O3869" s="34"/>
      <c r="P3869" s="34"/>
      <c r="Q3869" s="34"/>
      <c r="R3869" s="34"/>
    </row>
    <row r="3870" spans="13:18">
      <c r="M3870" s="34"/>
      <c r="N3870" s="34"/>
      <c r="O3870" s="34"/>
      <c r="P3870" s="34"/>
      <c r="Q3870" s="34"/>
      <c r="R3870" s="34"/>
    </row>
    <row r="3871" spans="13:18">
      <c r="M3871" s="34"/>
      <c r="N3871" s="34"/>
      <c r="O3871" s="34"/>
      <c r="P3871" s="34"/>
      <c r="Q3871" s="34"/>
      <c r="R3871" s="34"/>
    </row>
    <row r="3872" spans="13:18">
      <c r="M3872" s="34"/>
      <c r="N3872" s="34"/>
      <c r="O3872" s="34"/>
      <c r="P3872" s="34"/>
      <c r="Q3872" s="34"/>
      <c r="R3872" s="34"/>
    </row>
    <row r="3873" spans="13:18">
      <c r="M3873" s="34"/>
      <c r="N3873" s="34"/>
      <c r="O3873" s="34"/>
      <c r="P3873" s="34"/>
      <c r="Q3873" s="34"/>
      <c r="R3873" s="34"/>
    </row>
    <row r="3874" spans="13:18">
      <c r="M3874" s="34"/>
      <c r="N3874" s="34"/>
      <c r="O3874" s="34"/>
      <c r="P3874" s="34"/>
      <c r="Q3874" s="34"/>
      <c r="R3874" s="34"/>
    </row>
    <row r="3875" spans="13:18">
      <c r="M3875" s="34"/>
      <c r="N3875" s="34"/>
      <c r="O3875" s="34"/>
      <c r="P3875" s="34"/>
      <c r="Q3875" s="34"/>
      <c r="R3875" s="34"/>
    </row>
    <row r="3876" spans="13:18">
      <c r="M3876" s="34"/>
      <c r="N3876" s="34"/>
      <c r="O3876" s="34"/>
      <c r="P3876" s="34"/>
      <c r="Q3876" s="34"/>
      <c r="R3876" s="34"/>
    </row>
    <row r="3877" spans="13:18">
      <c r="M3877" s="34"/>
      <c r="N3877" s="34"/>
      <c r="O3877" s="34"/>
      <c r="P3877" s="34"/>
      <c r="Q3877" s="34"/>
      <c r="R3877" s="34"/>
    </row>
    <row r="3878" spans="13:18">
      <c r="M3878" s="34"/>
      <c r="N3878" s="34"/>
      <c r="O3878" s="34"/>
      <c r="P3878" s="34"/>
      <c r="Q3878" s="34"/>
      <c r="R3878" s="34"/>
    </row>
    <row r="3879" spans="13:18">
      <c r="M3879" s="34"/>
      <c r="N3879" s="34"/>
      <c r="O3879" s="34"/>
      <c r="P3879" s="34"/>
      <c r="Q3879" s="34"/>
      <c r="R3879" s="34"/>
    </row>
    <row r="3880" spans="13:18">
      <c r="M3880" s="34"/>
      <c r="N3880" s="34"/>
      <c r="O3880" s="34"/>
      <c r="P3880" s="34"/>
      <c r="Q3880" s="34"/>
      <c r="R3880" s="34"/>
    </row>
    <row r="3881" spans="13:18">
      <c r="M3881" s="34"/>
      <c r="N3881" s="34"/>
      <c r="O3881" s="34"/>
      <c r="P3881" s="34"/>
      <c r="Q3881" s="34"/>
      <c r="R3881" s="34"/>
    </row>
    <row r="3882" spans="13:18">
      <c r="M3882" s="34"/>
      <c r="N3882" s="34"/>
      <c r="O3882" s="34"/>
      <c r="P3882" s="34"/>
      <c r="Q3882" s="34"/>
      <c r="R3882" s="34"/>
    </row>
    <row r="3883" spans="13:18">
      <c r="M3883" s="34"/>
      <c r="N3883" s="34"/>
      <c r="O3883" s="34"/>
      <c r="P3883" s="34"/>
      <c r="Q3883" s="34"/>
      <c r="R3883" s="34"/>
    </row>
    <row r="3884" spans="13:18">
      <c r="M3884" s="34"/>
      <c r="N3884" s="34"/>
      <c r="O3884" s="34"/>
      <c r="P3884" s="34"/>
      <c r="Q3884" s="34"/>
      <c r="R3884" s="34"/>
    </row>
    <row r="3885" spans="13:18">
      <c r="M3885" s="34"/>
      <c r="N3885" s="34"/>
      <c r="O3885" s="34"/>
      <c r="P3885" s="34"/>
      <c r="Q3885" s="34"/>
      <c r="R3885" s="34"/>
    </row>
    <row r="3886" spans="13:18">
      <c r="M3886" s="34"/>
      <c r="N3886" s="34"/>
      <c r="O3886" s="34"/>
      <c r="P3886" s="34"/>
      <c r="Q3886" s="34"/>
      <c r="R3886" s="34"/>
    </row>
    <row r="3887" spans="13:18">
      <c r="M3887" s="34"/>
      <c r="N3887" s="34"/>
      <c r="O3887" s="34"/>
      <c r="P3887" s="34"/>
      <c r="Q3887" s="34"/>
      <c r="R3887" s="34"/>
    </row>
    <row r="3888" spans="13:18">
      <c r="M3888" s="34"/>
      <c r="N3888" s="34"/>
      <c r="O3888" s="34"/>
      <c r="P3888" s="34"/>
      <c r="Q3888" s="34"/>
      <c r="R3888" s="34"/>
    </row>
    <row r="3889" spans="13:18">
      <c r="M3889" s="34"/>
      <c r="N3889" s="34"/>
      <c r="O3889" s="34"/>
      <c r="P3889" s="34"/>
      <c r="Q3889" s="34"/>
      <c r="R3889" s="34"/>
    </row>
    <row r="3890" spans="13:18">
      <c r="M3890" s="34"/>
      <c r="N3890" s="34"/>
      <c r="O3890" s="34"/>
      <c r="P3890" s="34"/>
      <c r="Q3890" s="34"/>
      <c r="R3890" s="34"/>
    </row>
    <row r="3891" spans="13:18">
      <c r="M3891" s="34"/>
      <c r="N3891" s="34"/>
      <c r="O3891" s="34"/>
      <c r="P3891" s="34"/>
      <c r="Q3891" s="34"/>
      <c r="R3891" s="34"/>
    </row>
    <row r="3892" spans="13:18">
      <c r="M3892" s="34"/>
      <c r="N3892" s="34"/>
      <c r="O3892" s="34"/>
      <c r="P3892" s="34"/>
      <c r="Q3892" s="34"/>
      <c r="R3892" s="34"/>
    </row>
    <row r="3893" spans="13:18">
      <c r="M3893" s="34"/>
      <c r="N3893" s="34"/>
      <c r="O3893" s="34"/>
      <c r="P3893" s="34"/>
      <c r="Q3893" s="34"/>
      <c r="R3893" s="34"/>
    </row>
    <row r="3894" spans="13:18">
      <c r="M3894" s="34"/>
      <c r="N3894" s="34"/>
      <c r="O3894" s="34"/>
      <c r="P3894" s="34"/>
      <c r="Q3894" s="34"/>
      <c r="R3894" s="34"/>
    </row>
    <row r="3895" spans="13:18">
      <c r="M3895" s="34"/>
      <c r="N3895" s="34"/>
      <c r="O3895" s="34"/>
      <c r="P3895" s="34"/>
      <c r="Q3895" s="34"/>
      <c r="R3895" s="34"/>
    </row>
    <row r="3896" spans="13:18">
      <c r="M3896" s="34"/>
      <c r="N3896" s="34"/>
      <c r="O3896" s="34"/>
      <c r="P3896" s="34"/>
      <c r="Q3896" s="34"/>
      <c r="R3896" s="34"/>
    </row>
    <row r="3897" spans="13:18">
      <c r="M3897" s="34"/>
      <c r="N3897" s="34"/>
      <c r="O3897" s="34"/>
      <c r="P3897" s="34"/>
      <c r="Q3897" s="34"/>
      <c r="R3897" s="34"/>
    </row>
    <row r="3898" spans="13:18">
      <c r="M3898" s="34"/>
      <c r="N3898" s="34"/>
      <c r="O3898" s="34"/>
      <c r="P3898" s="34"/>
      <c r="Q3898" s="34"/>
      <c r="R3898" s="34"/>
    </row>
    <row r="3899" spans="13:18">
      <c r="M3899" s="34"/>
      <c r="N3899" s="34"/>
      <c r="O3899" s="34"/>
      <c r="P3899" s="34"/>
      <c r="Q3899" s="34"/>
      <c r="R3899" s="34"/>
    </row>
    <row r="3900" spans="13:18">
      <c r="M3900" s="34"/>
      <c r="N3900" s="34"/>
      <c r="O3900" s="34"/>
      <c r="P3900" s="34"/>
      <c r="Q3900" s="34"/>
      <c r="R3900" s="34"/>
    </row>
    <row r="3901" spans="13:18">
      <c r="M3901" s="34"/>
      <c r="N3901" s="34"/>
      <c r="O3901" s="34"/>
      <c r="P3901" s="34"/>
      <c r="Q3901" s="34"/>
      <c r="R3901" s="34"/>
    </row>
    <row r="3902" spans="13:18">
      <c r="M3902" s="34"/>
      <c r="N3902" s="34"/>
      <c r="O3902" s="34"/>
      <c r="P3902" s="34"/>
      <c r="Q3902" s="34"/>
      <c r="R3902" s="34"/>
    </row>
    <row r="3903" spans="13:18">
      <c r="M3903" s="34"/>
      <c r="N3903" s="34"/>
      <c r="O3903" s="34"/>
      <c r="P3903" s="34"/>
      <c r="Q3903" s="34"/>
      <c r="R3903" s="34"/>
    </row>
    <row r="3904" spans="13:18">
      <c r="M3904" s="34"/>
      <c r="N3904" s="34"/>
      <c r="O3904" s="34"/>
      <c r="P3904" s="34"/>
      <c r="Q3904" s="34"/>
      <c r="R3904" s="34"/>
    </row>
    <row r="3905" spans="13:18">
      <c r="M3905" s="34"/>
      <c r="N3905" s="34"/>
      <c r="O3905" s="34"/>
      <c r="P3905" s="34"/>
      <c r="Q3905" s="34"/>
      <c r="R3905" s="34"/>
    </row>
    <row r="3906" spans="13:18">
      <c r="M3906" s="34"/>
      <c r="N3906" s="34"/>
      <c r="O3906" s="34"/>
      <c r="P3906" s="34"/>
      <c r="Q3906" s="34"/>
      <c r="R3906" s="34"/>
    </row>
    <row r="3907" spans="13:18">
      <c r="M3907" s="34"/>
      <c r="N3907" s="34"/>
      <c r="O3907" s="34"/>
      <c r="P3907" s="34"/>
      <c r="Q3907" s="34"/>
      <c r="R3907" s="34"/>
    </row>
    <row r="3908" spans="13:18">
      <c r="M3908" s="34"/>
      <c r="N3908" s="34"/>
      <c r="O3908" s="34"/>
      <c r="P3908" s="34"/>
      <c r="Q3908" s="34"/>
      <c r="R3908" s="34"/>
    </row>
    <row r="3909" spans="13:18">
      <c r="M3909" s="34"/>
      <c r="N3909" s="34"/>
      <c r="O3909" s="34"/>
      <c r="P3909" s="34"/>
      <c r="Q3909" s="34"/>
      <c r="R3909" s="34"/>
    </row>
    <row r="3910" spans="13:18">
      <c r="M3910" s="34"/>
      <c r="N3910" s="34"/>
      <c r="O3910" s="34"/>
      <c r="P3910" s="34"/>
      <c r="Q3910" s="34"/>
      <c r="R3910" s="34"/>
    </row>
    <row r="3911" spans="13:18">
      <c r="M3911" s="34"/>
      <c r="N3911" s="34"/>
      <c r="O3911" s="34"/>
      <c r="P3911" s="34"/>
      <c r="Q3911" s="34"/>
      <c r="R3911" s="34"/>
    </row>
    <row r="3912" spans="13:18">
      <c r="M3912" s="34"/>
      <c r="N3912" s="34"/>
      <c r="O3912" s="34"/>
      <c r="P3912" s="34"/>
      <c r="Q3912" s="34"/>
      <c r="R3912" s="34"/>
    </row>
    <row r="3913" spans="13:18">
      <c r="M3913" s="34"/>
      <c r="N3913" s="34"/>
      <c r="O3913" s="34"/>
      <c r="P3913" s="34"/>
      <c r="Q3913" s="34"/>
      <c r="R3913" s="34"/>
    </row>
    <row r="3914" spans="13:18">
      <c r="M3914" s="34"/>
      <c r="N3914" s="34"/>
      <c r="O3914" s="34"/>
      <c r="P3914" s="34"/>
      <c r="Q3914" s="34"/>
      <c r="R3914" s="34"/>
    </row>
    <row r="3915" spans="13:18">
      <c r="M3915" s="34"/>
      <c r="N3915" s="34"/>
      <c r="O3915" s="34"/>
      <c r="P3915" s="34"/>
      <c r="Q3915" s="34"/>
      <c r="R3915" s="34"/>
    </row>
    <row r="3916" spans="13:18">
      <c r="M3916" s="34"/>
      <c r="N3916" s="34"/>
      <c r="O3916" s="34"/>
      <c r="P3916" s="34"/>
      <c r="Q3916" s="34"/>
      <c r="R3916" s="34"/>
    </row>
    <row r="3917" spans="13:18">
      <c r="M3917" s="34"/>
      <c r="N3917" s="34"/>
      <c r="O3917" s="34"/>
      <c r="P3917" s="34"/>
      <c r="Q3917" s="34"/>
      <c r="R3917" s="34"/>
    </row>
    <row r="3918" spans="13:18">
      <c r="M3918" s="34"/>
      <c r="N3918" s="34"/>
      <c r="O3918" s="34"/>
      <c r="P3918" s="34"/>
      <c r="Q3918" s="34"/>
      <c r="R3918" s="34"/>
    </row>
    <row r="3919" spans="13:18">
      <c r="M3919" s="34"/>
      <c r="N3919" s="34"/>
      <c r="O3919" s="34"/>
      <c r="P3919" s="34"/>
      <c r="Q3919" s="34"/>
      <c r="R3919" s="34"/>
    </row>
    <row r="3920" spans="13:18">
      <c r="M3920" s="34"/>
      <c r="N3920" s="34"/>
      <c r="O3920" s="34"/>
      <c r="P3920" s="34"/>
      <c r="Q3920" s="34"/>
      <c r="R3920" s="34"/>
    </row>
    <row r="3921" spans="13:18">
      <c r="M3921" s="34"/>
      <c r="N3921" s="34"/>
      <c r="O3921" s="34"/>
      <c r="P3921" s="34"/>
      <c r="Q3921" s="34"/>
      <c r="R3921" s="34"/>
    </row>
    <row r="3922" spans="13:18">
      <c r="M3922" s="34"/>
      <c r="N3922" s="34"/>
      <c r="O3922" s="34"/>
      <c r="P3922" s="34"/>
      <c r="Q3922" s="34"/>
      <c r="R3922" s="34"/>
    </row>
    <row r="3923" spans="13:18">
      <c r="M3923" s="34"/>
      <c r="N3923" s="34"/>
      <c r="O3923" s="34"/>
      <c r="P3923" s="34"/>
      <c r="Q3923" s="34"/>
      <c r="R3923" s="34"/>
    </row>
    <row r="3924" spans="13:18">
      <c r="M3924" s="34"/>
      <c r="N3924" s="34"/>
      <c r="O3924" s="34"/>
      <c r="P3924" s="34"/>
      <c r="Q3924" s="34"/>
      <c r="R3924" s="34"/>
    </row>
    <row r="3925" spans="13:18">
      <c r="M3925" s="34"/>
      <c r="N3925" s="34"/>
      <c r="O3925" s="34"/>
      <c r="P3925" s="34"/>
      <c r="Q3925" s="34"/>
      <c r="R3925" s="34"/>
    </row>
    <row r="3926" spans="13:18">
      <c r="M3926" s="34"/>
      <c r="N3926" s="34"/>
      <c r="O3926" s="34"/>
      <c r="P3926" s="34"/>
      <c r="Q3926" s="34"/>
      <c r="R3926" s="34"/>
    </row>
    <row r="3927" spans="13:18">
      <c r="M3927" s="34"/>
      <c r="N3927" s="34"/>
      <c r="O3927" s="34"/>
      <c r="P3927" s="34"/>
      <c r="Q3927" s="34"/>
      <c r="R3927" s="34"/>
    </row>
    <row r="3928" spans="13:18">
      <c r="M3928" s="34"/>
      <c r="N3928" s="34"/>
      <c r="O3928" s="34"/>
      <c r="P3928" s="34"/>
      <c r="Q3928" s="34"/>
      <c r="R3928" s="34"/>
    </row>
    <row r="3929" spans="13:18">
      <c r="M3929" s="34"/>
      <c r="N3929" s="34"/>
      <c r="O3929" s="34"/>
      <c r="P3929" s="34"/>
      <c r="Q3929" s="34"/>
      <c r="R3929" s="34"/>
    </row>
    <row r="3930" spans="13:18">
      <c r="M3930" s="34"/>
      <c r="N3930" s="34"/>
      <c r="O3930" s="34"/>
      <c r="P3930" s="34"/>
      <c r="Q3930" s="34"/>
      <c r="R3930" s="34"/>
    </row>
    <row r="3931" spans="13:18">
      <c r="M3931" s="34"/>
      <c r="N3931" s="34"/>
      <c r="O3931" s="34"/>
      <c r="P3931" s="34"/>
      <c r="Q3931" s="34"/>
      <c r="R3931" s="34"/>
    </row>
    <row r="3932" spans="13:18">
      <c r="M3932" s="34"/>
      <c r="N3932" s="34"/>
      <c r="O3932" s="34"/>
      <c r="P3932" s="34"/>
      <c r="Q3932" s="34"/>
      <c r="R3932" s="34"/>
    </row>
    <row r="3933" spans="13:18">
      <c r="M3933" s="34"/>
      <c r="N3933" s="34"/>
      <c r="O3933" s="34"/>
      <c r="P3933" s="34"/>
      <c r="Q3933" s="34"/>
      <c r="R3933" s="34"/>
    </row>
    <row r="3934" spans="13:18">
      <c r="M3934" s="34"/>
      <c r="N3934" s="34"/>
      <c r="O3934" s="34"/>
      <c r="P3934" s="34"/>
      <c r="Q3934" s="34"/>
      <c r="R3934" s="34"/>
    </row>
    <row r="3935" spans="13:18">
      <c r="M3935" s="34"/>
      <c r="N3935" s="34"/>
      <c r="O3935" s="34"/>
      <c r="P3935" s="34"/>
      <c r="Q3935" s="34"/>
      <c r="R3935" s="34"/>
    </row>
    <row r="3936" spans="13:18">
      <c r="M3936" s="34"/>
      <c r="N3936" s="34"/>
      <c r="O3936" s="34"/>
      <c r="P3936" s="34"/>
      <c r="Q3936" s="34"/>
      <c r="R3936" s="34"/>
    </row>
    <row r="3937" spans="13:18">
      <c r="M3937" s="34"/>
      <c r="N3937" s="34"/>
      <c r="O3937" s="34"/>
      <c r="P3937" s="34"/>
      <c r="Q3937" s="34"/>
      <c r="R3937" s="34"/>
    </row>
    <row r="3938" spans="13:18">
      <c r="M3938" s="34"/>
      <c r="N3938" s="34"/>
      <c r="O3938" s="34"/>
      <c r="P3938" s="34"/>
      <c r="Q3938" s="34"/>
      <c r="R3938" s="34"/>
    </row>
    <row r="3939" spans="13:18">
      <c r="M3939" s="34"/>
      <c r="N3939" s="34"/>
      <c r="O3939" s="34"/>
      <c r="P3939" s="34"/>
      <c r="Q3939" s="34"/>
      <c r="R3939" s="34"/>
    </row>
    <row r="3940" spans="13:18">
      <c r="M3940" s="34"/>
      <c r="N3940" s="34"/>
      <c r="O3940" s="34"/>
      <c r="P3940" s="34"/>
      <c r="Q3940" s="34"/>
      <c r="R3940" s="34"/>
    </row>
    <row r="3941" spans="13:18">
      <c r="M3941" s="34"/>
      <c r="N3941" s="34"/>
      <c r="O3941" s="34"/>
      <c r="P3941" s="34"/>
      <c r="Q3941" s="34"/>
      <c r="R3941" s="34"/>
    </row>
    <row r="3942" spans="13:18">
      <c r="M3942" s="34"/>
      <c r="N3942" s="34"/>
      <c r="O3942" s="34"/>
      <c r="P3942" s="34"/>
      <c r="Q3942" s="34"/>
      <c r="R3942" s="34"/>
    </row>
    <row r="3943" spans="13:18">
      <c r="M3943" s="34"/>
      <c r="N3943" s="34"/>
      <c r="O3943" s="34"/>
      <c r="P3943" s="34"/>
      <c r="Q3943" s="34"/>
      <c r="R3943" s="34"/>
    </row>
    <row r="3944" spans="13:18">
      <c r="M3944" s="34"/>
      <c r="N3944" s="34"/>
      <c r="O3944" s="34"/>
      <c r="P3944" s="34"/>
      <c r="Q3944" s="34"/>
      <c r="R3944" s="34"/>
    </row>
    <row r="3945" spans="13:18">
      <c r="M3945" s="34"/>
      <c r="N3945" s="34"/>
      <c r="O3945" s="34"/>
      <c r="P3945" s="34"/>
      <c r="Q3945" s="34"/>
      <c r="R3945" s="34"/>
    </row>
    <row r="3946" spans="13:18">
      <c r="M3946" s="34"/>
      <c r="N3946" s="34"/>
      <c r="O3946" s="34"/>
      <c r="P3946" s="34"/>
      <c r="Q3946" s="34"/>
      <c r="R3946" s="34"/>
    </row>
    <row r="3947" spans="13:18">
      <c r="M3947" s="34"/>
      <c r="N3947" s="34"/>
      <c r="O3947" s="34"/>
      <c r="P3947" s="34"/>
      <c r="Q3947" s="34"/>
      <c r="R3947" s="34"/>
    </row>
    <row r="3948" spans="13:18">
      <c r="M3948" s="34"/>
      <c r="N3948" s="34"/>
      <c r="O3948" s="34"/>
      <c r="P3948" s="34"/>
      <c r="Q3948" s="34"/>
      <c r="R3948" s="34"/>
    </row>
    <row r="3949" spans="13:18">
      <c r="M3949" s="34"/>
      <c r="N3949" s="34"/>
      <c r="O3949" s="34"/>
      <c r="P3949" s="34"/>
      <c r="Q3949" s="34"/>
      <c r="R3949" s="34"/>
    </row>
    <row r="3950" spans="13:18">
      <c r="M3950" s="34"/>
      <c r="N3950" s="34"/>
      <c r="O3950" s="34"/>
      <c r="P3950" s="34"/>
      <c r="Q3950" s="34"/>
      <c r="R3950" s="34"/>
    </row>
    <row r="3951" spans="13:18">
      <c r="M3951" s="34"/>
      <c r="N3951" s="34"/>
      <c r="O3951" s="34"/>
      <c r="P3951" s="34"/>
      <c r="Q3951" s="34"/>
      <c r="R3951" s="34"/>
    </row>
    <row r="3952" spans="13:18">
      <c r="M3952" s="34"/>
      <c r="N3952" s="34"/>
      <c r="O3952" s="34"/>
      <c r="P3952" s="34"/>
      <c r="Q3952" s="34"/>
      <c r="R3952" s="34"/>
    </row>
    <row r="3953" spans="13:18">
      <c r="M3953" s="34"/>
      <c r="N3953" s="34"/>
      <c r="O3953" s="34"/>
      <c r="P3953" s="34"/>
      <c r="Q3953" s="34"/>
      <c r="R3953" s="34"/>
    </row>
    <row r="3954" spans="13:18">
      <c r="M3954" s="34"/>
      <c r="N3954" s="34"/>
      <c r="O3954" s="34"/>
      <c r="P3954" s="34"/>
      <c r="Q3954" s="34"/>
      <c r="R3954" s="34"/>
    </row>
    <row r="3955" spans="13:18">
      <c r="M3955" s="34"/>
      <c r="N3955" s="34"/>
      <c r="O3955" s="34"/>
      <c r="P3955" s="34"/>
      <c r="Q3955" s="34"/>
      <c r="R3955" s="34"/>
    </row>
    <row r="3956" spans="13:18">
      <c r="M3956" s="34"/>
      <c r="N3956" s="34"/>
      <c r="O3956" s="34"/>
      <c r="P3956" s="34"/>
      <c r="Q3956" s="34"/>
      <c r="R3956" s="34"/>
    </row>
    <row r="3957" spans="13:18">
      <c r="M3957" s="34"/>
      <c r="N3957" s="34"/>
      <c r="O3957" s="34"/>
      <c r="P3957" s="34"/>
      <c r="Q3957" s="34"/>
      <c r="R3957" s="34"/>
    </row>
    <row r="3958" spans="13:18">
      <c r="M3958" s="34"/>
      <c r="N3958" s="34"/>
      <c r="O3958" s="34"/>
      <c r="P3958" s="34"/>
      <c r="Q3958" s="34"/>
      <c r="R3958" s="34"/>
    </row>
    <row r="3959" spans="13:18">
      <c r="M3959" s="34"/>
      <c r="N3959" s="34"/>
      <c r="O3959" s="34"/>
      <c r="P3959" s="34"/>
      <c r="Q3959" s="34"/>
      <c r="R3959" s="34"/>
    </row>
    <row r="3960" spans="13:18">
      <c r="M3960" s="34"/>
      <c r="N3960" s="34"/>
      <c r="O3960" s="34"/>
      <c r="P3960" s="34"/>
      <c r="Q3960" s="34"/>
      <c r="R3960" s="34"/>
    </row>
    <row r="3961" spans="13:18">
      <c r="M3961" s="34"/>
      <c r="N3961" s="34"/>
      <c r="O3961" s="34"/>
      <c r="P3961" s="34"/>
      <c r="Q3961" s="34"/>
      <c r="R3961" s="34"/>
    </row>
    <row r="3962" spans="13:18">
      <c r="M3962" s="34"/>
      <c r="N3962" s="34"/>
      <c r="O3962" s="34"/>
      <c r="P3962" s="34"/>
      <c r="Q3962" s="34"/>
      <c r="R3962" s="34"/>
    </row>
    <row r="3963" spans="13:18">
      <c r="M3963" s="34"/>
      <c r="N3963" s="34"/>
      <c r="O3963" s="34"/>
      <c r="P3963" s="34"/>
      <c r="Q3963" s="34"/>
      <c r="R3963" s="34"/>
    </row>
    <row r="3964" spans="13:18">
      <c r="M3964" s="34"/>
      <c r="N3964" s="34"/>
      <c r="O3964" s="34"/>
      <c r="P3964" s="34"/>
      <c r="Q3964" s="34"/>
      <c r="R3964" s="34"/>
    </row>
    <row r="3965" spans="13:18">
      <c r="M3965" s="34"/>
      <c r="N3965" s="34"/>
      <c r="O3965" s="34"/>
      <c r="P3965" s="34"/>
      <c r="Q3965" s="34"/>
      <c r="R3965" s="34"/>
    </row>
    <row r="3966" spans="13:18">
      <c r="M3966" s="34"/>
      <c r="N3966" s="34"/>
      <c r="O3966" s="34"/>
      <c r="P3966" s="34"/>
      <c r="Q3966" s="34"/>
      <c r="R3966" s="34"/>
    </row>
    <row r="3967" spans="13:18">
      <c r="M3967" s="34"/>
      <c r="N3967" s="34"/>
      <c r="O3967" s="34"/>
      <c r="P3967" s="34"/>
      <c r="Q3967" s="34"/>
      <c r="R3967" s="34"/>
    </row>
    <row r="3968" spans="13:18">
      <c r="M3968" s="34"/>
      <c r="N3968" s="34"/>
      <c r="O3968" s="34"/>
      <c r="P3968" s="34"/>
      <c r="Q3968" s="34"/>
      <c r="R3968" s="34"/>
    </row>
    <row r="3969" spans="13:18">
      <c r="M3969" s="34"/>
      <c r="N3969" s="34"/>
      <c r="O3969" s="34"/>
      <c r="P3969" s="34"/>
      <c r="Q3969" s="34"/>
      <c r="R3969" s="34"/>
    </row>
    <row r="3970" spans="13:18">
      <c r="M3970" s="34"/>
      <c r="N3970" s="34"/>
      <c r="O3970" s="34"/>
      <c r="P3970" s="34"/>
      <c r="Q3970" s="34"/>
      <c r="R3970" s="34"/>
    </row>
    <row r="3971" spans="13:18">
      <c r="M3971" s="34"/>
      <c r="N3971" s="34"/>
      <c r="O3971" s="34"/>
      <c r="P3971" s="34"/>
      <c r="Q3971" s="34"/>
      <c r="R3971" s="34"/>
    </row>
    <row r="3972" spans="13:18">
      <c r="M3972" s="34"/>
      <c r="N3972" s="34"/>
      <c r="O3972" s="34"/>
      <c r="P3972" s="34"/>
      <c r="Q3972" s="34"/>
      <c r="R3972" s="34"/>
    </row>
    <row r="3973" spans="13:18">
      <c r="M3973" s="34"/>
      <c r="N3973" s="34"/>
      <c r="O3973" s="34"/>
      <c r="P3973" s="34"/>
      <c r="Q3973" s="34"/>
      <c r="R3973" s="34"/>
    </row>
    <row r="3974" spans="13:18">
      <c r="M3974" s="34"/>
      <c r="N3974" s="34"/>
      <c r="O3974" s="34"/>
      <c r="P3974" s="34"/>
      <c r="Q3974" s="34"/>
      <c r="R3974" s="34"/>
    </row>
    <row r="3975" spans="13:18">
      <c r="M3975" s="34"/>
      <c r="N3975" s="34"/>
      <c r="O3975" s="34"/>
      <c r="P3975" s="34"/>
      <c r="Q3975" s="34"/>
      <c r="R3975" s="34"/>
    </row>
    <row r="3976" spans="13:18">
      <c r="M3976" s="34"/>
      <c r="N3976" s="34"/>
      <c r="O3976" s="34"/>
      <c r="P3976" s="34"/>
      <c r="Q3976" s="34"/>
      <c r="R3976" s="34"/>
    </row>
    <row r="3977" spans="13:18">
      <c r="M3977" s="34"/>
      <c r="N3977" s="34"/>
      <c r="O3977" s="34"/>
      <c r="P3977" s="34"/>
      <c r="Q3977" s="34"/>
      <c r="R3977" s="34"/>
    </row>
    <row r="3978" spans="13:18">
      <c r="M3978" s="34"/>
      <c r="N3978" s="34"/>
      <c r="O3978" s="34"/>
      <c r="P3978" s="34"/>
      <c r="Q3978" s="34"/>
      <c r="R3978" s="34"/>
    </row>
    <row r="3979" spans="13:18">
      <c r="M3979" s="34"/>
      <c r="N3979" s="34"/>
      <c r="O3979" s="34"/>
      <c r="P3979" s="34"/>
      <c r="Q3979" s="34"/>
      <c r="R3979" s="34"/>
    </row>
    <row r="3980" spans="13:18">
      <c r="M3980" s="34"/>
      <c r="N3980" s="34"/>
      <c r="O3980" s="34"/>
      <c r="P3980" s="34"/>
      <c r="Q3980" s="34"/>
      <c r="R3980" s="34"/>
    </row>
    <row r="3981" spans="13:18">
      <c r="M3981" s="34"/>
      <c r="N3981" s="34"/>
      <c r="O3981" s="34"/>
      <c r="P3981" s="34"/>
      <c r="Q3981" s="34"/>
      <c r="R3981" s="34"/>
    </row>
    <row r="3982" spans="13:18">
      <c r="M3982" s="34"/>
      <c r="N3982" s="34"/>
      <c r="O3982" s="34"/>
      <c r="P3982" s="34"/>
      <c r="Q3982" s="34"/>
      <c r="R3982" s="34"/>
    </row>
    <row r="3983" spans="13:18">
      <c r="M3983" s="34"/>
      <c r="N3983" s="34"/>
      <c r="O3983" s="34"/>
      <c r="P3983" s="34"/>
      <c r="Q3983" s="34"/>
      <c r="R3983" s="34"/>
    </row>
    <row r="3984" spans="13:18">
      <c r="M3984" s="34"/>
      <c r="N3984" s="34"/>
      <c r="O3984" s="34"/>
      <c r="P3984" s="34"/>
      <c r="Q3984" s="34"/>
      <c r="R3984" s="34"/>
    </row>
    <row r="3985" spans="13:18">
      <c r="M3985" s="34"/>
      <c r="N3985" s="34"/>
      <c r="O3985" s="34"/>
      <c r="P3985" s="34"/>
      <c r="Q3985" s="34"/>
      <c r="R3985" s="34"/>
    </row>
    <row r="3986" spans="13:18">
      <c r="M3986" s="34"/>
      <c r="N3986" s="34"/>
      <c r="O3986" s="34"/>
      <c r="P3986" s="34"/>
      <c r="Q3986" s="34"/>
      <c r="R3986" s="34"/>
    </row>
    <row r="3987" spans="13:18">
      <c r="M3987" s="34"/>
      <c r="N3987" s="34"/>
      <c r="O3987" s="34"/>
      <c r="P3987" s="34"/>
      <c r="Q3987" s="34"/>
      <c r="R3987" s="34"/>
    </row>
    <row r="3988" spans="13:18">
      <c r="M3988" s="34"/>
      <c r="N3988" s="34"/>
      <c r="O3988" s="34"/>
      <c r="P3988" s="34"/>
      <c r="Q3988" s="34"/>
      <c r="R3988" s="34"/>
    </row>
    <row r="3989" spans="13:18">
      <c r="M3989" s="34"/>
      <c r="N3989" s="34"/>
      <c r="O3989" s="34"/>
      <c r="P3989" s="34"/>
      <c r="Q3989" s="34"/>
      <c r="R3989" s="34"/>
    </row>
    <row r="3990" spans="13:18">
      <c r="M3990" s="34"/>
      <c r="N3990" s="34"/>
      <c r="O3990" s="34"/>
      <c r="P3990" s="34"/>
      <c r="Q3990" s="34"/>
      <c r="R3990" s="34"/>
    </row>
    <row r="3991" spans="13:18">
      <c r="M3991" s="34"/>
      <c r="N3991" s="34"/>
      <c r="O3991" s="34"/>
      <c r="P3991" s="34"/>
      <c r="Q3991" s="34"/>
      <c r="R3991" s="34"/>
    </row>
    <row r="3992" spans="13:18">
      <c r="M3992" s="34"/>
      <c r="N3992" s="34"/>
      <c r="O3992" s="34"/>
      <c r="P3992" s="34"/>
      <c r="Q3992" s="34"/>
      <c r="R3992" s="34"/>
    </row>
    <row r="3993" spans="13:18">
      <c r="M3993" s="34"/>
      <c r="N3993" s="34"/>
      <c r="O3993" s="34"/>
      <c r="P3993" s="34"/>
      <c r="Q3993" s="34"/>
      <c r="R3993" s="34"/>
    </row>
    <row r="3994" spans="13:18">
      <c r="M3994" s="34"/>
      <c r="N3994" s="34"/>
      <c r="O3994" s="34"/>
      <c r="P3994" s="34"/>
      <c r="Q3994" s="34"/>
      <c r="R3994" s="34"/>
    </row>
    <row r="3995" spans="13:18">
      <c r="M3995" s="34"/>
      <c r="N3995" s="34"/>
      <c r="O3995" s="34"/>
      <c r="P3995" s="34"/>
      <c r="Q3995" s="34"/>
      <c r="R3995" s="34"/>
    </row>
    <row r="3996" spans="13:18">
      <c r="M3996" s="34"/>
      <c r="N3996" s="34"/>
      <c r="O3996" s="34"/>
      <c r="P3996" s="34"/>
      <c r="Q3996" s="34"/>
      <c r="R3996" s="34"/>
    </row>
    <row r="3997" spans="13:18">
      <c r="M3997" s="34"/>
      <c r="N3997" s="34"/>
      <c r="O3997" s="34"/>
      <c r="P3997" s="34"/>
      <c r="Q3997" s="34"/>
      <c r="R3997" s="34"/>
    </row>
    <row r="3998" spans="13:18">
      <c r="M3998" s="34"/>
      <c r="N3998" s="34"/>
      <c r="O3998" s="34"/>
      <c r="P3998" s="34"/>
      <c r="Q3998" s="34"/>
      <c r="R3998" s="34"/>
    </row>
    <row r="3999" spans="13:18">
      <c r="M3999" s="34"/>
      <c r="N3999" s="34"/>
      <c r="O3999" s="34"/>
      <c r="P3999" s="34"/>
      <c r="Q3999" s="34"/>
      <c r="R3999" s="34"/>
    </row>
    <row r="4000" spans="13:18">
      <c r="M4000" s="34"/>
      <c r="N4000" s="34"/>
      <c r="O4000" s="34"/>
      <c r="P4000" s="34"/>
      <c r="Q4000" s="34"/>
      <c r="R4000" s="34"/>
    </row>
    <row r="4001" spans="13:18">
      <c r="M4001" s="34"/>
      <c r="N4001" s="34"/>
      <c r="O4001" s="34"/>
      <c r="P4001" s="34"/>
      <c r="Q4001" s="34"/>
      <c r="R4001" s="34"/>
    </row>
    <row r="4002" spans="13:18">
      <c r="M4002" s="34"/>
      <c r="N4002" s="34"/>
      <c r="O4002" s="34"/>
      <c r="P4002" s="34"/>
      <c r="Q4002" s="34"/>
      <c r="R4002" s="34"/>
    </row>
    <row r="4003" spans="13:18">
      <c r="M4003" s="34"/>
      <c r="N4003" s="34"/>
      <c r="O4003" s="34"/>
      <c r="P4003" s="34"/>
      <c r="Q4003" s="34"/>
      <c r="R4003" s="34"/>
    </row>
    <row r="4004" spans="13:18">
      <c r="M4004" s="34"/>
      <c r="N4004" s="34"/>
      <c r="O4004" s="34"/>
      <c r="P4004" s="34"/>
      <c r="Q4004" s="34"/>
      <c r="R4004" s="34"/>
    </row>
    <row r="4005" spans="13:18">
      <c r="M4005" s="34"/>
      <c r="N4005" s="34"/>
      <c r="O4005" s="34"/>
      <c r="P4005" s="34"/>
      <c r="Q4005" s="34"/>
      <c r="R4005" s="34"/>
    </row>
    <row r="4006" spans="13:18">
      <c r="M4006" s="34"/>
      <c r="N4006" s="34"/>
      <c r="O4006" s="34"/>
      <c r="P4006" s="34"/>
      <c r="Q4006" s="34"/>
      <c r="R4006" s="34"/>
    </row>
    <row r="4007" spans="13:18">
      <c r="M4007" s="34"/>
      <c r="N4007" s="34"/>
      <c r="O4007" s="34"/>
      <c r="P4007" s="34"/>
      <c r="Q4007" s="34"/>
      <c r="R4007" s="34"/>
    </row>
    <row r="4008" spans="13:18">
      <c r="M4008" s="34"/>
      <c r="N4008" s="34"/>
      <c r="O4008" s="34"/>
      <c r="P4008" s="34"/>
      <c r="Q4008" s="34"/>
      <c r="R4008" s="34"/>
    </row>
    <row r="4009" spans="13:18">
      <c r="M4009" s="34"/>
      <c r="N4009" s="34"/>
      <c r="O4009" s="34"/>
      <c r="P4009" s="34"/>
      <c r="Q4009" s="34"/>
      <c r="R4009" s="34"/>
    </row>
    <row r="4010" spans="13:18">
      <c r="M4010" s="34"/>
      <c r="N4010" s="34"/>
      <c r="O4010" s="34"/>
      <c r="P4010" s="34"/>
      <c r="Q4010" s="34"/>
      <c r="R4010" s="34"/>
    </row>
    <row r="4011" spans="13:18">
      <c r="M4011" s="34"/>
      <c r="N4011" s="34"/>
      <c r="O4011" s="34"/>
      <c r="P4011" s="34"/>
      <c r="Q4011" s="34"/>
      <c r="R4011" s="34"/>
    </row>
    <row r="4012" spans="13:18">
      <c r="M4012" s="34"/>
      <c r="N4012" s="34"/>
      <c r="O4012" s="34"/>
      <c r="P4012" s="34"/>
      <c r="Q4012" s="34"/>
      <c r="R4012" s="34"/>
    </row>
    <row r="4013" spans="13:18">
      <c r="M4013" s="34"/>
      <c r="N4013" s="34"/>
      <c r="O4013" s="34"/>
      <c r="P4013" s="34"/>
      <c r="Q4013" s="34"/>
      <c r="R4013" s="34"/>
    </row>
    <row r="4014" spans="13:18">
      <c r="M4014" s="34"/>
      <c r="N4014" s="34"/>
      <c r="O4014" s="34"/>
      <c r="P4014" s="34"/>
      <c r="Q4014" s="34"/>
      <c r="R4014" s="34"/>
    </row>
    <row r="4015" spans="13:18">
      <c r="M4015" s="34"/>
      <c r="N4015" s="34"/>
      <c r="O4015" s="34"/>
      <c r="P4015" s="34"/>
      <c r="Q4015" s="34"/>
      <c r="R4015" s="34"/>
    </row>
    <row r="4016" spans="13:18">
      <c r="M4016" s="34"/>
      <c r="N4016" s="34"/>
      <c r="O4016" s="34"/>
      <c r="P4016" s="34"/>
      <c r="Q4016" s="34"/>
      <c r="R4016" s="34"/>
    </row>
    <row r="4017" spans="13:18">
      <c r="M4017" s="34"/>
      <c r="N4017" s="34"/>
      <c r="O4017" s="34"/>
      <c r="P4017" s="34"/>
      <c r="Q4017" s="34"/>
      <c r="R4017" s="34"/>
    </row>
    <row r="4018" spans="13:18">
      <c r="M4018" s="34"/>
      <c r="N4018" s="34"/>
      <c r="O4018" s="34"/>
      <c r="P4018" s="34"/>
      <c r="Q4018" s="34"/>
      <c r="R4018" s="34"/>
    </row>
    <row r="4019" spans="13:18">
      <c r="M4019" s="34"/>
      <c r="N4019" s="34"/>
      <c r="O4019" s="34"/>
      <c r="P4019" s="34"/>
      <c r="Q4019" s="34"/>
      <c r="R4019" s="34"/>
    </row>
    <row r="4020" spans="13:18">
      <c r="M4020" s="34"/>
      <c r="N4020" s="34"/>
      <c r="O4020" s="34"/>
      <c r="P4020" s="34"/>
      <c r="Q4020" s="34"/>
      <c r="R4020" s="34"/>
    </row>
    <row r="4021" spans="13:18">
      <c r="M4021" s="34"/>
      <c r="N4021" s="34"/>
      <c r="O4021" s="34"/>
      <c r="P4021" s="34"/>
      <c r="Q4021" s="34"/>
      <c r="R4021" s="34"/>
    </row>
    <row r="4022" spans="13:18">
      <c r="M4022" s="34"/>
      <c r="N4022" s="34"/>
      <c r="O4022" s="34"/>
      <c r="P4022" s="34"/>
      <c r="Q4022" s="34"/>
      <c r="R4022" s="34"/>
    </row>
    <row r="4023" spans="13:18">
      <c r="M4023" s="34"/>
      <c r="N4023" s="34"/>
      <c r="O4023" s="34"/>
      <c r="P4023" s="34"/>
      <c r="Q4023" s="34"/>
      <c r="R4023" s="34"/>
    </row>
    <row r="4024" spans="13:18">
      <c r="M4024" s="34"/>
      <c r="N4024" s="34"/>
      <c r="O4024" s="34"/>
      <c r="P4024" s="34"/>
      <c r="Q4024" s="34"/>
      <c r="R4024" s="34"/>
    </row>
    <row r="4025" spans="13:18">
      <c r="M4025" s="34"/>
      <c r="N4025" s="34"/>
      <c r="O4025" s="34"/>
      <c r="P4025" s="34"/>
      <c r="Q4025" s="34"/>
      <c r="R4025" s="34"/>
    </row>
    <row r="4026" spans="13:18">
      <c r="M4026" s="34"/>
      <c r="N4026" s="34"/>
      <c r="O4026" s="34"/>
      <c r="P4026" s="34"/>
      <c r="Q4026" s="34"/>
      <c r="R4026" s="34"/>
    </row>
    <row r="4027" spans="13:18">
      <c r="M4027" s="34"/>
      <c r="N4027" s="34"/>
      <c r="O4027" s="34"/>
      <c r="P4027" s="34"/>
      <c r="Q4027" s="34"/>
      <c r="R4027" s="34"/>
    </row>
    <row r="4028" spans="13:18">
      <c r="M4028" s="34"/>
      <c r="N4028" s="34"/>
      <c r="O4028" s="34"/>
      <c r="P4028" s="34"/>
      <c r="Q4028" s="34"/>
      <c r="R4028" s="34"/>
    </row>
    <row r="4029" spans="13:18">
      <c r="M4029" s="34"/>
      <c r="N4029" s="34"/>
      <c r="O4029" s="34"/>
      <c r="P4029" s="34"/>
      <c r="Q4029" s="34"/>
      <c r="R4029" s="34"/>
    </row>
    <row r="4030" spans="13:18">
      <c r="M4030" s="34"/>
      <c r="N4030" s="34"/>
      <c r="O4030" s="34"/>
      <c r="P4030" s="34"/>
      <c r="Q4030" s="34"/>
      <c r="R4030" s="34"/>
    </row>
    <row r="4031" spans="13:18">
      <c r="M4031" s="34"/>
      <c r="N4031" s="34"/>
      <c r="O4031" s="34"/>
      <c r="P4031" s="34"/>
      <c r="Q4031" s="34"/>
      <c r="R4031" s="34"/>
    </row>
    <row r="4032" spans="13:18">
      <c r="M4032" s="34"/>
      <c r="N4032" s="34"/>
      <c r="O4032" s="34"/>
      <c r="P4032" s="34"/>
      <c r="Q4032" s="34"/>
      <c r="R4032" s="34"/>
    </row>
    <row r="4033" spans="13:18">
      <c r="M4033" s="34"/>
      <c r="N4033" s="34"/>
      <c r="O4033" s="34"/>
      <c r="P4033" s="34"/>
      <c r="Q4033" s="34"/>
      <c r="R4033" s="34"/>
    </row>
    <row r="4034" spans="13:18">
      <c r="M4034" s="34"/>
      <c r="N4034" s="34"/>
      <c r="O4034" s="34"/>
      <c r="P4034" s="34"/>
      <c r="Q4034" s="34"/>
      <c r="R4034" s="34"/>
    </row>
    <row r="4035" spans="13:18">
      <c r="M4035" s="34"/>
      <c r="N4035" s="34"/>
      <c r="O4035" s="34"/>
      <c r="P4035" s="34"/>
      <c r="Q4035" s="34"/>
      <c r="R4035" s="34"/>
    </row>
    <row r="4036" spans="13:18">
      <c r="M4036" s="34"/>
      <c r="N4036" s="34"/>
      <c r="O4036" s="34"/>
      <c r="P4036" s="34"/>
      <c r="Q4036" s="34"/>
      <c r="R4036" s="34"/>
    </row>
    <row r="4037" spans="13:18">
      <c r="M4037" s="34"/>
      <c r="N4037" s="34"/>
      <c r="O4037" s="34"/>
      <c r="P4037" s="34"/>
      <c r="Q4037" s="34"/>
      <c r="R4037" s="34"/>
    </row>
    <row r="4038" spans="13:18">
      <c r="M4038" s="34"/>
      <c r="N4038" s="34"/>
      <c r="O4038" s="34"/>
      <c r="P4038" s="34"/>
      <c r="Q4038" s="34"/>
      <c r="R4038" s="34"/>
    </row>
    <row r="4039" spans="13:18">
      <c r="M4039" s="34"/>
      <c r="N4039" s="34"/>
      <c r="O4039" s="34"/>
      <c r="P4039" s="34"/>
      <c r="Q4039" s="34"/>
      <c r="R4039" s="34"/>
    </row>
    <row r="4040" spans="13:18">
      <c r="M4040" s="34"/>
      <c r="N4040" s="34"/>
      <c r="O4040" s="34"/>
      <c r="P4040" s="34"/>
      <c r="Q4040" s="34"/>
      <c r="R4040" s="34"/>
    </row>
    <row r="4041" spans="13:18">
      <c r="M4041" s="34"/>
      <c r="N4041" s="34"/>
      <c r="O4041" s="34"/>
      <c r="P4041" s="34"/>
      <c r="Q4041" s="34"/>
      <c r="R4041" s="34"/>
    </row>
    <row r="4042" spans="13:18">
      <c r="M4042" s="34"/>
      <c r="N4042" s="34"/>
      <c r="O4042" s="34"/>
      <c r="P4042" s="34"/>
      <c r="Q4042" s="34"/>
      <c r="R4042" s="34"/>
    </row>
    <row r="4043" spans="13:18">
      <c r="M4043" s="34"/>
      <c r="N4043" s="34"/>
      <c r="O4043" s="34"/>
      <c r="P4043" s="34"/>
      <c r="Q4043" s="34"/>
      <c r="R4043" s="34"/>
    </row>
    <row r="4044" spans="13:18">
      <c r="M4044" s="34"/>
      <c r="N4044" s="34"/>
      <c r="O4044" s="34"/>
      <c r="P4044" s="34"/>
      <c r="Q4044" s="34"/>
      <c r="R4044" s="34"/>
    </row>
    <row r="4045" spans="13:18">
      <c r="M4045" s="34"/>
      <c r="N4045" s="34"/>
      <c r="O4045" s="34"/>
      <c r="P4045" s="34"/>
      <c r="Q4045" s="34"/>
      <c r="R4045" s="34"/>
    </row>
    <row r="4046" spans="13:18">
      <c r="M4046" s="34"/>
      <c r="N4046" s="34"/>
      <c r="O4046" s="34"/>
      <c r="P4046" s="34"/>
      <c r="Q4046" s="34"/>
      <c r="R4046" s="34"/>
    </row>
    <row r="4047" spans="13:18">
      <c r="M4047" s="34"/>
      <c r="N4047" s="34"/>
      <c r="O4047" s="34"/>
      <c r="P4047" s="34"/>
      <c r="Q4047" s="34"/>
      <c r="R4047" s="34"/>
    </row>
    <row r="4048" spans="13:18">
      <c r="M4048" s="34"/>
      <c r="N4048" s="34"/>
      <c r="O4048" s="34"/>
      <c r="P4048" s="34"/>
      <c r="Q4048" s="34"/>
      <c r="R4048" s="34"/>
    </row>
    <row r="4049" spans="13:18">
      <c r="M4049" s="34"/>
      <c r="N4049" s="34"/>
      <c r="O4049" s="34"/>
      <c r="P4049" s="34"/>
      <c r="Q4049" s="34"/>
      <c r="R4049" s="34"/>
    </row>
    <row r="4050" spans="13:18">
      <c r="M4050" s="34"/>
      <c r="N4050" s="34"/>
      <c r="O4050" s="34"/>
      <c r="P4050" s="34"/>
      <c r="Q4050" s="34"/>
      <c r="R4050" s="34"/>
    </row>
    <row r="4051" spans="13:18">
      <c r="M4051" s="34"/>
      <c r="N4051" s="34"/>
      <c r="O4051" s="34"/>
      <c r="P4051" s="34"/>
      <c r="Q4051" s="34"/>
      <c r="R4051" s="34"/>
    </row>
    <row r="4052" spans="13:18">
      <c r="M4052" s="34"/>
      <c r="N4052" s="34"/>
      <c r="O4052" s="34"/>
      <c r="P4052" s="34"/>
      <c r="Q4052" s="34"/>
      <c r="R4052" s="34"/>
    </row>
    <row r="4053" spans="13:18">
      <c r="M4053" s="34"/>
      <c r="N4053" s="34"/>
      <c r="O4053" s="34"/>
      <c r="P4053" s="34"/>
      <c r="Q4053" s="34"/>
      <c r="R4053" s="34"/>
    </row>
    <row r="4054" spans="13:18">
      <c r="M4054" s="34"/>
      <c r="N4054" s="34"/>
      <c r="O4054" s="34"/>
      <c r="P4054" s="34"/>
      <c r="Q4054" s="34"/>
      <c r="R4054" s="34"/>
    </row>
    <row r="4055" spans="13:18">
      <c r="M4055" s="34"/>
      <c r="N4055" s="34"/>
      <c r="O4055" s="34"/>
      <c r="P4055" s="34"/>
      <c r="Q4055" s="34"/>
      <c r="R4055" s="34"/>
    </row>
    <row r="4056" spans="13:18">
      <c r="M4056" s="34"/>
      <c r="N4056" s="34"/>
      <c r="O4056" s="34"/>
      <c r="P4056" s="34"/>
      <c r="Q4056" s="34"/>
      <c r="R4056" s="34"/>
    </row>
    <row r="4057" spans="13:18">
      <c r="M4057" s="34"/>
      <c r="N4057" s="34"/>
      <c r="O4057" s="34"/>
      <c r="P4057" s="34"/>
      <c r="Q4057" s="34"/>
      <c r="R4057" s="34"/>
    </row>
    <row r="4058" spans="13:18">
      <c r="M4058" s="34"/>
      <c r="N4058" s="34"/>
      <c r="O4058" s="34"/>
      <c r="P4058" s="34"/>
      <c r="Q4058" s="34"/>
      <c r="R4058" s="34"/>
    </row>
    <row r="4059" spans="13:18">
      <c r="M4059" s="34"/>
      <c r="N4059" s="34"/>
      <c r="O4059" s="34"/>
      <c r="P4059" s="34"/>
      <c r="Q4059" s="34"/>
      <c r="R4059" s="34"/>
    </row>
    <row r="4060" spans="13:18">
      <c r="M4060" s="34"/>
      <c r="N4060" s="34"/>
      <c r="O4060" s="34"/>
      <c r="P4060" s="34"/>
      <c r="Q4060" s="34"/>
      <c r="R4060" s="34"/>
    </row>
    <row r="4061" spans="13:18">
      <c r="M4061" s="34"/>
      <c r="N4061" s="34"/>
      <c r="O4061" s="34"/>
      <c r="P4061" s="34"/>
      <c r="Q4061" s="34"/>
      <c r="R4061" s="34"/>
    </row>
    <row r="4062" spans="13:18">
      <c r="M4062" s="34"/>
      <c r="N4062" s="34"/>
      <c r="O4062" s="34"/>
      <c r="P4062" s="34"/>
      <c r="Q4062" s="34"/>
      <c r="R4062" s="34"/>
    </row>
    <row r="4063" spans="13:18">
      <c r="M4063" s="34"/>
      <c r="N4063" s="34"/>
      <c r="O4063" s="34"/>
      <c r="P4063" s="34"/>
      <c r="Q4063" s="34"/>
      <c r="R4063" s="34"/>
    </row>
    <row r="4064" spans="13:18">
      <c r="M4064" s="34"/>
      <c r="N4064" s="34"/>
      <c r="O4064" s="34"/>
      <c r="P4064" s="34"/>
      <c r="Q4064" s="34"/>
      <c r="R4064" s="34"/>
    </row>
    <row r="4065" spans="13:18">
      <c r="M4065" s="34"/>
      <c r="N4065" s="34"/>
      <c r="O4065" s="34"/>
      <c r="P4065" s="34"/>
      <c r="Q4065" s="34"/>
      <c r="R4065" s="34"/>
    </row>
    <row r="4066" spans="13:18">
      <c r="M4066" s="34"/>
      <c r="N4066" s="34"/>
      <c r="O4066" s="34"/>
      <c r="P4066" s="34"/>
      <c r="Q4066" s="34"/>
      <c r="R4066" s="34"/>
    </row>
    <row r="4067" spans="13:18">
      <c r="M4067" s="34"/>
      <c r="N4067" s="34"/>
      <c r="O4067" s="34"/>
      <c r="P4067" s="34"/>
      <c r="Q4067" s="34"/>
      <c r="R4067" s="34"/>
    </row>
    <row r="4068" spans="13:18">
      <c r="M4068" s="34"/>
      <c r="N4068" s="34"/>
      <c r="O4068" s="34"/>
      <c r="P4068" s="34"/>
      <c r="Q4068" s="34"/>
      <c r="R4068" s="34"/>
    </row>
    <row r="4069" spans="13:18">
      <c r="M4069" s="34"/>
      <c r="N4069" s="34"/>
      <c r="O4069" s="34"/>
      <c r="P4069" s="34"/>
      <c r="Q4069" s="34"/>
      <c r="R4069" s="34"/>
    </row>
    <row r="4070" spans="13:18">
      <c r="M4070" s="34"/>
      <c r="N4070" s="34"/>
      <c r="O4070" s="34"/>
      <c r="P4070" s="34"/>
      <c r="Q4070" s="34"/>
      <c r="R4070" s="34"/>
    </row>
    <row r="4071" spans="13:18">
      <c r="M4071" s="34"/>
      <c r="N4071" s="34"/>
      <c r="O4071" s="34"/>
      <c r="P4071" s="34"/>
      <c r="Q4071" s="34"/>
      <c r="R4071" s="34"/>
    </row>
    <row r="4072" spans="13:18">
      <c r="M4072" s="34"/>
      <c r="N4072" s="34"/>
      <c r="O4072" s="34"/>
      <c r="P4072" s="34"/>
      <c r="Q4072" s="34"/>
      <c r="R4072" s="34"/>
    </row>
    <row r="4073" spans="13:18">
      <c r="M4073" s="34"/>
      <c r="N4073" s="34"/>
      <c r="O4073" s="34"/>
      <c r="P4073" s="34"/>
      <c r="Q4073" s="34"/>
      <c r="R4073" s="34"/>
    </row>
    <row r="4074" spans="13:18">
      <c r="M4074" s="34"/>
      <c r="N4074" s="34"/>
      <c r="O4074" s="34"/>
      <c r="P4074" s="34"/>
      <c r="Q4074" s="34"/>
      <c r="R4074" s="34"/>
    </row>
    <row r="4075" spans="13:18">
      <c r="M4075" s="34"/>
      <c r="N4075" s="34"/>
      <c r="O4075" s="34"/>
      <c r="P4075" s="34"/>
      <c r="Q4075" s="34"/>
      <c r="R4075" s="34"/>
    </row>
    <row r="4076" spans="13:18">
      <c r="M4076" s="34"/>
      <c r="N4076" s="34"/>
      <c r="O4076" s="34"/>
      <c r="P4076" s="34"/>
      <c r="Q4076" s="34"/>
      <c r="R4076" s="34"/>
    </row>
    <row r="4077" spans="13:18">
      <c r="M4077" s="34"/>
      <c r="N4077" s="34"/>
      <c r="O4077" s="34"/>
      <c r="P4077" s="34"/>
      <c r="Q4077" s="34"/>
      <c r="R4077" s="34"/>
    </row>
    <row r="4078" spans="13:18">
      <c r="M4078" s="34"/>
      <c r="N4078" s="34"/>
      <c r="O4078" s="34"/>
      <c r="P4078" s="34"/>
      <c r="Q4078" s="34"/>
      <c r="R4078" s="34"/>
    </row>
    <row r="4079" spans="13:18">
      <c r="M4079" s="34"/>
      <c r="N4079" s="34"/>
      <c r="O4079" s="34"/>
      <c r="P4079" s="34"/>
      <c r="Q4079" s="34"/>
      <c r="R4079" s="34"/>
    </row>
    <row r="4080" spans="13:18">
      <c r="M4080" s="34"/>
      <c r="N4080" s="34"/>
      <c r="O4080" s="34"/>
      <c r="P4080" s="34"/>
      <c r="Q4080" s="34"/>
      <c r="R4080" s="34"/>
    </row>
    <row r="4081" spans="13:18">
      <c r="M4081" s="34"/>
      <c r="N4081" s="34"/>
      <c r="O4081" s="34"/>
      <c r="P4081" s="34"/>
      <c r="Q4081" s="34"/>
      <c r="R4081" s="34"/>
    </row>
    <row r="4082" spans="13:18">
      <c r="M4082" s="34"/>
      <c r="N4082" s="34"/>
      <c r="O4082" s="34"/>
      <c r="P4082" s="34"/>
      <c r="Q4082" s="34"/>
      <c r="R4082" s="34"/>
    </row>
    <row r="4083" spans="13:18">
      <c r="M4083" s="34"/>
      <c r="N4083" s="34"/>
      <c r="O4083" s="34"/>
      <c r="P4083" s="34"/>
      <c r="Q4083" s="34"/>
      <c r="R4083" s="34"/>
    </row>
    <row r="4084" spans="13:18">
      <c r="M4084" s="34"/>
      <c r="N4084" s="34"/>
      <c r="O4084" s="34"/>
      <c r="P4084" s="34"/>
      <c r="Q4084" s="34"/>
      <c r="R4084" s="34"/>
    </row>
    <row r="4085" spans="13:18">
      <c r="M4085" s="34"/>
      <c r="N4085" s="34"/>
      <c r="O4085" s="34"/>
      <c r="P4085" s="34"/>
      <c r="Q4085" s="34"/>
      <c r="R4085" s="34"/>
    </row>
    <row r="4086" spans="13:18">
      <c r="M4086" s="34"/>
      <c r="N4086" s="34"/>
      <c r="O4086" s="34"/>
      <c r="P4086" s="34"/>
      <c r="Q4086" s="34"/>
      <c r="R4086" s="34"/>
    </row>
    <row r="4087" spans="13:18">
      <c r="M4087" s="34"/>
      <c r="N4087" s="34"/>
      <c r="O4087" s="34"/>
      <c r="P4087" s="34"/>
      <c r="Q4087" s="34"/>
      <c r="R4087" s="34"/>
    </row>
    <row r="4088" spans="13:18">
      <c r="M4088" s="34"/>
      <c r="N4088" s="34"/>
      <c r="O4088" s="34"/>
      <c r="P4088" s="34"/>
      <c r="Q4088" s="34"/>
      <c r="R4088" s="34"/>
    </row>
    <row r="4089" spans="13:18">
      <c r="M4089" s="34"/>
      <c r="N4089" s="34"/>
      <c r="O4089" s="34"/>
      <c r="P4089" s="34"/>
      <c r="Q4089" s="34"/>
      <c r="R4089" s="34"/>
    </row>
    <row r="4090" spans="13:18">
      <c r="M4090" s="34"/>
      <c r="N4090" s="34"/>
      <c r="O4090" s="34"/>
      <c r="P4090" s="34"/>
      <c r="Q4090" s="34"/>
      <c r="R4090" s="34"/>
    </row>
    <row r="4091" spans="13:18">
      <c r="M4091" s="34"/>
      <c r="N4091" s="34"/>
      <c r="O4091" s="34"/>
      <c r="P4091" s="34"/>
      <c r="Q4091" s="34"/>
      <c r="R4091" s="34"/>
    </row>
    <row r="4092" spans="13:18">
      <c r="M4092" s="34"/>
      <c r="N4092" s="34"/>
      <c r="O4092" s="34"/>
      <c r="P4092" s="34"/>
      <c r="Q4092" s="34"/>
      <c r="R4092" s="34"/>
    </row>
    <row r="4093" spans="13:18">
      <c r="M4093" s="34"/>
      <c r="N4093" s="34"/>
      <c r="O4093" s="34"/>
      <c r="P4093" s="34"/>
      <c r="Q4093" s="34"/>
      <c r="R4093" s="34"/>
    </row>
    <row r="4094" spans="13:18">
      <c r="M4094" s="34"/>
      <c r="N4094" s="34"/>
      <c r="O4094" s="34"/>
      <c r="P4094" s="34"/>
      <c r="Q4094" s="34"/>
      <c r="R4094" s="34"/>
    </row>
    <row r="4095" spans="13:18">
      <c r="M4095" s="34"/>
      <c r="N4095" s="34"/>
      <c r="O4095" s="34"/>
      <c r="P4095" s="34"/>
      <c r="Q4095" s="34"/>
      <c r="R4095" s="34"/>
    </row>
    <row r="4096" spans="13:18">
      <c r="M4096" s="34"/>
      <c r="N4096" s="34"/>
      <c r="O4096" s="34"/>
      <c r="P4096" s="34"/>
      <c r="Q4096" s="34"/>
      <c r="R4096" s="34"/>
    </row>
    <row r="4097" spans="13:18">
      <c r="M4097" s="34"/>
      <c r="N4097" s="34"/>
      <c r="O4097" s="34"/>
      <c r="P4097" s="34"/>
      <c r="Q4097" s="34"/>
      <c r="R4097" s="34"/>
    </row>
    <row r="4098" spans="13:18">
      <c r="M4098" s="34"/>
      <c r="N4098" s="34"/>
      <c r="O4098" s="34"/>
      <c r="P4098" s="34"/>
      <c r="Q4098" s="34"/>
      <c r="R4098" s="34"/>
    </row>
    <row r="4099" spans="13:18">
      <c r="M4099" s="34"/>
      <c r="N4099" s="34"/>
      <c r="O4099" s="34"/>
      <c r="P4099" s="34"/>
      <c r="Q4099" s="34"/>
      <c r="R4099" s="34"/>
    </row>
    <row r="4100" spans="13:18">
      <c r="M4100" s="34"/>
      <c r="N4100" s="34"/>
      <c r="O4100" s="34"/>
      <c r="P4100" s="34"/>
      <c r="Q4100" s="34"/>
      <c r="R4100" s="34"/>
    </row>
    <row r="4101" spans="13:18">
      <c r="M4101" s="34"/>
      <c r="N4101" s="34"/>
      <c r="O4101" s="34"/>
      <c r="P4101" s="34"/>
      <c r="Q4101" s="34"/>
      <c r="R4101" s="34"/>
    </row>
    <row r="4102" spans="13:18">
      <c r="M4102" s="34"/>
      <c r="N4102" s="34"/>
      <c r="O4102" s="34"/>
      <c r="P4102" s="34"/>
      <c r="Q4102" s="34"/>
      <c r="R4102" s="34"/>
    </row>
    <row r="4103" spans="13:18">
      <c r="M4103" s="34"/>
      <c r="N4103" s="34"/>
      <c r="O4103" s="34"/>
      <c r="P4103" s="34"/>
      <c r="Q4103" s="34"/>
      <c r="R4103" s="34"/>
    </row>
    <row r="4104" spans="13:18">
      <c r="M4104" s="34"/>
      <c r="N4104" s="34"/>
      <c r="O4104" s="34"/>
      <c r="P4104" s="34"/>
      <c r="Q4104" s="34"/>
      <c r="R4104" s="34"/>
    </row>
    <row r="4105" spans="13:18">
      <c r="M4105" s="34"/>
      <c r="N4105" s="34"/>
      <c r="O4105" s="34"/>
      <c r="P4105" s="34"/>
      <c r="Q4105" s="34"/>
      <c r="R4105" s="34"/>
    </row>
    <row r="4106" spans="13:18">
      <c r="M4106" s="34"/>
      <c r="N4106" s="34"/>
      <c r="O4106" s="34"/>
      <c r="P4106" s="34"/>
      <c r="Q4106" s="34"/>
      <c r="R4106" s="34"/>
    </row>
    <row r="4107" spans="13:18">
      <c r="M4107" s="34"/>
      <c r="N4107" s="34"/>
      <c r="O4107" s="34"/>
      <c r="P4107" s="34"/>
      <c r="Q4107" s="34"/>
      <c r="R4107" s="34"/>
    </row>
    <row r="4108" spans="13:18">
      <c r="M4108" s="34"/>
      <c r="N4108" s="34"/>
      <c r="O4108" s="34"/>
      <c r="P4108" s="34"/>
      <c r="Q4108" s="34"/>
      <c r="R4108" s="34"/>
    </row>
    <row r="4109" spans="13:18">
      <c r="M4109" s="34"/>
      <c r="N4109" s="34"/>
      <c r="O4109" s="34"/>
      <c r="P4109" s="34"/>
      <c r="Q4109" s="34"/>
      <c r="R4109" s="34"/>
    </row>
    <row r="4110" spans="13:18">
      <c r="M4110" s="34"/>
      <c r="N4110" s="34"/>
      <c r="O4110" s="34"/>
      <c r="P4110" s="34"/>
      <c r="Q4110" s="34"/>
      <c r="R4110" s="34"/>
    </row>
    <row r="4111" spans="13:18">
      <c r="M4111" s="34"/>
      <c r="N4111" s="34"/>
      <c r="O4111" s="34"/>
      <c r="P4111" s="34"/>
      <c r="Q4111" s="34"/>
      <c r="R4111" s="34"/>
    </row>
    <row r="4112" spans="13:18">
      <c r="M4112" s="34"/>
      <c r="N4112" s="34"/>
      <c r="O4112" s="34"/>
      <c r="P4112" s="34"/>
      <c r="Q4112" s="34"/>
      <c r="R4112" s="34"/>
    </row>
    <row r="4113" spans="13:18">
      <c r="M4113" s="34"/>
      <c r="N4113" s="34"/>
      <c r="O4113" s="34"/>
      <c r="P4113" s="34"/>
      <c r="Q4113" s="34"/>
      <c r="R4113" s="34"/>
    </row>
    <row r="4114" spans="13:18">
      <c r="M4114" s="34"/>
      <c r="N4114" s="34"/>
      <c r="O4114" s="34"/>
      <c r="P4114" s="34"/>
      <c r="Q4114" s="34"/>
      <c r="R4114" s="34"/>
    </row>
    <row r="4115" spans="13:18">
      <c r="M4115" s="34"/>
      <c r="N4115" s="34"/>
      <c r="O4115" s="34"/>
      <c r="P4115" s="34"/>
      <c r="Q4115" s="34"/>
      <c r="R4115" s="34"/>
    </row>
    <row r="4116" spans="13:18">
      <c r="M4116" s="34"/>
      <c r="N4116" s="34"/>
      <c r="O4116" s="34"/>
      <c r="P4116" s="34"/>
      <c r="Q4116" s="34"/>
      <c r="R4116" s="34"/>
    </row>
    <row r="4117" spans="13:18">
      <c r="M4117" s="34"/>
      <c r="N4117" s="34"/>
      <c r="O4117" s="34"/>
      <c r="P4117" s="34"/>
      <c r="Q4117" s="34"/>
      <c r="R4117" s="34"/>
    </row>
    <row r="4118" spans="13:18">
      <c r="M4118" s="34"/>
      <c r="N4118" s="34"/>
      <c r="O4118" s="34"/>
      <c r="P4118" s="34"/>
      <c r="Q4118" s="34"/>
      <c r="R4118" s="34"/>
    </row>
    <row r="4119" spans="13:18">
      <c r="M4119" s="34"/>
      <c r="N4119" s="34"/>
      <c r="O4119" s="34"/>
      <c r="P4119" s="34"/>
      <c r="Q4119" s="34"/>
      <c r="R4119" s="34"/>
    </row>
    <row r="4120" spans="13:18">
      <c r="M4120" s="34"/>
      <c r="N4120" s="34"/>
      <c r="O4120" s="34"/>
      <c r="P4120" s="34"/>
      <c r="Q4120" s="34"/>
      <c r="R4120" s="34"/>
    </row>
    <row r="4121" spans="13:18">
      <c r="M4121" s="34"/>
      <c r="N4121" s="34"/>
      <c r="O4121" s="34"/>
      <c r="P4121" s="34"/>
      <c r="Q4121" s="34"/>
      <c r="R4121" s="34"/>
    </row>
    <row r="4122" spans="13:18">
      <c r="M4122" s="34"/>
      <c r="N4122" s="34"/>
      <c r="O4122" s="34"/>
      <c r="P4122" s="34"/>
      <c r="Q4122" s="34"/>
      <c r="R4122" s="34"/>
    </row>
    <row r="4123" spans="13:18">
      <c r="M4123" s="34"/>
      <c r="N4123" s="34"/>
      <c r="O4123" s="34"/>
      <c r="P4123" s="34"/>
      <c r="Q4123" s="34"/>
      <c r="R4123" s="34"/>
    </row>
    <row r="4124" spans="13:18">
      <c r="M4124" s="34"/>
      <c r="N4124" s="34"/>
      <c r="O4124" s="34"/>
      <c r="P4124" s="34"/>
      <c r="Q4124" s="34"/>
      <c r="R4124" s="34"/>
    </row>
    <row r="4125" spans="13:18">
      <c r="M4125" s="34"/>
      <c r="N4125" s="34"/>
      <c r="O4125" s="34"/>
      <c r="P4125" s="34"/>
      <c r="Q4125" s="34"/>
      <c r="R4125" s="34"/>
    </row>
    <row r="4126" spans="13:18">
      <c r="M4126" s="34"/>
      <c r="N4126" s="34"/>
      <c r="O4126" s="34"/>
      <c r="P4126" s="34"/>
      <c r="Q4126" s="34"/>
      <c r="R4126" s="34"/>
    </row>
    <row r="4127" spans="13:18">
      <c r="M4127" s="34"/>
      <c r="N4127" s="34"/>
      <c r="O4127" s="34"/>
      <c r="P4127" s="34"/>
      <c r="Q4127" s="34"/>
      <c r="R4127" s="34"/>
    </row>
    <row r="4128" spans="13:18">
      <c r="M4128" s="34"/>
      <c r="N4128" s="34"/>
      <c r="O4128" s="34"/>
      <c r="P4128" s="34"/>
      <c r="Q4128" s="34"/>
      <c r="R4128" s="34"/>
    </row>
    <row r="4129" spans="13:18">
      <c r="M4129" s="34"/>
      <c r="N4129" s="34"/>
      <c r="O4129" s="34"/>
      <c r="P4129" s="34"/>
      <c r="Q4129" s="34"/>
      <c r="R4129" s="34"/>
    </row>
    <row r="4130" spans="13:18">
      <c r="M4130" s="34"/>
      <c r="N4130" s="34"/>
      <c r="O4130" s="34"/>
      <c r="P4130" s="34"/>
      <c r="Q4130" s="34"/>
      <c r="R4130" s="34"/>
    </row>
    <row r="4131" spans="13:18">
      <c r="M4131" s="34"/>
      <c r="N4131" s="34"/>
      <c r="O4131" s="34"/>
      <c r="P4131" s="34"/>
      <c r="Q4131" s="34"/>
      <c r="R4131" s="34"/>
    </row>
    <row r="4132" spans="13:18">
      <c r="M4132" s="34"/>
      <c r="N4132" s="34"/>
      <c r="O4132" s="34"/>
      <c r="P4132" s="34"/>
      <c r="Q4132" s="34"/>
      <c r="R4132" s="34"/>
    </row>
    <row r="4133" spans="13:18">
      <c r="M4133" s="34"/>
      <c r="N4133" s="34"/>
      <c r="O4133" s="34"/>
      <c r="P4133" s="34"/>
      <c r="Q4133" s="34"/>
      <c r="R4133" s="34"/>
    </row>
    <row r="4134" spans="13:18">
      <c r="M4134" s="34"/>
      <c r="N4134" s="34"/>
      <c r="O4134" s="34"/>
      <c r="P4134" s="34"/>
      <c r="Q4134" s="34"/>
      <c r="R4134" s="34"/>
    </row>
    <row r="4135" spans="13:18">
      <c r="M4135" s="34"/>
      <c r="N4135" s="34"/>
      <c r="O4135" s="34"/>
      <c r="P4135" s="34"/>
      <c r="Q4135" s="34"/>
      <c r="R4135" s="34"/>
    </row>
    <row r="4136" spans="13:18">
      <c r="M4136" s="34"/>
      <c r="N4136" s="34"/>
      <c r="O4136" s="34"/>
      <c r="P4136" s="34"/>
      <c r="Q4136" s="34"/>
      <c r="R4136" s="34"/>
    </row>
    <row r="4137" spans="13:18">
      <c r="M4137" s="34"/>
      <c r="N4137" s="34"/>
      <c r="O4137" s="34"/>
      <c r="P4137" s="34"/>
      <c r="Q4137" s="34"/>
      <c r="R4137" s="34"/>
    </row>
    <row r="4138" spans="13:18">
      <c r="M4138" s="34"/>
      <c r="N4138" s="34"/>
      <c r="O4138" s="34"/>
      <c r="P4138" s="34"/>
      <c r="Q4138" s="34"/>
      <c r="R4138" s="34"/>
    </row>
    <row r="4139" spans="13:18">
      <c r="M4139" s="34"/>
      <c r="N4139" s="34"/>
      <c r="O4139" s="34"/>
      <c r="P4139" s="34"/>
      <c r="Q4139" s="34"/>
      <c r="R4139" s="34"/>
    </row>
    <row r="4140" spans="13:18">
      <c r="M4140" s="34"/>
      <c r="N4140" s="34"/>
      <c r="O4140" s="34"/>
      <c r="P4140" s="34"/>
      <c r="Q4140" s="34"/>
      <c r="R4140" s="34"/>
    </row>
    <row r="4141" spans="13:18">
      <c r="M4141" s="34"/>
      <c r="N4141" s="34"/>
      <c r="O4141" s="34"/>
      <c r="P4141" s="34"/>
      <c r="Q4141" s="34"/>
      <c r="R4141" s="34"/>
    </row>
    <row r="4142" spans="13:18">
      <c r="M4142" s="34"/>
      <c r="N4142" s="34"/>
      <c r="O4142" s="34"/>
      <c r="P4142" s="34"/>
      <c r="Q4142" s="34"/>
      <c r="R4142" s="34"/>
    </row>
    <row r="4143" spans="13:18">
      <c r="M4143" s="34"/>
      <c r="N4143" s="34"/>
      <c r="O4143" s="34"/>
      <c r="P4143" s="34"/>
      <c r="Q4143" s="34"/>
      <c r="R4143" s="34"/>
    </row>
    <row r="4144" spans="13:18">
      <c r="M4144" s="34"/>
      <c r="N4144" s="34"/>
      <c r="O4144" s="34"/>
      <c r="P4144" s="34"/>
      <c r="Q4144" s="34"/>
      <c r="R4144" s="34"/>
    </row>
    <row r="4145" spans="13:18">
      <c r="M4145" s="34"/>
      <c r="N4145" s="34"/>
      <c r="O4145" s="34"/>
      <c r="P4145" s="34"/>
      <c r="Q4145" s="34"/>
      <c r="R4145" s="34"/>
    </row>
    <row r="4146" spans="13:18">
      <c r="M4146" s="34"/>
      <c r="N4146" s="34"/>
      <c r="O4146" s="34"/>
      <c r="P4146" s="34"/>
      <c r="Q4146" s="34"/>
      <c r="R4146" s="34"/>
    </row>
    <row r="4147" spans="13:18">
      <c r="M4147" s="34"/>
      <c r="N4147" s="34"/>
      <c r="O4147" s="34"/>
      <c r="P4147" s="34"/>
      <c r="Q4147" s="34"/>
      <c r="R4147" s="34"/>
    </row>
    <row r="4148" spans="13:18">
      <c r="M4148" s="34"/>
      <c r="N4148" s="34"/>
      <c r="O4148" s="34"/>
      <c r="P4148" s="34"/>
      <c r="Q4148" s="34"/>
      <c r="R4148" s="34"/>
    </row>
    <row r="4149" spans="13:18">
      <c r="M4149" s="34"/>
      <c r="N4149" s="34"/>
      <c r="O4149" s="34"/>
      <c r="P4149" s="34"/>
      <c r="Q4149" s="34"/>
      <c r="R4149" s="34"/>
    </row>
    <row r="4150" spans="13:18">
      <c r="M4150" s="34"/>
      <c r="N4150" s="34"/>
      <c r="O4150" s="34"/>
      <c r="P4150" s="34"/>
      <c r="Q4150" s="34"/>
      <c r="R4150" s="34"/>
    </row>
    <row r="4151" spans="13:18">
      <c r="M4151" s="34"/>
      <c r="N4151" s="34"/>
      <c r="O4151" s="34"/>
      <c r="P4151" s="34"/>
      <c r="Q4151" s="34"/>
      <c r="R4151" s="34"/>
    </row>
    <row r="4152" spans="13:18">
      <c r="M4152" s="34"/>
      <c r="N4152" s="34"/>
      <c r="O4152" s="34"/>
      <c r="P4152" s="34"/>
      <c r="Q4152" s="34"/>
      <c r="R4152" s="34"/>
    </row>
    <row r="4153" spans="13:18">
      <c r="M4153" s="34"/>
      <c r="N4153" s="34"/>
      <c r="O4153" s="34"/>
      <c r="P4153" s="34"/>
      <c r="Q4153" s="34"/>
      <c r="R4153" s="34"/>
    </row>
    <row r="4154" spans="13:18">
      <c r="M4154" s="34"/>
      <c r="N4154" s="34"/>
      <c r="O4154" s="34"/>
      <c r="P4154" s="34"/>
      <c r="Q4154" s="34"/>
      <c r="R4154" s="34"/>
    </row>
    <row r="4155" spans="13:18">
      <c r="M4155" s="34"/>
      <c r="N4155" s="34"/>
      <c r="O4155" s="34"/>
      <c r="P4155" s="34"/>
      <c r="Q4155" s="34"/>
      <c r="R4155" s="34"/>
    </row>
    <row r="4156" spans="13:18">
      <c r="M4156" s="34"/>
      <c r="N4156" s="34"/>
      <c r="O4156" s="34"/>
      <c r="P4156" s="34"/>
      <c r="Q4156" s="34"/>
      <c r="R4156" s="34"/>
    </row>
    <row r="4157" spans="13:18">
      <c r="M4157" s="34"/>
      <c r="N4157" s="34"/>
      <c r="O4157" s="34"/>
      <c r="P4157" s="34"/>
      <c r="Q4157" s="34"/>
      <c r="R4157" s="34"/>
    </row>
    <row r="4158" spans="13:18">
      <c r="M4158" s="34"/>
      <c r="N4158" s="34"/>
      <c r="O4158" s="34"/>
      <c r="P4158" s="34"/>
      <c r="Q4158" s="34"/>
      <c r="R4158" s="34"/>
    </row>
    <row r="4159" spans="13:18">
      <c r="M4159" s="34"/>
      <c r="N4159" s="34"/>
      <c r="O4159" s="34"/>
      <c r="P4159" s="34"/>
      <c r="Q4159" s="34"/>
      <c r="R4159" s="34"/>
    </row>
    <row r="4160" spans="13:18">
      <c r="M4160" s="34"/>
      <c r="N4160" s="34"/>
      <c r="O4160" s="34"/>
      <c r="P4160" s="34"/>
      <c r="Q4160" s="34"/>
      <c r="R4160" s="34"/>
    </row>
    <row r="4161" spans="13:18">
      <c r="M4161" s="34"/>
      <c r="N4161" s="34"/>
      <c r="O4161" s="34"/>
      <c r="P4161" s="34"/>
      <c r="Q4161" s="34"/>
      <c r="R4161" s="34"/>
    </row>
    <row r="4162" spans="13:18">
      <c r="M4162" s="34"/>
      <c r="N4162" s="34"/>
      <c r="O4162" s="34"/>
      <c r="P4162" s="34"/>
      <c r="Q4162" s="34"/>
      <c r="R4162" s="34"/>
    </row>
    <row r="4163" spans="13:18">
      <c r="M4163" s="34"/>
      <c r="N4163" s="34"/>
      <c r="O4163" s="34"/>
      <c r="P4163" s="34"/>
      <c r="Q4163" s="34"/>
      <c r="R4163" s="34"/>
    </row>
    <row r="4164" spans="13:18">
      <c r="M4164" s="34"/>
      <c r="N4164" s="34"/>
      <c r="O4164" s="34"/>
      <c r="P4164" s="34"/>
      <c r="Q4164" s="34"/>
      <c r="R4164" s="34"/>
    </row>
    <row r="4165" spans="13:18">
      <c r="M4165" s="34"/>
      <c r="N4165" s="34"/>
      <c r="O4165" s="34"/>
      <c r="P4165" s="34"/>
      <c r="Q4165" s="34"/>
      <c r="R4165" s="34"/>
    </row>
    <row r="4166" spans="13:18">
      <c r="M4166" s="34"/>
      <c r="N4166" s="34"/>
      <c r="O4166" s="34"/>
      <c r="P4166" s="34"/>
      <c r="Q4166" s="34"/>
      <c r="R4166" s="34"/>
    </row>
    <row r="4167" spans="13:18">
      <c r="M4167" s="34"/>
      <c r="N4167" s="34"/>
      <c r="O4167" s="34"/>
      <c r="P4167" s="34"/>
      <c r="Q4167" s="34"/>
      <c r="R4167" s="34"/>
    </row>
    <row r="4168" spans="13:18">
      <c r="M4168" s="34"/>
      <c r="N4168" s="34"/>
      <c r="O4168" s="34"/>
      <c r="P4168" s="34"/>
      <c r="Q4168" s="34"/>
      <c r="R4168" s="34"/>
    </row>
    <row r="4169" spans="13:18">
      <c r="M4169" s="34"/>
      <c r="N4169" s="34"/>
      <c r="O4169" s="34"/>
      <c r="P4169" s="34"/>
      <c r="Q4169" s="34"/>
      <c r="R4169" s="34"/>
    </row>
    <row r="4170" spans="13:18">
      <c r="M4170" s="34"/>
      <c r="N4170" s="34"/>
      <c r="O4170" s="34"/>
      <c r="P4170" s="34"/>
      <c r="Q4170" s="34"/>
      <c r="R4170" s="34"/>
    </row>
    <row r="4171" spans="13:18">
      <c r="M4171" s="34"/>
      <c r="N4171" s="34"/>
      <c r="O4171" s="34"/>
      <c r="P4171" s="34"/>
      <c r="Q4171" s="34"/>
      <c r="R4171" s="34"/>
    </row>
    <row r="4172" spans="13:18">
      <c r="M4172" s="34"/>
      <c r="N4172" s="34"/>
      <c r="O4172" s="34"/>
      <c r="P4172" s="34"/>
      <c r="Q4172" s="34"/>
      <c r="R4172" s="34"/>
    </row>
    <row r="4173" spans="13:18">
      <c r="M4173" s="34"/>
      <c r="N4173" s="34"/>
      <c r="O4173" s="34"/>
      <c r="P4173" s="34"/>
      <c r="Q4173" s="34"/>
      <c r="R4173" s="34"/>
    </row>
    <row r="4174" spans="13:18">
      <c r="M4174" s="34"/>
      <c r="N4174" s="34"/>
      <c r="O4174" s="34"/>
      <c r="P4174" s="34"/>
      <c r="Q4174" s="34"/>
      <c r="R4174" s="34"/>
    </row>
    <row r="4175" spans="13:18">
      <c r="M4175" s="34"/>
      <c r="N4175" s="34"/>
      <c r="O4175" s="34"/>
      <c r="P4175" s="34"/>
      <c r="Q4175" s="34"/>
      <c r="R4175" s="34"/>
    </row>
    <row r="4176" spans="13:18">
      <c r="M4176" s="34"/>
      <c r="N4176" s="34"/>
      <c r="O4176" s="34"/>
      <c r="P4176" s="34"/>
      <c r="Q4176" s="34"/>
      <c r="R4176" s="34"/>
    </row>
    <row r="4177" spans="13:18">
      <c r="M4177" s="34"/>
      <c r="N4177" s="34"/>
      <c r="O4177" s="34"/>
      <c r="P4177" s="34"/>
      <c r="Q4177" s="34"/>
      <c r="R4177" s="34"/>
    </row>
    <row r="4178" spans="13:18">
      <c r="M4178" s="34"/>
      <c r="N4178" s="34"/>
      <c r="O4178" s="34"/>
      <c r="P4178" s="34"/>
      <c r="Q4178" s="34"/>
      <c r="R4178" s="34"/>
    </row>
    <row r="4179" spans="13:18">
      <c r="M4179" s="34"/>
      <c r="N4179" s="34"/>
      <c r="O4179" s="34"/>
      <c r="P4179" s="34"/>
      <c r="Q4179" s="34"/>
      <c r="R4179" s="34"/>
    </row>
    <row r="4180" spans="13:18">
      <c r="M4180" s="34"/>
      <c r="N4180" s="34"/>
      <c r="O4180" s="34"/>
      <c r="P4180" s="34"/>
      <c r="Q4180" s="34"/>
      <c r="R4180" s="34"/>
    </row>
    <row r="4181" spans="13:18">
      <c r="M4181" s="34"/>
      <c r="N4181" s="34"/>
      <c r="O4181" s="34"/>
      <c r="P4181" s="34"/>
      <c r="Q4181" s="34"/>
      <c r="R4181" s="34"/>
    </row>
    <row r="4182" spans="13:18">
      <c r="M4182" s="34"/>
      <c r="N4182" s="34"/>
      <c r="O4182" s="34"/>
      <c r="P4182" s="34"/>
      <c r="Q4182" s="34"/>
      <c r="R4182" s="34"/>
    </row>
    <row r="4183" spans="13:18">
      <c r="M4183" s="34"/>
      <c r="N4183" s="34"/>
      <c r="O4183" s="34"/>
      <c r="P4183" s="34"/>
      <c r="Q4183" s="34"/>
      <c r="R4183" s="34"/>
    </row>
    <row r="4184" spans="13:18">
      <c r="M4184" s="34"/>
      <c r="N4184" s="34"/>
      <c r="O4184" s="34"/>
      <c r="P4184" s="34"/>
      <c r="Q4184" s="34"/>
      <c r="R4184" s="34"/>
    </row>
    <row r="4185" spans="13:18">
      <c r="M4185" s="34"/>
      <c r="N4185" s="34"/>
      <c r="O4185" s="34"/>
      <c r="P4185" s="34"/>
      <c r="Q4185" s="34"/>
      <c r="R4185" s="34"/>
    </row>
    <row r="4186" spans="13:18">
      <c r="M4186" s="34"/>
      <c r="N4186" s="34"/>
      <c r="O4186" s="34"/>
      <c r="P4186" s="34"/>
      <c r="Q4186" s="34"/>
      <c r="R4186" s="34"/>
    </row>
    <row r="4187" spans="13:18">
      <c r="M4187" s="34"/>
      <c r="N4187" s="34"/>
      <c r="O4187" s="34"/>
      <c r="P4187" s="34"/>
      <c r="Q4187" s="34"/>
      <c r="R4187" s="34"/>
    </row>
    <row r="4188" spans="13:18">
      <c r="M4188" s="34"/>
      <c r="N4188" s="34"/>
      <c r="O4188" s="34"/>
      <c r="P4188" s="34"/>
      <c r="Q4188" s="34"/>
      <c r="R4188" s="34"/>
    </row>
    <row r="4189" spans="13:18">
      <c r="M4189" s="34"/>
      <c r="N4189" s="34"/>
      <c r="O4189" s="34"/>
      <c r="P4189" s="34"/>
      <c r="Q4189" s="34"/>
      <c r="R4189" s="34"/>
    </row>
    <row r="4190" spans="13:18">
      <c r="M4190" s="34"/>
      <c r="N4190" s="34"/>
      <c r="O4190" s="34"/>
      <c r="P4190" s="34"/>
      <c r="Q4190" s="34"/>
      <c r="R4190" s="34"/>
    </row>
    <row r="4191" spans="13:18">
      <c r="M4191" s="34"/>
      <c r="N4191" s="34"/>
      <c r="O4191" s="34"/>
      <c r="P4191" s="34"/>
      <c r="Q4191" s="34"/>
      <c r="R4191" s="34"/>
    </row>
    <row r="4192" spans="13:18">
      <c r="M4192" s="34"/>
      <c r="N4192" s="34"/>
      <c r="O4192" s="34"/>
      <c r="P4192" s="34"/>
      <c r="Q4192" s="34"/>
      <c r="R4192" s="34"/>
    </row>
    <row r="4193" spans="13:18">
      <c r="M4193" s="34"/>
      <c r="N4193" s="34"/>
      <c r="O4193" s="34"/>
      <c r="P4193" s="34"/>
      <c r="Q4193" s="34"/>
      <c r="R4193" s="34"/>
    </row>
    <row r="4194" spans="13:18">
      <c r="M4194" s="34"/>
      <c r="N4194" s="34"/>
      <c r="O4194" s="34"/>
      <c r="P4194" s="34"/>
      <c r="Q4194" s="34"/>
      <c r="R4194" s="34"/>
    </row>
    <row r="4195" spans="13:18">
      <c r="M4195" s="34"/>
      <c r="N4195" s="34"/>
      <c r="O4195" s="34"/>
      <c r="P4195" s="34"/>
      <c r="Q4195" s="34"/>
      <c r="R4195" s="34"/>
    </row>
    <row r="4196" spans="13:18">
      <c r="M4196" s="34"/>
      <c r="N4196" s="34"/>
      <c r="O4196" s="34"/>
      <c r="P4196" s="34"/>
      <c r="Q4196" s="34"/>
      <c r="R4196" s="34"/>
    </row>
    <row r="4197" spans="13:18">
      <c r="M4197" s="34"/>
      <c r="N4197" s="34"/>
      <c r="O4197" s="34"/>
      <c r="P4197" s="34"/>
      <c r="Q4197" s="34"/>
      <c r="R4197" s="34"/>
    </row>
    <row r="4198" spans="13:18">
      <c r="M4198" s="34"/>
      <c r="N4198" s="34"/>
      <c r="O4198" s="34"/>
      <c r="P4198" s="34"/>
      <c r="Q4198" s="34"/>
      <c r="R4198" s="34"/>
    </row>
    <row r="4199" spans="13:18">
      <c r="M4199" s="34"/>
      <c r="N4199" s="34"/>
      <c r="O4199" s="34"/>
      <c r="P4199" s="34"/>
      <c r="Q4199" s="34"/>
      <c r="R4199" s="34"/>
    </row>
    <row r="4200" spans="13:18">
      <c r="M4200" s="34"/>
      <c r="N4200" s="34"/>
      <c r="O4200" s="34"/>
      <c r="P4200" s="34"/>
      <c r="Q4200" s="34"/>
      <c r="R4200" s="34"/>
    </row>
    <row r="4201" spans="13:18">
      <c r="M4201" s="34"/>
      <c r="N4201" s="34"/>
      <c r="O4201" s="34"/>
      <c r="P4201" s="34"/>
      <c r="Q4201" s="34"/>
      <c r="R4201" s="34"/>
    </row>
    <row r="4202" spans="13:18">
      <c r="M4202" s="34"/>
      <c r="N4202" s="34"/>
      <c r="O4202" s="34"/>
      <c r="P4202" s="34"/>
      <c r="Q4202" s="34"/>
      <c r="R4202" s="34"/>
    </row>
    <row r="4203" spans="13:18">
      <c r="M4203" s="34"/>
      <c r="N4203" s="34"/>
      <c r="O4203" s="34"/>
      <c r="P4203" s="34"/>
      <c r="Q4203" s="34"/>
      <c r="R4203" s="34"/>
    </row>
    <row r="4204" spans="13:18">
      <c r="M4204" s="34"/>
      <c r="N4204" s="34"/>
      <c r="O4204" s="34"/>
      <c r="P4204" s="34"/>
      <c r="Q4204" s="34"/>
      <c r="R4204" s="34"/>
    </row>
    <row r="4205" spans="13:18">
      <c r="M4205" s="34"/>
      <c r="N4205" s="34"/>
      <c r="O4205" s="34"/>
      <c r="P4205" s="34"/>
      <c r="Q4205" s="34"/>
      <c r="R4205" s="34"/>
    </row>
    <row r="4206" spans="13:18">
      <c r="M4206" s="34"/>
      <c r="N4206" s="34"/>
      <c r="O4206" s="34"/>
      <c r="P4206" s="34"/>
      <c r="Q4206" s="34"/>
      <c r="R4206" s="34"/>
    </row>
    <row r="4207" spans="13:18">
      <c r="M4207" s="34"/>
      <c r="N4207" s="34"/>
      <c r="O4207" s="34"/>
      <c r="P4207" s="34"/>
      <c r="Q4207" s="34"/>
      <c r="R4207" s="34"/>
    </row>
    <row r="4208" spans="13:18">
      <c r="M4208" s="34"/>
      <c r="N4208" s="34"/>
      <c r="O4208" s="34"/>
      <c r="P4208" s="34"/>
      <c r="Q4208" s="34"/>
      <c r="R4208" s="34"/>
    </row>
    <row r="4209" spans="13:18">
      <c r="M4209" s="34"/>
      <c r="N4209" s="34"/>
      <c r="O4209" s="34"/>
      <c r="P4209" s="34"/>
      <c r="Q4209" s="34"/>
      <c r="R4209" s="34"/>
    </row>
    <row r="4210" spans="13:18">
      <c r="M4210" s="34"/>
      <c r="N4210" s="34"/>
      <c r="O4210" s="34"/>
      <c r="P4210" s="34"/>
      <c r="Q4210" s="34"/>
      <c r="R4210" s="34"/>
    </row>
    <row r="4211" spans="13:18">
      <c r="M4211" s="34"/>
      <c r="N4211" s="34"/>
      <c r="O4211" s="34"/>
      <c r="P4211" s="34"/>
      <c r="Q4211" s="34"/>
      <c r="R4211" s="34"/>
    </row>
    <row r="4212" spans="13:18">
      <c r="M4212" s="34"/>
      <c r="N4212" s="34"/>
      <c r="O4212" s="34"/>
      <c r="P4212" s="34"/>
      <c r="Q4212" s="34"/>
      <c r="R4212" s="34"/>
    </row>
    <row r="4213" spans="13:18">
      <c r="M4213" s="34"/>
      <c r="N4213" s="34"/>
      <c r="O4213" s="34"/>
      <c r="P4213" s="34"/>
      <c r="Q4213" s="34"/>
      <c r="R4213" s="34"/>
    </row>
    <row r="4214" spans="13:18">
      <c r="M4214" s="34"/>
      <c r="N4214" s="34"/>
      <c r="O4214" s="34"/>
      <c r="P4214" s="34"/>
      <c r="Q4214" s="34"/>
      <c r="R4214" s="34"/>
    </row>
    <row r="4215" spans="13:18">
      <c r="M4215" s="34"/>
      <c r="N4215" s="34"/>
      <c r="O4215" s="34"/>
      <c r="P4215" s="34"/>
      <c r="Q4215" s="34"/>
      <c r="R4215" s="34"/>
    </row>
    <row r="4216" spans="13:18">
      <c r="M4216" s="34"/>
      <c r="N4216" s="34"/>
      <c r="O4216" s="34"/>
      <c r="P4216" s="34"/>
      <c r="Q4216" s="34"/>
      <c r="R4216" s="34"/>
    </row>
    <row r="4217" spans="13:18">
      <c r="M4217" s="34"/>
      <c r="N4217" s="34"/>
      <c r="O4217" s="34"/>
      <c r="P4217" s="34"/>
      <c r="Q4217" s="34"/>
      <c r="R4217" s="34"/>
    </row>
    <row r="4218" spans="13:18">
      <c r="M4218" s="34"/>
      <c r="N4218" s="34"/>
      <c r="O4218" s="34"/>
      <c r="P4218" s="34"/>
      <c r="Q4218" s="34"/>
      <c r="R4218" s="34"/>
    </row>
    <row r="4219" spans="13:18">
      <c r="M4219" s="34"/>
      <c r="N4219" s="34"/>
      <c r="O4219" s="34"/>
      <c r="P4219" s="34"/>
      <c r="Q4219" s="34"/>
      <c r="R4219" s="34"/>
    </row>
    <row r="4220" spans="13:18">
      <c r="M4220" s="34"/>
      <c r="N4220" s="34"/>
      <c r="O4220" s="34"/>
      <c r="P4220" s="34"/>
      <c r="Q4220" s="34"/>
      <c r="R4220" s="34"/>
    </row>
    <row r="4221" spans="13:18">
      <c r="M4221" s="34"/>
      <c r="N4221" s="34"/>
      <c r="O4221" s="34"/>
      <c r="P4221" s="34"/>
      <c r="Q4221" s="34"/>
      <c r="R4221" s="34"/>
    </row>
    <row r="4222" spans="13:18">
      <c r="M4222" s="34"/>
      <c r="N4222" s="34"/>
      <c r="O4222" s="34"/>
      <c r="P4222" s="34"/>
      <c r="Q4222" s="34"/>
      <c r="R4222" s="34"/>
    </row>
    <row r="4223" spans="13:18">
      <c r="M4223" s="34"/>
      <c r="N4223" s="34"/>
      <c r="O4223" s="34"/>
      <c r="P4223" s="34"/>
      <c r="Q4223" s="34"/>
      <c r="R4223" s="34"/>
    </row>
    <row r="4224" spans="13:18">
      <c r="M4224" s="34"/>
      <c r="N4224" s="34"/>
      <c r="O4224" s="34"/>
      <c r="P4224" s="34"/>
      <c r="Q4224" s="34"/>
      <c r="R4224" s="34"/>
    </row>
    <row r="4225" spans="13:18">
      <c r="M4225" s="34"/>
      <c r="N4225" s="34"/>
      <c r="O4225" s="34"/>
      <c r="P4225" s="34"/>
      <c r="Q4225" s="34"/>
      <c r="R4225" s="34"/>
    </row>
    <row r="4226" spans="13:18">
      <c r="M4226" s="34"/>
      <c r="N4226" s="34"/>
      <c r="O4226" s="34"/>
      <c r="P4226" s="34"/>
      <c r="Q4226" s="34"/>
      <c r="R4226" s="34"/>
    </row>
    <row r="4227" spans="13:18">
      <c r="M4227" s="34"/>
      <c r="N4227" s="34"/>
      <c r="O4227" s="34"/>
      <c r="P4227" s="34"/>
      <c r="Q4227" s="34"/>
      <c r="R4227" s="34"/>
    </row>
    <row r="4228" spans="13:18">
      <c r="M4228" s="34"/>
      <c r="N4228" s="34"/>
      <c r="O4228" s="34"/>
      <c r="P4228" s="34"/>
      <c r="Q4228" s="34"/>
      <c r="R4228" s="34"/>
    </row>
    <row r="4229" spans="13:18">
      <c r="M4229" s="34"/>
      <c r="N4229" s="34"/>
      <c r="O4229" s="34"/>
      <c r="P4229" s="34"/>
      <c r="Q4229" s="34"/>
      <c r="R4229" s="34"/>
    </row>
    <row r="4230" spans="13:18">
      <c r="M4230" s="34"/>
      <c r="N4230" s="34"/>
      <c r="O4230" s="34"/>
      <c r="P4230" s="34"/>
      <c r="Q4230" s="34"/>
      <c r="R4230" s="34"/>
    </row>
    <row r="4231" spans="13:18">
      <c r="M4231" s="34"/>
      <c r="N4231" s="34"/>
      <c r="O4231" s="34"/>
      <c r="P4231" s="34"/>
      <c r="Q4231" s="34"/>
      <c r="R4231" s="34"/>
    </row>
    <row r="4232" spans="13:18">
      <c r="M4232" s="34"/>
      <c r="N4232" s="34"/>
      <c r="O4232" s="34"/>
      <c r="P4232" s="34"/>
      <c r="Q4232" s="34"/>
      <c r="R4232" s="34"/>
    </row>
    <row r="4233" spans="13:18">
      <c r="M4233" s="34"/>
      <c r="N4233" s="34"/>
      <c r="O4233" s="34"/>
      <c r="P4233" s="34"/>
      <c r="Q4233" s="34"/>
      <c r="R4233" s="34"/>
    </row>
    <row r="4234" spans="13:18">
      <c r="M4234" s="34"/>
      <c r="N4234" s="34"/>
      <c r="O4234" s="34"/>
      <c r="P4234" s="34"/>
      <c r="Q4234" s="34"/>
      <c r="R4234" s="34"/>
    </row>
    <row r="4235" spans="13:18">
      <c r="M4235" s="34"/>
      <c r="N4235" s="34"/>
      <c r="O4235" s="34"/>
      <c r="P4235" s="34"/>
      <c r="Q4235" s="34"/>
      <c r="R4235" s="34"/>
    </row>
    <row r="4236" spans="13:18">
      <c r="M4236" s="34"/>
      <c r="N4236" s="34"/>
      <c r="O4236" s="34"/>
      <c r="P4236" s="34"/>
      <c r="Q4236" s="34"/>
      <c r="R4236" s="34"/>
    </row>
    <row r="4237" spans="13:18">
      <c r="M4237" s="34"/>
      <c r="N4237" s="34"/>
      <c r="O4237" s="34"/>
      <c r="P4237" s="34"/>
      <c r="Q4237" s="34"/>
      <c r="R4237" s="34"/>
    </row>
    <row r="4238" spans="13:18">
      <c r="M4238" s="34"/>
      <c r="N4238" s="34"/>
      <c r="O4238" s="34"/>
      <c r="P4238" s="34"/>
      <c r="Q4238" s="34"/>
      <c r="R4238" s="34"/>
    </row>
    <row r="4239" spans="13:18">
      <c r="M4239" s="34"/>
      <c r="N4239" s="34"/>
      <c r="O4239" s="34"/>
      <c r="P4239" s="34"/>
      <c r="Q4239" s="34"/>
      <c r="R4239" s="34"/>
    </row>
    <row r="4240" spans="13:18">
      <c r="M4240" s="34"/>
      <c r="N4240" s="34"/>
      <c r="O4240" s="34"/>
      <c r="P4240" s="34"/>
      <c r="Q4240" s="34"/>
      <c r="R4240" s="34"/>
    </row>
    <row r="4241" spans="13:18">
      <c r="M4241" s="34"/>
      <c r="N4241" s="34"/>
      <c r="O4241" s="34"/>
      <c r="P4241" s="34"/>
      <c r="Q4241" s="34"/>
      <c r="R4241" s="34"/>
    </row>
    <row r="4242" spans="13:18">
      <c r="M4242" s="34"/>
      <c r="N4242" s="34"/>
      <c r="O4242" s="34"/>
      <c r="P4242" s="34"/>
      <c r="Q4242" s="34"/>
      <c r="R4242" s="34"/>
    </row>
    <row r="4243" spans="13:18">
      <c r="M4243" s="34"/>
      <c r="N4243" s="34"/>
      <c r="O4243" s="34"/>
      <c r="P4243" s="34"/>
      <c r="Q4243" s="34"/>
      <c r="R4243" s="34"/>
    </row>
    <row r="4244" spans="13:18">
      <c r="M4244" s="34"/>
      <c r="N4244" s="34"/>
      <c r="O4244" s="34"/>
      <c r="P4244" s="34"/>
      <c r="Q4244" s="34"/>
      <c r="R4244" s="34"/>
    </row>
    <row r="4245" spans="13:18">
      <c r="M4245" s="34"/>
      <c r="N4245" s="34"/>
      <c r="O4245" s="34"/>
      <c r="P4245" s="34"/>
      <c r="Q4245" s="34"/>
      <c r="R4245" s="34"/>
    </row>
    <row r="4246" spans="13:18">
      <c r="M4246" s="34"/>
      <c r="N4246" s="34"/>
      <c r="O4246" s="34"/>
      <c r="P4246" s="34"/>
      <c r="Q4246" s="34"/>
      <c r="R4246" s="34"/>
    </row>
    <row r="4247" spans="13:18">
      <c r="M4247" s="34"/>
      <c r="N4247" s="34"/>
      <c r="O4247" s="34"/>
      <c r="P4247" s="34"/>
      <c r="Q4247" s="34"/>
      <c r="R4247" s="34"/>
    </row>
    <row r="4248" spans="13:18">
      <c r="M4248" s="34"/>
      <c r="N4248" s="34"/>
      <c r="O4248" s="34"/>
      <c r="P4248" s="34"/>
      <c r="Q4248" s="34"/>
      <c r="R4248" s="34"/>
    </row>
    <row r="4249" spans="13:18">
      <c r="M4249" s="34"/>
      <c r="N4249" s="34"/>
      <c r="O4249" s="34"/>
      <c r="P4249" s="34"/>
      <c r="Q4249" s="34"/>
      <c r="R4249" s="34"/>
    </row>
    <row r="4250" spans="13:18">
      <c r="M4250" s="34"/>
      <c r="N4250" s="34"/>
      <c r="O4250" s="34"/>
      <c r="P4250" s="34"/>
      <c r="Q4250" s="34"/>
      <c r="R4250" s="34"/>
    </row>
    <row r="4251" spans="13:18">
      <c r="M4251" s="34"/>
      <c r="N4251" s="34"/>
      <c r="O4251" s="34"/>
      <c r="P4251" s="34"/>
      <c r="Q4251" s="34"/>
      <c r="R4251" s="34"/>
    </row>
    <row r="4252" spans="13:18">
      <c r="M4252" s="34"/>
      <c r="N4252" s="34"/>
      <c r="O4252" s="34"/>
      <c r="P4252" s="34"/>
      <c r="Q4252" s="34"/>
      <c r="R4252" s="34"/>
    </row>
    <row r="4253" spans="13:18">
      <c r="M4253" s="34"/>
      <c r="N4253" s="34"/>
      <c r="O4253" s="34"/>
      <c r="P4253" s="34"/>
      <c r="Q4253" s="34"/>
      <c r="R4253" s="34"/>
    </row>
    <row r="4254" spans="13:18">
      <c r="M4254" s="34"/>
      <c r="N4254" s="34"/>
      <c r="O4254" s="34"/>
      <c r="P4254" s="34"/>
      <c r="Q4254" s="34"/>
      <c r="R4254" s="34"/>
    </row>
    <row r="4255" spans="13:18">
      <c r="M4255" s="34"/>
      <c r="N4255" s="34"/>
      <c r="O4255" s="34"/>
      <c r="P4255" s="34"/>
      <c r="Q4255" s="34"/>
      <c r="R4255" s="34"/>
    </row>
    <row r="4256" spans="13:18">
      <c r="M4256" s="34"/>
      <c r="N4256" s="34"/>
      <c r="O4256" s="34"/>
      <c r="P4256" s="34"/>
      <c r="Q4256" s="34"/>
      <c r="R4256" s="34"/>
    </row>
    <row r="4257" spans="13:18">
      <c r="M4257" s="34"/>
      <c r="N4257" s="34"/>
      <c r="O4257" s="34"/>
      <c r="P4257" s="34"/>
      <c r="Q4257" s="34"/>
      <c r="R4257" s="34"/>
    </row>
    <row r="4258" spans="13:18">
      <c r="M4258" s="34"/>
      <c r="N4258" s="34"/>
      <c r="O4258" s="34"/>
      <c r="P4258" s="34"/>
      <c r="Q4258" s="34"/>
      <c r="R4258" s="34"/>
    </row>
    <row r="4259" spans="13:18">
      <c r="M4259" s="34"/>
      <c r="N4259" s="34"/>
      <c r="O4259" s="34"/>
      <c r="P4259" s="34"/>
      <c r="Q4259" s="34"/>
      <c r="R4259" s="34"/>
    </row>
    <row r="4260" spans="13:18">
      <c r="M4260" s="34"/>
      <c r="N4260" s="34"/>
      <c r="O4260" s="34"/>
      <c r="P4260" s="34"/>
      <c r="Q4260" s="34"/>
      <c r="R4260" s="34"/>
    </row>
    <row r="4261" spans="13:18">
      <c r="M4261" s="34"/>
      <c r="N4261" s="34"/>
      <c r="O4261" s="34"/>
      <c r="P4261" s="34"/>
      <c r="Q4261" s="34"/>
      <c r="R4261" s="34"/>
    </row>
    <row r="4262" spans="13:18">
      <c r="M4262" s="34"/>
      <c r="N4262" s="34"/>
      <c r="O4262" s="34"/>
      <c r="P4262" s="34"/>
      <c r="Q4262" s="34"/>
      <c r="R4262" s="34"/>
    </row>
    <row r="4263" spans="13:18">
      <c r="M4263" s="34"/>
      <c r="N4263" s="34"/>
      <c r="O4263" s="34"/>
      <c r="P4263" s="34"/>
      <c r="Q4263" s="34"/>
      <c r="R4263" s="34"/>
    </row>
    <row r="4264" spans="13:18">
      <c r="M4264" s="34"/>
      <c r="N4264" s="34"/>
      <c r="O4264" s="34"/>
      <c r="P4264" s="34"/>
      <c r="Q4264" s="34"/>
      <c r="R4264" s="34"/>
    </row>
    <row r="4265" spans="13:18">
      <c r="M4265" s="34"/>
      <c r="N4265" s="34"/>
      <c r="O4265" s="34"/>
      <c r="P4265" s="34"/>
      <c r="Q4265" s="34"/>
      <c r="R4265" s="34"/>
    </row>
    <row r="4266" spans="13:18">
      <c r="M4266" s="34"/>
      <c r="N4266" s="34"/>
      <c r="O4266" s="34"/>
      <c r="P4266" s="34"/>
      <c r="Q4266" s="34"/>
      <c r="R4266" s="34"/>
    </row>
    <row r="4267" spans="13:18">
      <c r="M4267" s="34"/>
      <c r="N4267" s="34"/>
      <c r="O4267" s="34"/>
      <c r="P4267" s="34"/>
      <c r="Q4267" s="34"/>
      <c r="R4267" s="34"/>
    </row>
    <row r="4268" spans="13:18">
      <c r="M4268" s="34"/>
      <c r="N4268" s="34"/>
      <c r="O4268" s="34"/>
      <c r="P4268" s="34"/>
      <c r="Q4268" s="34"/>
      <c r="R4268" s="34"/>
    </row>
    <row r="4269" spans="13:18">
      <c r="M4269" s="34"/>
      <c r="N4269" s="34"/>
      <c r="O4269" s="34"/>
      <c r="P4269" s="34"/>
      <c r="Q4269" s="34"/>
      <c r="R4269" s="34"/>
    </row>
    <row r="4270" spans="13:18">
      <c r="M4270" s="34"/>
      <c r="N4270" s="34"/>
      <c r="O4270" s="34"/>
      <c r="P4270" s="34"/>
      <c r="Q4270" s="34"/>
      <c r="R4270" s="34"/>
    </row>
    <row r="4271" spans="13:18">
      <c r="M4271" s="34"/>
      <c r="N4271" s="34"/>
      <c r="O4271" s="34"/>
      <c r="P4271" s="34"/>
      <c r="Q4271" s="34"/>
      <c r="R4271" s="34"/>
    </row>
    <row r="4272" spans="13:18">
      <c r="M4272" s="34"/>
      <c r="N4272" s="34"/>
      <c r="O4272" s="34"/>
      <c r="P4272" s="34"/>
      <c r="Q4272" s="34"/>
      <c r="R4272" s="34"/>
    </row>
    <row r="4273" spans="13:18">
      <c r="M4273" s="34"/>
      <c r="N4273" s="34"/>
      <c r="O4273" s="34"/>
      <c r="P4273" s="34"/>
      <c r="Q4273" s="34"/>
      <c r="R4273" s="34"/>
    </row>
    <row r="4274" spans="13:18">
      <c r="M4274" s="34"/>
      <c r="N4274" s="34"/>
      <c r="O4274" s="34"/>
      <c r="P4274" s="34"/>
      <c r="Q4274" s="34"/>
      <c r="R4274" s="34"/>
    </row>
    <row r="4275" spans="13:18">
      <c r="M4275" s="34"/>
      <c r="N4275" s="34"/>
      <c r="O4275" s="34"/>
      <c r="P4275" s="34"/>
      <c r="Q4275" s="34"/>
      <c r="R4275" s="34"/>
    </row>
    <row r="4276" spans="13:18">
      <c r="M4276" s="34"/>
      <c r="N4276" s="34"/>
      <c r="O4276" s="34"/>
      <c r="P4276" s="34"/>
      <c r="Q4276" s="34"/>
      <c r="R4276" s="34"/>
    </row>
    <row r="4277" spans="13:18">
      <c r="M4277" s="34"/>
      <c r="N4277" s="34"/>
      <c r="O4277" s="34"/>
      <c r="P4277" s="34"/>
      <c r="Q4277" s="34"/>
      <c r="R4277" s="34"/>
    </row>
    <row r="4278" spans="13:18">
      <c r="M4278" s="34"/>
      <c r="N4278" s="34"/>
      <c r="O4278" s="34"/>
      <c r="P4278" s="34"/>
      <c r="Q4278" s="34"/>
      <c r="R4278" s="34"/>
    </row>
    <row r="4279" spans="13:18">
      <c r="M4279" s="34"/>
      <c r="N4279" s="34"/>
      <c r="O4279" s="34"/>
      <c r="P4279" s="34"/>
      <c r="Q4279" s="34"/>
      <c r="R4279" s="34"/>
    </row>
    <row r="4280" spans="13:18">
      <c r="M4280" s="34"/>
      <c r="N4280" s="34"/>
      <c r="O4280" s="34"/>
      <c r="P4280" s="34"/>
      <c r="Q4280" s="34"/>
      <c r="R4280" s="34"/>
    </row>
    <row r="4281" spans="13:18">
      <c r="M4281" s="34"/>
      <c r="N4281" s="34"/>
      <c r="O4281" s="34"/>
      <c r="P4281" s="34"/>
      <c r="Q4281" s="34"/>
      <c r="R4281" s="34"/>
    </row>
    <row r="4282" spans="13:18">
      <c r="M4282" s="34"/>
      <c r="N4282" s="34"/>
      <c r="O4282" s="34"/>
      <c r="P4282" s="34"/>
      <c r="Q4282" s="34"/>
      <c r="R4282" s="34"/>
    </row>
    <row r="4283" spans="13:18">
      <c r="M4283" s="34"/>
      <c r="N4283" s="34"/>
      <c r="O4283" s="34"/>
      <c r="P4283" s="34"/>
      <c r="Q4283" s="34"/>
      <c r="R4283" s="34"/>
    </row>
    <row r="4284" spans="13:18">
      <c r="M4284" s="34"/>
      <c r="N4284" s="34"/>
      <c r="O4284" s="34"/>
      <c r="P4284" s="34"/>
      <c r="Q4284" s="34"/>
      <c r="R4284" s="34"/>
    </row>
    <row r="4285" spans="13:18">
      <c r="M4285" s="34"/>
      <c r="N4285" s="34"/>
      <c r="O4285" s="34"/>
      <c r="P4285" s="34"/>
      <c r="Q4285" s="34"/>
      <c r="R4285" s="34"/>
    </row>
    <row r="4286" spans="13:18">
      <c r="M4286" s="34"/>
      <c r="N4286" s="34"/>
      <c r="O4286" s="34"/>
      <c r="P4286" s="34"/>
      <c r="Q4286" s="34"/>
      <c r="R4286" s="34"/>
    </row>
    <row r="4287" spans="13:18">
      <c r="M4287" s="34"/>
      <c r="N4287" s="34"/>
      <c r="O4287" s="34"/>
      <c r="P4287" s="34"/>
      <c r="Q4287" s="34"/>
      <c r="R4287" s="34"/>
    </row>
    <row r="4288" spans="13:18">
      <c r="M4288" s="34"/>
      <c r="N4288" s="34"/>
      <c r="O4288" s="34"/>
      <c r="P4288" s="34"/>
      <c r="Q4288" s="34"/>
      <c r="R4288" s="34"/>
    </row>
    <row r="4289" spans="13:18">
      <c r="M4289" s="34"/>
      <c r="N4289" s="34"/>
      <c r="O4289" s="34"/>
      <c r="P4289" s="34"/>
      <c r="Q4289" s="34"/>
      <c r="R4289" s="34"/>
    </row>
    <row r="4290" spans="13:18">
      <c r="M4290" s="34"/>
      <c r="N4290" s="34"/>
      <c r="O4290" s="34"/>
      <c r="P4290" s="34"/>
      <c r="Q4290" s="34"/>
      <c r="R4290" s="34"/>
    </row>
    <row r="4291" spans="13:18">
      <c r="M4291" s="34"/>
      <c r="N4291" s="34"/>
      <c r="O4291" s="34"/>
      <c r="P4291" s="34"/>
      <c r="Q4291" s="34"/>
      <c r="R4291" s="34"/>
    </row>
    <row r="4292" spans="13:18">
      <c r="M4292" s="34"/>
      <c r="N4292" s="34"/>
      <c r="O4292" s="34"/>
      <c r="P4292" s="34"/>
      <c r="Q4292" s="34"/>
      <c r="R4292" s="34"/>
    </row>
    <row r="4293" spans="13:18">
      <c r="M4293" s="34"/>
      <c r="N4293" s="34"/>
      <c r="O4293" s="34"/>
      <c r="P4293" s="34"/>
      <c r="Q4293" s="34"/>
      <c r="R4293" s="34"/>
    </row>
    <row r="4294" spans="13:18">
      <c r="M4294" s="34"/>
      <c r="N4294" s="34"/>
      <c r="O4294" s="34"/>
      <c r="P4294" s="34"/>
      <c r="Q4294" s="34"/>
      <c r="R4294" s="34"/>
    </row>
    <row r="4295" spans="13:18">
      <c r="M4295" s="34"/>
      <c r="N4295" s="34"/>
      <c r="O4295" s="34"/>
      <c r="P4295" s="34"/>
      <c r="Q4295" s="34"/>
      <c r="R4295" s="34"/>
    </row>
    <row r="4296" spans="13:18">
      <c r="M4296" s="34"/>
      <c r="N4296" s="34"/>
      <c r="O4296" s="34"/>
      <c r="P4296" s="34"/>
      <c r="Q4296" s="34"/>
      <c r="R4296" s="34"/>
    </row>
    <row r="4297" spans="13:18">
      <c r="M4297" s="34"/>
      <c r="N4297" s="34"/>
      <c r="O4297" s="34"/>
      <c r="P4297" s="34"/>
      <c r="Q4297" s="34"/>
      <c r="R4297" s="34"/>
    </row>
    <row r="4298" spans="13:18">
      <c r="M4298" s="34"/>
      <c r="N4298" s="34"/>
      <c r="O4298" s="34"/>
      <c r="P4298" s="34"/>
      <c r="Q4298" s="34"/>
      <c r="R4298" s="34"/>
    </row>
    <row r="4299" spans="13:18">
      <c r="M4299" s="34"/>
      <c r="N4299" s="34"/>
      <c r="O4299" s="34"/>
      <c r="P4299" s="34"/>
      <c r="Q4299" s="34"/>
      <c r="R4299" s="34"/>
    </row>
    <row r="4300" spans="13:18">
      <c r="M4300" s="34"/>
      <c r="N4300" s="34"/>
      <c r="O4300" s="34"/>
      <c r="P4300" s="34"/>
      <c r="Q4300" s="34"/>
      <c r="R4300" s="34"/>
    </row>
    <row r="4301" spans="13:18">
      <c r="M4301" s="34"/>
      <c r="N4301" s="34"/>
      <c r="O4301" s="34"/>
      <c r="P4301" s="34"/>
      <c r="Q4301" s="34"/>
      <c r="R4301" s="34"/>
    </row>
    <row r="4302" spans="13:18">
      <c r="M4302" s="34"/>
      <c r="N4302" s="34"/>
      <c r="O4302" s="34"/>
      <c r="P4302" s="34"/>
      <c r="Q4302" s="34"/>
      <c r="R4302" s="34"/>
    </row>
    <row r="4303" spans="13:18">
      <c r="M4303" s="34"/>
      <c r="N4303" s="34"/>
      <c r="O4303" s="34"/>
      <c r="P4303" s="34"/>
      <c r="Q4303" s="34"/>
      <c r="R4303" s="34"/>
    </row>
    <row r="4304" spans="13:18">
      <c r="M4304" s="34"/>
      <c r="N4304" s="34"/>
      <c r="O4304" s="34"/>
      <c r="P4304" s="34"/>
      <c r="Q4304" s="34"/>
      <c r="R4304" s="34"/>
    </row>
    <row r="4305" spans="13:18">
      <c r="M4305" s="34"/>
      <c r="N4305" s="34"/>
      <c r="O4305" s="34"/>
      <c r="P4305" s="34"/>
      <c r="Q4305" s="34"/>
      <c r="R4305" s="34"/>
    </row>
    <row r="4306" spans="13:18">
      <c r="M4306" s="34"/>
      <c r="N4306" s="34"/>
      <c r="O4306" s="34"/>
      <c r="P4306" s="34"/>
      <c r="Q4306" s="34"/>
      <c r="R4306" s="34"/>
    </row>
    <row r="4307" spans="13:18">
      <c r="M4307" s="34"/>
      <c r="N4307" s="34"/>
      <c r="O4307" s="34"/>
      <c r="P4307" s="34"/>
      <c r="Q4307" s="34"/>
      <c r="R4307" s="34"/>
    </row>
    <row r="4308" spans="13:18">
      <c r="M4308" s="34"/>
      <c r="N4308" s="34"/>
      <c r="O4308" s="34"/>
      <c r="P4308" s="34"/>
      <c r="Q4308" s="34"/>
      <c r="R4308" s="34"/>
    </row>
    <row r="4309" spans="13:18">
      <c r="M4309" s="34"/>
      <c r="N4309" s="34"/>
      <c r="O4309" s="34"/>
      <c r="P4309" s="34"/>
      <c r="Q4309" s="34"/>
      <c r="R4309" s="34"/>
    </row>
    <row r="4310" spans="13:18">
      <c r="M4310" s="34"/>
      <c r="N4310" s="34"/>
      <c r="O4310" s="34"/>
      <c r="P4310" s="34"/>
      <c r="Q4310" s="34"/>
      <c r="R4310" s="34"/>
    </row>
    <row r="4311" spans="13:18">
      <c r="M4311" s="34"/>
      <c r="N4311" s="34"/>
      <c r="O4311" s="34"/>
      <c r="P4311" s="34"/>
      <c r="Q4311" s="34"/>
      <c r="R4311" s="34"/>
    </row>
    <row r="4312" spans="13:18">
      <c r="M4312" s="34"/>
      <c r="N4312" s="34"/>
      <c r="O4312" s="34"/>
      <c r="P4312" s="34"/>
      <c r="Q4312" s="34"/>
      <c r="R4312" s="34"/>
    </row>
    <row r="4313" spans="13:18">
      <c r="M4313" s="34"/>
      <c r="N4313" s="34"/>
      <c r="O4313" s="34"/>
      <c r="P4313" s="34"/>
      <c r="Q4313" s="34"/>
      <c r="R4313" s="34"/>
    </row>
    <row r="4314" spans="13:18">
      <c r="M4314" s="34"/>
      <c r="N4314" s="34"/>
      <c r="O4314" s="34"/>
      <c r="P4314" s="34"/>
      <c r="Q4314" s="34"/>
      <c r="R4314" s="34"/>
    </row>
    <row r="4315" spans="13:18">
      <c r="M4315" s="34"/>
      <c r="N4315" s="34"/>
      <c r="O4315" s="34"/>
      <c r="P4315" s="34"/>
      <c r="Q4315" s="34"/>
      <c r="R4315" s="34"/>
    </row>
    <row r="4316" spans="13:18">
      <c r="M4316" s="34"/>
      <c r="N4316" s="34"/>
      <c r="O4316" s="34"/>
      <c r="P4316" s="34"/>
      <c r="Q4316" s="34"/>
      <c r="R4316" s="34"/>
    </row>
    <row r="4317" spans="13:18">
      <c r="M4317" s="34"/>
      <c r="N4317" s="34"/>
      <c r="O4317" s="34"/>
      <c r="P4317" s="34"/>
      <c r="Q4317" s="34"/>
      <c r="R4317" s="34"/>
    </row>
    <row r="4318" spans="13:18">
      <c r="M4318" s="34"/>
      <c r="N4318" s="34"/>
      <c r="O4318" s="34"/>
      <c r="P4318" s="34"/>
      <c r="Q4318" s="34"/>
      <c r="R4318" s="34"/>
    </row>
    <row r="4319" spans="13:18">
      <c r="M4319" s="34"/>
      <c r="N4319" s="34"/>
      <c r="O4319" s="34"/>
      <c r="P4319" s="34"/>
      <c r="Q4319" s="34"/>
      <c r="R4319" s="34"/>
    </row>
    <row r="4320" spans="13:18">
      <c r="M4320" s="34"/>
      <c r="N4320" s="34"/>
      <c r="O4320" s="34"/>
      <c r="P4320" s="34"/>
      <c r="Q4320" s="34"/>
      <c r="R4320" s="34"/>
    </row>
    <row r="4321" spans="13:18">
      <c r="M4321" s="34"/>
      <c r="N4321" s="34"/>
      <c r="O4321" s="34"/>
      <c r="P4321" s="34"/>
      <c r="Q4321" s="34"/>
      <c r="R4321" s="34"/>
    </row>
    <row r="4322" spans="13:18">
      <c r="M4322" s="34"/>
      <c r="N4322" s="34"/>
      <c r="O4322" s="34"/>
      <c r="P4322" s="34"/>
      <c r="Q4322" s="34"/>
      <c r="R4322" s="34"/>
    </row>
    <row r="4323" spans="13:18">
      <c r="M4323" s="34"/>
      <c r="N4323" s="34"/>
      <c r="O4323" s="34"/>
      <c r="P4323" s="34"/>
      <c r="Q4323" s="34"/>
      <c r="R4323" s="34"/>
    </row>
    <row r="4324" spans="13:18">
      <c r="M4324" s="34"/>
      <c r="N4324" s="34"/>
      <c r="O4324" s="34"/>
      <c r="P4324" s="34"/>
      <c r="Q4324" s="34"/>
      <c r="R4324" s="34"/>
    </row>
    <row r="4325" spans="13:18">
      <c r="M4325" s="34"/>
      <c r="N4325" s="34"/>
      <c r="O4325" s="34"/>
      <c r="P4325" s="34"/>
      <c r="Q4325" s="34"/>
      <c r="R4325" s="34"/>
    </row>
    <row r="4326" spans="13:18">
      <c r="M4326" s="34"/>
      <c r="N4326" s="34"/>
      <c r="O4326" s="34"/>
      <c r="P4326" s="34"/>
      <c r="Q4326" s="34"/>
      <c r="R4326" s="34"/>
    </row>
    <row r="4327" spans="13:18">
      <c r="M4327" s="34"/>
      <c r="N4327" s="34"/>
      <c r="O4327" s="34"/>
      <c r="P4327" s="34"/>
      <c r="Q4327" s="34"/>
      <c r="R4327" s="34"/>
    </row>
    <row r="4328" spans="13:18">
      <c r="M4328" s="34"/>
      <c r="N4328" s="34"/>
      <c r="O4328" s="34"/>
      <c r="P4328" s="34"/>
      <c r="Q4328" s="34"/>
      <c r="R4328" s="34"/>
    </row>
    <row r="4329" spans="13:18">
      <c r="M4329" s="34"/>
      <c r="N4329" s="34"/>
      <c r="O4329" s="34"/>
      <c r="P4329" s="34"/>
      <c r="Q4329" s="34"/>
      <c r="R4329" s="34"/>
    </row>
    <row r="4330" spans="13:18">
      <c r="M4330" s="34"/>
      <c r="N4330" s="34"/>
      <c r="O4330" s="34"/>
      <c r="P4330" s="34"/>
      <c r="Q4330" s="34"/>
      <c r="R4330" s="34"/>
    </row>
    <row r="4331" spans="13:18">
      <c r="M4331" s="34"/>
      <c r="N4331" s="34"/>
      <c r="O4331" s="34"/>
      <c r="P4331" s="34"/>
      <c r="Q4331" s="34"/>
      <c r="R4331" s="34"/>
    </row>
    <row r="4332" spans="13:18">
      <c r="M4332" s="34"/>
      <c r="N4332" s="34"/>
      <c r="O4332" s="34"/>
      <c r="P4332" s="34"/>
      <c r="Q4332" s="34"/>
      <c r="R4332" s="34"/>
    </row>
    <row r="4333" spans="13:18">
      <c r="M4333" s="34"/>
      <c r="N4333" s="34"/>
      <c r="O4333" s="34"/>
      <c r="P4333" s="34"/>
      <c r="Q4333" s="34"/>
      <c r="R4333" s="34"/>
    </row>
    <row r="4334" spans="13:18">
      <c r="M4334" s="34"/>
      <c r="N4334" s="34"/>
      <c r="O4334" s="34"/>
      <c r="P4334" s="34"/>
      <c r="Q4334" s="34"/>
      <c r="R4334" s="34"/>
    </row>
    <row r="4335" spans="13:18">
      <c r="M4335" s="34"/>
      <c r="N4335" s="34"/>
      <c r="O4335" s="34"/>
      <c r="P4335" s="34"/>
      <c r="Q4335" s="34"/>
      <c r="R4335" s="34"/>
    </row>
    <row r="4336" spans="13:18">
      <c r="M4336" s="34"/>
      <c r="N4336" s="34"/>
      <c r="O4336" s="34"/>
      <c r="P4336" s="34"/>
      <c r="Q4336" s="34"/>
      <c r="R4336" s="34"/>
    </row>
    <row r="4337" spans="13:18">
      <c r="M4337" s="34"/>
      <c r="N4337" s="34"/>
      <c r="O4337" s="34"/>
      <c r="P4337" s="34"/>
      <c r="Q4337" s="34"/>
      <c r="R4337" s="34"/>
    </row>
    <row r="4338" spans="13:18">
      <c r="M4338" s="34"/>
      <c r="N4338" s="34"/>
      <c r="O4338" s="34"/>
      <c r="P4338" s="34"/>
      <c r="Q4338" s="34"/>
      <c r="R4338" s="34"/>
    </row>
    <row r="4339" spans="13:18">
      <c r="M4339" s="34"/>
      <c r="N4339" s="34"/>
      <c r="O4339" s="34"/>
      <c r="P4339" s="34"/>
      <c r="Q4339" s="34"/>
      <c r="R4339" s="34"/>
    </row>
    <row r="4340" spans="13:18">
      <c r="M4340" s="34"/>
      <c r="N4340" s="34"/>
      <c r="O4340" s="34"/>
      <c r="P4340" s="34"/>
      <c r="Q4340" s="34"/>
      <c r="R4340" s="34"/>
    </row>
    <row r="4341" spans="13:18">
      <c r="M4341" s="34"/>
      <c r="N4341" s="34"/>
      <c r="O4341" s="34"/>
      <c r="P4341" s="34"/>
      <c r="Q4341" s="34"/>
      <c r="R4341" s="34"/>
    </row>
    <row r="4342" spans="13:18">
      <c r="M4342" s="34"/>
      <c r="N4342" s="34"/>
      <c r="O4342" s="34"/>
      <c r="P4342" s="34"/>
      <c r="Q4342" s="34"/>
      <c r="R4342" s="34"/>
    </row>
    <row r="4343" spans="13:18">
      <c r="M4343" s="34"/>
      <c r="N4343" s="34"/>
      <c r="O4343" s="34"/>
      <c r="P4343" s="34"/>
      <c r="Q4343" s="34"/>
      <c r="R4343" s="34"/>
    </row>
    <row r="4344" spans="13:18">
      <c r="M4344" s="34"/>
      <c r="N4344" s="34"/>
      <c r="O4344" s="34"/>
      <c r="P4344" s="34"/>
      <c r="Q4344" s="34"/>
      <c r="R4344" s="34"/>
    </row>
    <row r="4345" spans="13:18">
      <c r="M4345" s="34"/>
      <c r="N4345" s="34"/>
      <c r="O4345" s="34"/>
      <c r="P4345" s="34"/>
      <c r="Q4345" s="34"/>
      <c r="R4345" s="34"/>
    </row>
    <row r="4346" spans="13:18">
      <c r="M4346" s="34"/>
      <c r="N4346" s="34"/>
      <c r="O4346" s="34"/>
      <c r="P4346" s="34"/>
      <c r="Q4346" s="34"/>
      <c r="R4346" s="34"/>
    </row>
    <row r="4347" spans="13:18">
      <c r="M4347" s="34"/>
      <c r="N4347" s="34"/>
      <c r="O4347" s="34"/>
      <c r="P4347" s="34"/>
      <c r="Q4347" s="34"/>
      <c r="R4347" s="34"/>
    </row>
    <row r="4348" spans="13:18">
      <c r="M4348" s="34"/>
      <c r="N4348" s="34"/>
      <c r="O4348" s="34"/>
      <c r="P4348" s="34"/>
      <c r="Q4348" s="34"/>
      <c r="R4348" s="34"/>
    </row>
    <row r="4349" spans="13:18">
      <c r="M4349" s="34"/>
      <c r="N4349" s="34"/>
      <c r="O4349" s="34"/>
      <c r="P4349" s="34"/>
      <c r="Q4349" s="34"/>
      <c r="R4349" s="34"/>
    </row>
    <row r="4350" spans="13:18">
      <c r="M4350" s="34"/>
      <c r="N4350" s="34"/>
      <c r="O4350" s="34"/>
      <c r="P4350" s="34"/>
      <c r="Q4350" s="34"/>
      <c r="R4350" s="34"/>
    </row>
    <row r="4351" spans="13:18">
      <c r="M4351" s="34"/>
      <c r="N4351" s="34"/>
      <c r="O4351" s="34"/>
      <c r="P4351" s="34"/>
      <c r="Q4351" s="34"/>
      <c r="R4351" s="34"/>
    </row>
    <row r="4352" spans="13:18">
      <c r="M4352" s="34"/>
      <c r="N4352" s="34"/>
      <c r="O4352" s="34"/>
      <c r="P4352" s="34"/>
      <c r="Q4352" s="34"/>
      <c r="R4352" s="34"/>
    </row>
    <row r="4353" spans="13:18">
      <c r="M4353" s="34"/>
      <c r="N4353" s="34"/>
      <c r="O4353" s="34"/>
      <c r="P4353" s="34"/>
      <c r="Q4353" s="34"/>
      <c r="R4353" s="34"/>
    </row>
    <row r="4354" spans="13:18">
      <c r="M4354" s="34"/>
      <c r="N4354" s="34"/>
      <c r="O4354" s="34"/>
      <c r="P4354" s="34"/>
      <c r="Q4354" s="34"/>
      <c r="R4354" s="34"/>
    </row>
    <row r="4355" spans="13:18">
      <c r="M4355" s="34"/>
      <c r="N4355" s="34"/>
      <c r="O4355" s="34"/>
      <c r="P4355" s="34"/>
      <c r="Q4355" s="34"/>
      <c r="R4355" s="34"/>
    </row>
    <row r="4356" spans="13:18">
      <c r="M4356" s="34"/>
      <c r="N4356" s="34"/>
      <c r="O4356" s="34"/>
      <c r="P4356" s="34"/>
      <c r="Q4356" s="34"/>
      <c r="R4356" s="34"/>
    </row>
    <row r="4357" spans="13:18">
      <c r="M4357" s="34"/>
      <c r="N4357" s="34"/>
      <c r="O4357" s="34"/>
      <c r="P4357" s="34"/>
      <c r="Q4357" s="34"/>
      <c r="R4357" s="34"/>
    </row>
    <row r="4358" spans="13:18">
      <c r="M4358" s="34"/>
      <c r="N4358" s="34"/>
      <c r="O4358" s="34"/>
      <c r="P4358" s="34"/>
      <c r="Q4358" s="34"/>
      <c r="R4358" s="34"/>
    </row>
    <row r="4359" spans="13:18">
      <c r="M4359" s="34"/>
      <c r="N4359" s="34"/>
      <c r="O4359" s="34"/>
      <c r="P4359" s="34"/>
      <c r="Q4359" s="34"/>
      <c r="R4359" s="34"/>
    </row>
    <row r="4360" spans="13:18">
      <c r="M4360" s="34"/>
      <c r="N4360" s="34"/>
      <c r="O4360" s="34"/>
      <c r="P4360" s="34"/>
      <c r="Q4360" s="34"/>
      <c r="R4360" s="34"/>
    </row>
    <row r="4361" spans="13:18">
      <c r="M4361" s="34"/>
      <c r="N4361" s="34"/>
      <c r="O4361" s="34"/>
      <c r="P4361" s="34"/>
      <c r="Q4361" s="34"/>
      <c r="R4361" s="34"/>
    </row>
    <row r="4362" spans="13:18">
      <c r="M4362" s="34"/>
      <c r="N4362" s="34"/>
      <c r="O4362" s="34"/>
      <c r="P4362" s="34"/>
      <c r="Q4362" s="34"/>
      <c r="R4362" s="34"/>
    </row>
    <row r="4363" spans="13:18">
      <c r="M4363" s="34"/>
      <c r="N4363" s="34"/>
      <c r="O4363" s="34"/>
      <c r="P4363" s="34"/>
      <c r="Q4363" s="34"/>
      <c r="R4363" s="34"/>
    </row>
    <row r="4364" spans="13:18">
      <c r="M4364" s="34"/>
      <c r="N4364" s="34"/>
      <c r="O4364" s="34"/>
      <c r="P4364" s="34"/>
      <c r="Q4364" s="34"/>
      <c r="R4364" s="34"/>
    </row>
    <row r="4365" spans="13:18">
      <c r="M4365" s="34"/>
      <c r="N4365" s="34"/>
      <c r="O4365" s="34"/>
      <c r="P4365" s="34"/>
      <c r="Q4365" s="34"/>
      <c r="R4365" s="34"/>
    </row>
    <row r="4366" spans="13:18">
      <c r="M4366" s="34"/>
      <c r="N4366" s="34"/>
      <c r="O4366" s="34"/>
      <c r="P4366" s="34"/>
      <c r="Q4366" s="34"/>
      <c r="R4366" s="34"/>
    </row>
    <row r="4367" spans="13:18">
      <c r="M4367" s="34"/>
      <c r="N4367" s="34"/>
      <c r="O4367" s="34"/>
      <c r="P4367" s="34"/>
      <c r="Q4367" s="34"/>
      <c r="R4367" s="34"/>
    </row>
    <row r="4368" spans="13:18">
      <c r="M4368" s="34"/>
      <c r="N4368" s="34"/>
      <c r="O4368" s="34"/>
      <c r="P4368" s="34"/>
      <c r="Q4368" s="34"/>
      <c r="R4368" s="34"/>
    </row>
    <row r="4369" spans="13:18">
      <c r="M4369" s="34"/>
      <c r="N4369" s="34"/>
      <c r="O4369" s="34"/>
      <c r="P4369" s="34"/>
      <c r="Q4369" s="34"/>
      <c r="R4369" s="34"/>
    </row>
    <row r="4370" spans="13:18">
      <c r="M4370" s="34"/>
      <c r="N4370" s="34"/>
      <c r="O4370" s="34"/>
      <c r="P4370" s="34"/>
      <c r="Q4370" s="34"/>
      <c r="R4370" s="34"/>
    </row>
    <row r="4371" spans="13:18">
      <c r="M4371" s="34"/>
      <c r="N4371" s="34"/>
      <c r="O4371" s="34"/>
      <c r="P4371" s="34"/>
      <c r="Q4371" s="34"/>
      <c r="R4371" s="34"/>
    </row>
    <row r="4372" spans="13:18">
      <c r="M4372" s="34"/>
      <c r="N4372" s="34"/>
      <c r="O4372" s="34"/>
      <c r="P4372" s="34"/>
      <c r="Q4372" s="34"/>
      <c r="R4372" s="34"/>
    </row>
    <row r="4373" spans="13:18">
      <c r="M4373" s="34"/>
      <c r="N4373" s="34"/>
      <c r="O4373" s="34"/>
      <c r="P4373" s="34"/>
      <c r="Q4373" s="34"/>
      <c r="R4373" s="34"/>
    </row>
    <row r="4374" spans="13:18">
      <c r="M4374" s="34"/>
      <c r="N4374" s="34"/>
      <c r="O4374" s="34"/>
      <c r="P4374" s="34"/>
      <c r="Q4374" s="34"/>
      <c r="R4374" s="34"/>
    </row>
    <row r="4375" spans="13:18">
      <c r="M4375" s="34"/>
      <c r="N4375" s="34"/>
      <c r="O4375" s="34"/>
      <c r="P4375" s="34"/>
      <c r="Q4375" s="34"/>
      <c r="R4375" s="34"/>
    </row>
    <row r="4376" spans="13:18">
      <c r="M4376" s="34"/>
      <c r="N4376" s="34"/>
      <c r="O4376" s="34"/>
      <c r="P4376" s="34"/>
      <c r="Q4376" s="34"/>
      <c r="R4376" s="34"/>
    </row>
    <row r="4377" spans="13:18">
      <c r="M4377" s="34"/>
      <c r="N4377" s="34"/>
      <c r="O4377" s="34"/>
      <c r="P4377" s="34"/>
      <c r="Q4377" s="34"/>
      <c r="R4377" s="34"/>
    </row>
    <row r="4378" spans="13:18">
      <c r="M4378" s="34"/>
      <c r="N4378" s="34"/>
      <c r="O4378" s="34"/>
      <c r="P4378" s="34"/>
      <c r="Q4378" s="34"/>
      <c r="R4378" s="34"/>
    </row>
    <row r="4379" spans="13:18">
      <c r="M4379" s="34"/>
      <c r="N4379" s="34"/>
      <c r="O4379" s="34"/>
      <c r="P4379" s="34"/>
      <c r="Q4379" s="34"/>
      <c r="R4379" s="34"/>
    </row>
    <row r="4380" spans="13:18">
      <c r="M4380" s="34"/>
      <c r="N4380" s="34"/>
      <c r="O4380" s="34"/>
      <c r="P4380" s="34"/>
      <c r="Q4380" s="34"/>
      <c r="R4380" s="34"/>
    </row>
    <row r="4381" spans="13:18">
      <c r="M4381" s="34"/>
      <c r="N4381" s="34"/>
      <c r="O4381" s="34"/>
      <c r="P4381" s="34"/>
      <c r="Q4381" s="34"/>
      <c r="R4381" s="34"/>
    </row>
    <row r="4382" spans="13:18">
      <c r="M4382" s="34"/>
      <c r="N4382" s="34"/>
      <c r="O4382" s="34"/>
      <c r="P4382" s="34"/>
      <c r="Q4382" s="34"/>
      <c r="R4382" s="34"/>
    </row>
    <row r="4383" spans="13:18">
      <c r="M4383" s="34"/>
      <c r="N4383" s="34"/>
      <c r="O4383" s="34"/>
      <c r="P4383" s="34"/>
      <c r="Q4383" s="34"/>
      <c r="R4383" s="34"/>
    </row>
    <row r="4384" spans="13:18">
      <c r="M4384" s="34"/>
      <c r="N4384" s="34"/>
      <c r="O4384" s="34"/>
      <c r="P4384" s="34"/>
      <c r="Q4384" s="34"/>
      <c r="R4384" s="34"/>
    </row>
    <row r="4385" spans="13:18">
      <c r="M4385" s="34"/>
      <c r="N4385" s="34"/>
      <c r="O4385" s="34"/>
      <c r="P4385" s="34"/>
      <c r="Q4385" s="34"/>
      <c r="R4385" s="34"/>
    </row>
    <row r="4386" spans="13:18">
      <c r="M4386" s="34"/>
      <c r="N4386" s="34"/>
      <c r="O4386" s="34"/>
      <c r="P4386" s="34"/>
      <c r="Q4386" s="34"/>
      <c r="R4386" s="34"/>
    </row>
    <row r="4387" spans="13:18">
      <c r="M4387" s="34"/>
      <c r="N4387" s="34"/>
      <c r="O4387" s="34"/>
      <c r="P4387" s="34"/>
      <c r="Q4387" s="34"/>
      <c r="R4387" s="34"/>
    </row>
    <row r="4388" spans="13:18">
      <c r="M4388" s="34"/>
      <c r="N4388" s="34"/>
      <c r="O4388" s="34"/>
      <c r="P4388" s="34"/>
      <c r="Q4388" s="34"/>
      <c r="R4388" s="34"/>
    </row>
    <row r="4389" spans="13:18">
      <c r="M4389" s="34"/>
      <c r="N4389" s="34"/>
      <c r="O4389" s="34"/>
      <c r="P4389" s="34"/>
      <c r="Q4389" s="34"/>
      <c r="R4389" s="34"/>
    </row>
    <row r="4390" spans="13:18">
      <c r="M4390" s="34"/>
      <c r="N4390" s="34"/>
      <c r="O4390" s="34"/>
      <c r="P4390" s="34"/>
      <c r="Q4390" s="34"/>
      <c r="R4390" s="34"/>
    </row>
    <row r="4391" spans="13:18">
      <c r="M4391" s="34"/>
      <c r="N4391" s="34"/>
      <c r="O4391" s="34"/>
      <c r="P4391" s="34"/>
      <c r="Q4391" s="34"/>
      <c r="R4391" s="34"/>
    </row>
    <row r="4392" spans="13:18">
      <c r="M4392" s="34"/>
      <c r="N4392" s="34"/>
      <c r="O4392" s="34"/>
      <c r="P4392" s="34"/>
      <c r="Q4392" s="34"/>
      <c r="R4392" s="34"/>
    </row>
    <row r="4393" spans="13:18">
      <c r="M4393" s="34"/>
      <c r="N4393" s="34"/>
      <c r="O4393" s="34"/>
      <c r="P4393" s="34"/>
      <c r="Q4393" s="34"/>
      <c r="R4393" s="34"/>
    </row>
    <row r="4394" spans="13:18">
      <c r="M4394" s="34"/>
      <c r="N4394" s="34"/>
      <c r="O4394" s="34"/>
      <c r="P4394" s="34"/>
      <c r="Q4394" s="34"/>
      <c r="R4394" s="34"/>
    </row>
    <row r="4395" spans="13:18">
      <c r="M4395" s="34"/>
      <c r="N4395" s="34"/>
      <c r="O4395" s="34"/>
      <c r="P4395" s="34"/>
      <c r="Q4395" s="34"/>
      <c r="R4395" s="34"/>
    </row>
    <row r="4396" spans="13:18">
      <c r="M4396" s="34"/>
      <c r="N4396" s="34"/>
      <c r="O4396" s="34"/>
      <c r="P4396" s="34"/>
      <c r="Q4396" s="34"/>
      <c r="R4396" s="34"/>
    </row>
    <row r="4397" spans="13:18">
      <c r="M4397" s="34"/>
      <c r="N4397" s="34"/>
      <c r="O4397" s="34"/>
      <c r="P4397" s="34"/>
      <c r="Q4397" s="34"/>
      <c r="R4397" s="34"/>
    </row>
    <row r="4398" spans="13:18">
      <c r="M4398" s="34"/>
      <c r="N4398" s="34"/>
      <c r="O4398" s="34"/>
      <c r="P4398" s="34"/>
      <c r="Q4398" s="34"/>
      <c r="R4398" s="34"/>
    </row>
    <row r="4399" spans="13:18">
      <c r="M4399" s="34"/>
      <c r="N4399" s="34"/>
      <c r="O4399" s="34"/>
      <c r="P4399" s="34"/>
      <c r="Q4399" s="34"/>
      <c r="R4399" s="34"/>
    </row>
    <row r="4400" spans="13:18">
      <c r="M4400" s="34"/>
      <c r="N4400" s="34"/>
      <c r="O4400" s="34"/>
      <c r="P4400" s="34"/>
      <c r="Q4400" s="34"/>
      <c r="R4400" s="34"/>
    </row>
    <row r="4401" spans="13:18">
      <c r="M4401" s="34"/>
      <c r="N4401" s="34"/>
      <c r="O4401" s="34"/>
      <c r="P4401" s="34"/>
      <c r="Q4401" s="34"/>
      <c r="R4401" s="34"/>
    </row>
    <row r="4402" spans="13:18">
      <c r="M4402" s="34"/>
      <c r="N4402" s="34"/>
      <c r="O4402" s="34"/>
      <c r="P4402" s="34"/>
      <c r="Q4402" s="34"/>
      <c r="R4402" s="34"/>
    </row>
    <row r="4403" spans="13:18">
      <c r="M4403" s="34"/>
      <c r="N4403" s="34"/>
      <c r="O4403" s="34"/>
      <c r="P4403" s="34"/>
      <c r="Q4403" s="34"/>
      <c r="R4403" s="34"/>
    </row>
    <row r="4404" spans="13:18">
      <c r="M4404" s="34"/>
      <c r="N4404" s="34"/>
      <c r="O4404" s="34"/>
      <c r="P4404" s="34"/>
      <c r="Q4404" s="34"/>
      <c r="R4404" s="34"/>
    </row>
    <row r="4405" spans="13:18">
      <c r="M4405" s="34"/>
      <c r="N4405" s="34"/>
      <c r="O4405" s="34"/>
      <c r="P4405" s="34"/>
      <c r="Q4405" s="34"/>
      <c r="R4405" s="34"/>
    </row>
    <row r="4406" spans="13:18">
      <c r="M4406" s="34"/>
      <c r="N4406" s="34"/>
      <c r="O4406" s="34"/>
      <c r="P4406" s="34"/>
      <c r="Q4406" s="34"/>
      <c r="R4406" s="34"/>
    </row>
    <row r="4407" spans="13:18">
      <c r="M4407" s="34"/>
      <c r="N4407" s="34"/>
      <c r="O4407" s="34"/>
      <c r="P4407" s="34"/>
      <c r="Q4407" s="34"/>
      <c r="R4407" s="34"/>
    </row>
    <row r="4408" spans="13:18">
      <c r="M4408" s="34"/>
      <c r="N4408" s="34"/>
      <c r="O4408" s="34"/>
      <c r="P4408" s="34"/>
      <c r="Q4408" s="34"/>
      <c r="R4408" s="34"/>
    </row>
    <row r="4409" spans="13:18">
      <c r="M4409" s="34"/>
      <c r="N4409" s="34"/>
      <c r="O4409" s="34"/>
      <c r="P4409" s="34"/>
      <c r="Q4409" s="34"/>
      <c r="R4409" s="34"/>
    </row>
    <row r="4410" spans="13:18">
      <c r="M4410" s="34"/>
      <c r="N4410" s="34"/>
      <c r="O4410" s="34"/>
      <c r="P4410" s="34"/>
      <c r="Q4410" s="34"/>
      <c r="R4410" s="34"/>
    </row>
    <row r="4411" spans="13:18">
      <c r="M4411" s="34"/>
      <c r="N4411" s="34"/>
      <c r="O4411" s="34"/>
      <c r="P4411" s="34"/>
      <c r="Q4411" s="34"/>
      <c r="R4411" s="34"/>
    </row>
    <row r="4412" spans="13:18">
      <c r="M4412" s="34"/>
      <c r="N4412" s="34"/>
      <c r="O4412" s="34"/>
      <c r="P4412" s="34"/>
      <c r="Q4412" s="34"/>
      <c r="R4412" s="34"/>
    </row>
    <row r="4413" spans="13:18">
      <c r="M4413" s="34"/>
      <c r="N4413" s="34"/>
      <c r="O4413" s="34"/>
      <c r="P4413" s="34"/>
      <c r="Q4413" s="34"/>
      <c r="R4413" s="34"/>
    </row>
    <row r="4414" spans="13:18">
      <c r="M4414" s="34"/>
      <c r="N4414" s="34"/>
      <c r="O4414" s="34"/>
      <c r="P4414" s="34"/>
      <c r="Q4414" s="34"/>
      <c r="R4414" s="34"/>
    </row>
    <row r="4415" spans="13:18">
      <c r="M4415" s="34"/>
      <c r="N4415" s="34"/>
      <c r="O4415" s="34"/>
      <c r="P4415" s="34"/>
      <c r="Q4415" s="34"/>
      <c r="R4415" s="34"/>
    </row>
    <row r="4416" spans="13:18">
      <c r="M4416" s="34"/>
      <c r="N4416" s="34"/>
      <c r="O4416" s="34"/>
      <c r="P4416" s="34"/>
      <c r="Q4416" s="34"/>
      <c r="R4416" s="34"/>
    </row>
    <row r="4417" spans="13:18">
      <c r="M4417" s="34"/>
      <c r="N4417" s="34"/>
      <c r="O4417" s="34"/>
      <c r="P4417" s="34"/>
      <c r="Q4417" s="34"/>
      <c r="R4417" s="34"/>
    </row>
    <row r="4418" spans="13:18">
      <c r="M4418" s="34"/>
      <c r="N4418" s="34"/>
      <c r="O4418" s="34"/>
      <c r="P4418" s="34"/>
      <c r="Q4418" s="34"/>
      <c r="R4418" s="34"/>
    </row>
    <row r="4419" spans="13:18">
      <c r="M4419" s="34"/>
      <c r="N4419" s="34"/>
      <c r="O4419" s="34"/>
      <c r="P4419" s="34"/>
      <c r="Q4419" s="34"/>
      <c r="R4419" s="34"/>
    </row>
    <row r="4420" spans="13:18">
      <c r="M4420" s="34"/>
      <c r="N4420" s="34"/>
      <c r="O4420" s="34"/>
      <c r="P4420" s="34"/>
      <c r="Q4420" s="34"/>
      <c r="R4420" s="34"/>
    </row>
    <row r="4421" spans="13:18">
      <c r="M4421" s="34"/>
      <c r="N4421" s="34"/>
      <c r="O4421" s="34"/>
      <c r="P4421" s="34"/>
      <c r="Q4421" s="34"/>
      <c r="R4421" s="34"/>
    </row>
    <row r="4422" spans="13:18">
      <c r="M4422" s="34"/>
      <c r="N4422" s="34"/>
      <c r="O4422" s="34"/>
      <c r="P4422" s="34"/>
      <c r="Q4422" s="34"/>
      <c r="R4422" s="34"/>
    </row>
    <row r="4423" spans="13:18">
      <c r="M4423" s="34"/>
      <c r="N4423" s="34"/>
      <c r="O4423" s="34"/>
      <c r="P4423" s="34"/>
      <c r="Q4423" s="34"/>
      <c r="R4423" s="34"/>
    </row>
    <row r="4424" spans="13:18">
      <c r="M4424" s="34"/>
      <c r="N4424" s="34"/>
      <c r="O4424" s="34"/>
      <c r="P4424" s="34"/>
      <c r="Q4424" s="34"/>
      <c r="R4424" s="34"/>
    </row>
    <row r="4425" spans="13:18">
      <c r="M4425" s="34"/>
      <c r="N4425" s="34"/>
      <c r="O4425" s="34"/>
      <c r="P4425" s="34"/>
      <c r="Q4425" s="34"/>
      <c r="R4425" s="34"/>
    </row>
    <row r="4426" spans="13:18">
      <c r="M4426" s="34"/>
      <c r="N4426" s="34"/>
      <c r="O4426" s="34"/>
      <c r="P4426" s="34"/>
      <c r="Q4426" s="34"/>
      <c r="R4426" s="34"/>
    </row>
    <row r="4427" spans="13:18">
      <c r="M4427" s="34"/>
      <c r="N4427" s="34"/>
      <c r="O4427" s="34"/>
      <c r="P4427" s="34"/>
      <c r="Q4427" s="34"/>
      <c r="R4427" s="34"/>
    </row>
    <row r="4428" spans="13:18">
      <c r="M4428" s="34"/>
      <c r="N4428" s="34"/>
      <c r="O4428" s="34"/>
      <c r="P4428" s="34"/>
      <c r="Q4428" s="34"/>
      <c r="R4428" s="34"/>
    </row>
    <row r="4429" spans="13:18">
      <c r="M4429" s="34"/>
      <c r="N4429" s="34"/>
      <c r="O4429" s="34"/>
      <c r="P4429" s="34"/>
      <c r="Q4429" s="34"/>
      <c r="R4429" s="34"/>
    </row>
    <row r="4430" spans="13:18">
      <c r="M4430" s="34"/>
      <c r="N4430" s="34"/>
      <c r="O4430" s="34"/>
      <c r="P4430" s="34"/>
      <c r="Q4430" s="34"/>
      <c r="R4430" s="34"/>
    </row>
    <row r="4431" spans="13:18">
      <c r="M4431" s="34"/>
      <c r="N4431" s="34"/>
      <c r="O4431" s="34"/>
      <c r="P4431" s="34"/>
      <c r="Q4431" s="34"/>
      <c r="R4431" s="34"/>
    </row>
    <row r="4432" spans="13:18">
      <c r="M4432" s="34"/>
      <c r="N4432" s="34"/>
      <c r="O4432" s="34"/>
      <c r="P4432" s="34"/>
      <c r="Q4432" s="34"/>
      <c r="R4432" s="34"/>
    </row>
    <row r="4433" spans="13:18">
      <c r="M4433" s="34"/>
      <c r="N4433" s="34"/>
      <c r="O4433" s="34"/>
      <c r="P4433" s="34"/>
      <c r="Q4433" s="34"/>
      <c r="R4433" s="34"/>
    </row>
    <row r="4434" spans="13:18">
      <c r="M4434" s="34"/>
      <c r="N4434" s="34"/>
      <c r="O4434" s="34"/>
      <c r="P4434" s="34"/>
      <c r="Q4434" s="34"/>
      <c r="R4434" s="34"/>
    </row>
    <row r="4435" spans="13:18">
      <c r="M4435" s="34"/>
      <c r="N4435" s="34"/>
      <c r="O4435" s="34"/>
      <c r="P4435" s="34"/>
      <c r="Q4435" s="34"/>
      <c r="R4435" s="34"/>
    </row>
    <row r="4436" spans="13:18">
      <c r="M4436" s="34"/>
      <c r="N4436" s="34"/>
      <c r="O4436" s="34"/>
      <c r="P4436" s="34"/>
      <c r="Q4436" s="34"/>
      <c r="R4436" s="34"/>
    </row>
    <row r="4437" spans="13:18">
      <c r="M4437" s="34"/>
      <c r="N4437" s="34"/>
      <c r="O4437" s="34"/>
      <c r="P4437" s="34"/>
      <c r="Q4437" s="34"/>
      <c r="R4437" s="34"/>
    </row>
    <row r="4438" spans="13:18">
      <c r="M4438" s="34"/>
      <c r="N4438" s="34"/>
      <c r="O4438" s="34"/>
      <c r="P4438" s="34"/>
      <c r="Q4438" s="34"/>
      <c r="R4438" s="34"/>
    </row>
    <row r="4439" spans="13:18">
      <c r="M4439" s="34"/>
      <c r="N4439" s="34"/>
      <c r="O4439" s="34"/>
      <c r="P4439" s="34"/>
      <c r="Q4439" s="34"/>
      <c r="R4439" s="34"/>
    </row>
    <row r="4440" spans="13:18">
      <c r="M4440" s="34"/>
      <c r="N4440" s="34"/>
      <c r="O4440" s="34"/>
      <c r="P4440" s="34"/>
      <c r="Q4440" s="34"/>
      <c r="R4440" s="34"/>
    </row>
    <row r="4441" spans="13:18">
      <c r="M4441" s="34"/>
      <c r="N4441" s="34"/>
      <c r="O4441" s="34"/>
      <c r="P4441" s="34"/>
      <c r="Q4441" s="34"/>
      <c r="R4441" s="34"/>
    </row>
    <row r="4442" spans="13:18">
      <c r="M4442" s="34"/>
      <c r="N4442" s="34"/>
      <c r="O4442" s="34"/>
      <c r="P4442" s="34"/>
      <c r="Q4442" s="34"/>
      <c r="R4442" s="34"/>
    </row>
    <row r="4443" spans="13:18">
      <c r="M4443" s="34"/>
      <c r="N4443" s="34"/>
      <c r="O4443" s="34"/>
      <c r="P4443" s="34"/>
      <c r="Q4443" s="34"/>
      <c r="R4443" s="34"/>
    </row>
    <row r="4444" spans="13:18">
      <c r="M4444" s="34"/>
      <c r="N4444" s="34"/>
      <c r="O4444" s="34"/>
      <c r="P4444" s="34"/>
      <c r="Q4444" s="34"/>
      <c r="R4444" s="34"/>
    </row>
    <row r="4445" spans="13:18">
      <c r="M4445" s="34"/>
      <c r="N4445" s="34"/>
      <c r="O4445" s="34"/>
      <c r="P4445" s="34"/>
      <c r="Q4445" s="34"/>
      <c r="R4445" s="34"/>
    </row>
    <row r="4446" spans="13:18">
      <c r="M4446" s="34"/>
      <c r="N4446" s="34"/>
      <c r="O4446" s="34"/>
      <c r="P4446" s="34"/>
      <c r="Q4446" s="34"/>
      <c r="R4446" s="34"/>
    </row>
    <row r="4447" spans="13:18">
      <c r="M4447" s="34"/>
      <c r="N4447" s="34"/>
      <c r="O4447" s="34"/>
      <c r="P4447" s="34"/>
      <c r="Q4447" s="34"/>
      <c r="R4447" s="34"/>
    </row>
    <row r="4448" spans="13:18">
      <c r="M4448" s="34"/>
      <c r="N4448" s="34"/>
      <c r="O4448" s="34"/>
      <c r="P4448" s="34"/>
      <c r="Q4448" s="34"/>
      <c r="R4448" s="34"/>
    </row>
    <row r="4449" spans="13:18">
      <c r="M4449" s="34"/>
      <c r="N4449" s="34"/>
      <c r="O4449" s="34"/>
      <c r="P4449" s="34"/>
      <c r="Q4449" s="34"/>
      <c r="R4449" s="34"/>
    </row>
    <row r="4450" spans="13:18">
      <c r="M4450" s="34"/>
      <c r="N4450" s="34"/>
      <c r="O4450" s="34"/>
      <c r="P4450" s="34"/>
      <c r="Q4450" s="34"/>
      <c r="R4450" s="34"/>
    </row>
    <row r="4451" spans="13:18">
      <c r="M4451" s="34"/>
      <c r="N4451" s="34"/>
      <c r="O4451" s="34"/>
      <c r="P4451" s="34"/>
      <c r="Q4451" s="34"/>
      <c r="R4451" s="34"/>
    </row>
    <row r="4452" spans="13:18">
      <c r="M4452" s="34"/>
      <c r="N4452" s="34"/>
      <c r="O4452" s="34"/>
      <c r="P4452" s="34"/>
      <c r="Q4452" s="34"/>
      <c r="R4452" s="34"/>
    </row>
    <row r="4453" spans="13:18">
      <c r="M4453" s="34"/>
      <c r="N4453" s="34"/>
      <c r="O4453" s="34"/>
      <c r="P4453" s="34"/>
      <c r="Q4453" s="34"/>
      <c r="R4453" s="34"/>
    </row>
    <row r="4454" spans="13:18">
      <c r="M4454" s="34"/>
      <c r="N4454" s="34"/>
      <c r="O4454" s="34"/>
      <c r="P4454" s="34"/>
      <c r="Q4454" s="34"/>
      <c r="R4454" s="34"/>
    </row>
    <row r="4455" spans="13:18">
      <c r="M4455" s="34"/>
      <c r="N4455" s="34"/>
      <c r="O4455" s="34"/>
      <c r="P4455" s="34"/>
      <c r="Q4455" s="34"/>
      <c r="R4455" s="34"/>
    </row>
    <row r="4456" spans="13:18">
      <c r="M4456" s="34"/>
      <c r="N4456" s="34"/>
      <c r="O4456" s="34"/>
      <c r="P4456" s="34"/>
      <c r="Q4456" s="34"/>
      <c r="R4456" s="34"/>
    </row>
    <row r="4457" spans="13:18">
      <c r="M4457" s="34"/>
      <c r="N4457" s="34"/>
      <c r="O4457" s="34"/>
      <c r="P4457" s="34"/>
      <c r="Q4457" s="34"/>
      <c r="R4457" s="34"/>
    </row>
    <row r="4458" spans="13:18">
      <c r="M4458" s="34"/>
      <c r="N4458" s="34"/>
      <c r="O4458" s="34"/>
      <c r="P4458" s="34"/>
      <c r="Q4458" s="34"/>
      <c r="R4458" s="34"/>
    </row>
    <row r="4459" spans="13:18">
      <c r="M4459" s="34"/>
      <c r="N4459" s="34"/>
      <c r="O4459" s="34"/>
      <c r="P4459" s="34"/>
      <c r="Q4459" s="34"/>
      <c r="R4459" s="34"/>
    </row>
    <row r="4460" spans="13:18">
      <c r="M4460" s="34"/>
      <c r="N4460" s="34"/>
      <c r="O4460" s="34"/>
      <c r="P4460" s="34"/>
      <c r="Q4460" s="34"/>
      <c r="R4460" s="34"/>
    </row>
    <row r="4461" spans="13:18">
      <c r="M4461" s="34"/>
      <c r="N4461" s="34"/>
      <c r="O4461" s="34"/>
      <c r="P4461" s="34"/>
      <c r="Q4461" s="34"/>
      <c r="R4461" s="34"/>
    </row>
    <row r="4462" spans="13:18">
      <c r="M4462" s="34"/>
      <c r="N4462" s="34"/>
      <c r="O4462" s="34"/>
      <c r="P4462" s="34"/>
      <c r="Q4462" s="34"/>
      <c r="R4462" s="34"/>
    </row>
    <row r="4463" spans="13:18">
      <c r="M4463" s="34"/>
      <c r="N4463" s="34"/>
      <c r="O4463" s="34"/>
      <c r="P4463" s="34"/>
      <c r="Q4463" s="34"/>
      <c r="R4463" s="34"/>
    </row>
    <row r="4464" spans="13:18">
      <c r="M4464" s="34"/>
      <c r="N4464" s="34"/>
      <c r="O4464" s="34"/>
      <c r="P4464" s="34"/>
      <c r="Q4464" s="34"/>
      <c r="R4464" s="34"/>
    </row>
    <row r="4465" spans="13:18">
      <c r="M4465" s="34"/>
      <c r="N4465" s="34"/>
      <c r="O4465" s="34"/>
      <c r="P4465" s="34"/>
      <c r="Q4465" s="34"/>
      <c r="R4465" s="34"/>
    </row>
    <row r="4466" spans="13:18">
      <c r="M4466" s="34"/>
      <c r="N4466" s="34"/>
      <c r="O4466" s="34"/>
      <c r="P4466" s="34"/>
      <c r="Q4466" s="34"/>
      <c r="R4466" s="34"/>
    </row>
    <row r="4467" spans="13:18">
      <c r="M4467" s="34"/>
      <c r="N4467" s="34"/>
      <c r="O4467" s="34"/>
      <c r="P4467" s="34"/>
      <c r="Q4467" s="34"/>
      <c r="R4467" s="34"/>
    </row>
    <row r="4468" spans="13:18">
      <c r="M4468" s="34"/>
      <c r="N4468" s="34"/>
      <c r="O4468" s="34"/>
      <c r="P4468" s="34"/>
      <c r="Q4468" s="34"/>
      <c r="R4468" s="34"/>
    </row>
    <row r="4469" spans="13:18">
      <c r="M4469" s="34"/>
      <c r="N4469" s="34"/>
      <c r="O4469" s="34"/>
      <c r="P4469" s="34"/>
      <c r="Q4469" s="34"/>
      <c r="R4469" s="34"/>
    </row>
    <row r="4470" spans="13:18">
      <c r="M4470" s="34"/>
      <c r="N4470" s="34"/>
      <c r="O4470" s="34"/>
      <c r="P4470" s="34"/>
      <c r="Q4470" s="34"/>
      <c r="R4470" s="34"/>
    </row>
    <row r="4471" spans="13:18">
      <c r="M4471" s="34"/>
      <c r="N4471" s="34"/>
      <c r="O4471" s="34"/>
      <c r="P4471" s="34"/>
      <c r="Q4471" s="34"/>
      <c r="R4471" s="34"/>
    </row>
    <row r="4472" spans="13:18">
      <c r="M4472" s="34"/>
      <c r="N4472" s="34"/>
      <c r="O4472" s="34"/>
      <c r="P4472" s="34"/>
      <c r="Q4472" s="34"/>
      <c r="R4472" s="34"/>
    </row>
    <row r="4473" spans="13:18">
      <c r="M4473" s="34"/>
      <c r="N4473" s="34"/>
      <c r="O4473" s="34"/>
      <c r="P4473" s="34"/>
      <c r="Q4473" s="34"/>
      <c r="R4473" s="34"/>
    </row>
    <row r="4474" spans="13:18">
      <c r="M4474" s="34"/>
      <c r="N4474" s="34"/>
      <c r="O4474" s="34"/>
      <c r="P4474" s="34"/>
      <c r="Q4474" s="34"/>
      <c r="R4474" s="34"/>
    </row>
    <row r="4475" spans="13:18">
      <c r="M4475" s="34"/>
      <c r="N4475" s="34"/>
      <c r="O4475" s="34"/>
      <c r="P4475" s="34"/>
      <c r="Q4475" s="34"/>
      <c r="R4475" s="34"/>
    </row>
    <row r="4476" spans="13:18">
      <c r="M4476" s="34"/>
      <c r="N4476" s="34"/>
      <c r="O4476" s="34"/>
      <c r="P4476" s="34"/>
      <c r="Q4476" s="34"/>
      <c r="R4476" s="34"/>
    </row>
    <row r="4477" spans="13:18">
      <c r="M4477" s="34"/>
      <c r="N4477" s="34"/>
      <c r="O4477" s="34"/>
      <c r="P4477" s="34"/>
      <c r="Q4477" s="34"/>
      <c r="R4477" s="34"/>
    </row>
    <row r="4478" spans="13:18">
      <c r="M4478" s="34"/>
      <c r="N4478" s="34"/>
      <c r="O4478" s="34"/>
      <c r="P4478" s="34"/>
      <c r="Q4478" s="34"/>
      <c r="R4478" s="34"/>
    </row>
    <row r="4479" spans="13:18">
      <c r="M4479" s="34"/>
      <c r="N4479" s="34"/>
      <c r="O4479" s="34"/>
      <c r="P4479" s="34"/>
      <c r="Q4479" s="34"/>
      <c r="R4479" s="34"/>
    </row>
    <row r="4480" spans="13:18">
      <c r="M4480" s="34"/>
      <c r="N4480" s="34"/>
      <c r="O4480" s="34"/>
      <c r="P4480" s="34"/>
      <c r="Q4480" s="34"/>
      <c r="R4480" s="34"/>
    </row>
    <row r="4481" spans="13:18">
      <c r="M4481" s="34"/>
      <c r="N4481" s="34"/>
      <c r="O4481" s="34"/>
      <c r="P4481" s="34"/>
      <c r="Q4481" s="34"/>
      <c r="R4481" s="34"/>
    </row>
    <row r="4482" spans="13:18">
      <c r="M4482" s="34"/>
      <c r="N4482" s="34"/>
      <c r="O4482" s="34"/>
      <c r="P4482" s="34"/>
      <c r="Q4482" s="34"/>
      <c r="R4482" s="34"/>
    </row>
    <row r="4483" spans="13:18">
      <c r="M4483" s="34"/>
      <c r="N4483" s="34"/>
      <c r="O4483" s="34"/>
      <c r="P4483" s="34"/>
      <c r="Q4483" s="34"/>
      <c r="R4483" s="34"/>
    </row>
    <row r="4484" spans="13:18">
      <c r="M4484" s="34"/>
      <c r="N4484" s="34"/>
      <c r="O4484" s="34"/>
      <c r="P4484" s="34"/>
      <c r="Q4484" s="34"/>
      <c r="R4484" s="34"/>
    </row>
    <row r="4485" spans="13:18">
      <c r="M4485" s="34"/>
      <c r="N4485" s="34"/>
      <c r="O4485" s="34"/>
      <c r="P4485" s="34"/>
      <c r="Q4485" s="34"/>
      <c r="R4485" s="34"/>
    </row>
    <row r="4486" spans="13:18">
      <c r="M4486" s="34"/>
      <c r="N4486" s="34"/>
      <c r="O4486" s="34"/>
      <c r="P4486" s="34"/>
      <c r="Q4486" s="34"/>
      <c r="R4486" s="34"/>
    </row>
    <row r="4487" spans="13:18">
      <c r="M4487" s="34"/>
      <c r="N4487" s="34"/>
      <c r="O4487" s="34"/>
      <c r="P4487" s="34"/>
      <c r="Q4487" s="34"/>
      <c r="R4487" s="34"/>
    </row>
    <row r="4488" spans="13:18">
      <c r="M4488" s="34"/>
      <c r="N4488" s="34"/>
      <c r="O4488" s="34"/>
      <c r="P4488" s="34"/>
      <c r="Q4488" s="34"/>
      <c r="R4488" s="34"/>
    </row>
    <row r="4489" spans="13:18">
      <c r="M4489" s="34"/>
      <c r="N4489" s="34"/>
      <c r="O4489" s="34"/>
      <c r="P4489" s="34"/>
      <c r="Q4489" s="34"/>
      <c r="R4489" s="34"/>
    </row>
    <row r="4490" spans="13:18">
      <c r="M4490" s="34"/>
      <c r="N4490" s="34"/>
      <c r="O4490" s="34"/>
      <c r="P4490" s="34"/>
      <c r="Q4490" s="34"/>
      <c r="R4490" s="34"/>
    </row>
    <row r="4491" spans="13:18">
      <c r="M4491" s="34"/>
      <c r="N4491" s="34"/>
      <c r="O4491" s="34"/>
      <c r="P4491" s="34"/>
      <c r="Q4491" s="34"/>
      <c r="R4491" s="34"/>
    </row>
    <row r="4492" spans="13:18">
      <c r="M4492" s="34"/>
      <c r="N4492" s="34"/>
      <c r="O4492" s="34"/>
      <c r="P4492" s="34"/>
      <c r="Q4492" s="34"/>
      <c r="R4492" s="34"/>
    </row>
    <row r="4493" spans="13:18">
      <c r="M4493" s="34"/>
      <c r="N4493" s="34"/>
      <c r="O4493" s="34"/>
      <c r="P4493" s="34"/>
      <c r="Q4493" s="34"/>
      <c r="R4493" s="34"/>
    </row>
    <row r="4494" spans="13:18">
      <c r="M4494" s="34"/>
      <c r="N4494" s="34"/>
      <c r="O4494" s="34"/>
      <c r="P4494" s="34"/>
      <c r="Q4494" s="34"/>
      <c r="R4494" s="34"/>
    </row>
    <row r="4495" spans="13:18">
      <c r="M4495" s="34"/>
      <c r="N4495" s="34"/>
      <c r="O4495" s="34"/>
      <c r="P4495" s="34"/>
      <c r="Q4495" s="34"/>
      <c r="R4495" s="34"/>
    </row>
    <row r="4496" spans="13:18">
      <c r="M4496" s="34"/>
      <c r="N4496" s="34"/>
      <c r="O4496" s="34"/>
      <c r="P4496" s="34"/>
      <c r="Q4496" s="34"/>
      <c r="R4496" s="34"/>
    </row>
    <row r="4497" spans="13:18">
      <c r="M4497" s="34"/>
      <c r="N4497" s="34"/>
      <c r="O4497" s="34"/>
      <c r="P4497" s="34"/>
      <c r="Q4497" s="34"/>
      <c r="R4497" s="34"/>
    </row>
    <row r="4498" spans="13:18">
      <c r="M4498" s="34"/>
      <c r="N4498" s="34"/>
      <c r="O4498" s="34"/>
      <c r="P4498" s="34"/>
      <c r="Q4498" s="34"/>
      <c r="R4498" s="34"/>
    </row>
    <row r="4499" spans="13:18">
      <c r="M4499" s="34"/>
      <c r="N4499" s="34"/>
      <c r="O4499" s="34"/>
      <c r="P4499" s="34"/>
      <c r="Q4499" s="34"/>
      <c r="R4499" s="34"/>
    </row>
    <row r="4500" spans="13:18">
      <c r="M4500" s="34"/>
      <c r="N4500" s="34"/>
      <c r="O4500" s="34"/>
      <c r="P4500" s="34"/>
      <c r="Q4500" s="34"/>
      <c r="R4500" s="34"/>
    </row>
    <row r="4501" spans="13:18">
      <c r="M4501" s="34"/>
      <c r="N4501" s="34"/>
      <c r="O4501" s="34"/>
      <c r="P4501" s="34"/>
      <c r="Q4501" s="34"/>
      <c r="R4501" s="34"/>
    </row>
    <row r="4502" spans="13:18">
      <c r="M4502" s="34"/>
      <c r="N4502" s="34"/>
      <c r="O4502" s="34"/>
      <c r="P4502" s="34"/>
      <c r="Q4502" s="34"/>
      <c r="R4502" s="34"/>
    </row>
    <row r="4503" spans="13:18">
      <c r="M4503" s="34"/>
      <c r="N4503" s="34"/>
      <c r="O4503" s="34"/>
      <c r="P4503" s="34"/>
      <c r="Q4503" s="34"/>
      <c r="R4503" s="34"/>
    </row>
    <row r="4504" spans="13:18">
      <c r="M4504" s="34"/>
      <c r="N4504" s="34"/>
      <c r="O4504" s="34"/>
      <c r="P4504" s="34"/>
      <c r="Q4504" s="34"/>
      <c r="R4504" s="34"/>
    </row>
    <row r="4505" spans="13:18">
      <c r="M4505" s="34"/>
      <c r="N4505" s="34"/>
      <c r="O4505" s="34"/>
      <c r="P4505" s="34"/>
      <c r="Q4505" s="34"/>
      <c r="R4505" s="34"/>
    </row>
    <row r="4506" spans="13:18">
      <c r="M4506" s="34"/>
      <c r="N4506" s="34"/>
      <c r="O4506" s="34"/>
      <c r="P4506" s="34"/>
      <c r="Q4506" s="34"/>
      <c r="R4506" s="34"/>
    </row>
    <row r="4507" spans="13:18">
      <c r="M4507" s="34"/>
      <c r="N4507" s="34"/>
      <c r="O4507" s="34"/>
      <c r="P4507" s="34"/>
      <c r="Q4507" s="34"/>
      <c r="R4507" s="34"/>
    </row>
    <row r="4508" spans="13:18">
      <c r="M4508" s="34"/>
      <c r="N4508" s="34"/>
      <c r="O4508" s="34"/>
      <c r="P4508" s="34"/>
      <c r="Q4508" s="34"/>
      <c r="R4508" s="34"/>
    </row>
    <row r="4509" spans="13:18">
      <c r="M4509" s="34"/>
      <c r="N4509" s="34"/>
      <c r="O4509" s="34"/>
      <c r="P4509" s="34"/>
      <c r="Q4509" s="34"/>
      <c r="R4509" s="34"/>
    </row>
    <row r="4510" spans="13:18">
      <c r="M4510" s="34"/>
      <c r="N4510" s="34"/>
      <c r="O4510" s="34"/>
      <c r="P4510" s="34"/>
      <c r="Q4510" s="34"/>
      <c r="R4510" s="34"/>
    </row>
    <row r="4511" spans="13:18">
      <c r="M4511" s="34"/>
      <c r="N4511" s="34"/>
      <c r="O4511" s="34"/>
      <c r="P4511" s="34"/>
      <c r="Q4511" s="34"/>
      <c r="R4511" s="34"/>
    </row>
    <row r="4512" spans="13:18">
      <c r="M4512" s="34"/>
      <c r="N4512" s="34"/>
      <c r="O4512" s="34"/>
      <c r="P4512" s="34"/>
      <c r="Q4512" s="34"/>
      <c r="R4512" s="34"/>
    </row>
    <row r="4513" spans="13:18">
      <c r="M4513" s="34"/>
      <c r="N4513" s="34"/>
      <c r="O4513" s="34"/>
      <c r="P4513" s="34"/>
      <c r="Q4513" s="34"/>
      <c r="R4513" s="34"/>
    </row>
    <row r="4514" spans="13:18">
      <c r="M4514" s="34"/>
      <c r="N4514" s="34"/>
      <c r="O4514" s="34"/>
      <c r="P4514" s="34"/>
      <c r="Q4514" s="34"/>
      <c r="R4514" s="34"/>
    </row>
    <row r="4515" spans="13:18">
      <c r="M4515" s="34"/>
      <c r="N4515" s="34"/>
      <c r="O4515" s="34"/>
      <c r="P4515" s="34"/>
      <c r="Q4515" s="34"/>
      <c r="R4515" s="34"/>
    </row>
    <row r="4516" spans="13:18">
      <c r="M4516" s="34"/>
      <c r="N4516" s="34"/>
      <c r="O4516" s="34"/>
      <c r="P4516" s="34"/>
      <c r="Q4516" s="34"/>
      <c r="R4516" s="34"/>
    </row>
    <row r="4517" spans="13:18">
      <c r="M4517" s="34"/>
      <c r="N4517" s="34"/>
      <c r="O4517" s="34"/>
      <c r="P4517" s="34"/>
      <c r="Q4517" s="34"/>
      <c r="R4517" s="34"/>
    </row>
    <row r="4518" spans="13:18">
      <c r="M4518" s="34"/>
      <c r="N4518" s="34"/>
      <c r="O4518" s="34"/>
      <c r="P4518" s="34"/>
      <c r="Q4518" s="34"/>
      <c r="R4518" s="34"/>
    </row>
    <row r="4519" spans="13:18">
      <c r="M4519" s="34"/>
      <c r="N4519" s="34"/>
      <c r="O4519" s="34"/>
      <c r="P4519" s="34"/>
      <c r="Q4519" s="34"/>
      <c r="R4519" s="34"/>
    </row>
    <row r="4520" spans="13:18">
      <c r="M4520" s="34"/>
      <c r="N4520" s="34"/>
      <c r="O4520" s="34"/>
      <c r="P4520" s="34"/>
      <c r="Q4520" s="34"/>
      <c r="R4520" s="34"/>
    </row>
    <row r="4521" spans="13:18">
      <c r="M4521" s="34"/>
      <c r="N4521" s="34"/>
      <c r="O4521" s="34"/>
      <c r="P4521" s="34"/>
      <c r="Q4521" s="34"/>
      <c r="R4521" s="34"/>
    </row>
    <row r="4522" spans="13:18">
      <c r="M4522" s="34"/>
      <c r="N4522" s="34"/>
      <c r="O4522" s="34"/>
      <c r="P4522" s="34"/>
      <c r="Q4522" s="34"/>
      <c r="R4522" s="34"/>
    </row>
    <row r="4523" spans="13:18">
      <c r="M4523" s="34"/>
      <c r="N4523" s="34"/>
      <c r="O4523" s="34"/>
      <c r="P4523" s="34"/>
      <c r="Q4523" s="34"/>
      <c r="R4523" s="34"/>
    </row>
    <row r="4524" spans="13:18">
      <c r="M4524" s="34"/>
      <c r="N4524" s="34"/>
      <c r="O4524" s="34"/>
      <c r="P4524" s="34"/>
      <c r="Q4524" s="34"/>
      <c r="R4524" s="34"/>
    </row>
    <row r="4525" spans="13:18">
      <c r="M4525" s="34"/>
      <c r="N4525" s="34"/>
      <c r="O4525" s="34"/>
      <c r="P4525" s="34"/>
      <c r="Q4525" s="34"/>
      <c r="R4525" s="34"/>
    </row>
    <row r="4526" spans="13:18">
      <c r="M4526" s="34"/>
      <c r="N4526" s="34"/>
      <c r="O4526" s="34"/>
      <c r="P4526" s="34"/>
      <c r="Q4526" s="34"/>
      <c r="R4526" s="34"/>
    </row>
    <row r="4527" spans="13:18">
      <c r="M4527" s="34"/>
      <c r="N4527" s="34"/>
      <c r="O4527" s="34"/>
      <c r="P4527" s="34"/>
      <c r="Q4527" s="34"/>
      <c r="R4527" s="34"/>
    </row>
    <row r="4528" spans="13:18">
      <c r="M4528" s="34"/>
      <c r="N4528" s="34"/>
      <c r="O4528" s="34"/>
      <c r="P4528" s="34"/>
      <c r="Q4528" s="34"/>
      <c r="R4528" s="34"/>
    </row>
    <row r="4529" spans="13:18">
      <c r="M4529" s="34"/>
      <c r="N4529" s="34"/>
      <c r="O4529" s="34"/>
      <c r="P4529" s="34"/>
      <c r="Q4529" s="34"/>
      <c r="R4529" s="34"/>
    </row>
    <row r="4530" spans="13:18">
      <c r="M4530" s="34"/>
      <c r="N4530" s="34"/>
      <c r="O4530" s="34"/>
      <c r="P4530" s="34"/>
      <c r="Q4530" s="34"/>
      <c r="R4530" s="34"/>
    </row>
    <row r="4531" spans="13:18">
      <c r="M4531" s="34"/>
      <c r="N4531" s="34"/>
      <c r="O4531" s="34"/>
      <c r="P4531" s="34"/>
      <c r="Q4531" s="34"/>
      <c r="R4531" s="34"/>
    </row>
    <row r="4532" spans="13:18">
      <c r="M4532" s="34"/>
      <c r="N4532" s="34"/>
      <c r="O4532" s="34"/>
      <c r="P4532" s="34"/>
      <c r="Q4532" s="34"/>
      <c r="R4532" s="34"/>
    </row>
    <row r="4533" spans="13:18">
      <c r="M4533" s="34"/>
      <c r="N4533" s="34"/>
      <c r="O4533" s="34"/>
      <c r="P4533" s="34"/>
      <c r="Q4533" s="34"/>
      <c r="R4533" s="34"/>
    </row>
    <row r="4534" spans="13:18">
      <c r="M4534" s="34"/>
      <c r="N4534" s="34"/>
      <c r="O4534" s="34"/>
      <c r="P4534" s="34"/>
      <c r="Q4534" s="34"/>
      <c r="R4534" s="34"/>
    </row>
    <row r="4535" spans="13:18">
      <c r="M4535" s="34"/>
      <c r="N4535" s="34"/>
      <c r="O4535" s="34"/>
      <c r="P4535" s="34"/>
      <c r="Q4535" s="34"/>
      <c r="R4535" s="34"/>
    </row>
    <row r="4536" spans="13:18">
      <c r="M4536" s="34"/>
      <c r="N4536" s="34"/>
      <c r="O4536" s="34"/>
      <c r="P4536" s="34"/>
      <c r="Q4536" s="34"/>
      <c r="R4536" s="34"/>
    </row>
    <row r="4537" spans="13:18">
      <c r="M4537" s="34"/>
      <c r="N4537" s="34"/>
      <c r="O4537" s="34"/>
      <c r="P4537" s="34"/>
      <c r="Q4537" s="34"/>
      <c r="R4537" s="34"/>
    </row>
    <row r="4538" spans="13:18">
      <c r="M4538" s="34"/>
      <c r="N4538" s="34"/>
      <c r="O4538" s="34"/>
      <c r="P4538" s="34"/>
      <c r="Q4538" s="34"/>
      <c r="R4538" s="34"/>
    </row>
    <row r="4539" spans="13:18">
      <c r="M4539" s="34"/>
      <c r="N4539" s="34"/>
      <c r="O4539" s="34"/>
      <c r="P4539" s="34"/>
      <c r="Q4539" s="34"/>
      <c r="R4539" s="34"/>
    </row>
    <row r="4540" spans="13:18">
      <c r="M4540" s="34"/>
      <c r="N4540" s="34"/>
      <c r="O4540" s="34"/>
      <c r="P4540" s="34"/>
      <c r="Q4540" s="34"/>
      <c r="R4540" s="34"/>
    </row>
    <row r="4541" spans="13:18">
      <c r="M4541" s="34"/>
      <c r="N4541" s="34"/>
      <c r="O4541" s="34"/>
      <c r="P4541" s="34"/>
      <c r="Q4541" s="34"/>
      <c r="R4541" s="34"/>
    </row>
    <row r="4542" spans="13:18">
      <c r="M4542" s="34"/>
      <c r="N4542" s="34"/>
      <c r="O4542" s="34"/>
      <c r="P4542" s="34"/>
      <c r="Q4542" s="34"/>
      <c r="R4542" s="34"/>
    </row>
    <row r="4543" spans="13:18">
      <c r="M4543" s="34"/>
      <c r="N4543" s="34"/>
      <c r="O4543" s="34"/>
      <c r="P4543" s="34"/>
      <c r="Q4543" s="34"/>
      <c r="R4543" s="34"/>
    </row>
    <row r="4544" spans="13:18">
      <c r="M4544" s="34"/>
      <c r="N4544" s="34"/>
      <c r="O4544" s="34"/>
      <c r="P4544" s="34"/>
      <c r="Q4544" s="34"/>
      <c r="R4544" s="34"/>
    </row>
    <row r="4545" spans="13:18">
      <c r="M4545" s="34"/>
      <c r="N4545" s="34"/>
      <c r="O4545" s="34"/>
      <c r="P4545" s="34"/>
      <c r="Q4545" s="34"/>
      <c r="R4545" s="34"/>
    </row>
    <row r="4546" spans="13:18">
      <c r="M4546" s="34"/>
      <c r="N4546" s="34"/>
      <c r="O4546" s="34"/>
      <c r="P4546" s="34"/>
      <c r="Q4546" s="34"/>
      <c r="R4546" s="34"/>
    </row>
    <row r="4547" spans="13:18">
      <c r="M4547" s="34"/>
      <c r="N4547" s="34"/>
      <c r="O4547" s="34"/>
      <c r="P4547" s="34"/>
      <c r="Q4547" s="34"/>
      <c r="R4547" s="34"/>
    </row>
    <row r="4548" spans="13:18">
      <c r="M4548" s="34"/>
      <c r="N4548" s="34"/>
      <c r="O4548" s="34"/>
      <c r="P4548" s="34"/>
      <c r="Q4548" s="34"/>
      <c r="R4548" s="34"/>
    </row>
    <row r="4549" spans="13:18">
      <c r="M4549" s="34"/>
      <c r="N4549" s="34"/>
      <c r="O4549" s="34"/>
      <c r="P4549" s="34"/>
      <c r="Q4549" s="34"/>
      <c r="R4549" s="34"/>
    </row>
    <row r="4550" spans="13:18">
      <c r="M4550" s="34"/>
      <c r="N4550" s="34"/>
      <c r="O4550" s="34"/>
      <c r="P4550" s="34"/>
      <c r="Q4550" s="34"/>
      <c r="R4550" s="34"/>
    </row>
    <row r="4551" spans="13:18">
      <c r="M4551" s="34"/>
      <c r="N4551" s="34"/>
      <c r="O4551" s="34"/>
      <c r="P4551" s="34"/>
      <c r="Q4551" s="34"/>
      <c r="R4551" s="34"/>
    </row>
    <row r="4552" spans="13:18">
      <c r="M4552" s="34"/>
      <c r="N4552" s="34"/>
      <c r="O4552" s="34"/>
      <c r="P4552" s="34"/>
      <c r="Q4552" s="34"/>
      <c r="R4552" s="34"/>
    </row>
    <row r="4553" spans="13:18">
      <c r="M4553" s="34"/>
      <c r="N4553" s="34"/>
      <c r="O4553" s="34"/>
      <c r="P4553" s="34"/>
      <c r="Q4553" s="34"/>
      <c r="R4553" s="34"/>
    </row>
    <row r="4554" spans="13:18">
      <c r="M4554" s="34"/>
      <c r="N4554" s="34"/>
      <c r="O4554" s="34"/>
      <c r="P4554" s="34"/>
      <c r="Q4554" s="34"/>
      <c r="R4554" s="34"/>
    </row>
    <row r="4555" spans="13:18">
      <c r="M4555" s="34"/>
      <c r="N4555" s="34"/>
      <c r="O4555" s="34"/>
      <c r="P4555" s="34"/>
      <c r="Q4555" s="34"/>
      <c r="R4555" s="34"/>
    </row>
    <row r="4556" spans="13:18">
      <c r="M4556" s="34"/>
      <c r="N4556" s="34"/>
      <c r="O4556" s="34"/>
      <c r="P4556" s="34"/>
      <c r="Q4556" s="34"/>
      <c r="R4556" s="34"/>
    </row>
    <row r="4557" spans="13:18">
      <c r="M4557" s="34"/>
      <c r="N4557" s="34"/>
      <c r="O4557" s="34"/>
      <c r="P4557" s="34"/>
      <c r="Q4557" s="34"/>
      <c r="R4557" s="34"/>
    </row>
    <row r="4558" spans="13:18">
      <c r="M4558" s="34"/>
      <c r="N4558" s="34"/>
      <c r="O4558" s="34"/>
      <c r="P4558" s="34"/>
      <c r="Q4558" s="34"/>
      <c r="R4558" s="34"/>
    </row>
    <row r="4559" spans="13:18">
      <c r="M4559" s="34"/>
      <c r="N4559" s="34"/>
      <c r="O4559" s="34"/>
      <c r="P4559" s="34"/>
      <c r="Q4559" s="34"/>
      <c r="R4559" s="34"/>
    </row>
    <row r="4560" spans="13:18">
      <c r="M4560" s="34"/>
      <c r="N4560" s="34"/>
      <c r="O4560" s="34"/>
      <c r="P4560" s="34"/>
      <c r="Q4560" s="34"/>
      <c r="R4560" s="34"/>
    </row>
    <row r="4561" spans="13:18">
      <c r="M4561" s="34"/>
      <c r="N4561" s="34"/>
      <c r="O4561" s="34"/>
      <c r="P4561" s="34"/>
      <c r="Q4561" s="34"/>
      <c r="R4561" s="34"/>
    </row>
    <row r="4562" spans="13:18">
      <c r="M4562" s="34"/>
      <c r="N4562" s="34"/>
      <c r="O4562" s="34"/>
      <c r="P4562" s="34"/>
      <c r="Q4562" s="34"/>
      <c r="R4562" s="34"/>
    </row>
    <row r="4563" spans="13:18">
      <c r="M4563" s="34"/>
      <c r="N4563" s="34"/>
      <c r="O4563" s="34"/>
      <c r="P4563" s="34"/>
      <c r="Q4563" s="34"/>
      <c r="R4563" s="34"/>
    </row>
    <row r="4564" spans="13:18">
      <c r="M4564" s="34"/>
      <c r="N4564" s="34"/>
      <c r="O4564" s="34"/>
      <c r="P4564" s="34"/>
      <c r="Q4564" s="34"/>
      <c r="R4564" s="34"/>
    </row>
    <row r="4565" spans="13:18">
      <c r="M4565" s="34"/>
      <c r="N4565" s="34"/>
      <c r="O4565" s="34"/>
      <c r="P4565" s="34"/>
      <c r="Q4565" s="34"/>
      <c r="R4565" s="34"/>
    </row>
    <row r="4566" spans="13:18">
      <c r="M4566" s="34"/>
      <c r="N4566" s="34"/>
      <c r="O4566" s="34"/>
      <c r="P4566" s="34"/>
      <c r="Q4566" s="34"/>
      <c r="R4566" s="34"/>
    </row>
    <row r="4567" spans="13:18">
      <c r="M4567" s="34"/>
      <c r="N4567" s="34"/>
      <c r="O4567" s="34"/>
      <c r="P4567" s="34"/>
      <c r="Q4567" s="34"/>
      <c r="R4567" s="34"/>
    </row>
    <row r="4568" spans="13:18">
      <c r="M4568" s="34"/>
      <c r="N4568" s="34"/>
      <c r="O4568" s="34"/>
      <c r="P4568" s="34"/>
      <c r="Q4568" s="34"/>
      <c r="R4568" s="34"/>
    </row>
    <row r="4569" spans="13:18">
      <c r="M4569" s="34"/>
      <c r="N4569" s="34"/>
      <c r="O4569" s="34"/>
      <c r="P4569" s="34"/>
      <c r="Q4569" s="34"/>
      <c r="R4569" s="34"/>
    </row>
    <row r="4570" spans="13:18">
      <c r="M4570" s="34"/>
      <c r="N4570" s="34"/>
      <c r="O4570" s="34"/>
      <c r="P4570" s="34"/>
      <c r="Q4570" s="34"/>
      <c r="R4570" s="34"/>
    </row>
    <row r="4571" spans="13:18">
      <c r="M4571" s="34"/>
      <c r="N4571" s="34"/>
      <c r="O4571" s="34"/>
      <c r="P4571" s="34"/>
      <c r="Q4571" s="34"/>
      <c r="R4571" s="34"/>
    </row>
    <row r="4572" spans="13:18">
      <c r="M4572" s="34"/>
      <c r="N4572" s="34"/>
      <c r="O4572" s="34"/>
      <c r="P4572" s="34"/>
      <c r="Q4572" s="34"/>
      <c r="R4572" s="34"/>
    </row>
    <row r="4573" spans="13:18">
      <c r="M4573" s="34"/>
      <c r="N4573" s="34"/>
      <c r="O4573" s="34"/>
      <c r="P4573" s="34"/>
      <c r="Q4573" s="34"/>
      <c r="R4573" s="34"/>
    </row>
    <row r="4574" spans="13:18">
      <c r="M4574" s="34"/>
      <c r="N4574" s="34"/>
      <c r="O4574" s="34"/>
      <c r="P4574" s="34"/>
      <c r="Q4574" s="34"/>
      <c r="R4574" s="34"/>
    </row>
    <row r="4575" spans="13:18">
      <c r="M4575" s="34"/>
      <c r="N4575" s="34"/>
      <c r="O4575" s="34"/>
      <c r="P4575" s="34"/>
      <c r="Q4575" s="34"/>
      <c r="R4575" s="34"/>
    </row>
    <row r="4576" spans="13:18">
      <c r="M4576" s="34"/>
      <c r="N4576" s="34"/>
      <c r="O4576" s="34"/>
      <c r="P4576" s="34"/>
      <c r="Q4576" s="34"/>
      <c r="R4576" s="34"/>
    </row>
    <row r="4577" spans="13:18">
      <c r="M4577" s="34"/>
      <c r="N4577" s="34"/>
      <c r="O4577" s="34"/>
      <c r="P4577" s="34"/>
      <c r="Q4577" s="34"/>
      <c r="R4577" s="34"/>
    </row>
    <row r="4578" spans="13:18">
      <c r="M4578" s="34"/>
      <c r="N4578" s="34"/>
      <c r="O4578" s="34"/>
      <c r="P4578" s="34"/>
      <c r="Q4578" s="34"/>
      <c r="R4578" s="34"/>
    </row>
    <row r="4579" spans="13:18">
      <c r="M4579" s="34"/>
      <c r="N4579" s="34"/>
      <c r="O4579" s="34"/>
      <c r="P4579" s="34"/>
      <c r="Q4579" s="34"/>
      <c r="R4579" s="34"/>
    </row>
    <row r="4580" spans="13:18">
      <c r="M4580" s="34"/>
      <c r="N4580" s="34"/>
      <c r="O4580" s="34"/>
      <c r="P4580" s="34"/>
      <c r="Q4580" s="34"/>
      <c r="R4580" s="34"/>
    </row>
    <row r="4581" spans="13:18">
      <c r="M4581" s="34"/>
      <c r="N4581" s="34"/>
      <c r="O4581" s="34"/>
      <c r="P4581" s="34"/>
      <c r="Q4581" s="34"/>
      <c r="R4581" s="34"/>
    </row>
    <row r="4582" spans="13:18">
      <c r="M4582" s="34"/>
      <c r="N4582" s="34"/>
      <c r="O4582" s="34"/>
      <c r="P4582" s="34"/>
      <c r="Q4582" s="34"/>
      <c r="R4582" s="34"/>
    </row>
    <row r="4583" spans="13:18">
      <c r="M4583" s="34"/>
      <c r="N4583" s="34"/>
      <c r="O4583" s="34"/>
      <c r="P4583" s="34"/>
      <c r="Q4583" s="34"/>
      <c r="R4583" s="34"/>
    </row>
    <row r="4584" spans="13:18">
      <c r="M4584" s="34"/>
      <c r="N4584" s="34"/>
      <c r="O4584" s="34"/>
      <c r="P4584" s="34"/>
      <c r="Q4584" s="34"/>
      <c r="R4584" s="34"/>
    </row>
    <row r="4585" spans="13:18">
      <c r="M4585" s="34"/>
      <c r="N4585" s="34"/>
      <c r="O4585" s="34"/>
      <c r="P4585" s="34"/>
      <c r="Q4585" s="34"/>
      <c r="R4585" s="34"/>
    </row>
    <row r="4586" spans="13:18">
      <c r="M4586" s="34"/>
      <c r="N4586" s="34"/>
      <c r="O4586" s="34"/>
      <c r="P4586" s="34"/>
      <c r="Q4586" s="34"/>
      <c r="R4586" s="34"/>
    </row>
    <row r="4587" spans="13:18">
      <c r="M4587" s="34"/>
      <c r="N4587" s="34"/>
      <c r="O4587" s="34"/>
      <c r="P4587" s="34"/>
      <c r="Q4587" s="34"/>
      <c r="R4587" s="34"/>
    </row>
    <row r="4588" spans="13:18">
      <c r="M4588" s="34"/>
      <c r="N4588" s="34"/>
      <c r="O4588" s="34"/>
      <c r="P4588" s="34"/>
      <c r="Q4588" s="34"/>
      <c r="R4588" s="34"/>
    </row>
    <row r="4589" spans="13:18">
      <c r="M4589" s="34"/>
      <c r="N4589" s="34"/>
      <c r="O4589" s="34"/>
      <c r="P4589" s="34"/>
      <c r="Q4589" s="34"/>
      <c r="R4589" s="34"/>
    </row>
    <row r="4590" spans="13:18">
      <c r="M4590" s="34"/>
      <c r="N4590" s="34"/>
      <c r="O4590" s="34"/>
      <c r="P4590" s="34"/>
      <c r="Q4590" s="34"/>
      <c r="R4590" s="34"/>
    </row>
    <row r="4591" spans="13:18">
      <c r="M4591" s="34"/>
      <c r="N4591" s="34"/>
      <c r="O4591" s="34"/>
      <c r="P4591" s="34"/>
      <c r="Q4591" s="34"/>
      <c r="R4591" s="34"/>
    </row>
    <row r="4592" spans="13:18">
      <c r="M4592" s="34"/>
      <c r="N4592" s="34"/>
      <c r="O4592" s="34"/>
      <c r="P4592" s="34"/>
      <c r="Q4592" s="34"/>
      <c r="R4592" s="34"/>
    </row>
    <row r="4593" spans="13:18">
      <c r="M4593" s="34"/>
      <c r="N4593" s="34"/>
      <c r="O4593" s="34"/>
      <c r="P4593" s="34"/>
      <c r="Q4593" s="34"/>
      <c r="R4593" s="34"/>
    </row>
    <row r="4594" spans="13:18">
      <c r="M4594" s="34"/>
      <c r="N4594" s="34"/>
      <c r="O4594" s="34"/>
      <c r="P4594" s="34"/>
      <c r="Q4594" s="34"/>
      <c r="R4594" s="34"/>
    </row>
    <row r="4595" spans="13:18">
      <c r="M4595" s="34"/>
      <c r="N4595" s="34"/>
      <c r="O4595" s="34"/>
      <c r="P4595" s="34"/>
      <c r="Q4595" s="34"/>
      <c r="R4595" s="34"/>
    </row>
    <row r="4596" spans="13:18">
      <c r="M4596" s="34"/>
      <c r="N4596" s="34"/>
      <c r="O4596" s="34"/>
      <c r="P4596" s="34"/>
      <c r="Q4596" s="34"/>
      <c r="R4596" s="34"/>
    </row>
    <row r="4597" spans="13:18">
      <c r="M4597" s="34"/>
      <c r="N4597" s="34"/>
      <c r="O4597" s="34"/>
      <c r="P4597" s="34"/>
      <c r="Q4597" s="34"/>
      <c r="R4597" s="34"/>
    </row>
    <row r="4598" spans="13:18">
      <c r="M4598" s="34"/>
      <c r="N4598" s="34"/>
      <c r="O4598" s="34"/>
      <c r="P4598" s="34"/>
      <c r="Q4598" s="34"/>
      <c r="R4598" s="34"/>
    </row>
    <row r="4599" spans="13:18">
      <c r="M4599" s="34"/>
      <c r="N4599" s="34"/>
      <c r="O4599" s="34"/>
      <c r="P4599" s="34"/>
      <c r="Q4599" s="34"/>
      <c r="R4599" s="34"/>
    </row>
    <row r="4600" spans="13:18">
      <c r="M4600" s="34"/>
      <c r="N4600" s="34"/>
      <c r="O4600" s="34"/>
      <c r="P4600" s="34"/>
      <c r="Q4600" s="34"/>
      <c r="R4600" s="34"/>
    </row>
    <row r="4601" spans="13:18">
      <c r="M4601" s="34"/>
      <c r="N4601" s="34"/>
      <c r="O4601" s="34"/>
      <c r="P4601" s="34"/>
      <c r="Q4601" s="34"/>
      <c r="R4601" s="34"/>
    </row>
    <row r="4602" spans="13:18">
      <c r="M4602" s="34"/>
      <c r="N4602" s="34"/>
      <c r="O4602" s="34"/>
      <c r="P4602" s="34"/>
      <c r="Q4602" s="34"/>
      <c r="R4602" s="34"/>
    </row>
    <row r="4603" spans="13:18">
      <c r="M4603" s="34"/>
      <c r="N4603" s="34"/>
      <c r="O4603" s="34"/>
      <c r="P4603" s="34"/>
      <c r="Q4603" s="34"/>
      <c r="R4603" s="34"/>
    </row>
    <row r="4604" spans="13:18">
      <c r="M4604" s="34"/>
      <c r="N4604" s="34"/>
      <c r="O4604" s="34"/>
      <c r="P4604" s="34"/>
      <c r="Q4604" s="34"/>
      <c r="R4604" s="34"/>
    </row>
    <row r="4605" spans="13:18">
      <c r="M4605" s="34"/>
      <c r="N4605" s="34"/>
      <c r="O4605" s="34"/>
      <c r="P4605" s="34"/>
      <c r="Q4605" s="34"/>
      <c r="R4605" s="34"/>
    </row>
    <row r="4606" spans="13:18">
      <c r="M4606" s="34"/>
      <c r="N4606" s="34"/>
      <c r="O4606" s="34"/>
      <c r="P4606" s="34"/>
      <c r="Q4606" s="34"/>
      <c r="R4606" s="34"/>
    </row>
    <row r="4607" spans="13:18">
      <c r="M4607" s="34"/>
      <c r="N4607" s="34"/>
      <c r="O4607" s="34"/>
      <c r="P4607" s="34"/>
      <c r="Q4607" s="34"/>
      <c r="R4607" s="34"/>
    </row>
    <row r="4608" spans="13:18">
      <c r="M4608" s="34"/>
      <c r="N4608" s="34"/>
      <c r="O4608" s="34"/>
      <c r="P4608" s="34"/>
      <c r="Q4608" s="34"/>
      <c r="R4608" s="34"/>
    </row>
    <row r="4609" spans="13:18">
      <c r="M4609" s="34"/>
      <c r="N4609" s="34"/>
      <c r="O4609" s="34"/>
      <c r="P4609" s="34"/>
      <c r="Q4609" s="34"/>
      <c r="R4609" s="34"/>
    </row>
    <row r="4610" spans="13:18">
      <c r="M4610" s="34"/>
      <c r="N4610" s="34"/>
      <c r="O4610" s="34"/>
      <c r="P4610" s="34"/>
      <c r="Q4610" s="34"/>
      <c r="R4610" s="34"/>
    </row>
    <row r="4611" spans="13:18">
      <c r="M4611" s="34"/>
      <c r="N4611" s="34"/>
      <c r="O4611" s="34"/>
      <c r="P4611" s="34"/>
      <c r="Q4611" s="34"/>
      <c r="R4611" s="34"/>
    </row>
    <row r="4612" spans="13:18">
      <c r="M4612" s="34"/>
      <c r="N4612" s="34"/>
      <c r="O4612" s="34"/>
      <c r="P4612" s="34"/>
      <c r="Q4612" s="34"/>
      <c r="R4612" s="34"/>
    </row>
    <row r="4613" spans="13:18">
      <c r="M4613" s="34"/>
      <c r="N4613" s="34"/>
      <c r="O4613" s="34"/>
      <c r="P4613" s="34"/>
      <c r="Q4613" s="34"/>
      <c r="R4613" s="34"/>
    </row>
    <row r="4614" spans="13:18">
      <c r="M4614" s="34"/>
      <c r="N4614" s="34"/>
      <c r="O4614" s="34"/>
      <c r="P4614" s="34"/>
      <c r="Q4614" s="34"/>
      <c r="R4614" s="34"/>
    </row>
    <row r="4615" spans="13:18">
      <c r="M4615" s="34"/>
      <c r="N4615" s="34"/>
      <c r="O4615" s="34"/>
      <c r="P4615" s="34"/>
      <c r="Q4615" s="34"/>
      <c r="R4615" s="34"/>
    </row>
    <row r="4616" spans="13:18">
      <c r="M4616" s="34"/>
      <c r="N4616" s="34"/>
      <c r="O4616" s="34"/>
      <c r="P4616" s="34"/>
      <c r="Q4616" s="34"/>
      <c r="R4616" s="34"/>
    </row>
    <row r="4617" spans="13:18">
      <c r="M4617" s="34"/>
      <c r="N4617" s="34"/>
      <c r="O4617" s="34"/>
      <c r="P4617" s="34"/>
      <c r="Q4617" s="34"/>
      <c r="R4617" s="34"/>
    </row>
    <row r="4618" spans="13:18">
      <c r="M4618" s="34"/>
      <c r="N4618" s="34"/>
      <c r="O4618" s="34"/>
      <c r="P4618" s="34"/>
      <c r="Q4618" s="34"/>
      <c r="R4618" s="34"/>
    </row>
    <row r="4619" spans="13:18">
      <c r="M4619" s="34"/>
      <c r="N4619" s="34"/>
      <c r="O4619" s="34"/>
      <c r="P4619" s="34"/>
      <c r="Q4619" s="34"/>
      <c r="R4619" s="34"/>
    </row>
    <row r="4620" spans="13:18">
      <c r="M4620" s="34"/>
      <c r="N4620" s="34"/>
      <c r="O4620" s="34"/>
      <c r="P4620" s="34"/>
      <c r="Q4620" s="34"/>
      <c r="R4620" s="34"/>
    </row>
    <row r="4621" spans="13:18">
      <c r="M4621" s="34"/>
      <c r="N4621" s="34"/>
      <c r="O4621" s="34"/>
      <c r="P4621" s="34"/>
      <c r="Q4621" s="34"/>
      <c r="R4621" s="34"/>
    </row>
    <row r="4622" spans="13:18">
      <c r="M4622" s="34"/>
      <c r="N4622" s="34"/>
      <c r="O4622" s="34"/>
      <c r="P4622" s="34"/>
      <c r="Q4622" s="34"/>
      <c r="R4622" s="34"/>
    </row>
    <row r="4623" spans="13:18">
      <c r="M4623" s="34"/>
      <c r="N4623" s="34"/>
      <c r="O4623" s="34"/>
      <c r="P4623" s="34"/>
      <c r="Q4623" s="34"/>
      <c r="R4623" s="34"/>
    </row>
    <row r="4624" spans="13:18">
      <c r="M4624" s="34"/>
      <c r="N4624" s="34"/>
      <c r="O4624" s="34"/>
      <c r="P4624" s="34"/>
      <c r="Q4624" s="34"/>
      <c r="R4624" s="34"/>
    </row>
    <row r="4625" spans="13:18">
      <c r="M4625" s="34"/>
      <c r="N4625" s="34"/>
      <c r="O4625" s="34"/>
      <c r="P4625" s="34"/>
      <c r="Q4625" s="34"/>
      <c r="R4625" s="34"/>
    </row>
    <row r="4626" spans="13:18">
      <c r="M4626" s="34"/>
      <c r="N4626" s="34"/>
      <c r="O4626" s="34"/>
      <c r="P4626" s="34"/>
      <c r="Q4626" s="34"/>
      <c r="R4626" s="34"/>
    </row>
    <row r="4627" spans="13:18">
      <c r="M4627" s="34"/>
      <c r="N4627" s="34"/>
      <c r="O4627" s="34"/>
      <c r="P4627" s="34"/>
      <c r="Q4627" s="34"/>
      <c r="R4627" s="34"/>
    </row>
    <row r="4628" spans="13:18">
      <c r="M4628" s="34"/>
      <c r="N4628" s="34"/>
      <c r="O4628" s="34"/>
      <c r="P4628" s="34"/>
      <c r="Q4628" s="34"/>
      <c r="R4628" s="34"/>
    </row>
    <row r="4629" spans="13:18">
      <c r="M4629" s="34"/>
      <c r="N4629" s="34"/>
      <c r="O4629" s="34"/>
      <c r="P4629" s="34"/>
      <c r="Q4629" s="34"/>
      <c r="R4629" s="34"/>
    </row>
    <row r="4630" spans="13:18">
      <c r="M4630" s="34"/>
      <c r="N4630" s="34"/>
      <c r="O4630" s="34"/>
      <c r="P4630" s="34"/>
      <c r="Q4630" s="34"/>
      <c r="R4630" s="34"/>
    </row>
    <row r="4631" spans="13:18">
      <c r="M4631" s="34"/>
      <c r="N4631" s="34"/>
      <c r="O4631" s="34"/>
      <c r="P4631" s="34"/>
      <c r="Q4631" s="34"/>
      <c r="R4631" s="34"/>
    </row>
    <row r="4632" spans="13:18">
      <c r="M4632" s="34"/>
      <c r="N4632" s="34"/>
      <c r="O4632" s="34"/>
      <c r="P4632" s="34"/>
      <c r="Q4632" s="34"/>
      <c r="R4632" s="34"/>
    </row>
    <row r="4633" spans="13:18">
      <c r="M4633" s="34"/>
      <c r="N4633" s="34"/>
      <c r="O4633" s="34"/>
      <c r="P4633" s="34"/>
      <c r="Q4633" s="34"/>
      <c r="R4633" s="34"/>
    </row>
    <row r="4634" spans="13:18">
      <c r="M4634" s="34"/>
      <c r="N4634" s="34"/>
      <c r="O4634" s="34"/>
      <c r="P4634" s="34"/>
      <c r="Q4634" s="34"/>
      <c r="R4634" s="34"/>
    </row>
    <row r="4635" spans="13:18">
      <c r="M4635" s="34"/>
      <c r="N4635" s="34"/>
      <c r="O4635" s="34"/>
      <c r="P4635" s="34"/>
      <c r="Q4635" s="34"/>
      <c r="R4635" s="34"/>
    </row>
    <row r="4636" spans="13:18">
      <c r="M4636" s="34"/>
      <c r="N4636" s="34"/>
      <c r="O4636" s="34"/>
      <c r="P4636" s="34"/>
      <c r="Q4636" s="34"/>
      <c r="R4636" s="34"/>
    </row>
    <row r="4637" spans="13:18">
      <c r="M4637" s="34"/>
      <c r="N4637" s="34"/>
      <c r="O4637" s="34"/>
      <c r="P4637" s="34"/>
      <c r="Q4637" s="34"/>
      <c r="R4637" s="34"/>
    </row>
    <row r="4638" spans="13:18">
      <c r="M4638" s="34"/>
      <c r="N4638" s="34"/>
      <c r="O4638" s="34"/>
      <c r="P4638" s="34"/>
      <c r="Q4638" s="34"/>
      <c r="R4638" s="34"/>
    </row>
    <row r="4639" spans="13:18">
      <c r="M4639" s="34"/>
      <c r="N4639" s="34"/>
      <c r="O4639" s="34"/>
      <c r="P4639" s="34"/>
      <c r="Q4639" s="34"/>
      <c r="R4639" s="34"/>
    </row>
    <row r="4640" spans="13:18">
      <c r="M4640" s="34"/>
      <c r="N4640" s="34"/>
      <c r="O4640" s="34"/>
      <c r="P4640" s="34"/>
      <c r="Q4640" s="34"/>
      <c r="R4640" s="34"/>
    </row>
    <row r="4641" spans="13:18">
      <c r="M4641" s="34"/>
      <c r="N4641" s="34"/>
      <c r="O4641" s="34"/>
      <c r="P4641" s="34"/>
      <c r="Q4641" s="34"/>
      <c r="R4641" s="34"/>
    </row>
    <row r="4642" spans="13:18">
      <c r="M4642" s="34"/>
      <c r="N4642" s="34"/>
      <c r="O4642" s="34"/>
      <c r="P4642" s="34"/>
      <c r="Q4642" s="34"/>
      <c r="R4642" s="34"/>
    </row>
    <row r="4643" spans="13:18">
      <c r="M4643" s="34"/>
      <c r="N4643" s="34"/>
      <c r="O4643" s="34"/>
      <c r="P4643" s="34"/>
      <c r="Q4643" s="34"/>
      <c r="R4643" s="34"/>
    </row>
    <row r="4644" spans="13:18">
      <c r="M4644" s="34"/>
      <c r="N4644" s="34"/>
      <c r="O4644" s="34"/>
      <c r="P4644" s="34"/>
      <c r="Q4644" s="34"/>
      <c r="R4644" s="34"/>
    </row>
    <row r="4645" spans="13:18">
      <c r="M4645" s="34"/>
      <c r="N4645" s="34"/>
      <c r="O4645" s="34"/>
      <c r="P4645" s="34"/>
      <c r="Q4645" s="34"/>
      <c r="R4645" s="34"/>
    </row>
    <row r="4646" spans="13:18">
      <c r="M4646" s="34"/>
      <c r="N4646" s="34"/>
      <c r="O4646" s="34"/>
      <c r="P4646" s="34"/>
      <c r="Q4646" s="34"/>
      <c r="R4646" s="34"/>
    </row>
    <row r="4647" spans="13:18">
      <c r="M4647" s="34"/>
      <c r="N4647" s="34"/>
      <c r="O4647" s="34"/>
      <c r="P4647" s="34"/>
      <c r="Q4647" s="34"/>
      <c r="R4647" s="34"/>
    </row>
    <row r="4648" spans="13:18">
      <c r="M4648" s="34"/>
      <c r="N4648" s="34"/>
      <c r="O4648" s="34"/>
      <c r="P4648" s="34"/>
      <c r="Q4648" s="34"/>
      <c r="R4648" s="34"/>
    </row>
    <row r="4649" spans="13:18">
      <c r="M4649" s="34"/>
      <c r="N4649" s="34"/>
      <c r="O4649" s="34"/>
      <c r="P4649" s="34"/>
      <c r="Q4649" s="34"/>
      <c r="R4649" s="34"/>
    </row>
    <row r="4650" spans="13:18">
      <c r="M4650" s="34"/>
      <c r="N4650" s="34"/>
      <c r="O4650" s="34"/>
      <c r="P4650" s="34"/>
      <c r="Q4650" s="34"/>
      <c r="R4650" s="34"/>
    </row>
    <row r="4651" spans="13:18">
      <c r="M4651" s="34"/>
      <c r="N4651" s="34"/>
      <c r="O4651" s="34"/>
      <c r="P4651" s="34"/>
      <c r="Q4651" s="34"/>
      <c r="R4651" s="34"/>
    </row>
    <row r="4652" spans="13:18">
      <c r="M4652" s="34"/>
      <c r="N4652" s="34"/>
      <c r="O4652" s="34"/>
      <c r="P4652" s="34"/>
      <c r="Q4652" s="34"/>
      <c r="R4652" s="34"/>
    </row>
    <row r="4653" spans="13:18">
      <c r="M4653" s="34"/>
      <c r="N4653" s="34"/>
      <c r="O4653" s="34"/>
      <c r="P4653" s="34"/>
      <c r="Q4653" s="34"/>
      <c r="R4653" s="34"/>
    </row>
    <row r="4654" spans="13:18">
      <c r="M4654" s="34"/>
      <c r="N4654" s="34"/>
      <c r="O4654" s="34"/>
      <c r="P4654" s="34"/>
      <c r="Q4654" s="34"/>
      <c r="R4654" s="34"/>
    </row>
    <row r="4655" spans="13:18">
      <c r="M4655" s="34"/>
      <c r="N4655" s="34"/>
      <c r="O4655" s="34"/>
      <c r="P4655" s="34"/>
      <c r="Q4655" s="34"/>
      <c r="R4655" s="34"/>
    </row>
    <row r="4656" spans="13:18">
      <c r="M4656" s="34"/>
      <c r="N4656" s="34"/>
      <c r="O4656" s="34"/>
      <c r="P4656" s="34"/>
      <c r="Q4656" s="34"/>
      <c r="R4656" s="34"/>
    </row>
    <row r="4657" spans="13:18">
      <c r="M4657" s="34"/>
      <c r="N4657" s="34"/>
      <c r="O4657" s="34"/>
      <c r="P4657" s="34"/>
      <c r="Q4657" s="34"/>
      <c r="R4657" s="34"/>
    </row>
    <row r="4658" spans="13:18">
      <c r="M4658" s="34"/>
      <c r="N4658" s="34"/>
      <c r="O4658" s="34"/>
      <c r="P4658" s="34"/>
      <c r="Q4658" s="34"/>
      <c r="R4658" s="34"/>
    </row>
    <row r="4659" spans="13:18">
      <c r="M4659" s="34"/>
      <c r="N4659" s="34"/>
      <c r="O4659" s="34"/>
      <c r="P4659" s="34"/>
      <c r="Q4659" s="34"/>
      <c r="R4659" s="34"/>
    </row>
    <row r="4660" spans="13:18">
      <c r="M4660" s="34"/>
      <c r="N4660" s="34"/>
      <c r="O4660" s="34"/>
      <c r="P4660" s="34"/>
      <c r="Q4660" s="34"/>
      <c r="R4660" s="34"/>
    </row>
    <row r="4661" spans="13:18">
      <c r="M4661" s="34"/>
      <c r="N4661" s="34"/>
      <c r="O4661" s="34"/>
      <c r="P4661" s="34"/>
      <c r="Q4661" s="34"/>
      <c r="R4661" s="34"/>
    </row>
    <row r="4662" spans="13:18">
      <c r="M4662" s="34"/>
      <c r="N4662" s="34"/>
      <c r="O4662" s="34"/>
      <c r="P4662" s="34"/>
      <c r="Q4662" s="34"/>
      <c r="R4662" s="34"/>
    </row>
    <row r="4663" spans="13:18">
      <c r="M4663" s="34"/>
      <c r="N4663" s="34"/>
      <c r="O4663" s="34"/>
      <c r="P4663" s="34"/>
      <c r="Q4663" s="34"/>
      <c r="R4663" s="34"/>
    </row>
    <row r="4664" spans="13:18">
      <c r="M4664" s="34"/>
      <c r="N4664" s="34"/>
      <c r="O4664" s="34"/>
      <c r="P4664" s="34"/>
      <c r="Q4664" s="34"/>
      <c r="R4664" s="34"/>
    </row>
    <row r="4665" spans="13:18">
      <c r="M4665" s="34"/>
      <c r="N4665" s="34"/>
      <c r="O4665" s="34"/>
      <c r="P4665" s="34"/>
      <c r="Q4665" s="34"/>
      <c r="R4665" s="34"/>
    </row>
    <row r="4666" spans="13:18">
      <c r="M4666" s="34"/>
      <c r="N4666" s="34"/>
      <c r="O4666" s="34"/>
      <c r="P4666" s="34"/>
      <c r="Q4666" s="34"/>
      <c r="R4666" s="34"/>
    </row>
    <row r="4667" spans="13:18">
      <c r="M4667" s="34"/>
      <c r="N4667" s="34"/>
      <c r="O4667" s="34"/>
      <c r="P4667" s="34"/>
      <c r="Q4667" s="34"/>
      <c r="R4667" s="34"/>
    </row>
    <row r="4668" spans="13:18">
      <c r="M4668" s="34"/>
      <c r="N4668" s="34"/>
      <c r="O4668" s="34"/>
      <c r="P4668" s="34"/>
      <c r="Q4668" s="34"/>
      <c r="R4668" s="34"/>
    </row>
    <row r="4669" spans="13:18">
      <c r="M4669" s="34"/>
      <c r="N4669" s="34"/>
      <c r="O4669" s="34"/>
      <c r="P4669" s="34"/>
      <c r="Q4669" s="34"/>
      <c r="R4669" s="34"/>
    </row>
    <row r="4670" spans="13:18">
      <c r="M4670" s="34"/>
      <c r="N4670" s="34"/>
      <c r="O4670" s="34"/>
      <c r="P4670" s="34"/>
      <c r="Q4670" s="34"/>
      <c r="R4670" s="34"/>
    </row>
    <row r="4671" spans="13:18">
      <c r="M4671" s="34"/>
      <c r="N4671" s="34"/>
      <c r="O4671" s="34"/>
      <c r="P4671" s="34"/>
      <c r="Q4671" s="34"/>
      <c r="R4671" s="34"/>
    </row>
    <row r="4672" spans="13:18">
      <c r="M4672" s="34"/>
      <c r="N4672" s="34"/>
      <c r="O4672" s="34"/>
      <c r="P4672" s="34"/>
      <c r="Q4672" s="34"/>
      <c r="R4672" s="34"/>
    </row>
    <row r="4673" spans="13:18">
      <c r="M4673" s="34"/>
      <c r="N4673" s="34"/>
      <c r="O4673" s="34"/>
      <c r="P4673" s="34"/>
      <c r="Q4673" s="34"/>
      <c r="R4673" s="34"/>
    </row>
    <row r="4674" spans="13:18">
      <c r="M4674" s="34"/>
      <c r="N4674" s="34"/>
      <c r="O4674" s="34"/>
      <c r="P4674" s="34"/>
      <c r="Q4674" s="34"/>
      <c r="R4674" s="34"/>
    </row>
    <row r="4675" spans="13:18">
      <c r="M4675" s="34"/>
      <c r="N4675" s="34"/>
      <c r="O4675" s="34"/>
      <c r="P4675" s="34"/>
      <c r="Q4675" s="34"/>
      <c r="R4675" s="34"/>
    </row>
    <row r="4676" spans="13:18">
      <c r="M4676" s="34"/>
      <c r="N4676" s="34"/>
      <c r="O4676" s="34"/>
      <c r="P4676" s="34"/>
      <c r="Q4676" s="34"/>
      <c r="R4676" s="34"/>
    </row>
    <row r="4677" spans="13:18">
      <c r="M4677" s="34"/>
      <c r="N4677" s="34"/>
      <c r="O4677" s="34"/>
      <c r="P4677" s="34"/>
      <c r="Q4677" s="34"/>
      <c r="R4677" s="34"/>
    </row>
    <row r="4678" spans="13:18">
      <c r="M4678" s="34"/>
      <c r="N4678" s="34"/>
      <c r="O4678" s="34"/>
      <c r="P4678" s="34"/>
      <c r="Q4678" s="34"/>
      <c r="R4678" s="34"/>
    </row>
    <row r="4679" spans="13:18">
      <c r="M4679" s="34"/>
      <c r="N4679" s="34"/>
      <c r="O4679" s="34"/>
      <c r="P4679" s="34"/>
      <c r="Q4679" s="34"/>
      <c r="R4679" s="34"/>
    </row>
    <row r="4680" spans="13:18">
      <c r="M4680" s="34"/>
      <c r="N4680" s="34"/>
      <c r="O4680" s="34"/>
      <c r="P4680" s="34"/>
      <c r="Q4680" s="34"/>
      <c r="R4680" s="34"/>
    </row>
    <row r="4681" spans="13:18">
      <c r="M4681" s="34"/>
      <c r="N4681" s="34"/>
      <c r="O4681" s="34"/>
      <c r="P4681" s="34"/>
      <c r="Q4681" s="34"/>
      <c r="R4681" s="34"/>
    </row>
    <row r="4682" spans="13:18">
      <c r="M4682" s="34"/>
      <c r="N4682" s="34"/>
      <c r="O4682" s="34"/>
      <c r="P4682" s="34"/>
      <c r="Q4682" s="34"/>
      <c r="R4682" s="34"/>
    </row>
    <row r="4683" spans="13:18">
      <c r="M4683" s="34"/>
      <c r="N4683" s="34"/>
      <c r="O4683" s="34"/>
      <c r="P4683" s="34"/>
      <c r="Q4683" s="34"/>
      <c r="R4683" s="34"/>
    </row>
    <row r="4684" spans="13:18">
      <c r="M4684" s="34"/>
      <c r="N4684" s="34"/>
      <c r="O4684" s="34"/>
      <c r="P4684" s="34"/>
      <c r="Q4684" s="34"/>
      <c r="R4684" s="34"/>
    </row>
    <row r="4685" spans="13:18">
      <c r="M4685" s="34"/>
      <c r="N4685" s="34"/>
      <c r="O4685" s="34"/>
      <c r="P4685" s="34"/>
      <c r="Q4685" s="34"/>
      <c r="R4685" s="34"/>
    </row>
    <row r="4686" spans="13:18">
      <c r="M4686" s="34"/>
      <c r="N4686" s="34"/>
      <c r="O4686" s="34"/>
      <c r="P4686" s="34"/>
      <c r="Q4686" s="34"/>
      <c r="R4686" s="34"/>
    </row>
    <row r="4687" spans="13:18">
      <c r="M4687" s="34"/>
      <c r="N4687" s="34"/>
      <c r="O4687" s="34"/>
      <c r="P4687" s="34"/>
      <c r="Q4687" s="34"/>
      <c r="R4687" s="34"/>
    </row>
    <row r="4688" spans="13:18">
      <c r="M4688" s="34"/>
      <c r="N4688" s="34"/>
      <c r="O4688" s="34"/>
      <c r="P4688" s="34"/>
      <c r="Q4688" s="34"/>
      <c r="R4688" s="34"/>
    </row>
    <row r="4689" spans="13:18">
      <c r="M4689" s="34"/>
      <c r="N4689" s="34"/>
      <c r="O4689" s="34"/>
      <c r="P4689" s="34"/>
      <c r="Q4689" s="34"/>
      <c r="R4689" s="34"/>
    </row>
    <row r="4690" spans="13:18">
      <c r="M4690" s="34"/>
      <c r="N4690" s="34"/>
      <c r="O4690" s="34"/>
      <c r="P4690" s="34"/>
      <c r="Q4690" s="34"/>
      <c r="R4690" s="34"/>
    </row>
    <row r="4691" spans="13:18">
      <c r="M4691" s="34"/>
      <c r="N4691" s="34"/>
      <c r="O4691" s="34"/>
      <c r="P4691" s="34"/>
      <c r="Q4691" s="34"/>
      <c r="R4691" s="34"/>
    </row>
    <row r="4692" spans="13:18">
      <c r="M4692" s="34"/>
      <c r="N4692" s="34"/>
      <c r="O4692" s="34"/>
      <c r="P4692" s="34"/>
      <c r="Q4692" s="34"/>
      <c r="R4692" s="34"/>
    </row>
    <row r="4693" spans="13:18">
      <c r="M4693" s="34"/>
      <c r="N4693" s="34"/>
      <c r="O4693" s="34"/>
      <c r="P4693" s="34"/>
      <c r="Q4693" s="34"/>
      <c r="R4693" s="34"/>
    </row>
    <row r="4694" spans="13:18">
      <c r="M4694" s="34"/>
      <c r="N4694" s="34"/>
      <c r="O4694" s="34"/>
      <c r="P4694" s="34"/>
      <c r="Q4694" s="34"/>
      <c r="R4694" s="34"/>
    </row>
    <row r="4695" spans="13:18">
      <c r="M4695" s="34"/>
      <c r="N4695" s="34"/>
      <c r="O4695" s="34"/>
      <c r="P4695" s="34"/>
      <c r="Q4695" s="34"/>
      <c r="R4695" s="34"/>
    </row>
    <row r="4696" spans="13:18">
      <c r="M4696" s="34"/>
      <c r="N4696" s="34"/>
      <c r="O4696" s="34"/>
      <c r="P4696" s="34"/>
      <c r="Q4696" s="34"/>
      <c r="R4696" s="34"/>
    </row>
    <row r="4697" spans="13:18">
      <c r="M4697" s="34"/>
      <c r="N4697" s="34"/>
      <c r="O4697" s="34"/>
      <c r="P4697" s="34"/>
      <c r="Q4697" s="34"/>
      <c r="R4697" s="34"/>
    </row>
    <row r="4698" spans="13:18">
      <c r="M4698" s="34"/>
      <c r="N4698" s="34"/>
      <c r="O4698" s="34"/>
      <c r="P4698" s="34"/>
      <c r="Q4698" s="34"/>
      <c r="R4698" s="34"/>
    </row>
    <row r="4699" spans="13:18">
      <c r="M4699" s="34"/>
      <c r="N4699" s="34"/>
      <c r="O4699" s="34"/>
      <c r="P4699" s="34"/>
      <c r="Q4699" s="34"/>
      <c r="R4699" s="34"/>
    </row>
    <row r="4700" spans="13:18">
      <c r="M4700" s="34"/>
      <c r="N4700" s="34"/>
      <c r="O4700" s="34"/>
      <c r="P4700" s="34"/>
      <c r="Q4700" s="34"/>
      <c r="R4700" s="34"/>
    </row>
    <row r="4701" spans="13:18">
      <c r="M4701" s="34"/>
      <c r="N4701" s="34"/>
      <c r="O4701" s="34"/>
      <c r="P4701" s="34"/>
      <c r="Q4701" s="34"/>
      <c r="R4701" s="34"/>
    </row>
    <row r="4702" spans="13:18">
      <c r="M4702" s="34"/>
      <c r="N4702" s="34"/>
      <c r="O4702" s="34"/>
      <c r="P4702" s="34"/>
      <c r="Q4702" s="34"/>
      <c r="R4702" s="34"/>
    </row>
    <row r="4703" spans="13:18">
      <c r="M4703" s="34"/>
      <c r="N4703" s="34"/>
      <c r="O4703" s="34"/>
      <c r="P4703" s="34"/>
      <c r="Q4703" s="34"/>
      <c r="R4703" s="34"/>
    </row>
    <row r="4704" spans="13:18">
      <c r="M4704" s="34"/>
      <c r="N4704" s="34"/>
      <c r="O4704" s="34"/>
      <c r="P4704" s="34"/>
      <c r="Q4704" s="34"/>
      <c r="R4704" s="34"/>
    </row>
    <row r="4705" spans="13:18">
      <c r="M4705" s="34"/>
      <c r="N4705" s="34"/>
      <c r="O4705" s="34"/>
      <c r="P4705" s="34"/>
      <c r="Q4705" s="34"/>
      <c r="R4705" s="34"/>
    </row>
    <row r="4706" spans="13:18">
      <c r="M4706" s="34"/>
      <c r="N4706" s="34"/>
      <c r="O4706" s="34"/>
      <c r="P4706" s="34"/>
      <c r="Q4706" s="34"/>
      <c r="R4706" s="34"/>
    </row>
    <row r="4707" spans="13:18">
      <c r="M4707" s="34"/>
      <c r="N4707" s="34"/>
      <c r="O4707" s="34"/>
      <c r="P4707" s="34"/>
      <c r="Q4707" s="34"/>
      <c r="R4707" s="34"/>
    </row>
    <row r="4708" spans="13:18">
      <c r="M4708" s="34"/>
      <c r="N4708" s="34"/>
      <c r="O4708" s="34"/>
      <c r="P4708" s="34"/>
      <c r="Q4708" s="34"/>
      <c r="R4708" s="34"/>
    </row>
    <row r="4709" spans="13:18">
      <c r="M4709" s="34"/>
      <c r="N4709" s="34"/>
      <c r="O4709" s="34"/>
      <c r="P4709" s="34"/>
      <c r="Q4709" s="34"/>
      <c r="R4709" s="34"/>
    </row>
    <row r="4710" spans="13:18">
      <c r="M4710" s="34"/>
      <c r="N4710" s="34"/>
      <c r="O4710" s="34"/>
      <c r="P4710" s="34"/>
      <c r="Q4710" s="34"/>
      <c r="R4710" s="34"/>
    </row>
    <row r="4711" spans="13:18">
      <c r="M4711" s="34"/>
      <c r="N4711" s="34"/>
      <c r="O4711" s="34"/>
      <c r="P4711" s="34"/>
      <c r="Q4711" s="34"/>
      <c r="R4711" s="34"/>
    </row>
    <row r="4712" spans="13:18">
      <c r="M4712" s="34"/>
      <c r="N4712" s="34"/>
      <c r="O4712" s="34"/>
      <c r="P4712" s="34"/>
      <c r="Q4712" s="34"/>
      <c r="R4712" s="34"/>
    </row>
    <row r="4713" spans="13:18">
      <c r="M4713" s="34"/>
      <c r="N4713" s="34"/>
      <c r="O4713" s="34"/>
      <c r="P4713" s="34"/>
      <c r="Q4713" s="34"/>
      <c r="R4713" s="34"/>
    </row>
    <row r="4714" spans="13:18">
      <c r="M4714" s="34"/>
      <c r="N4714" s="34"/>
      <c r="O4714" s="34"/>
      <c r="P4714" s="34"/>
      <c r="Q4714" s="34"/>
      <c r="R4714" s="34"/>
    </row>
    <row r="4715" spans="13:18">
      <c r="M4715" s="34"/>
      <c r="N4715" s="34"/>
      <c r="O4715" s="34"/>
      <c r="P4715" s="34"/>
      <c r="Q4715" s="34"/>
      <c r="R4715" s="34"/>
    </row>
    <row r="4716" spans="13:18">
      <c r="M4716" s="34"/>
      <c r="N4716" s="34"/>
      <c r="O4716" s="34"/>
      <c r="P4716" s="34"/>
      <c r="Q4716" s="34"/>
      <c r="R4716" s="34"/>
    </row>
    <row r="4717" spans="13:18">
      <c r="M4717" s="34"/>
      <c r="N4717" s="34"/>
      <c r="O4717" s="34"/>
      <c r="P4717" s="34"/>
      <c r="Q4717" s="34"/>
      <c r="R4717" s="34"/>
    </row>
    <row r="4718" spans="13:18">
      <c r="M4718" s="34"/>
      <c r="N4718" s="34"/>
      <c r="O4718" s="34"/>
      <c r="P4718" s="34"/>
      <c r="Q4718" s="34"/>
      <c r="R4718" s="34"/>
    </row>
    <row r="4719" spans="13:18">
      <c r="M4719" s="34"/>
      <c r="N4719" s="34"/>
      <c r="O4719" s="34"/>
      <c r="P4719" s="34"/>
      <c r="Q4719" s="34"/>
      <c r="R4719" s="34"/>
    </row>
    <row r="4720" spans="13:18">
      <c r="M4720" s="34"/>
      <c r="N4720" s="34"/>
      <c r="O4720" s="34"/>
      <c r="P4720" s="34"/>
      <c r="Q4720" s="34"/>
      <c r="R4720" s="34"/>
    </row>
    <row r="4721" spans="13:18">
      <c r="M4721" s="34"/>
      <c r="N4721" s="34"/>
      <c r="O4721" s="34"/>
      <c r="P4721" s="34"/>
      <c r="Q4721" s="34"/>
      <c r="R4721" s="34"/>
    </row>
    <row r="4722" spans="13:18">
      <c r="M4722" s="34"/>
      <c r="N4722" s="34"/>
      <c r="O4722" s="34"/>
      <c r="P4722" s="34"/>
      <c r="Q4722" s="34"/>
      <c r="R4722" s="34"/>
    </row>
    <row r="4723" spans="13:18">
      <c r="M4723" s="34"/>
      <c r="N4723" s="34"/>
      <c r="O4723" s="34"/>
      <c r="P4723" s="34"/>
      <c r="Q4723" s="34"/>
      <c r="R4723" s="34"/>
    </row>
    <row r="4724" spans="13:18">
      <c r="M4724" s="34"/>
      <c r="N4724" s="34"/>
      <c r="O4724" s="34"/>
      <c r="P4724" s="34"/>
      <c r="Q4724" s="34"/>
      <c r="R4724" s="34"/>
    </row>
    <row r="4725" spans="13:18">
      <c r="M4725" s="34"/>
      <c r="N4725" s="34"/>
      <c r="O4725" s="34"/>
      <c r="P4725" s="34"/>
      <c r="Q4725" s="34"/>
      <c r="R4725" s="34"/>
    </row>
    <row r="4726" spans="13:18">
      <c r="M4726" s="34"/>
      <c r="N4726" s="34"/>
      <c r="O4726" s="34"/>
      <c r="P4726" s="34"/>
      <c r="Q4726" s="34"/>
      <c r="R4726" s="34"/>
    </row>
    <row r="4727" spans="13:18">
      <c r="M4727" s="34"/>
      <c r="N4727" s="34"/>
      <c r="O4727" s="34"/>
      <c r="P4727" s="34"/>
      <c r="Q4727" s="34"/>
      <c r="R4727" s="34"/>
    </row>
    <row r="4728" spans="13:18">
      <c r="M4728" s="34"/>
      <c r="N4728" s="34"/>
      <c r="O4728" s="34"/>
      <c r="P4728" s="34"/>
      <c r="Q4728" s="34"/>
      <c r="R4728" s="34"/>
    </row>
    <row r="4729" spans="13:18">
      <c r="M4729" s="34"/>
      <c r="N4729" s="34"/>
      <c r="O4729" s="34"/>
      <c r="P4729" s="34"/>
      <c r="Q4729" s="34"/>
      <c r="R4729" s="34"/>
    </row>
    <row r="4730" spans="13:18">
      <c r="M4730" s="34"/>
      <c r="N4730" s="34"/>
      <c r="O4730" s="34"/>
      <c r="P4730" s="34"/>
      <c r="Q4730" s="34"/>
      <c r="R4730" s="34"/>
    </row>
    <row r="4731" spans="13:18">
      <c r="M4731" s="34"/>
      <c r="N4731" s="34"/>
      <c r="O4731" s="34"/>
      <c r="P4731" s="34"/>
      <c r="Q4731" s="34"/>
      <c r="R4731" s="34"/>
    </row>
    <row r="4732" spans="13:18">
      <c r="M4732" s="34"/>
      <c r="N4732" s="34"/>
      <c r="O4732" s="34"/>
      <c r="P4732" s="34"/>
      <c r="Q4732" s="34"/>
      <c r="R4732" s="34"/>
    </row>
    <row r="4733" spans="13:18">
      <c r="M4733" s="34"/>
      <c r="N4733" s="34"/>
      <c r="O4733" s="34"/>
      <c r="P4733" s="34"/>
      <c r="Q4733" s="34"/>
      <c r="R4733" s="34"/>
    </row>
    <row r="4734" spans="13:18">
      <c r="M4734" s="34"/>
      <c r="N4734" s="34"/>
      <c r="O4734" s="34"/>
      <c r="P4734" s="34"/>
      <c r="Q4734" s="34"/>
      <c r="R4734" s="34"/>
    </row>
    <row r="4735" spans="13:18">
      <c r="M4735" s="34"/>
      <c r="N4735" s="34"/>
      <c r="O4735" s="34"/>
      <c r="P4735" s="34"/>
      <c r="Q4735" s="34"/>
      <c r="R4735" s="34"/>
    </row>
    <row r="4736" spans="13:18">
      <c r="M4736" s="34"/>
      <c r="N4736" s="34"/>
      <c r="O4736" s="34"/>
      <c r="P4736" s="34"/>
      <c r="Q4736" s="34"/>
      <c r="R4736" s="34"/>
    </row>
    <row r="4737" spans="13:18">
      <c r="M4737" s="34"/>
      <c r="N4737" s="34"/>
      <c r="O4737" s="34"/>
      <c r="P4737" s="34"/>
      <c r="Q4737" s="34"/>
      <c r="R4737" s="34"/>
    </row>
    <row r="4738" spans="13:18">
      <c r="M4738" s="34"/>
      <c r="N4738" s="34"/>
      <c r="O4738" s="34"/>
      <c r="P4738" s="34"/>
      <c r="Q4738" s="34"/>
      <c r="R4738" s="34"/>
    </row>
    <row r="4739" spans="13:18">
      <c r="M4739" s="34"/>
      <c r="N4739" s="34"/>
      <c r="O4739" s="34"/>
      <c r="P4739" s="34"/>
      <c r="Q4739" s="34"/>
      <c r="R4739" s="34"/>
    </row>
    <row r="4740" spans="13:18">
      <c r="M4740" s="34"/>
      <c r="N4740" s="34"/>
      <c r="O4740" s="34"/>
      <c r="P4740" s="34"/>
      <c r="Q4740" s="34"/>
      <c r="R4740" s="34"/>
    </row>
    <row r="4741" spans="13:18">
      <c r="M4741" s="34"/>
      <c r="N4741" s="34"/>
      <c r="O4741" s="34"/>
      <c r="P4741" s="34"/>
      <c r="Q4741" s="34"/>
      <c r="R4741" s="34"/>
    </row>
    <row r="4742" spans="13:18">
      <c r="M4742" s="34"/>
      <c r="N4742" s="34"/>
      <c r="O4742" s="34"/>
      <c r="P4742" s="34"/>
      <c r="Q4742" s="34"/>
      <c r="R4742" s="34"/>
    </row>
    <row r="4743" spans="13:18">
      <c r="M4743" s="34"/>
      <c r="N4743" s="34"/>
      <c r="O4743" s="34"/>
      <c r="P4743" s="34"/>
      <c r="Q4743" s="34"/>
      <c r="R4743" s="34"/>
    </row>
    <row r="4744" spans="13:18">
      <c r="M4744" s="34"/>
      <c r="N4744" s="34"/>
      <c r="O4744" s="34"/>
      <c r="P4744" s="34"/>
      <c r="Q4744" s="34"/>
      <c r="R4744" s="34"/>
    </row>
    <row r="4745" spans="13:18">
      <c r="M4745" s="34"/>
      <c r="N4745" s="34"/>
      <c r="O4745" s="34"/>
      <c r="P4745" s="34"/>
      <c r="Q4745" s="34"/>
      <c r="R4745" s="34"/>
    </row>
    <row r="4746" spans="13:18">
      <c r="M4746" s="34"/>
      <c r="N4746" s="34"/>
      <c r="O4746" s="34"/>
      <c r="P4746" s="34"/>
      <c r="Q4746" s="34"/>
      <c r="R4746" s="34"/>
    </row>
    <row r="4747" spans="13:18">
      <c r="M4747" s="34"/>
      <c r="N4747" s="34"/>
      <c r="O4747" s="34"/>
      <c r="P4747" s="34"/>
      <c r="Q4747" s="34"/>
      <c r="R4747" s="34"/>
    </row>
    <row r="4748" spans="13:18">
      <c r="M4748" s="34"/>
      <c r="N4748" s="34"/>
      <c r="O4748" s="34"/>
      <c r="P4748" s="34"/>
      <c r="Q4748" s="34"/>
      <c r="R4748" s="34"/>
    </row>
    <row r="4749" spans="13:18">
      <c r="M4749" s="34"/>
      <c r="N4749" s="34"/>
      <c r="O4749" s="34"/>
      <c r="P4749" s="34"/>
      <c r="Q4749" s="34"/>
      <c r="R4749" s="34"/>
    </row>
    <row r="4750" spans="13:18">
      <c r="M4750" s="34"/>
      <c r="N4750" s="34"/>
      <c r="O4750" s="34"/>
      <c r="P4750" s="34"/>
      <c r="Q4750" s="34"/>
      <c r="R4750" s="34"/>
    </row>
    <row r="4751" spans="13:18">
      <c r="M4751" s="34"/>
      <c r="N4751" s="34"/>
      <c r="O4751" s="34"/>
      <c r="P4751" s="34"/>
      <c r="Q4751" s="34"/>
      <c r="R4751" s="34"/>
    </row>
    <row r="4752" spans="13:18">
      <c r="M4752" s="34"/>
      <c r="N4752" s="34"/>
      <c r="O4752" s="34"/>
      <c r="P4752" s="34"/>
      <c r="Q4752" s="34"/>
      <c r="R4752" s="34"/>
    </row>
    <row r="4753" spans="13:18">
      <c r="M4753" s="34"/>
      <c r="N4753" s="34"/>
      <c r="O4753" s="34"/>
      <c r="P4753" s="34"/>
      <c r="Q4753" s="34"/>
      <c r="R4753" s="34"/>
    </row>
    <row r="4754" spans="13:18">
      <c r="M4754" s="34"/>
      <c r="N4754" s="34"/>
      <c r="O4754" s="34"/>
      <c r="P4754" s="34"/>
      <c r="Q4754" s="34"/>
      <c r="R4754" s="34"/>
    </row>
    <row r="4755" spans="13:18">
      <c r="M4755" s="34"/>
      <c r="N4755" s="34"/>
      <c r="O4755" s="34"/>
      <c r="P4755" s="34"/>
      <c r="Q4755" s="34"/>
      <c r="R4755" s="34"/>
    </row>
    <row r="4756" spans="13:18">
      <c r="M4756" s="34"/>
      <c r="N4756" s="34"/>
      <c r="O4756" s="34"/>
      <c r="P4756" s="34"/>
      <c r="Q4756" s="34"/>
      <c r="R4756" s="34"/>
    </row>
    <row r="4757" spans="13:18">
      <c r="M4757" s="34"/>
      <c r="N4757" s="34"/>
      <c r="O4757" s="34"/>
      <c r="P4757" s="34"/>
      <c r="Q4757" s="34"/>
      <c r="R4757" s="34"/>
    </row>
    <row r="4758" spans="13:18">
      <c r="M4758" s="34"/>
      <c r="N4758" s="34"/>
      <c r="O4758" s="34"/>
      <c r="P4758" s="34"/>
      <c r="Q4758" s="34"/>
      <c r="R4758" s="34"/>
    </row>
    <row r="4759" spans="13:18">
      <c r="M4759" s="34"/>
      <c r="N4759" s="34"/>
      <c r="O4759" s="34"/>
      <c r="P4759" s="34"/>
      <c r="Q4759" s="34"/>
      <c r="R4759" s="34"/>
    </row>
    <row r="4760" spans="13:18">
      <c r="M4760" s="34"/>
      <c r="N4760" s="34"/>
      <c r="O4760" s="34"/>
      <c r="P4760" s="34"/>
      <c r="Q4760" s="34"/>
      <c r="R4760" s="34"/>
    </row>
    <row r="4761" spans="13:18">
      <c r="M4761" s="34"/>
      <c r="N4761" s="34"/>
      <c r="O4761" s="34"/>
      <c r="P4761" s="34"/>
      <c r="Q4761" s="34"/>
      <c r="R4761" s="34"/>
    </row>
    <row r="4762" spans="13:18">
      <c r="M4762" s="34"/>
      <c r="N4762" s="34"/>
      <c r="O4762" s="34"/>
      <c r="P4762" s="34"/>
      <c r="Q4762" s="34"/>
      <c r="R4762" s="34"/>
    </row>
    <row r="4763" spans="13:18">
      <c r="M4763" s="34"/>
      <c r="N4763" s="34"/>
      <c r="O4763" s="34"/>
      <c r="P4763" s="34"/>
      <c r="Q4763" s="34"/>
      <c r="R4763" s="34"/>
    </row>
    <row r="4764" spans="13:18">
      <c r="M4764" s="34"/>
      <c r="N4764" s="34"/>
      <c r="O4764" s="34"/>
      <c r="P4764" s="34"/>
      <c r="Q4764" s="34"/>
      <c r="R4764" s="34"/>
    </row>
    <row r="4765" spans="13:18">
      <c r="M4765" s="34"/>
      <c r="N4765" s="34"/>
      <c r="O4765" s="34"/>
      <c r="P4765" s="34"/>
      <c r="Q4765" s="34"/>
      <c r="R4765" s="34"/>
    </row>
    <row r="4766" spans="13:18">
      <c r="M4766" s="34"/>
      <c r="N4766" s="34"/>
      <c r="O4766" s="34"/>
      <c r="P4766" s="34"/>
      <c r="Q4766" s="34"/>
      <c r="R4766" s="34"/>
    </row>
    <row r="4767" spans="13:18">
      <c r="M4767" s="34"/>
      <c r="N4767" s="34"/>
      <c r="O4767" s="34"/>
      <c r="P4767" s="34"/>
      <c r="Q4767" s="34"/>
      <c r="R4767" s="34"/>
    </row>
    <row r="4768" spans="13:18">
      <c r="M4768" s="34"/>
      <c r="N4768" s="34"/>
      <c r="O4768" s="34"/>
      <c r="P4768" s="34"/>
      <c r="Q4768" s="34"/>
      <c r="R4768" s="34"/>
    </row>
    <row r="4769" spans="13:18">
      <c r="M4769" s="34"/>
      <c r="N4769" s="34"/>
      <c r="O4769" s="34"/>
      <c r="P4769" s="34"/>
      <c r="Q4769" s="34"/>
      <c r="R4769" s="34"/>
    </row>
    <row r="4770" spans="13:18">
      <c r="M4770" s="34"/>
      <c r="N4770" s="34"/>
      <c r="O4770" s="34"/>
      <c r="P4770" s="34"/>
      <c r="Q4770" s="34"/>
      <c r="R4770" s="34"/>
    </row>
    <row r="4771" spans="13:18">
      <c r="M4771" s="34"/>
      <c r="N4771" s="34"/>
      <c r="O4771" s="34"/>
      <c r="P4771" s="34"/>
      <c r="Q4771" s="34"/>
      <c r="R4771" s="34"/>
    </row>
    <row r="4772" spans="13:18">
      <c r="M4772" s="34"/>
      <c r="N4772" s="34"/>
      <c r="O4772" s="34"/>
      <c r="P4772" s="34"/>
      <c r="Q4772" s="34"/>
      <c r="R4772" s="34"/>
    </row>
    <row r="4773" spans="13:18">
      <c r="M4773" s="34"/>
      <c r="N4773" s="34"/>
      <c r="O4773" s="34"/>
      <c r="P4773" s="34"/>
      <c r="Q4773" s="34"/>
      <c r="R4773" s="34"/>
    </row>
    <row r="4774" spans="13:18">
      <c r="M4774" s="34"/>
      <c r="N4774" s="34"/>
      <c r="O4774" s="34"/>
      <c r="P4774" s="34"/>
      <c r="Q4774" s="34"/>
      <c r="R4774" s="34"/>
    </row>
    <row r="4775" spans="13:18">
      <c r="M4775" s="34"/>
      <c r="N4775" s="34"/>
      <c r="O4775" s="34"/>
      <c r="P4775" s="34"/>
      <c r="Q4775" s="34"/>
      <c r="R4775" s="34"/>
    </row>
    <row r="4776" spans="13:18">
      <c r="M4776" s="34"/>
      <c r="N4776" s="34"/>
      <c r="O4776" s="34"/>
      <c r="P4776" s="34"/>
      <c r="Q4776" s="34"/>
      <c r="R4776" s="34"/>
    </row>
    <row r="4777" spans="13:18">
      <c r="M4777" s="34"/>
      <c r="N4777" s="34"/>
      <c r="O4777" s="34"/>
      <c r="P4777" s="34"/>
      <c r="Q4777" s="34"/>
      <c r="R4777" s="34"/>
    </row>
    <row r="4778" spans="13:18">
      <c r="M4778" s="34"/>
      <c r="N4778" s="34"/>
      <c r="O4778" s="34"/>
      <c r="P4778" s="34"/>
      <c r="Q4778" s="34"/>
      <c r="R4778" s="34"/>
    </row>
    <row r="4779" spans="13:18">
      <c r="M4779" s="34"/>
      <c r="N4779" s="34"/>
      <c r="O4779" s="34"/>
      <c r="P4779" s="34"/>
      <c r="Q4779" s="34"/>
      <c r="R4779" s="34"/>
    </row>
    <row r="4780" spans="13:18">
      <c r="M4780" s="34"/>
      <c r="N4780" s="34"/>
      <c r="O4780" s="34"/>
      <c r="P4780" s="34"/>
      <c r="Q4780" s="34"/>
      <c r="R4780" s="34"/>
    </row>
    <row r="4781" spans="13:18">
      <c r="M4781" s="34"/>
      <c r="N4781" s="34"/>
      <c r="O4781" s="34"/>
      <c r="P4781" s="34"/>
      <c r="Q4781" s="34"/>
      <c r="R4781" s="34"/>
    </row>
    <row r="4782" spans="13:18">
      <c r="M4782" s="34"/>
      <c r="N4782" s="34"/>
      <c r="O4782" s="34"/>
      <c r="P4782" s="34"/>
      <c r="Q4782" s="34"/>
      <c r="R4782" s="34"/>
    </row>
    <row r="4783" spans="13:18">
      <c r="M4783" s="34"/>
      <c r="N4783" s="34"/>
      <c r="O4783" s="34"/>
      <c r="P4783" s="34"/>
      <c r="Q4783" s="34"/>
      <c r="R4783" s="34"/>
    </row>
    <row r="4784" spans="13:18">
      <c r="M4784" s="34"/>
      <c r="N4784" s="34"/>
      <c r="O4784" s="34"/>
      <c r="P4784" s="34"/>
      <c r="Q4784" s="34"/>
      <c r="R4784" s="34"/>
    </row>
    <row r="4785" spans="13:18">
      <c r="M4785" s="34"/>
      <c r="N4785" s="34"/>
      <c r="O4785" s="34"/>
      <c r="P4785" s="34"/>
      <c r="Q4785" s="34"/>
      <c r="R4785" s="34"/>
    </row>
    <row r="4786" spans="13:18">
      <c r="M4786" s="34"/>
      <c r="N4786" s="34"/>
      <c r="O4786" s="34"/>
      <c r="P4786" s="34"/>
      <c r="Q4786" s="34"/>
      <c r="R4786" s="34"/>
    </row>
    <row r="4787" spans="13:18">
      <c r="M4787" s="34"/>
      <c r="N4787" s="34"/>
      <c r="O4787" s="34"/>
      <c r="P4787" s="34"/>
      <c r="Q4787" s="34"/>
      <c r="R4787" s="34"/>
    </row>
    <row r="4788" spans="13:18">
      <c r="M4788" s="34"/>
      <c r="N4788" s="34"/>
      <c r="O4788" s="34"/>
      <c r="P4788" s="34"/>
      <c r="Q4788" s="34"/>
      <c r="R4788" s="34"/>
    </row>
    <row r="4789" spans="13:18">
      <c r="M4789" s="34"/>
      <c r="N4789" s="34"/>
      <c r="O4789" s="34"/>
      <c r="P4789" s="34"/>
      <c r="Q4789" s="34"/>
      <c r="R4789" s="34"/>
    </row>
    <row r="4790" spans="13:18">
      <c r="M4790" s="34"/>
      <c r="N4790" s="34"/>
      <c r="O4790" s="34"/>
      <c r="P4790" s="34"/>
      <c r="Q4790" s="34"/>
      <c r="R4790" s="34"/>
    </row>
    <row r="4791" spans="13:18">
      <c r="M4791" s="34"/>
      <c r="N4791" s="34"/>
      <c r="O4791" s="34"/>
      <c r="P4791" s="34"/>
      <c r="Q4791" s="34"/>
      <c r="R4791" s="34"/>
    </row>
    <row r="4792" spans="13:18">
      <c r="M4792" s="34"/>
      <c r="N4792" s="34"/>
      <c r="O4792" s="34"/>
      <c r="P4792" s="34"/>
      <c r="Q4792" s="34"/>
      <c r="R4792" s="34"/>
    </row>
    <row r="4793" spans="13:18">
      <c r="M4793" s="34"/>
      <c r="N4793" s="34"/>
      <c r="O4793" s="34"/>
      <c r="P4793" s="34"/>
      <c r="Q4793" s="34"/>
      <c r="R4793" s="34"/>
    </row>
    <row r="4794" spans="13:18">
      <c r="M4794" s="34"/>
      <c r="N4794" s="34"/>
      <c r="O4794" s="34"/>
      <c r="P4794" s="34"/>
      <c r="Q4794" s="34"/>
      <c r="R4794" s="34"/>
    </row>
    <row r="4795" spans="13:18">
      <c r="M4795" s="34"/>
      <c r="N4795" s="34"/>
      <c r="O4795" s="34"/>
      <c r="P4795" s="34"/>
      <c r="Q4795" s="34"/>
      <c r="R4795" s="34"/>
    </row>
    <row r="4796" spans="13:18">
      <c r="M4796" s="34"/>
      <c r="N4796" s="34"/>
      <c r="O4796" s="34"/>
      <c r="P4796" s="34"/>
      <c r="Q4796" s="34"/>
      <c r="R4796" s="34"/>
    </row>
    <row r="4797" spans="13:18">
      <c r="M4797" s="34"/>
      <c r="N4797" s="34"/>
      <c r="O4797" s="34"/>
      <c r="P4797" s="34"/>
      <c r="Q4797" s="34"/>
      <c r="R4797" s="34"/>
    </row>
    <row r="4798" spans="13:18">
      <c r="M4798" s="34"/>
      <c r="N4798" s="34"/>
      <c r="O4798" s="34"/>
      <c r="P4798" s="34"/>
      <c r="Q4798" s="34"/>
      <c r="R4798" s="34"/>
    </row>
    <row r="4799" spans="13:18">
      <c r="M4799" s="34"/>
      <c r="N4799" s="34"/>
      <c r="O4799" s="34"/>
      <c r="P4799" s="34"/>
      <c r="Q4799" s="34"/>
      <c r="R4799" s="34"/>
    </row>
    <row r="4800" spans="13:18">
      <c r="M4800" s="34"/>
      <c r="N4800" s="34"/>
      <c r="O4800" s="34"/>
      <c r="P4800" s="34"/>
      <c r="Q4800" s="34"/>
      <c r="R4800" s="34"/>
    </row>
    <row r="4801" spans="13:18">
      <c r="M4801" s="34"/>
      <c r="N4801" s="34"/>
      <c r="O4801" s="34"/>
      <c r="P4801" s="34"/>
      <c r="Q4801" s="34"/>
      <c r="R4801" s="34"/>
    </row>
    <row r="4802" spans="13:18">
      <c r="M4802" s="34"/>
      <c r="N4802" s="34"/>
      <c r="O4802" s="34"/>
      <c r="P4802" s="34"/>
      <c r="Q4802" s="34"/>
      <c r="R4802" s="34"/>
    </row>
    <row r="4803" spans="13:18">
      <c r="M4803" s="34"/>
      <c r="N4803" s="34"/>
      <c r="O4803" s="34"/>
      <c r="P4803" s="34"/>
      <c r="Q4803" s="34"/>
      <c r="R4803" s="34"/>
    </row>
    <row r="4804" spans="13:18">
      <c r="M4804" s="34"/>
      <c r="N4804" s="34"/>
      <c r="O4804" s="34"/>
      <c r="P4804" s="34"/>
      <c r="Q4804" s="34"/>
      <c r="R4804" s="34"/>
    </row>
    <row r="4805" spans="13:18">
      <c r="M4805" s="34"/>
      <c r="N4805" s="34"/>
      <c r="O4805" s="34"/>
      <c r="P4805" s="34"/>
      <c r="Q4805" s="34"/>
      <c r="R4805" s="34"/>
    </row>
    <row r="4806" spans="13:18">
      <c r="M4806" s="34"/>
      <c r="N4806" s="34"/>
      <c r="O4806" s="34"/>
      <c r="P4806" s="34"/>
      <c r="Q4806" s="34"/>
      <c r="R4806" s="34"/>
    </row>
    <row r="4807" spans="13:18">
      <c r="M4807" s="34"/>
      <c r="N4807" s="34"/>
      <c r="O4807" s="34"/>
      <c r="P4807" s="34"/>
      <c r="Q4807" s="34"/>
      <c r="R4807" s="34"/>
    </row>
    <row r="4808" spans="13:18">
      <c r="M4808" s="34"/>
      <c r="N4808" s="34"/>
      <c r="O4808" s="34"/>
      <c r="P4808" s="34"/>
      <c r="Q4808" s="34"/>
      <c r="R4808" s="34"/>
    </row>
    <row r="4809" spans="13:18">
      <c r="M4809" s="34"/>
      <c r="N4809" s="34"/>
      <c r="O4809" s="34"/>
      <c r="P4809" s="34"/>
      <c r="Q4809" s="34"/>
      <c r="R4809" s="34"/>
    </row>
    <row r="4810" spans="13:18">
      <c r="M4810" s="34"/>
      <c r="N4810" s="34"/>
      <c r="O4810" s="34"/>
      <c r="P4810" s="34"/>
      <c r="Q4810" s="34"/>
      <c r="R4810" s="34"/>
    </row>
    <row r="4811" spans="13:18">
      <c r="M4811" s="34"/>
      <c r="N4811" s="34"/>
      <c r="O4811" s="34"/>
      <c r="P4811" s="34"/>
      <c r="Q4811" s="34"/>
      <c r="R4811" s="34"/>
    </row>
    <row r="4812" spans="13:18">
      <c r="M4812" s="34"/>
      <c r="N4812" s="34"/>
      <c r="O4812" s="34"/>
      <c r="P4812" s="34"/>
      <c r="Q4812" s="34"/>
      <c r="R4812" s="34"/>
    </row>
    <row r="4813" spans="13:18">
      <c r="M4813" s="34"/>
      <c r="N4813" s="34"/>
      <c r="O4813" s="34"/>
      <c r="P4813" s="34"/>
      <c r="Q4813" s="34"/>
      <c r="R4813" s="34"/>
    </row>
    <row r="4814" spans="13:18">
      <c r="M4814" s="34"/>
      <c r="N4814" s="34"/>
      <c r="O4814" s="34"/>
      <c r="P4814" s="34"/>
      <c r="Q4814" s="34"/>
      <c r="R4814" s="34"/>
    </row>
    <row r="4815" spans="13:18">
      <c r="M4815" s="34"/>
      <c r="N4815" s="34"/>
      <c r="O4815" s="34"/>
      <c r="P4815" s="34"/>
      <c r="Q4815" s="34"/>
      <c r="R4815" s="34"/>
    </row>
    <row r="4816" spans="13:18">
      <c r="M4816" s="34"/>
      <c r="N4816" s="34"/>
      <c r="O4816" s="34"/>
      <c r="P4816" s="34"/>
      <c r="Q4816" s="34"/>
      <c r="R4816" s="34"/>
    </row>
    <row r="4817" spans="13:18">
      <c r="M4817" s="34"/>
      <c r="N4817" s="34"/>
      <c r="O4817" s="34"/>
      <c r="P4817" s="34"/>
      <c r="Q4817" s="34"/>
      <c r="R4817" s="34"/>
    </row>
    <row r="4818" spans="13:18">
      <c r="M4818" s="34"/>
      <c r="N4818" s="34"/>
      <c r="O4818" s="34"/>
      <c r="P4818" s="34"/>
      <c r="Q4818" s="34"/>
      <c r="R4818" s="34"/>
    </row>
    <row r="4819" spans="13:18">
      <c r="M4819" s="34"/>
      <c r="N4819" s="34"/>
      <c r="O4819" s="34"/>
      <c r="P4819" s="34"/>
      <c r="Q4819" s="34"/>
      <c r="R4819" s="34"/>
    </row>
    <row r="4820" spans="13:18">
      <c r="M4820" s="34"/>
      <c r="N4820" s="34"/>
      <c r="O4820" s="34"/>
      <c r="P4820" s="34"/>
      <c r="Q4820" s="34"/>
      <c r="R4820" s="34"/>
    </row>
    <row r="4821" spans="13:18">
      <c r="M4821" s="34"/>
      <c r="N4821" s="34"/>
      <c r="O4821" s="34"/>
      <c r="P4821" s="34"/>
      <c r="Q4821" s="34"/>
      <c r="R4821" s="34"/>
    </row>
    <row r="4822" spans="13:18">
      <c r="M4822" s="34"/>
      <c r="N4822" s="34"/>
      <c r="O4822" s="34"/>
      <c r="P4822" s="34"/>
      <c r="Q4822" s="34"/>
      <c r="R4822" s="34"/>
    </row>
    <row r="4823" spans="13:18">
      <c r="M4823" s="34"/>
      <c r="N4823" s="34"/>
      <c r="O4823" s="34"/>
      <c r="P4823" s="34"/>
      <c r="Q4823" s="34"/>
      <c r="R4823" s="34"/>
    </row>
    <row r="4824" spans="13:18">
      <c r="M4824" s="34"/>
      <c r="N4824" s="34"/>
      <c r="O4824" s="34"/>
      <c r="P4824" s="34"/>
      <c r="Q4824" s="34"/>
      <c r="R4824" s="34"/>
    </row>
    <row r="4825" spans="13:18">
      <c r="M4825" s="34"/>
      <c r="N4825" s="34"/>
      <c r="O4825" s="34"/>
      <c r="P4825" s="34"/>
      <c r="Q4825" s="34"/>
      <c r="R4825" s="34"/>
    </row>
    <row r="4826" spans="13:18">
      <c r="M4826" s="34"/>
      <c r="N4826" s="34"/>
      <c r="O4826" s="34"/>
      <c r="P4826" s="34"/>
      <c r="Q4826" s="34"/>
      <c r="R4826" s="34"/>
    </row>
    <row r="4827" spans="13:18">
      <c r="M4827" s="34"/>
      <c r="N4827" s="34"/>
      <c r="O4827" s="34"/>
      <c r="P4827" s="34"/>
      <c r="Q4827" s="34"/>
      <c r="R4827" s="34"/>
    </row>
    <row r="4828" spans="13:18">
      <c r="M4828" s="34"/>
      <c r="N4828" s="34"/>
      <c r="O4828" s="34"/>
      <c r="P4828" s="34"/>
      <c r="Q4828" s="34"/>
      <c r="R4828" s="34"/>
    </row>
    <row r="4829" spans="13:18">
      <c r="M4829" s="34"/>
      <c r="N4829" s="34"/>
      <c r="O4829" s="34"/>
      <c r="P4829" s="34"/>
      <c r="Q4829" s="34"/>
      <c r="R4829" s="34"/>
    </row>
    <row r="4830" spans="13:18">
      <c r="M4830" s="34"/>
      <c r="N4830" s="34"/>
      <c r="O4830" s="34"/>
      <c r="P4830" s="34"/>
      <c r="Q4830" s="34"/>
      <c r="R4830" s="34"/>
    </row>
    <row r="4831" spans="13:18">
      <c r="M4831" s="34"/>
      <c r="N4831" s="34"/>
      <c r="O4831" s="34"/>
      <c r="P4831" s="34"/>
      <c r="Q4831" s="34"/>
      <c r="R4831" s="34"/>
    </row>
    <row r="4832" spans="13:18">
      <c r="M4832" s="34"/>
      <c r="N4832" s="34"/>
      <c r="O4832" s="34"/>
      <c r="P4832" s="34"/>
      <c r="Q4832" s="34"/>
      <c r="R4832" s="34"/>
    </row>
    <row r="4833" spans="13:18">
      <c r="M4833" s="34"/>
      <c r="N4833" s="34"/>
      <c r="O4833" s="34"/>
      <c r="P4833" s="34"/>
      <c r="Q4833" s="34"/>
      <c r="R4833" s="34"/>
    </row>
    <row r="4834" spans="13:18">
      <c r="M4834" s="34"/>
      <c r="N4834" s="34"/>
      <c r="O4834" s="34"/>
      <c r="P4834" s="34"/>
      <c r="Q4834" s="34"/>
      <c r="R4834" s="34"/>
    </row>
    <row r="4835" spans="13:18">
      <c r="M4835" s="34"/>
      <c r="N4835" s="34"/>
      <c r="O4835" s="34"/>
      <c r="P4835" s="34"/>
      <c r="Q4835" s="34"/>
      <c r="R4835" s="34"/>
    </row>
    <row r="4836" spans="13:18">
      <c r="M4836" s="34"/>
      <c r="N4836" s="34"/>
      <c r="O4836" s="34"/>
      <c r="P4836" s="34"/>
      <c r="Q4836" s="34"/>
      <c r="R4836" s="34"/>
    </row>
    <row r="4837" spans="13:18">
      <c r="M4837" s="34"/>
      <c r="N4837" s="34"/>
      <c r="O4837" s="34"/>
      <c r="P4837" s="34"/>
      <c r="Q4837" s="34"/>
      <c r="R4837" s="34"/>
    </row>
    <row r="4838" spans="13:18">
      <c r="M4838" s="34"/>
      <c r="N4838" s="34"/>
      <c r="O4838" s="34"/>
      <c r="P4838" s="34"/>
      <c r="Q4838" s="34"/>
      <c r="R4838" s="34"/>
    </row>
    <row r="4839" spans="13:18">
      <c r="M4839" s="34"/>
      <c r="N4839" s="34"/>
      <c r="O4839" s="34"/>
      <c r="P4839" s="34"/>
      <c r="Q4839" s="34"/>
      <c r="R4839" s="34"/>
    </row>
    <row r="4840" spans="13:18">
      <c r="M4840" s="34"/>
      <c r="N4840" s="34"/>
      <c r="O4840" s="34"/>
      <c r="P4840" s="34"/>
      <c r="Q4840" s="34"/>
      <c r="R4840" s="34"/>
    </row>
    <row r="4841" spans="13:18">
      <c r="M4841" s="34"/>
      <c r="N4841" s="34"/>
      <c r="O4841" s="34"/>
      <c r="P4841" s="34"/>
      <c r="Q4841" s="34"/>
      <c r="R4841" s="34"/>
    </row>
    <row r="4842" spans="13:18">
      <c r="M4842" s="34"/>
      <c r="N4842" s="34"/>
      <c r="O4842" s="34"/>
      <c r="P4842" s="34"/>
      <c r="Q4842" s="34"/>
      <c r="R4842" s="34"/>
    </row>
    <row r="4843" spans="13:18">
      <c r="M4843" s="34"/>
      <c r="N4843" s="34"/>
      <c r="O4843" s="34"/>
      <c r="P4843" s="34"/>
      <c r="Q4843" s="34"/>
      <c r="R4843" s="34"/>
    </row>
    <row r="4844" spans="13:18">
      <c r="M4844" s="34"/>
      <c r="N4844" s="34"/>
      <c r="O4844" s="34"/>
      <c r="P4844" s="34"/>
      <c r="Q4844" s="34"/>
      <c r="R4844" s="34"/>
    </row>
    <row r="4845" spans="13:18">
      <c r="M4845" s="34"/>
      <c r="N4845" s="34"/>
      <c r="O4845" s="34"/>
      <c r="P4845" s="34"/>
      <c r="Q4845" s="34"/>
      <c r="R4845" s="34"/>
    </row>
    <row r="4846" spans="13:18">
      <c r="M4846" s="34"/>
      <c r="N4846" s="34"/>
      <c r="O4846" s="34"/>
      <c r="P4846" s="34"/>
      <c r="Q4846" s="34"/>
      <c r="R4846" s="34"/>
    </row>
    <row r="4847" spans="13:18">
      <c r="M4847" s="34"/>
      <c r="N4847" s="34"/>
      <c r="O4847" s="34"/>
      <c r="P4847" s="34"/>
      <c r="Q4847" s="34"/>
      <c r="R4847" s="34"/>
    </row>
    <row r="4848" spans="13:18">
      <c r="M4848" s="34"/>
      <c r="N4848" s="34"/>
      <c r="O4848" s="34"/>
      <c r="P4848" s="34"/>
      <c r="Q4848" s="34"/>
      <c r="R4848" s="34"/>
    </row>
    <row r="4849" spans="13:18">
      <c r="M4849" s="34"/>
      <c r="N4849" s="34"/>
      <c r="O4849" s="34"/>
      <c r="P4849" s="34"/>
      <c r="Q4849" s="34"/>
      <c r="R4849" s="34"/>
    </row>
    <row r="4850" spans="13:18">
      <c r="M4850" s="34"/>
      <c r="N4850" s="34"/>
      <c r="O4850" s="34"/>
      <c r="P4850" s="34"/>
      <c r="Q4850" s="34"/>
      <c r="R4850" s="34"/>
    </row>
    <row r="4851" spans="13:18">
      <c r="M4851" s="34"/>
      <c r="N4851" s="34"/>
      <c r="O4851" s="34"/>
      <c r="P4851" s="34"/>
      <c r="Q4851" s="34"/>
      <c r="R4851" s="34"/>
    </row>
    <row r="4852" spans="13:18">
      <c r="M4852" s="34"/>
      <c r="N4852" s="34"/>
      <c r="O4852" s="34"/>
      <c r="P4852" s="34"/>
      <c r="Q4852" s="34"/>
      <c r="R4852" s="34"/>
    </row>
    <row r="4853" spans="13:18">
      <c r="M4853" s="34"/>
      <c r="N4853" s="34"/>
      <c r="O4853" s="34"/>
      <c r="P4853" s="34"/>
      <c r="Q4853" s="34"/>
      <c r="R4853" s="34"/>
    </row>
    <row r="4854" spans="13:18">
      <c r="M4854" s="34"/>
      <c r="N4854" s="34"/>
      <c r="O4854" s="34"/>
      <c r="P4854" s="34"/>
      <c r="Q4854" s="34"/>
      <c r="R4854" s="34"/>
    </row>
    <row r="4855" spans="13:18">
      <c r="M4855" s="34"/>
      <c r="N4855" s="34"/>
      <c r="O4855" s="34"/>
      <c r="P4855" s="34"/>
      <c r="Q4855" s="34"/>
      <c r="R4855" s="34"/>
    </row>
    <row r="4856" spans="13:18">
      <c r="M4856" s="34"/>
      <c r="N4856" s="34"/>
      <c r="O4856" s="34"/>
      <c r="P4856" s="34"/>
      <c r="Q4856" s="34"/>
      <c r="R4856" s="34"/>
    </row>
    <row r="4857" spans="13:18">
      <c r="M4857" s="34"/>
      <c r="N4857" s="34"/>
      <c r="O4857" s="34"/>
      <c r="P4857" s="34"/>
      <c r="Q4857" s="34"/>
      <c r="R4857" s="34"/>
    </row>
    <row r="4858" spans="13:18">
      <c r="M4858" s="34"/>
      <c r="N4858" s="34"/>
      <c r="O4858" s="34"/>
      <c r="P4858" s="34"/>
      <c r="Q4858" s="34"/>
      <c r="R4858" s="34"/>
    </row>
    <row r="4859" spans="13:18">
      <c r="M4859" s="34"/>
      <c r="N4859" s="34"/>
      <c r="O4859" s="34"/>
      <c r="P4859" s="34"/>
      <c r="Q4859" s="34"/>
      <c r="R4859" s="34"/>
    </row>
    <row r="4860" spans="13:18">
      <c r="M4860" s="34"/>
      <c r="N4860" s="34"/>
      <c r="O4860" s="34"/>
      <c r="P4860" s="34"/>
      <c r="Q4860" s="34"/>
      <c r="R4860" s="34"/>
    </row>
    <row r="4861" spans="13:18">
      <c r="M4861" s="34"/>
      <c r="N4861" s="34"/>
      <c r="O4861" s="34"/>
      <c r="P4861" s="34"/>
      <c r="Q4861" s="34"/>
      <c r="R4861" s="34"/>
    </row>
    <row r="4862" spans="13:18">
      <c r="M4862" s="34"/>
      <c r="N4862" s="34"/>
      <c r="O4862" s="34"/>
      <c r="P4862" s="34"/>
      <c r="Q4862" s="34"/>
      <c r="R4862" s="34"/>
    </row>
    <row r="4863" spans="13:18">
      <c r="M4863" s="34"/>
      <c r="N4863" s="34"/>
      <c r="O4863" s="34"/>
      <c r="P4863" s="34"/>
      <c r="Q4863" s="34"/>
      <c r="R4863" s="34"/>
    </row>
    <row r="4864" spans="13:18">
      <c r="M4864" s="34"/>
      <c r="N4864" s="34"/>
      <c r="O4864" s="34"/>
      <c r="P4864" s="34"/>
      <c r="Q4864" s="34"/>
      <c r="R4864" s="34"/>
    </row>
    <row r="4865" spans="13:18">
      <c r="M4865" s="34"/>
      <c r="N4865" s="34"/>
      <c r="O4865" s="34"/>
      <c r="P4865" s="34"/>
      <c r="Q4865" s="34"/>
      <c r="R4865" s="34"/>
    </row>
    <row r="4866" spans="13:18">
      <c r="M4866" s="34"/>
      <c r="N4866" s="34"/>
      <c r="O4866" s="34"/>
      <c r="P4866" s="34"/>
      <c r="Q4866" s="34"/>
      <c r="R4866" s="34"/>
    </row>
    <row r="4867" spans="13:18">
      <c r="M4867" s="34"/>
      <c r="N4867" s="34"/>
      <c r="O4867" s="34"/>
      <c r="P4867" s="34"/>
      <c r="Q4867" s="34"/>
      <c r="R4867" s="34"/>
    </row>
    <row r="4868" spans="13:18">
      <c r="M4868" s="34"/>
      <c r="N4868" s="34"/>
      <c r="O4868" s="34"/>
      <c r="P4868" s="34"/>
      <c r="Q4868" s="34"/>
      <c r="R4868" s="34"/>
    </row>
    <row r="4869" spans="13:18">
      <c r="M4869" s="34"/>
      <c r="N4869" s="34"/>
      <c r="O4869" s="34"/>
      <c r="P4869" s="34"/>
      <c r="Q4869" s="34"/>
      <c r="R4869" s="34"/>
    </row>
    <row r="4870" spans="13:18">
      <c r="M4870" s="34"/>
      <c r="N4870" s="34"/>
      <c r="O4870" s="34"/>
      <c r="P4870" s="34"/>
      <c r="Q4870" s="34"/>
      <c r="R4870" s="34"/>
    </row>
    <row r="4871" spans="13:18">
      <c r="M4871" s="34"/>
      <c r="N4871" s="34"/>
      <c r="O4871" s="34"/>
      <c r="P4871" s="34"/>
      <c r="Q4871" s="34"/>
      <c r="R4871" s="34"/>
    </row>
    <row r="4872" spans="13:18">
      <c r="M4872" s="34"/>
      <c r="N4872" s="34"/>
      <c r="O4872" s="34"/>
      <c r="P4872" s="34"/>
      <c r="Q4872" s="34"/>
      <c r="R4872" s="34"/>
    </row>
    <row r="4873" spans="13:18">
      <c r="M4873" s="34"/>
      <c r="N4873" s="34"/>
      <c r="O4873" s="34"/>
      <c r="P4873" s="34"/>
      <c r="Q4873" s="34"/>
      <c r="R4873" s="34"/>
    </row>
    <row r="4874" spans="13:18">
      <c r="M4874" s="34"/>
      <c r="N4874" s="34"/>
      <c r="O4874" s="34"/>
      <c r="P4874" s="34"/>
      <c r="Q4874" s="34"/>
      <c r="R4874" s="34"/>
    </row>
    <row r="4875" spans="13:18">
      <c r="M4875" s="34"/>
      <c r="N4875" s="34"/>
      <c r="O4875" s="34"/>
      <c r="P4875" s="34"/>
      <c r="Q4875" s="34"/>
      <c r="R4875" s="34"/>
    </row>
    <row r="4876" spans="13:18">
      <c r="M4876" s="34"/>
      <c r="N4876" s="34"/>
      <c r="O4876" s="34"/>
      <c r="P4876" s="34"/>
      <c r="Q4876" s="34"/>
      <c r="R4876" s="34"/>
    </row>
    <row r="4877" spans="13:18">
      <c r="M4877" s="34"/>
      <c r="N4877" s="34"/>
      <c r="O4877" s="34"/>
      <c r="P4877" s="34"/>
      <c r="Q4877" s="34"/>
      <c r="R4877" s="34"/>
    </row>
    <row r="4878" spans="13:18">
      <c r="M4878" s="34"/>
      <c r="N4878" s="34"/>
      <c r="O4878" s="34"/>
      <c r="P4878" s="34"/>
      <c r="Q4878" s="34"/>
      <c r="R4878" s="34"/>
    </row>
    <row r="4879" spans="13:18">
      <c r="M4879" s="34"/>
      <c r="N4879" s="34"/>
      <c r="O4879" s="34"/>
      <c r="P4879" s="34"/>
      <c r="Q4879" s="34"/>
      <c r="R4879" s="34"/>
    </row>
    <row r="4880" spans="13:18">
      <c r="M4880" s="34"/>
      <c r="N4880" s="34"/>
      <c r="O4880" s="34"/>
      <c r="P4880" s="34"/>
      <c r="Q4880" s="34"/>
      <c r="R4880" s="34"/>
    </row>
    <row r="4881" spans="13:18">
      <c r="M4881" s="34"/>
      <c r="N4881" s="34"/>
      <c r="O4881" s="34"/>
      <c r="P4881" s="34"/>
      <c r="Q4881" s="34"/>
      <c r="R4881" s="34"/>
    </row>
    <row r="4882" spans="13:18">
      <c r="M4882" s="34"/>
      <c r="N4882" s="34"/>
      <c r="O4882" s="34"/>
      <c r="P4882" s="34"/>
      <c r="Q4882" s="34"/>
      <c r="R4882" s="34"/>
    </row>
    <row r="4883" spans="13:18">
      <c r="M4883" s="34"/>
      <c r="N4883" s="34"/>
      <c r="O4883" s="34"/>
      <c r="P4883" s="34"/>
      <c r="Q4883" s="34"/>
      <c r="R4883" s="34"/>
    </row>
    <row r="4884" spans="13:18">
      <c r="M4884" s="34"/>
      <c r="N4884" s="34"/>
      <c r="O4884" s="34"/>
      <c r="P4884" s="34"/>
      <c r="Q4884" s="34"/>
      <c r="R4884" s="34"/>
    </row>
    <row r="4885" spans="13:18">
      <c r="M4885" s="34"/>
      <c r="N4885" s="34"/>
      <c r="O4885" s="34"/>
      <c r="P4885" s="34"/>
      <c r="Q4885" s="34"/>
      <c r="R4885" s="34"/>
    </row>
    <row r="4886" spans="13:18">
      <c r="M4886" s="34"/>
      <c r="N4886" s="34"/>
      <c r="O4886" s="34"/>
      <c r="P4886" s="34"/>
      <c r="Q4886" s="34"/>
      <c r="R4886" s="34"/>
    </row>
    <row r="4887" spans="13:18">
      <c r="M4887" s="34"/>
      <c r="N4887" s="34"/>
      <c r="O4887" s="34"/>
      <c r="P4887" s="34"/>
      <c r="Q4887" s="34"/>
      <c r="R4887" s="34"/>
    </row>
    <row r="4888" spans="13:18">
      <c r="M4888" s="34"/>
      <c r="N4888" s="34"/>
      <c r="O4888" s="34"/>
      <c r="P4888" s="34"/>
      <c r="Q4888" s="34"/>
      <c r="R4888" s="34"/>
    </row>
    <row r="4889" spans="13:18">
      <c r="M4889" s="34"/>
      <c r="N4889" s="34"/>
      <c r="O4889" s="34"/>
      <c r="P4889" s="34"/>
      <c r="Q4889" s="34"/>
      <c r="R4889" s="34"/>
    </row>
    <row r="4890" spans="13:18">
      <c r="M4890" s="34"/>
      <c r="N4890" s="34"/>
      <c r="O4890" s="34"/>
      <c r="P4890" s="34"/>
      <c r="Q4890" s="34"/>
      <c r="R4890" s="34"/>
    </row>
    <row r="4891" spans="13:18">
      <c r="M4891" s="34"/>
      <c r="N4891" s="34"/>
      <c r="O4891" s="34"/>
      <c r="P4891" s="34"/>
      <c r="Q4891" s="34"/>
      <c r="R4891" s="34"/>
    </row>
    <row r="4892" spans="13:18">
      <c r="M4892" s="34"/>
      <c r="N4892" s="34"/>
      <c r="O4892" s="34"/>
      <c r="P4892" s="34"/>
      <c r="Q4892" s="34"/>
      <c r="R4892" s="34"/>
    </row>
    <row r="4893" spans="13:18">
      <c r="M4893" s="34"/>
      <c r="N4893" s="34"/>
      <c r="O4893" s="34"/>
      <c r="P4893" s="34"/>
      <c r="Q4893" s="34"/>
      <c r="R4893" s="34"/>
    </row>
    <row r="4894" spans="13:18">
      <c r="M4894" s="34"/>
      <c r="N4894" s="34"/>
      <c r="O4894" s="34"/>
      <c r="P4894" s="34"/>
      <c r="Q4894" s="34"/>
      <c r="R4894" s="34"/>
    </row>
    <row r="4895" spans="13:18">
      <c r="M4895" s="34"/>
      <c r="N4895" s="34"/>
      <c r="O4895" s="34"/>
      <c r="P4895" s="34"/>
      <c r="Q4895" s="34"/>
      <c r="R4895" s="34"/>
    </row>
    <row r="4896" spans="13:18">
      <c r="M4896" s="34"/>
      <c r="N4896" s="34"/>
      <c r="O4896" s="34"/>
      <c r="P4896" s="34"/>
      <c r="Q4896" s="34"/>
      <c r="R4896" s="34"/>
    </row>
    <row r="4897" spans="13:18">
      <c r="M4897" s="34"/>
      <c r="N4897" s="34"/>
      <c r="O4897" s="34"/>
      <c r="P4897" s="34"/>
      <c r="Q4897" s="34"/>
      <c r="R4897" s="34"/>
    </row>
    <row r="4898" spans="13:18">
      <c r="M4898" s="34"/>
      <c r="N4898" s="34"/>
      <c r="O4898" s="34"/>
      <c r="P4898" s="34"/>
      <c r="Q4898" s="34"/>
      <c r="R4898" s="34"/>
    </row>
    <row r="4899" spans="13:18">
      <c r="M4899" s="34"/>
      <c r="N4899" s="34"/>
      <c r="O4899" s="34"/>
      <c r="P4899" s="34"/>
      <c r="Q4899" s="34"/>
      <c r="R4899" s="34"/>
    </row>
    <row r="4900" spans="13:18">
      <c r="M4900" s="34"/>
      <c r="N4900" s="34"/>
      <c r="O4900" s="34"/>
      <c r="P4900" s="34"/>
      <c r="Q4900" s="34"/>
      <c r="R4900" s="34"/>
    </row>
    <row r="4901" spans="13:18">
      <c r="M4901" s="34"/>
      <c r="N4901" s="34"/>
      <c r="O4901" s="34"/>
      <c r="P4901" s="34"/>
      <c r="Q4901" s="34"/>
      <c r="R4901" s="34"/>
    </row>
    <row r="4902" spans="13:18">
      <c r="M4902" s="34"/>
      <c r="N4902" s="34"/>
      <c r="O4902" s="34"/>
      <c r="P4902" s="34"/>
      <c r="Q4902" s="34"/>
      <c r="R4902" s="34"/>
    </row>
    <row r="4903" spans="13:18">
      <c r="M4903" s="34"/>
      <c r="N4903" s="34"/>
      <c r="O4903" s="34"/>
      <c r="P4903" s="34"/>
      <c r="Q4903" s="34"/>
      <c r="R4903" s="34"/>
    </row>
    <row r="4904" spans="13:18">
      <c r="M4904" s="34"/>
      <c r="N4904" s="34"/>
      <c r="O4904" s="34"/>
      <c r="P4904" s="34"/>
      <c r="Q4904" s="34"/>
      <c r="R4904" s="34"/>
    </row>
    <row r="4905" spans="13:18">
      <c r="M4905" s="34"/>
      <c r="N4905" s="34"/>
      <c r="O4905" s="34"/>
      <c r="P4905" s="34"/>
      <c r="Q4905" s="34"/>
      <c r="R4905" s="34"/>
    </row>
    <row r="4906" spans="13:18">
      <c r="M4906" s="34"/>
      <c r="N4906" s="34"/>
      <c r="O4906" s="34"/>
      <c r="P4906" s="34"/>
      <c r="Q4906" s="34"/>
      <c r="R4906" s="34"/>
    </row>
    <row r="4907" spans="13:18">
      <c r="M4907" s="34"/>
      <c r="N4907" s="34"/>
      <c r="O4907" s="34"/>
      <c r="P4907" s="34"/>
      <c r="Q4907" s="34"/>
      <c r="R4907" s="34"/>
    </row>
    <row r="4908" spans="13:18">
      <c r="M4908" s="34"/>
      <c r="N4908" s="34"/>
      <c r="O4908" s="34"/>
      <c r="P4908" s="34"/>
      <c r="Q4908" s="34"/>
      <c r="R4908" s="34"/>
    </row>
    <row r="4909" spans="13:18">
      <c r="M4909" s="34"/>
      <c r="N4909" s="34"/>
      <c r="O4909" s="34"/>
      <c r="P4909" s="34"/>
      <c r="Q4909" s="34"/>
      <c r="R4909" s="34"/>
    </row>
    <row r="4910" spans="13:18">
      <c r="M4910" s="34"/>
      <c r="N4910" s="34"/>
      <c r="O4910" s="34"/>
      <c r="P4910" s="34"/>
      <c r="Q4910" s="34"/>
      <c r="R4910" s="34"/>
    </row>
    <row r="4911" spans="13:18">
      <c r="M4911" s="34"/>
      <c r="N4911" s="34"/>
      <c r="O4911" s="34"/>
      <c r="P4911" s="34"/>
      <c r="Q4911" s="34"/>
      <c r="R4911" s="34"/>
    </row>
    <row r="4912" spans="13:18">
      <c r="M4912" s="34"/>
      <c r="N4912" s="34"/>
      <c r="O4912" s="34"/>
      <c r="P4912" s="34"/>
      <c r="Q4912" s="34"/>
      <c r="R4912" s="34"/>
    </row>
    <row r="4913" spans="13:18">
      <c r="M4913" s="34"/>
      <c r="N4913" s="34"/>
      <c r="O4913" s="34"/>
      <c r="P4913" s="34"/>
      <c r="Q4913" s="34"/>
      <c r="R4913" s="34"/>
    </row>
    <row r="4914" spans="13:18">
      <c r="M4914" s="34"/>
      <c r="N4914" s="34"/>
      <c r="O4914" s="34"/>
      <c r="P4914" s="34"/>
      <c r="Q4914" s="34"/>
      <c r="R4914" s="34"/>
    </row>
    <row r="4915" spans="13:18">
      <c r="M4915" s="34"/>
      <c r="N4915" s="34"/>
      <c r="O4915" s="34"/>
      <c r="P4915" s="34"/>
      <c r="Q4915" s="34"/>
      <c r="R4915" s="34"/>
    </row>
    <row r="4916" spans="13:18">
      <c r="M4916" s="34"/>
      <c r="N4916" s="34"/>
      <c r="O4916" s="34"/>
      <c r="P4916" s="34"/>
      <c r="Q4916" s="34"/>
      <c r="R4916" s="34"/>
    </row>
    <row r="4917" spans="13:18">
      <c r="M4917" s="34"/>
      <c r="N4917" s="34"/>
      <c r="O4917" s="34"/>
      <c r="P4917" s="34"/>
      <c r="Q4917" s="34"/>
      <c r="R4917" s="34"/>
    </row>
    <row r="4918" spans="13:18">
      <c r="M4918" s="34"/>
      <c r="N4918" s="34"/>
      <c r="O4918" s="34"/>
      <c r="P4918" s="34"/>
      <c r="Q4918" s="34"/>
      <c r="R4918" s="34"/>
    </row>
    <row r="4919" spans="13:18">
      <c r="M4919" s="34"/>
      <c r="N4919" s="34"/>
      <c r="O4919" s="34"/>
      <c r="P4919" s="34"/>
      <c r="Q4919" s="34"/>
      <c r="R4919" s="34"/>
    </row>
    <row r="4920" spans="13:18">
      <c r="M4920" s="34"/>
      <c r="N4920" s="34"/>
      <c r="O4920" s="34"/>
      <c r="P4920" s="34"/>
      <c r="Q4920" s="34"/>
      <c r="R4920" s="34"/>
    </row>
    <row r="4921" spans="13:18">
      <c r="M4921" s="34"/>
      <c r="N4921" s="34"/>
      <c r="O4921" s="34"/>
      <c r="P4921" s="34"/>
      <c r="Q4921" s="34"/>
      <c r="R4921" s="34"/>
    </row>
    <row r="4922" spans="13:18">
      <c r="M4922" s="34"/>
      <c r="N4922" s="34"/>
      <c r="O4922" s="34"/>
      <c r="P4922" s="34"/>
      <c r="Q4922" s="34"/>
      <c r="R4922" s="34"/>
    </row>
    <row r="4923" spans="13:18">
      <c r="M4923" s="34"/>
      <c r="N4923" s="34"/>
      <c r="O4923" s="34"/>
      <c r="P4923" s="34"/>
      <c r="Q4923" s="34"/>
      <c r="R4923" s="34"/>
    </row>
    <row r="4924" spans="13:18">
      <c r="M4924" s="34"/>
      <c r="N4924" s="34"/>
      <c r="O4924" s="34"/>
      <c r="P4924" s="34"/>
      <c r="Q4924" s="34"/>
      <c r="R4924" s="34"/>
    </row>
    <row r="4925" spans="13:18">
      <c r="M4925" s="34"/>
      <c r="N4925" s="34"/>
      <c r="O4925" s="34"/>
      <c r="P4925" s="34"/>
      <c r="Q4925" s="34"/>
      <c r="R4925" s="34"/>
    </row>
    <row r="4926" spans="13:18">
      <c r="M4926" s="34"/>
      <c r="N4926" s="34"/>
      <c r="O4926" s="34"/>
      <c r="P4926" s="34"/>
      <c r="Q4926" s="34"/>
      <c r="R4926" s="34"/>
    </row>
    <row r="4927" spans="13:18">
      <c r="M4927" s="34"/>
      <c r="N4927" s="34"/>
      <c r="O4927" s="34"/>
      <c r="P4927" s="34"/>
      <c r="Q4927" s="34"/>
      <c r="R4927" s="34"/>
    </row>
    <row r="4928" spans="13:18">
      <c r="M4928" s="34"/>
      <c r="N4928" s="34"/>
      <c r="O4928" s="34"/>
      <c r="P4928" s="34"/>
      <c r="Q4928" s="34"/>
      <c r="R4928" s="34"/>
    </row>
    <row r="4929" spans="13:18">
      <c r="M4929" s="34"/>
      <c r="N4929" s="34"/>
      <c r="O4929" s="34"/>
      <c r="P4929" s="34"/>
      <c r="Q4929" s="34"/>
      <c r="R4929" s="34"/>
    </row>
    <row r="4930" spans="13:18">
      <c r="M4930" s="34"/>
      <c r="N4930" s="34"/>
      <c r="O4930" s="34"/>
      <c r="P4930" s="34"/>
      <c r="Q4930" s="34"/>
      <c r="R4930" s="34"/>
    </row>
    <row r="4931" spans="13:18">
      <c r="M4931" s="34"/>
      <c r="N4931" s="34"/>
      <c r="O4931" s="34"/>
      <c r="P4931" s="34"/>
      <c r="Q4931" s="34"/>
      <c r="R4931" s="34"/>
    </row>
    <row r="4932" spans="13:18">
      <c r="M4932" s="34"/>
      <c r="N4932" s="34"/>
      <c r="O4932" s="34"/>
      <c r="P4932" s="34"/>
      <c r="Q4932" s="34"/>
      <c r="R4932" s="34"/>
    </row>
    <row r="4933" spans="13:18">
      <c r="M4933" s="34"/>
      <c r="N4933" s="34"/>
      <c r="O4933" s="34"/>
      <c r="P4933" s="34"/>
      <c r="Q4933" s="34"/>
      <c r="R4933" s="34"/>
    </row>
    <row r="4934" spans="13:18">
      <c r="M4934" s="34"/>
      <c r="N4934" s="34"/>
      <c r="O4934" s="34"/>
      <c r="P4934" s="34"/>
      <c r="Q4934" s="34"/>
      <c r="R4934" s="34"/>
    </row>
    <row r="4935" spans="13:18">
      <c r="M4935" s="34"/>
      <c r="N4935" s="34"/>
      <c r="O4935" s="34"/>
      <c r="P4935" s="34"/>
      <c r="Q4935" s="34"/>
      <c r="R4935" s="34"/>
    </row>
    <row r="4936" spans="13:18">
      <c r="M4936" s="34"/>
      <c r="N4936" s="34"/>
      <c r="O4936" s="34"/>
      <c r="P4936" s="34"/>
      <c r="Q4936" s="34"/>
      <c r="R4936" s="34"/>
    </row>
    <row r="4937" spans="13:18">
      <c r="M4937" s="34"/>
      <c r="N4937" s="34"/>
      <c r="O4937" s="34"/>
      <c r="P4937" s="34"/>
      <c r="Q4937" s="34"/>
      <c r="R4937" s="34"/>
    </row>
    <row r="4938" spans="13:18">
      <c r="M4938" s="34"/>
      <c r="N4938" s="34"/>
      <c r="O4938" s="34"/>
      <c r="P4938" s="34"/>
      <c r="Q4938" s="34"/>
      <c r="R4938" s="34"/>
    </row>
    <row r="4939" spans="13:18">
      <c r="M4939" s="34"/>
      <c r="N4939" s="34"/>
      <c r="O4939" s="34"/>
      <c r="P4939" s="34"/>
      <c r="Q4939" s="34"/>
      <c r="R4939" s="34"/>
    </row>
    <row r="4940" spans="13:18">
      <c r="M4940" s="34"/>
      <c r="N4940" s="34"/>
      <c r="O4940" s="34"/>
      <c r="P4940" s="34"/>
      <c r="Q4940" s="34"/>
      <c r="R4940" s="34"/>
    </row>
    <row r="4941" spans="13:18">
      <c r="M4941" s="34"/>
      <c r="N4941" s="34"/>
      <c r="O4941" s="34"/>
      <c r="P4941" s="34"/>
      <c r="Q4941" s="34"/>
      <c r="R4941" s="34"/>
    </row>
    <row r="4942" spans="13:18">
      <c r="M4942" s="34"/>
      <c r="N4942" s="34"/>
      <c r="O4942" s="34"/>
      <c r="P4942" s="34"/>
      <c r="Q4942" s="34"/>
      <c r="R4942" s="34"/>
    </row>
    <row r="4943" spans="13:18">
      <c r="M4943" s="34"/>
      <c r="N4943" s="34"/>
      <c r="O4943" s="34"/>
      <c r="P4943" s="34"/>
      <c r="Q4943" s="34"/>
      <c r="R4943" s="34"/>
    </row>
    <row r="4944" spans="13:18">
      <c r="M4944" s="34"/>
      <c r="N4944" s="34"/>
      <c r="O4944" s="34"/>
      <c r="P4944" s="34"/>
      <c r="Q4944" s="34"/>
      <c r="R4944" s="34"/>
    </row>
    <row r="4945" spans="13:18">
      <c r="M4945" s="34"/>
      <c r="N4945" s="34"/>
      <c r="O4945" s="34"/>
      <c r="P4945" s="34"/>
      <c r="Q4945" s="34"/>
      <c r="R4945" s="34"/>
    </row>
    <row r="4946" spans="13:18">
      <c r="M4946" s="34"/>
      <c r="N4946" s="34"/>
      <c r="O4946" s="34"/>
      <c r="P4946" s="34"/>
      <c r="Q4946" s="34"/>
      <c r="R4946" s="34"/>
    </row>
    <row r="4947" spans="13:18">
      <c r="M4947" s="34"/>
      <c r="N4947" s="34"/>
      <c r="O4947" s="34"/>
      <c r="P4947" s="34"/>
      <c r="Q4947" s="34"/>
      <c r="R4947" s="34"/>
    </row>
    <row r="4948" spans="13:18">
      <c r="M4948" s="34"/>
      <c r="N4948" s="34"/>
      <c r="O4948" s="34"/>
      <c r="P4948" s="34"/>
      <c r="Q4948" s="34"/>
      <c r="R4948" s="34"/>
    </row>
    <row r="4949" spans="13:18">
      <c r="M4949" s="34"/>
      <c r="N4949" s="34"/>
      <c r="O4949" s="34"/>
      <c r="P4949" s="34"/>
      <c r="Q4949" s="34"/>
      <c r="R4949" s="34"/>
    </row>
    <row r="4950" spans="13:18">
      <c r="M4950" s="34"/>
      <c r="N4950" s="34"/>
      <c r="O4950" s="34"/>
      <c r="P4950" s="34"/>
      <c r="Q4950" s="34"/>
      <c r="R4950" s="34"/>
    </row>
    <row r="4951" spans="13:18">
      <c r="M4951" s="34"/>
      <c r="N4951" s="34"/>
      <c r="O4951" s="34"/>
      <c r="P4951" s="34"/>
      <c r="Q4951" s="34"/>
      <c r="R4951" s="34"/>
    </row>
    <row r="4952" spans="13:18">
      <c r="M4952" s="34"/>
      <c r="N4952" s="34"/>
      <c r="O4952" s="34"/>
      <c r="P4952" s="34"/>
      <c r="Q4952" s="34"/>
      <c r="R4952" s="34"/>
    </row>
    <row r="4953" spans="13:18">
      <c r="M4953" s="34"/>
      <c r="N4953" s="34"/>
      <c r="O4953" s="34"/>
      <c r="P4953" s="34"/>
      <c r="Q4953" s="34"/>
      <c r="R4953" s="34"/>
    </row>
    <row r="4954" spans="13:18">
      <c r="M4954" s="34"/>
      <c r="N4954" s="34"/>
      <c r="O4954" s="34"/>
      <c r="P4954" s="34"/>
      <c r="Q4954" s="34"/>
      <c r="R4954" s="34"/>
    </row>
    <row r="4955" spans="13:18">
      <c r="M4955" s="34"/>
      <c r="N4955" s="34"/>
      <c r="O4955" s="34"/>
      <c r="P4955" s="34"/>
      <c r="Q4955" s="34"/>
      <c r="R4955" s="34"/>
    </row>
    <row r="4956" spans="13:18">
      <c r="M4956" s="34"/>
      <c r="N4956" s="34"/>
      <c r="O4956" s="34"/>
      <c r="P4956" s="34"/>
      <c r="Q4956" s="34"/>
      <c r="R4956" s="34"/>
    </row>
    <row r="4957" spans="13:18">
      <c r="M4957" s="34"/>
      <c r="N4957" s="34"/>
      <c r="O4957" s="34"/>
      <c r="P4957" s="34"/>
      <c r="Q4957" s="34"/>
      <c r="R4957" s="34"/>
    </row>
    <row r="4958" spans="13:18">
      <c r="M4958" s="34"/>
      <c r="N4958" s="34"/>
      <c r="O4958" s="34"/>
      <c r="P4958" s="34"/>
      <c r="Q4958" s="34"/>
      <c r="R4958" s="34"/>
    </row>
    <row r="4959" spans="13:18">
      <c r="M4959" s="34"/>
      <c r="N4959" s="34"/>
      <c r="O4959" s="34"/>
      <c r="P4959" s="34"/>
      <c r="Q4959" s="34"/>
      <c r="R4959" s="34"/>
    </row>
    <row r="4960" spans="13:18">
      <c r="M4960" s="34"/>
      <c r="N4960" s="34"/>
      <c r="O4960" s="34"/>
      <c r="P4960" s="34"/>
      <c r="Q4960" s="34"/>
      <c r="R4960" s="34"/>
    </row>
    <row r="4961" spans="13:18">
      <c r="M4961" s="34"/>
      <c r="N4961" s="34"/>
      <c r="O4961" s="34"/>
      <c r="P4961" s="34"/>
      <c r="Q4961" s="34"/>
      <c r="R4961" s="34"/>
    </row>
    <row r="4962" spans="13:18">
      <c r="M4962" s="34"/>
      <c r="N4962" s="34"/>
      <c r="O4962" s="34"/>
      <c r="P4962" s="34"/>
      <c r="Q4962" s="34"/>
      <c r="R4962" s="34"/>
    </row>
    <row r="4963" spans="13:18">
      <c r="M4963" s="34"/>
      <c r="N4963" s="34"/>
      <c r="O4963" s="34"/>
      <c r="P4963" s="34"/>
      <c r="Q4963" s="34"/>
      <c r="R4963" s="34"/>
    </row>
    <row r="4964" spans="13:18">
      <c r="M4964" s="34"/>
      <c r="N4964" s="34"/>
      <c r="O4964" s="34"/>
      <c r="P4964" s="34"/>
      <c r="Q4964" s="34"/>
      <c r="R4964" s="34"/>
    </row>
    <row r="4965" spans="13:18">
      <c r="M4965" s="34"/>
      <c r="N4965" s="34"/>
      <c r="O4965" s="34"/>
      <c r="P4965" s="34"/>
      <c r="Q4965" s="34"/>
      <c r="R4965" s="34"/>
    </row>
    <row r="4966" spans="13:18">
      <c r="M4966" s="34"/>
      <c r="N4966" s="34"/>
      <c r="O4966" s="34"/>
      <c r="P4966" s="34"/>
      <c r="Q4966" s="34"/>
      <c r="R4966" s="34"/>
    </row>
    <row r="4967" spans="13:18">
      <c r="M4967" s="34"/>
      <c r="N4967" s="34"/>
      <c r="O4967" s="34"/>
      <c r="P4967" s="34"/>
      <c r="Q4967" s="34"/>
      <c r="R4967" s="34"/>
    </row>
    <row r="4968" spans="13:18">
      <c r="M4968" s="34"/>
      <c r="N4968" s="34"/>
      <c r="O4968" s="34"/>
      <c r="P4968" s="34"/>
      <c r="Q4968" s="34"/>
      <c r="R4968" s="34"/>
    </row>
    <row r="4969" spans="13:18">
      <c r="M4969" s="34"/>
      <c r="N4969" s="34"/>
      <c r="O4969" s="34"/>
      <c r="P4969" s="34"/>
      <c r="Q4969" s="34"/>
      <c r="R4969" s="34"/>
    </row>
    <row r="4970" spans="13:18">
      <c r="M4970" s="34"/>
      <c r="N4970" s="34"/>
      <c r="O4970" s="34"/>
      <c r="P4970" s="34"/>
      <c r="Q4970" s="34"/>
      <c r="R4970" s="34"/>
    </row>
    <row r="4971" spans="13:18">
      <c r="M4971" s="34"/>
      <c r="N4971" s="34"/>
      <c r="O4971" s="34"/>
      <c r="P4971" s="34"/>
      <c r="Q4971" s="34"/>
      <c r="R4971" s="34"/>
    </row>
    <row r="4972" spans="13:18">
      <c r="M4972" s="34"/>
      <c r="N4972" s="34"/>
      <c r="O4972" s="34"/>
      <c r="P4972" s="34"/>
      <c r="Q4972" s="34"/>
      <c r="R4972" s="34"/>
    </row>
    <row r="4973" spans="13:18">
      <c r="M4973" s="34"/>
      <c r="N4973" s="34"/>
      <c r="O4973" s="34"/>
      <c r="P4973" s="34"/>
      <c r="Q4973" s="34"/>
      <c r="R4973" s="34"/>
    </row>
    <row r="4974" spans="13:18">
      <c r="M4974" s="34"/>
      <c r="N4974" s="34"/>
      <c r="O4974" s="34"/>
      <c r="P4974" s="34"/>
      <c r="Q4974" s="34"/>
      <c r="R4974" s="34"/>
    </row>
    <row r="4975" spans="13:18">
      <c r="M4975" s="34"/>
      <c r="N4975" s="34"/>
      <c r="O4975" s="34"/>
      <c r="P4975" s="34"/>
      <c r="Q4975" s="34"/>
      <c r="R4975" s="34"/>
    </row>
    <row r="4976" spans="13:18">
      <c r="M4976" s="34"/>
      <c r="N4976" s="34"/>
      <c r="O4976" s="34"/>
      <c r="P4976" s="34"/>
      <c r="Q4976" s="34"/>
      <c r="R4976" s="34"/>
    </row>
    <row r="4977" spans="13:18">
      <c r="M4977" s="34"/>
      <c r="N4977" s="34"/>
      <c r="O4977" s="34"/>
      <c r="P4977" s="34"/>
      <c r="Q4977" s="34"/>
      <c r="R4977" s="34"/>
    </row>
    <row r="4978" spans="13:18">
      <c r="M4978" s="34"/>
      <c r="N4978" s="34"/>
      <c r="O4978" s="34"/>
      <c r="P4978" s="34"/>
      <c r="Q4978" s="34"/>
      <c r="R4978" s="34"/>
    </row>
    <row r="4979" spans="13:18">
      <c r="M4979" s="34"/>
      <c r="N4979" s="34"/>
      <c r="O4979" s="34"/>
      <c r="P4979" s="34"/>
      <c r="Q4979" s="34"/>
      <c r="R4979" s="34"/>
    </row>
    <row r="4980" spans="13:18">
      <c r="M4980" s="34"/>
      <c r="N4980" s="34"/>
      <c r="O4980" s="34"/>
      <c r="P4980" s="34"/>
      <c r="Q4980" s="34"/>
      <c r="R4980" s="34"/>
    </row>
    <row r="4981" spans="13:18">
      <c r="M4981" s="34"/>
      <c r="N4981" s="34"/>
      <c r="O4981" s="34"/>
      <c r="P4981" s="34"/>
      <c r="Q4981" s="34"/>
      <c r="R4981" s="34"/>
    </row>
    <row r="4982" spans="13:18">
      <c r="M4982" s="34"/>
      <c r="N4982" s="34"/>
      <c r="O4982" s="34"/>
      <c r="P4982" s="34"/>
      <c r="Q4982" s="34"/>
      <c r="R4982" s="34"/>
    </row>
    <row r="4983" spans="13:18">
      <c r="M4983" s="34"/>
      <c r="N4983" s="34"/>
      <c r="O4983" s="34"/>
      <c r="P4983" s="34"/>
      <c r="Q4983" s="34"/>
      <c r="R4983" s="34"/>
    </row>
    <row r="4984" spans="13:18">
      <c r="M4984" s="34"/>
      <c r="N4984" s="34"/>
      <c r="O4984" s="34"/>
      <c r="P4984" s="34"/>
      <c r="Q4984" s="34"/>
      <c r="R4984" s="34"/>
    </row>
    <row r="4985" spans="13:18">
      <c r="M4985" s="34"/>
      <c r="N4985" s="34"/>
      <c r="O4985" s="34"/>
      <c r="P4985" s="34"/>
      <c r="Q4985" s="34"/>
      <c r="R4985" s="34"/>
    </row>
    <row r="4986" spans="13:18">
      <c r="M4986" s="34"/>
      <c r="N4986" s="34"/>
      <c r="O4986" s="34"/>
      <c r="P4986" s="34"/>
      <c r="Q4986" s="34"/>
      <c r="R4986" s="34"/>
    </row>
    <row r="4987" spans="13:18">
      <c r="M4987" s="34"/>
      <c r="N4987" s="34"/>
      <c r="O4987" s="34"/>
      <c r="P4987" s="34"/>
      <c r="Q4987" s="34"/>
      <c r="R4987" s="34"/>
    </row>
    <row r="4988" spans="13:18">
      <c r="M4988" s="34"/>
      <c r="N4988" s="34"/>
      <c r="O4988" s="34"/>
      <c r="P4988" s="34"/>
      <c r="Q4988" s="34"/>
      <c r="R4988" s="34"/>
    </row>
    <row r="4989" spans="13:18">
      <c r="M4989" s="34"/>
      <c r="N4989" s="34"/>
      <c r="O4989" s="34"/>
      <c r="P4989" s="34"/>
      <c r="Q4989" s="34"/>
      <c r="R4989" s="34"/>
    </row>
    <row r="4990" spans="13:18">
      <c r="M4990" s="34"/>
      <c r="N4990" s="34"/>
      <c r="O4990" s="34"/>
      <c r="P4990" s="34"/>
      <c r="Q4990" s="34"/>
      <c r="R4990" s="34"/>
    </row>
    <row r="4991" spans="13:18">
      <c r="M4991" s="34"/>
      <c r="N4991" s="34"/>
      <c r="O4991" s="34"/>
      <c r="P4991" s="34"/>
      <c r="Q4991" s="34"/>
      <c r="R4991" s="34"/>
    </row>
    <row r="4992" spans="13:18">
      <c r="M4992" s="34"/>
      <c r="N4992" s="34"/>
      <c r="O4992" s="34"/>
      <c r="P4992" s="34"/>
      <c r="Q4992" s="34"/>
      <c r="R4992" s="34"/>
    </row>
    <row r="4993" spans="13:18">
      <c r="M4993" s="34"/>
      <c r="N4993" s="34"/>
      <c r="O4993" s="34"/>
      <c r="P4993" s="34"/>
      <c r="Q4993" s="34"/>
      <c r="R4993" s="34"/>
    </row>
    <row r="4994" spans="13:18">
      <c r="M4994" s="34"/>
      <c r="N4994" s="34"/>
      <c r="O4994" s="34"/>
      <c r="P4994" s="34"/>
      <c r="Q4994" s="34"/>
      <c r="R4994" s="34"/>
    </row>
    <row r="4995" spans="13:18">
      <c r="M4995" s="34"/>
      <c r="N4995" s="34"/>
      <c r="O4995" s="34"/>
      <c r="P4995" s="34"/>
      <c r="Q4995" s="34"/>
      <c r="R4995" s="34"/>
    </row>
    <row r="4996" spans="13:18">
      <c r="M4996" s="34"/>
      <c r="N4996" s="34"/>
      <c r="O4996" s="34"/>
      <c r="P4996" s="34"/>
      <c r="Q4996" s="34"/>
      <c r="R4996" s="34"/>
    </row>
    <row r="4997" spans="13:18">
      <c r="M4997" s="34"/>
      <c r="N4997" s="34"/>
      <c r="O4997" s="34"/>
      <c r="P4997" s="34"/>
      <c r="Q4997" s="34"/>
      <c r="R4997" s="34"/>
    </row>
    <row r="4998" spans="13:18">
      <c r="M4998" s="34"/>
      <c r="N4998" s="34"/>
      <c r="O4998" s="34"/>
      <c r="P4998" s="34"/>
      <c r="Q4998" s="34"/>
      <c r="R4998" s="34"/>
    </row>
    <row r="4999" spans="13:18">
      <c r="M4999" s="34"/>
      <c r="N4999" s="34"/>
      <c r="O4999" s="34"/>
      <c r="P4999" s="34"/>
      <c r="Q4999" s="34"/>
      <c r="R4999" s="34"/>
    </row>
    <row r="5000" spans="13:18">
      <c r="M5000" s="34"/>
      <c r="N5000" s="34"/>
      <c r="O5000" s="34"/>
      <c r="P5000" s="34"/>
      <c r="Q5000" s="34"/>
      <c r="R5000" s="34"/>
    </row>
    <row r="5001" spans="13:18">
      <c r="M5001" s="34"/>
      <c r="N5001" s="34"/>
      <c r="O5001" s="34"/>
      <c r="P5001" s="34"/>
      <c r="Q5001" s="34"/>
      <c r="R5001" s="34"/>
    </row>
    <row r="5002" spans="13:18">
      <c r="M5002" s="34"/>
      <c r="N5002" s="34"/>
      <c r="O5002" s="34"/>
      <c r="P5002" s="34"/>
      <c r="Q5002" s="34"/>
      <c r="R5002" s="34"/>
    </row>
    <row r="5003" spans="13:18">
      <c r="M5003" s="34"/>
      <c r="N5003" s="34"/>
      <c r="O5003" s="34"/>
      <c r="P5003" s="34"/>
      <c r="Q5003" s="34"/>
      <c r="R5003" s="34"/>
    </row>
    <row r="5004" spans="13:18">
      <c r="M5004" s="34"/>
      <c r="N5004" s="34"/>
      <c r="O5004" s="34"/>
      <c r="P5004" s="34"/>
      <c r="Q5004" s="34"/>
      <c r="R5004" s="34"/>
    </row>
    <row r="5005" spans="13:18">
      <c r="M5005" s="34"/>
      <c r="N5005" s="34"/>
      <c r="O5005" s="34"/>
      <c r="P5005" s="34"/>
      <c r="Q5005" s="34"/>
      <c r="R5005" s="34"/>
    </row>
    <row r="5006" spans="13:18">
      <c r="M5006" s="34"/>
      <c r="N5006" s="34"/>
      <c r="O5006" s="34"/>
      <c r="P5006" s="34"/>
      <c r="Q5006" s="34"/>
      <c r="R5006" s="34"/>
    </row>
    <row r="5007" spans="13:18">
      <c r="M5007" s="34"/>
      <c r="N5007" s="34"/>
      <c r="O5007" s="34"/>
      <c r="P5007" s="34"/>
      <c r="Q5007" s="34"/>
      <c r="R5007" s="34"/>
    </row>
    <row r="5008" spans="13:18">
      <c r="M5008" s="34"/>
      <c r="N5008" s="34"/>
      <c r="O5008" s="34"/>
      <c r="P5008" s="34"/>
      <c r="Q5008" s="34"/>
      <c r="R5008" s="34"/>
    </row>
    <row r="5009" spans="13:18">
      <c r="M5009" s="34"/>
      <c r="N5009" s="34"/>
      <c r="O5009" s="34"/>
      <c r="P5009" s="34"/>
      <c r="Q5009" s="34"/>
      <c r="R5009" s="34"/>
    </row>
    <row r="5010" spans="13:18">
      <c r="M5010" s="34"/>
      <c r="N5010" s="34"/>
      <c r="O5010" s="34"/>
      <c r="P5010" s="34"/>
      <c r="Q5010" s="34"/>
      <c r="R5010" s="34"/>
    </row>
    <row r="5011" spans="13:18">
      <c r="M5011" s="34"/>
      <c r="N5011" s="34"/>
      <c r="O5011" s="34"/>
      <c r="P5011" s="34"/>
      <c r="Q5011" s="34"/>
      <c r="R5011" s="34"/>
    </row>
    <row r="5012" spans="13:18">
      <c r="M5012" s="34"/>
      <c r="N5012" s="34"/>
      <c r="O5012" s="34"/>
      <c r="P5012" s="34"/>
      <c r="Q5012" s="34"/>
      <c r="R5012" s="34"/>
    </row>
    <row r="5013" spans="13:18">
      <c r="M5013" s="34"/>
      <c r="N5013" s="34"/>
      <c r="O5013" s="34"/>
      <c r="P5013" s="34"/>
      <c r="Q5013" s="34"/>
      <c r="R5013" s="34"/>
    </row>
    <row r="5014" spans="13:18">
      <c r="M5014" s="34"/>
      <c r="N5014" s="34"/>
      <c r="O5014" s="34"/>
      <c r="P5014" s="34"/>
      <c r="Q5014" s="34"/>
      <c r="R5014" s="34"/>
    </row>
    <row r="5015" spans="13:18">
      <c r="M5015" s="34"/>
      <c r="N5015" s="34"/>
      <c r="O5015" s="34"/>
      <c r="P5015" s="34"/>
      <c r="Q5015" s="34"/>
      <c r="R5015" s="34"/>
    </row>
    <row r="5016" spans="13:18">
      <c r="M5016" s="34"/>
      <c r="N5016" s="34"/>
      <c r="O5016" s="34"/>
      <c r="P5016" s="34"/>
      <c r="Q5016" s="34"/>
      <c r="R5016" s="34"/>
    </row>
    <row r="5017" spans="13:18">
      <c r="M5017" s="34"/>
      <c r="N5017" s="34"/>
      <c r="O5017" s="34"/>
      <c r="P5017" s="34"/>
      <c r="Q5017" s="34"/>
      <c r="R5017" s="34"/>
    </row>
    <row r="5018" spans="13:18">
      <c r="M5018" s="34"/>
      <c r="N5018" s="34"/>
      <c r="O5018" s="34"/>
      <c r="P5018" s="34"/>
      <c r="Q5018" s="34"/>
      <c r="R5018" s="34"/>
    </row>
    <row r="5019" spans="13:18">
      <c r="M5019" s="34"/>
      <c r="N5019" s="34"/>
      <c r="O5019" s="34"/>
      <c r="P5019" s="34"/>
      <c r="Q5019" s="34"/>
      <c r="R5019" s="34"/>
    </row>
    <row r="5020" spans="13:18">
      <c r="M5020" s="34"/>
      <c r="N5020" s="34"/>
      <c r="O5020" s="34"/>
      <c r="P5020" s="34"/>
      <c r="Q5020" s="34"/>
      <c r="R5020" s="34"/>
    </row>
    <row r="5021" spans="13:18">
      <c r="M5021" s="34"/>
      <c r="N5021" s="34"/>
      <c r="O5021" s="34"/>
      <c r="P5021" s="34"/>
      <c r="Q5021" s="34"/>
      <c r="R5021" s="34"/>
    </row>
    <row r="5022" spans="13:18">
      <c r="M5022" s="34"/>
      <c r="N5022" s="34"/>
      <c r="O5022" s="34"/>
      <c r="P5022" s="34"/>
      <c r="Q5022" s="34"/>
      <c r="R5022" s="34"/>
    </row>
    <row r="5023" spans="13:18">
      <c r="M5023" s="34"/>
      <c r="N5023" s="34"/>
      <c r="O5023" s="34"/>
      <c r="P5023" s="34"/>
      <c r="Q5023" s="34"/>
      <c r="R5023" s="34"/>
    </row>
    <row r="5024" spans="13:18">
      <c r="M5024" s="34"/>
      <c r="N5024" s="34"/>
      <c r="O5024" s="34"/>
      <c r="P5024" s="34"/>
      <c r="Q5024" s="34"/>
      <c r="R5024" s="34"/>
    </row>
    <row r="5025" spans="13:18">
      <c r="M5025" s="34"/>
      <c r="N5025" s="34"/>
      <c r="O5025" s="34"/>
      <c r="P5025" s="34"/>
      <c r="Q5025" s="34"/>
      <c r="R5025" s="34"/>
    </row>
    <row r="5026" spans="13:18">
      <c r="M5026" s="34"/>
      <c r="N5026" s="34"/>
      <c r="O5026" s="34"/>
      <c r="P5026" s="34"/>
      <c r="Q5026" s="34"/>
      <c r="R5026" s="34"/>
    </row>
    <row r="5027" spans="13:18">
      <c r="M5027" s="34"/>
      <c r="N5027" s="34"/>
      <c r="O5027" s="34"/>
      <c r="P5027" s="34"/>
      <c r="Q5027" s="34"/>
      <c r="R5027" s="34"/>
    </row>
    <row r="5028" spans="13:18">
      <c r="M5028" s="34"/>
      <c r="N5028" s="34"/>
      <c r="O5028" s="34"/>
      <c r="P5028" s="34"/>
      <c r="Q5028" s="34"/>
      <c r="R5028" s="34"/>
    </row>
    <row r="5029" spans="13:18">
      <c r="M5029" s="34"/>
      <c r="N5029" s="34"/>
      <c r="O5029" s="34"/>
      <c r="P5029" s="34"/>
      <c r="Q5029" s="34"/>
      <c r="R5029" s="34"/>
    </row>
    <row r="5030" spans="13:18">
      <c r="M5030" s="34"/>
      <c r="N5030" s="34"/>
      <c r="O5030" s="34"/>
      <c r="P5030" s="34"/>
      <c r="Q5030" s="34"/>
      <c r="R5030" s="34"/>
    </row>
    <row r="5031" spans="13:18">
      <c r="M5031" s="34"/>
      <c r="N5031" s="34"/>
      <c r="O5031" s="34"/>
      <c r="P5031" s="34"/>
      <c r="Q5031" s="34"/>
      <c r="R5031" s="34"/>
    </row>
    <row r="5032" spans="13:18">
      <c r="M5032" s="34"/>
      <c r="N5032" s="34"/>
      <c r="O5032" s="34"/>
      <c r="P5032" s="34"/>
      <c r="Q5032" s="34"/>
      <c r="R5032" s="34"/>
    </row>
    <row r="5033" spans="13:18">
      <c r="M5033" s="34"/>
      <c r="N5033" s="34"/>
      <c r="O5033" s="34"/>
      <c r="P5033" s="34"/>
      <c r="Q5033" s="34"/>
      <c r="R5033" s="34"/>
    </row>
    <row r="5034" spans="13:18">
      <c r="M5034" s="34"/>
      <c r="N5034" s="34"/>
      <c r="O5034" s="34"/>
      <c r="P5034" s="34"/>
      <c r="Q5034" s="34"/>
      <c r="R5034" s="34"/>
    </row>
    <row r="5035" spans="13:18">
      <c r="M5035" s="34"/>
      <c r="N5035" s="34"/>
      <c r="O5035" s="34"/>
      <c r="P5035" s="34"/>
      <c r="Q5035" s="34"/>
      <c r="R5035" s="34"/>
    </row>
    <row r="5036" spans="13:18">
      <c r="M5036" s="34"/>
      <c r="N5036" s="34"/>
      <c r="O5036" s="34"/>
      <c r="P5036" s="34"/>
      <c r="Q5036" s="34"/>
      <c r="R5036" s="34"/>
    </row>
    <row r="5037" spans="13:18">
      <c r="M5037" s="34"/>
      <c r="N5037" s="34"/>
      <c r="O5037" s="34"/>
      <c r="P5037" s="34"/>
      <c r="Q5037" s="34"/>
      <c r="R5037" s="34"/>
    </row>
    <row r="5038" spans="13:18">
      <c r="M5038" s="34"/>
      <c r="N5038" s="34"/>
      <c r="O5038" s="34"/>
      <c r="P5038" s="34"/>
      <c r="Q5038" s="34"/>
      <c r="R5038" s="34"/>
    </row>
    <row r="5039" spans="13:18">
      <c r="M5039" s="34"/>
      <c r="N5039" s="34"/>
      <c r="O5039" s="34"/>
      <c r="P5039" s="34"/>
      <c r="Q5039" s="34"/>
      <c r="R5039" s="34"/>
    </row>
    <row r="5040" spans="13:18">
      <c r="M5040" s="34"/>
      <c r="N5040" s="34"/>
      <c r="O5040" s="34"/>
      <c r="P5040" s="34"/>
      <c r="Q5040" s="34"/>
      <c r="R5040" s="34"/>
    </row>
    <row r="5041" spans="13:18">
      <c r="M5041" s="34"/>
      <c r="N5041" s="34"/>
      <c r="O5041" s="34"/>
      <c r="P5041" s="34"/>
      <c r="Q5041" s="34"/>
      <c r="R5041" s="34"/>
    </row>
    <row r="5042" spans="13:18">
      <c r="M5042" s="34"/>
      <c r="N5042" s="34"/>
      <c r="O5042" s="34"/>
      <c r="P5042" s="34"/>
      <c r="Q5042" s="34"/>
      <c r="R5042" s="34"/>
    </row>
    <row r="5043" spans="13:18">
      <c r="M5043" s="34"/>
      <c r="N5043" s="34"/>
      <c r="O5043" s="34"/>
      <c r="P5043" s="34"/>
      <c r="Q5043" s="34"/>
      <c r="R5043" s="34"/>
    </row>
    <row r="5044" spans="13:18">
      <c r="M5044" s="34"/>
      <c r="N5044" s="34"/>
      <c r="O5044" s="34"/>
      <c r="P5044" s="34"/>
      <c r="Q5044" s="34"/>
      <c r="R5044" s="34"/>
    </row>
    <row r="5045" spans="13:18">
      <c r="M5045" s="34"/>
      <c r="N5045" s="34"/>
      <c r="O5045" s="34"/>
      <c r="P5045" s="34"/>
      <c r="Q5045" s="34"/>
      <c r="R5045" s="34"/>
    </row>
    <row r="5046" spans="13:18">
      <c r="M5046" s="34"/>
      <c r="N5046" s="34"/>
      <c r="O5046" s="34"/>
      <c r="P5046" s="34"/>
      <c r="Q5046" s="34"/>
      <c r="R5046" s="34"/>
    </row>
    <row r="5047" spans="13:18">
      <c r="M5047" s="34"/>
      <c r="N5047" s="34"/>
      <c r="O5047" s="34"/>
      <c r="P5047" s="34"/>
      <c r="Q5047" s="34"/>
      <c r="R5047" s="34"/>
    </row>
    <row r="5048" spans="13:18">
      <c r="M5048" s="34"/>
      <c r="N5048" s="34"/>
      <c r="O5048" s="34"/>
      <c r="P5048" s="34"/>
      <c r="Q5048" s="34"/>
      <c r="R5048" s="34"/>
    </row>
    <row r="5049" spans="13:18">
      <c r="M5049" s="34"/>
      <c r="N5049" s="34"/>
      <c r="O5049" s="34"/>
      <c r="P5049" s="34"/>
      <c r="Q5049" s="34"/>
      <c r="R5049" s="34"/>
    </row>
    <row r="5050" spans="13:18">
      <c r="M5050" s="34"/>
      <c r="N5050" s="34"/>
      <c r="O5050" s="34"/>
      <c r="P5050" s="34"/>
      <c r="Q5050" s="34"/>
      <c r="R5050" s="34"/>
    </row>
    <row r="5051" spans="13:18">
      <c r="M5051" s="34"/>
      <c r="N5051" s="34"/>
      <c r="O5051" s="34"/>
      <c r="P5051" s="34"/>
      <c r="Q5051" s="34"/>
      <c r="R5051" s="34"/>
    </row>
    <row r="5052" spans="13:18">
      <c r="M5052" s="34"/>
      <c r="N5052" s="34"/>
      <c r="O5052" s="34"/>
      <c r="P5052" s="34"/>
      <c r="Q5052" s="34"/>
      <c r="R5052" s="34"/>
    </row>
    <row r="5053" spans="13:18">
      <c r="M5053" s="34"/>
      <c r="N5053" s="34"/>
      <c r="O5053" s="34"/>
      <c r="P5053" s="34"/>
      <c r="Q5053" s="34"/>
      <c r="R5053" s="34"/>
    </row>
    <row r="5054" spans="13:18">
      <c r="M5054" s="34"/>
      <c r="N5054" s="34"/>
      <c r="O5054" s="34"/>
      <c r="P5054" s="34"/>
      <c r="Q5054" s="34"/>
      <c r="R5054" s="34"/>
    </row>
    <row r="5055" spans="13:18">
      <c r="M5055" s="34"/>
      <c r="N5055" s="34"/>
      <c r="O5055" s="34"/>
      <c r="P5055" s="34"/>
      <c r="Q5055" s="34"/>
      <c r="R5055" s="34"/>
    </row>
    <row r="5056" spans="13:18">
      <c r="M5056" s="34"/>
      <c r="N5056" s="34"/>
      <c r="O5056" s="34"/>
      <c r="P5056" s="34"/>
      <c r="Q5056" s="34"/>
      <c r="R5056" s="34"/>
    </row>
    <row r="5057" spans="13:18">
      <c r="M5057" s="34"/>
      <c r="N5057" s="34"/>
      <c r="O5057" s="34"/>
      <c r="P5057" s="34"/>
      <c r="Q5057" s="34"/>
      <c r="R5057" s="34"/>
    </row>
    <row r="5058" spans="13:18">
      <c r="M5058" s="34"/>
      <c r="N5058" s="34"/>
      <c r="O5058" s="34"/>
      <c r="P5058" s="34"/>
      <c r="Q5058" s="34"/>
      <c r="R5058" s="34"/>
    </row>
    <row r="5059" spans="13:18">
      <c r="M5059" s="34"/>
      <c r="N5059" s="34"/>
      <c r="O5059" s="34"/>
      <c r="P5059" s="34"/>
      <c r="Q5059" s="34"/>
      <c r="R5059" s="34"/>
    </row>
    <row r="5060" spans="13:18">
      <c r="M5060" s="34"/>
      <c r="N5060" s="34"/>
      <c r="O5060" s="34"/>
      <c r="P5060" s="34"/>
      <c r="Q5060" s="34"/>
      <c r="R5060" s="34"/>
    </row>
    <row r="5061" spans="13:18">
      <c r="M5061" s="34"/>
      <c r="N5061" s="34"/>
      <c r="O5061" s="34"/>
      <c r="P5061" s="34"/>
      <c r="Q5061" s="34"/>
      <c r="R5061" s="34"/>
    </row>
    <row r="5062" spans="13:18">
      <c r="M5062" s="34"/>
      <c r="N5062" s="34"/>
      <c r="O5062" s="34"/>
      <c r="P5062" s="34"/>
      <c r="Q5062" s="34"/>
      <c r="R5062" s="34"/>
    </row>
    <row r="5063" spans="13:18">
      <c r="M5063" s="34"/>
      <c r="N5063" s="34"/>
      <c r="O5063" s="34"/>
      <c r="P5063" s="34"/>
      <c r="Q5063" s="34"/>
      <c r="R5063" s="34"/>
    </row>
    <row r="5064" spans="13:18">
      <c r="M5064" s="34"/>
      <c r="N5064" s="34"/>
      <c r="O5064" s="34"/>
      <c r="P5064" s="34"/>
      <c r="Q5064" s="34"/>
      <c r="R5064" s="34"/>
    </row>
    <row r="5065" spans="13:18">
      <c r="M5065" s="34"/>
      <c r="N5065" s="34"/>
      <c r="O5065" s="34"/>
      <c r="P5065" s="34"/>
      <c r="Q5065" s="34"/>
      <c r="R5065" s="34"/>
    </row>
    <row r="5066" spans="13:18">
      <c r="M5066" s="34"/>
      <c r="N5066" s="34"/>
      <c r="O5066" s="34"/>
      <c r="P5066" s="34"/>
      <c r="Q5066" s="34"/>
      <c r="R5066" s="34"/>
    </row>
    <row r="5067" spans="13:18">
      <c r="M5067" s="34"/>
      <c r="N5067" s="34"/>
      <c r="O5067" s="34"/>
      <c r="P5067" s="34"/>
      <c r="Q5067" s="34"/>
      <c r="R5067" s="34"/>
    </row>
    <row r="5068" spans="13:18">
      <c r="M5068" s="34"/>
      <c r="N5068" s="34"/>
      <c r="O5068" s="34"/>
      <c r="P5068" s="34"/>
      <c r="Q5068" s="34"/>
      <c r="R5068" s="34"/>
    </row>
    <row r="5069" spans="13:18">
      <c r="M5069" s="34"/>
      <c r="N5069" s="34"/>
      <c r="O5069" s="34"/>
      <c r="P5069" s="34"/>
      <c r="Q5069" s="34"/>
      <c r="R5069" s="34"/>
    </row>
    <row r="5070" spans="13:18">
      <c r="M5070" s="34"/>
      <c r="N5070" s="34"/>
      <c r="O5070" s="34"/>
      <c r="P5070" s="34"/>
      <c r="Q5070" s="34"/>
      <c r="R5070" s="34"/>
    </row>
    <row r="5071" spans="13:18">
      <c r="M5071" s="34"/>
      <c r="N5071" s="34"/>
      <c r="O5071" s="34"/>
      <c r="P5071" s="34"/>
      <c r="Q5071" s="34"/>
      <c r="R5071" s="34"/>
    </row>
    <row r="5072" spans="13:18">
      <c r="M5072" s="34"/>
      <c r="N5072" s="34"/>
      <c r="O5072" s="34"/>
      <c r="P5072" s="34"/>
      <c r="Q5072" s="34"/>
      <c r="R5072" s="34"/>
    </row>
    <row r="5073" spans="13:18">
      <c r="M5073" s="34"/>
      <c r="N5073" s="34"/>
      <c r="O5073" s="34"/>
      <c r="P5073" s="34"/>
      <c r="Q5073" s="34"/>
      <c r="R5073" s="34"/>
    </row>
    <row r="5074" spans="13:18">
      <c r="M5074" s="34"/>
      <c r="N5074" s="34"/>
      <c r="O5074" s="34"/>
      <c r="P5074" s="34"/>
      <c r="Q5074" s="34"/>
      <c r="R5074" s="34"/>
    </row>
    <row r="5075" spans="13:18">
      <c r="M5075" s="34"/>
      <c r="N5075" s="34"/>
      <c r="O5075" s="34"/>
      <c r="P5075" s="34"/>
      <c r="Q5075" s="34"/>
      <c r="R5075" s="34"/>
    </row>
    <row r="5076" spans="13:18">
      <c r="M5076" s="34"/>
      <c r="N5076" s="34"/>
      <c r="O5076" s="34"/>
      <c r="P5076" s="34"/>
      <c r="Q5076" s="34"/>
      <c r="R5076" s="34"/>
    </row>
    <row r="5077" spans="13:18">
      <c r="M5077" s="34"/>
      <c r="N5077" s="34"/>
      <c r="O5077" s="34"/>
      <c r="P5077" s="34"/>
      <c r="Q5077" s="34"/>
      <c r="R5077" s="34"/>
    </row>
    <row r="5078" spans="13:18">
      <c r="M5078" s="34"/>
      <c r="N5078" s="34"/>
      <c r="O5078" s="34"/>
      <c r="P5078" s="34"/>
      <c r="Q5078" s="34"/>
      <c r="R5078" s="34"/>
    </row>
    <row r="5079" spans="13:18">
      <c r="M5079" s="34"/>
      <c r="N5079" s="34"/>
      <c r="O5079" s="34"/>
      <c r="P5079" s="34"/>
      <c r="Q5079" s="34"/>
      <c r="R5079" s="34"/>
    </row>
    <row r="5080" spans="13:18">
      <c r="M5080" s="34"/>
      <c r="N5080" s="34"/>
      <c r="O5080" s="34"/>
      <c r="P5080" s="34"/>
      <c r="Q5080" s="34"/>
      <c r="R5080" s="34"/>
    </row>
    <row r="5081" spans="13:18">
      <c r="M5081" s="34"/>
      <c r="N5081" s="34"/>
      <c r="O5081" s="34"/>
      <c r="P5081" s="34"/>
      <c r="Q5081" s="34"/>
      <c r="R5081" s="34"/>
    </row>
    <row r="5082" spans="13:18">
      <c r="M5082" s="34"/>
      <c r="N5082" s="34"/>
      <c r="O5082" s="34"/>
      <c r="P5082" s="34"/>
      <c r="Q5082" s="34"/>
      <c r="R5082" s="34"/>
    </row>
    <row r="5083" spans="13:18">
      <c r="M5083" s="34"/>
      <c r="N5083" s="34"/>
      <c r="O5083" s="34"/>
      <c r="P5083" s="34"/>
      <c r="Q5083" s="34"/>
      <c r="R5083" s="34"/>
    </row>
    <row r="5084" spans="13:18">
      <c r="M5084" s="34"/>
      <c r="N5084" s="34"/>
      <c r="O5084" s="34"/>
      <c r="P5084" s="34"/>
      <c r="Q5084" s="34"/>
      <c r="R5084" s="34"/>
    </row>
    <row r="5085" spans="13:18">
      <c r="M5085" s="34"/>
      <c r="N5085" s="34"/>
      <c r="O5085" s="34"/>
      <c r="P5085" s="34"/>
      <c r="Q5085" s="34"/>
      <c r="R5085" s="34"/>
    </row>
    <row r="5086" spans="13:18">
      <c r="M5086" s="34"/>
      <c r="N5086" s="34"/>
      <c r="O5086" s="34"/>
      <c r="P5086" s="34"/>
      <c r="Q5086" s="34"/>
      <c r="R5086" s="34"/>
    </row>
    <row r="5087" spans="13:18">
      <c r="M5087" s="34"/>
      <c r="N5087" s="34"/>
      <c r="O5087" s="34"/>
      <c r="P5087" s="34"/>
      <c r="Q5087" s="34"/>
      <c r="R5087" s="34"/>
    </row>
    <row r="5088" spans="13:18">
      <c r="M5088" s="34"/>
      <c r="N5088" s="34"/>
      <c r="O5088" s="34"/>
      <c r="P5088" s="34"/>
      <c r="Q5088" s="34"/>
      <c r="R5088" s="34"/>
    </row>
    <row r="5089" spans="13:18">
      <c r="M5089" s="34"/>
      <c r="N5089" s="34"/>
      <c r="O5089" s="34"/>
      <c r="P5089" s="34"/>
      <c r="Q5089" s="34"/>
      <c r="R5089" s="34"/>
    </row>
    <row r="5090" spans="13:18">
      <c r="M5090" s="34"/>
      <c r="N5090" s="34"/>
      <c r="O5090" s="34"/>
      <c r="P5090" s="34"/>
      <c r="Q5090" s="34"/>
      <c r="R5090" s="34"/>
    </row>
    <row r="5091" spans="13:18">
      <c r="M5091" s="34"/>
      <c r="N5091" s="34"/>
      <c r="O5091" s="34"/>
      <c r="P5091" s="34"/>
      <c r="Q5091" s="34"/>
      <c r="R5091" s="34"/>
    </row>
    <row r="5092" spans="13:18">
      <c r="M5092" s="34"/>
      <c r="N5092" s="34"/>
      <c r="O5092" s="34"/>
      <c r="P5092" s="34"/>
      <c r="Q5092" s="34"/>
      <c r="R5092" s="34"/>
    </row>
    <row r="5093" spans="13:18">
      <c r="M5093" s="34"/>
      <c r="N5093" s="34"/>
      <c r="O5093" s="34"/>
      <c r="P5093" s="34"/>
      <c r="Q5093" s="34"/>
      <c r="R5093" s="34"/>
    </row>
    <row r="5094" spans="13:18">
      <c r="M5094" s="34"/>
      <c r="N5094" s="34"/>
      <c r="O5094" s="34"/>
      <c r="P5094" s="34"/>
      <c r="Q5094" s="34"/>
      <c r="R5094" s="34"/>
    </row>
    <row r="5095" spans="13:18">
      <c r="M5095" s="34"/>
      <c r="N5095" s="34"/>
      <c r="O5095" s="34"/>
      <c r="P5095" s="34"/>
      <c r="Q5095" s="34"/>
      <c r="R5095" s="34"/>
    </row>
    <row r="5096" spans="13:18">
      <c r="M5096" s="34"/>
      <c r="N5096" s="34"/>
      <c r="O5096" s="34"/>
      <c r="P5096" s="34"/>
      <c r="Q5096" s="34"/>
      <c r="R5096" s="34"/>
    </row>
    <row r="5097" spans="13:18">
      <c r="M5097" s="34"/>
      <c r="N5097" s="34"/>
      <c r="O5097" s="34"/>
      <c r="P5097" s="34"/>
      <c r="Q5097" s="34"/>
      <c r="R5097" s="34"/>
    </row>
    <row r="5098" spans="13:18">
      <c r="M5098" s="34"/>
      <c r="N5098" s="34"/>
      <c r="O5098" s="34"/>
      <c r="P5098" s="34"/>
      <c r="Q5098" s="34"/>
      <c r="R5098" s="34"/>
    </row>
    <row r="5099" spans="13:18">
      <c r="M5099" s="34"/>
      <c r="N5099" s="34"/>
      <c r="O5099" s="34"/>
      <c r="P5099" s="34"/>
      <c r="Q5099" s="34"/>
      <c r="R5099" s="34"/>
    </row>
    <row r="5100" spans="13:18">
      <c r="M5100" s="34"/>
      <c r="N5100" s="34"/>
      <c r="O5100" s="34"/>
      <c r="P5100" s="34"/>
      <c r="Q5100" s="34"/>
      <c r="R5100" s="34"/>
    </row>
    <row r="5101" spans="13:18">
      <c r="M5101" s="34"/>
      <c r="N5101" s="34"/>
      <c r="O5101" s="34"/>
      <c r="P5101" s="34"/>
      <c r="Q5101" s="34"/>
      <c r="R5101" s="34"/>
    </row>
    <row r="5102" spans="13:18">
      <c r="M5102" s="34"/>
      <c r="N5102" s="34"/>
      <c r="O5102" s="34"/>
      <c r="P5102" s="34"/>
      <c r="Q5102" s="34"/>
      <c r="R5102" s="34"/>
    </row>
    <row r="5103" spans="13:18">
      <c r="M5103" s="34"/>
      <c r="N5103" s="34"/>
      <c r="O5103" s="34"/>
      <c r="P5103" s="34"/>
      <c r="Q5103" s="34"/>
      <c r="R5103" s="34"/>
    </row>
    <row r="5104" spans="13:18">
      <c r="M5104" s="34"/>
      <c r="N5104" s="34"/>
      <c r="O5104" s="34"/>
      <c r="P5104" s="34"/>
      <c r="Q5104" s="34"/>
      <c r="R5104" s="34"/>
    </row>
    <row r="5105" spans="13:18">
      <c r="M5105" s="34"/>
      <c r="N5105" s="34"/>
      <c r="O5105" s="34"/>
      <c r="P5105" s="34"/>
      <c r="Q5105" s="34"/>
      <c r="R5105" s="34"/>
    </row>
    <row r="5106" spans="13:18">
      <c r="M5106" s="34"/>
      <c r="N5106" s="34"/>
      <c r="O5106" s="34"/>
      <c r="P5106" s="34"/>
      <c r="Q5106" s="34"/>
      <c r="R5106" s="34"/>
    </row>
    <row r="5107" spans="13:18">
      <c r="M5107" s="34"/>
      <c r="N5107" s="34"/>
      <c r="O5107" s="34"/>
      <c r="P5107" s="34"/>
      <c r="Q5107" s="34"/>
      <c r="R5107" s="34"/>
    </row>
    <row r="5108" spans="13:18">
      <c r="M5108" s="34"/>
      <c r="N5108" s="34"/>
      <c r="O5108" s="34"/>
      <c r="P5108" s="34"/>
      <c r="Q5108" s="34"/>
      <c r="R5108" s="34"/>
    </row>
    <row r="5109" spans="13:18">
      <c r="M5109" s="34"/>
      <c r="N5109" s="34"/>
      <c r="O5109" s="34"/>
      <c r="P5109" s="34"/>
      <c r="Q5109" s="34"/>
      <c r="R5109" s="34"/>
    </row>
    <row r="5110" spans="13:18">
      <c r="M5110" s="34"/>
      <c r="N5110" s="34"/>
      <c r="O5110" s="34"/>
      <c r="P5110" s="34"/>
      <c r="Q5110" s="34"/>
      <c r="R5110" s="34"/>
    </row>
    <row r="5111" spans="13:18">
      <c r="M5111" s="34"/>
      <c r="N5111" s="34"/>
      <c r="O5111" s="34"/>
      <c r="P5111" s="34"/>
      <c r="Q5111" s="34"/>
      <c r="R5111" s="34"/>
    </row>
    <row r="5112" spans="13:18">
      <c r="M5112" s="34"/>
      <c r="N5112" s="34"/>
      <c r="O5112" s="34"/>
      <c r="P5112" s="34"/>
      <c r="Q5112" s="34"/>
      <c r="R5112" s="34"/>
    </row>
    <row r="5113" spans="13:18">
      <c r="M5113" s="34"/>
      <c r="N5113" s="34"/>
      <c r="O5113" s="34"/>
      <c r="P5113" s="34"/>
      <c r="Q5113" s="34"/>
      <c r="R5113" s="34"/>
    </row>
    <row r="5114" spans="13:18">
      <c r="M5114" s="34"/>
      <c r="N5114" s="34"/>
      <c r="O5114" s="34"/>
      <c r="P5114" s="34"/>
      <c r="Q5114" s="34"/>
      <c r="R5114" s="34"/>
    </row>
    <row r="5115" spans="13:18">
      <c r="M5115" s="34"/>
      <c r="N5115" s="34"/>
      <c r="O5115" s="34"/>
      <c r="P5115" s="34"/>
      <c r="Q5115" s="34"/>
      <c r="R5115" s="34"/>
    </row>
    <row r="5116" spans="13:18">
      <c r="M5116" s="34"/>
      <c r="N5116" s="34"/>
      <c r="O5116" s="34"/>
      <c r="P5116" s="34"/>
      <c r="Q5116" s="34"/>
      <c r="R5116" s="34"/>
    </row>
    <row r="5117" spans="13:18">
      <c r="M5117" s="34"/>
      <c r="N5117" s="34"/>
      <c r="O5117" s="34"/>
      <c r="P5117" s="34"/>
      <c r="Q5117" s="34"/>
      <c r="R5117" s="34"/>
    </row>
    <row r="5118" spans="13:18">
      <c r="M5118" s="34"/>
      <c r="N5118" s="34"/>
      <c r="O5118" s="34"/>
      <c r="P5118" s="34"/>
      <c r="Q5118" s="34"/>
      <c r="R5118" s="34"/>
    </row>
    <row r="5119" spans="13:18">
      <c r="M5119" s="34"/>
      <c r="N5119" s="34"/>
      <c r="O5119" s="34"/>
      <c r="P5119" s="34"/>
      <c r="Q5119" s="34"/>
      <c r="R5119" s="34"/>
    </row>
    <row r="5120" spans="13:18">
      <c r="M5120" s="34"/>
      <c r="N5120" s="34"/>
      <c r="O5120" s="34"/>
      <c r="P5120" s="34"/>
      <c r="Q5120" s="34"/>
      <c r="R5120" s="34"/>
    </row>
    <row r="5121" spans="13:18">
      <c r="M5121" s="34"/>
      <c r="N5121" s="34"/>
      <c r="O5121" s="34"/>
      <c r="P5121" s="34"/>
      <c r="Q5121" s="34"/>
      <c r="R5121" s="34"/>
    </row>
    <row r="5122" spans="13:18">
      <c r="M5122" s="34"/>
      <c r="N5122" s="34"/>
      <c r="O5122" s="34"/>
      <c r="P5122" s="34"/>
      <c r="Q5122" s="34"/>
      <c r="R5122" s="34"/>
    </row>
    <row r="5123" spans="13:18">
      <c r="M5123" s="34"/>
      <c r="N5123" s="34"/>
      <c r="O5123" s="34"/>
      <c r="P5123" s="34"/>
      <c r="Q5123" s="34"/>
      <c r="R5123" s="34"/>
    </row>
    <row r="5124" spans="13:18">
      <c r="M5124" s="34"/>
      <c r="N5124" s="34"/>
      <c r="O5124" s="34"/>
      <c r="P5124" s="34"/>
      <c r="Q5124" s="34"/>
      <c r="R5124" s="34"/>
    </row>
    <row r="5125" spans="13:18">
      <c r="M5125" s="34"/>
      <c r="N5125" s="34"/>
      <c r="O5125" s="34"/>
      <c r="P5125" s="34"/>
      <c r="Q5125" s="34"/>
      <c r="R5125" s="34"/>
    </row>
    <row r="5126" spans="13:18">
      <c r="M5126" s="34"/>
      <c r="N5126" s="34"/>
      <c r="O5126" s="34"/>
      <c r="P5126" s="34"/>
      <c r="Q5126" s="34"/>
      <c r="R5126" s="34"/>
    </row>
    <row r="5127" spans="13:18">
      <c r="M5127" s="34"/>
      <c r="N5127" s="34"/>
      <c r="O5127" s="34"/>
      <c r="P5127" s="34"/>
      <c r="Q5127" s="34"/>
      <c r="R5127" s="34"/>
    </row>
    <row r="5128" spans="13:18">
      <c r="M5128" s="34"/>
      <c r="N5128" s="34"/>
      <c r="O5128" s="34"/>
      <c r="P5128" s="34"/>
      <c r="Q5128" s="34"/>
      <c r="R5128" s="34"/>
    </row>
    <row r="5129" spans="13:18">
      <c r="M5129" s="34"/>
      <c r="N5129" s="34"/>
      <c r="O5129" s="34"/>
      <c r="P5129" s="34"/>
      <c r="Q5129" s="34"/>
      <c r="R5129" s="34"/>
    </row>
    <row r="5130" spans="13:18">
      <c r="M5130" s="34"/>
      <c r="N5130" s="34"/>
      <c r="O5130" s="34"/>
      <c r="P5130" s="34"/>
      <c r="Q5130" s="34"/>
      <c r="R5130" s="34"/>
    </row>
    <row r="5131" spans="13:18">
      <c r="M5131" s="34"/>
      <c r="N5131" s="34"/>
      <c r="O5131" s="34"/>
      <c r="P5131" s="34"/>
      <c r="Q5131" s="34"/>
      <c r="R5131" s="34"/>
    </row>
    <row r="5132" spans="13:18">
      <c r="M5132" s="34"/>
      <c r="N5132" s="34"/>
      <c r="O5132" s="34"/>
      <c r="P5132" s="34"/>
      <c r="Q5132" s="34"/>
      <c r="R5132" s="34"/>
    </row>
    <row r="5133" spans="13:18">
      <c r="M5133" s="34"/>
      <c r="N5133" s="34"/>
      <c r="O5133" s="34"/>
      <c r="P5133" s="34"/>
      <c r="Q5133" s="34"/>
      <c r="R5133" s="34"/>
    </row>
    <row r="5134" spans="13:18">
      <c r="M5134" s="34"/>
      <c r="N5134" s="34"/>
      <c r="O5134" s="34"/>
      <c r="P5134" s="34"/>
      <c r="Q5134" s="34"/>
      <c r="R5134" s="34"/>
    </row>
    <row r="5135" spans="13:18">
      <c r="M5135" s="34"/>
      <c r="N5135" s="34"/>
      <c r="O5135" s="34"/>
      <c r="P5135" s="34"/>
      <c r="Q5135" s="34"/>
      <c r="R5135" s="34"/>
    </row>
    <row r="5136" spans="13:18">
      <c r="M5136" s="34"/>
      <c r="N5136" s="34"/>
      <c r="O5136" s="34"/>
      <c r="P5136" s="34"/>
      <c r="Q5136" s="34"/>
      <c r="R5136" s="34"/>
    </row>
    <row r="5137" spans="13:18">
      <c r="M5137" s="34"/>
      <c r="N5137" s="34"/>
      <c r="O5137" s="34"/>
      <c r="P5137" s="34"/>
      <c r="Q5137" s="34"/>
      <c r="R5137" s="34"/>
    </row>
    <row r="5138" spans="13:18">
      <c r="M5138" s="34"/>
      <c r="N5138" s="34"/>
      <c r="O5138" s="34"/>
      <c r="P5138" s="34"/>
      <c r="Q5138" s="34"/>
      <c r="R5138" s="34"/>
    </row>
    <row r="5139" spans="13:18">
      <c r="M5139" s="34"/>
      <c r="N5139" s="34"/>
      <c r="O5139" s="34"/>
      <c r="P5139" s="34"/>
      <c r="Q5139" s="34"/>
      <c r="R5139" s="34"/>
    </row>
    <row r="5140" spans="13:18">
      <c r="M5140" s="34"/>
      <c r="N5140" s="34"/>
      <c r="O5140" s="34"/>
      <c r="P5140" s="34"/>
      <c r="Q5140" s="34"/>
      <c r="R5140" s="34"/>
    </row>
    <row r="5141" spans="13:18">
      <c r="M5141" s="34"/>
      <c r="N5141" s="34"/>
      <c r="O5141" s="34"/>
      <c r="P5141" s="34"/>
      <c r="Q5141" s="34"/>
      <c r="R5141" s="34"/>
    </row>
    <row r="5142" spans="13:18">
      <c r="M5142" s="34"/>
      <c r="N5142" s="34"/>
      <c r="O5142" s="34"/>
      <c r="P5142" s="34"/>
      <c r="Q5142" s="34"/>
      <c r="R5142" s="34"/>
    </row>
    <row r="5143" spans="13:18">
      <c r="M5143" s="34"/>
      <c r="N5143" s="34"/>
      <c r="O5143" s="34"/>
      <c r="P5143" s="34"/>
      <c r="Q5143" s="34"/>
      <c r="R5143" s="34"/>
    </row>
    <row r="5144" spans="13:18">
      <c r="M5144" s="34"/>
      <c r="N5144" s="34"/>
      <c r="O5144" s="34"/>
      <c r="P5144" s="34"/>
      <c r="Q5144" s="34"/>
      <c r="R5144" s="34"/>
    </row>
    <row r="5145" spans="13:18">
      <c r="M5145" s="34"/>
      <c r="N5145" s="34"/>
      <c r="O5145" s="34"/>
      <c r="P5145" s="34"/>
      <c r="Q5145" s="34"/>
      <c r="R5145" s="34"/>
    </row>
    <row r="5146" spans="13:18">
      <c r="M5146" s="34"/>
      <c r="N5146" s="34"/>
      <c r="O5146" s="34"/>
      <c r="P5146" s="34"/>
      <c r="Q5146" s="34"/>
      <c r="R5146" s="34"/>
    </row>
    <row r="5147" spans="13:18">
      <c r="M5147" s="34"/>
      <c r="N5147" s="34"/>
      <c r="O5147" s="34"/>
      <c r="P5147" s="34"/>
      <c r="Q5147" s="34"/>
      <c r="R5147" s="34"/>
    </row>
    <row r="5148" spans="13:18">
      <c r="M5148" s="34"/>
      <c r="N5148" s="34"/>
      <c r="O5148" s="34"/>
      <c r="P5148" s="34"/>
      <c r="Q5148" s="34"/>
      <c r="R5148" s="34"/>
    </row>
    <row r="5149" spans="13:18">
      <c r="M5149" s="34"/>
      <c r="N5149" s="34"/>
      <c r="O5149" s="34"/>
      <c r="P5149" s="34"/>
      <c r="Q5149" s="34"/>
      <c r="R5149" s="34"/>
    </row>
    <row r="5150" spans="13:18">
      <c r="M5150" s="34"/>
      <c r="N5150" s="34"/>
      <c r="O5150" s="34"/>
      <c r="P5150" s="34"/>
      <c r="Q5150" s="34"/>
      <c r="R5150" s="34"/>
    </row>
    <row r="5151" spans="13:18">
      <c r="M5151" s="34"/>
      <c r="N5151" s="34"/>
      <c r="O5151" s="34"/>
      <c r="P5151" s="34"/>
      <c r="Q5151" s="34"/>
      <c r="R5151" s="34"/>
    </row>
    <row r="5152" spans="13:18">
      <c r="M5152" s="34"/>
      <c r="N5152" s="34"/>
      <c r="O5152" s="34"/>
      <c r="P5152" s="34"/>
      <c r="Q5152" s="34"/>
      <c r="R5152" s="34"/>
    </row>
    <row r="5153" spans="13:18">
      <c r="M5153" s="34"/>
      <c r="N5153" s="34"/>
      <c r="O5153" s="34"/>
      <c r="P5153" s="34"/>
      <c r="Q5153" s="34"/>
      <c r="R5153" s="34"/>
    </row>
    <row r="5154" spans="13:18">
      <c r="M5154" s="34"/>
      <c r="N5154" s="34"/>
      <c r="O5154" s="34"/>
      <c r="P5154" s="34"/>
      <c r="Q5154" s="34"/>
      <c r="R5154" s="34"/>
    </row>
    <row r="5155" spans="13:18">
      <c r="M5155" s="34"/>
      <c r="N5155" s="34"/>
      <c r="O5155" s="34"/>
      <c r="P5155" s="34"/>
      <c r="Q5155" s="34"/>
      <c r="R5155" s="34"/>
    </row>
    <row r="5156" spans="13:18">
      <c r="M5156" s="34"/>
      <c r="N5156" s="34"/>
      <c r="O5156" s="34"/>
      <c r="P5156" s="34"/>
      <c r="Q5156" s="34"/>
      <c r="R5156" s="34"/>
    </row>
    <row r="5157" spans="13:18">
      <c r="M5157" s="34"/>
      <c r="N5157" s="34"/>
      <c r="O5157" s="34"/>
      <c r="P5157" s="34"/>
      <c r="Q5157" s="34"/>
      <c r="R5157" s="34"/>
    </row>
    <row r="5158" spans="13:18">
      <c r="M5158" s="34"/>
      <c r="N5158" s="34"/>
      <c r="O5158" s="34"/>
      <c r="P5158" s="34"/>
      <c r="Q5158" s="34"/>
      <c r="R5158" s="34"/>
    </row>
    <row r="5159" spans="13:18">
      <c r="M5159" s="34"/>
      <c r="N5159" s="34"/>
      <c r="O5159" s="34"/>
      <c r="P5159" s="34"/>
      <c r="Q5159" s="34"/>
      <c r="R5159" s="34"/>
    </row>
    <row r="5160" spans="13:18">
      <c r="M5160" s="34"/>
      <c r="N5160" s="34"/>
      <c r="O5160" s="34"/>
      <c r="P5160" s="34"/>
      <c r="Q5160" s="34"/>
      <c r="R5160" s="34"/>
    </row>
    <row r="5161" spans="13:18">
      <c r="M5161" s="34"/>
      <c r="N5161" s="34"/>
      <c r="O5161" s="34"/>
      <c r="P5161" s="34"/>
      <c r="Q5161" s="34"/>
      <c r="R5161" s="34"/>
    </row>
    <row r="5162" spans="13:18">
      <c r="M5162" s="34"/>
      <c r="N5162" s="34"/>
      <c r="O5162" s="34"/>
      <c r="P5162" s="34"/>
      <c r="Q5162" s="34"/>
      <c r="R5162" s="34"/>
    </row>
    <row r="5163" spans="13:18">
      <c r="M5163" s="34"/>
      <c r="N5163" s="34"/>
      <c r="O5163" s="34"/>
      <c r="P5163" s="34"/>
      <c r="Q5163" s="34"/>
      <c r="R5163" s="34"/>
    </row>
    <row r="5164" spans="13:18">
      <c r="M5164" s="34"/>
      <c r="N5164" s="34"/>
      <c r="O5164" s="34"/>
      <c r="P5164" s="34"/>
      <c r="Q5164" s="34"/>
      <c r="R5164" s="34"/>
    </row>
    <row r="5165" spans="13:18">
      <c r="M5165" s="34"/>
      <c r="N5165" s="34"/>
      <c r="O5165" s="34"/>
      <c r="P5165" s="34"/>
      <c r="Q5165" s="34"/>
      <c r="R5165" s="34"/>
    </row>
    <row r="5166" spans="13:18">
      <c r="M5166" s="34"/>
      <c r="N5166" s="34"/>
      <c r="O5166" s="34"/>
      <c r="P5166" s="34"/>
      <c r="Q5166" s="34"/>
      <c r="R5166" s="34"/>
    </row>
    <row r="5167" spans="13:18">
      <c r="M5167" s="34"/>
      <c r="N5167" s="34"/>
      <c r="O5167" s="34"/>
      <c r="P5167" s="34"/>
      <c r="Q5167" s="34"/>
      <c r="R5167" s="34"/>
    </row>
    <row r="5168" spans="13:18">
      <c r="M5168" s="34"/>
      <c r="N5168" s="34"/>
      <c r="O5168" s="34"/>
      <c r="P5168" s="34"/>
      <c r="Q5168" s="34"/>
      <c r="R5168" s="34"/>
    </row>
    <row r="5169" spans="13:18">
      <c r="M5169" s="34"/>
      <c r="N5169" s="34"/>
      <c r="O5169" s="34"/>
      <c r="P5169" s="34"/>
      <c r="Q5169" s="34"/>
      <c r="R5169" s="34"/>
    </row>
    <row r="5170" spans="13:18">
      <c r="M5170" s="34"/>
      <c r="N5170" s="34"/>
      <c r="O5170" s="34"/>
      <c r="P5170" s="34"/>
      <c r="Q5170" s="34"/>
      <c r="R5170" s="34"/>
    </row>
    <row r="5171" spans="13:18">
      <c r="M5171" s="34"/>
      <c r="N5171" s="34"/>
      <c r="O5171" s="34"/>
      <c r="P5171" s="34"/>
      <c r="Q5171" s="34"/>
      <c r="R5171" s="34"/>
    </row>
    <row r="5172" spans="13:18">
      <c r="M5172" s="34"/>
      <c r="N5172" s="34"/>
      <c r="O5172" s="34"/>
      <c r="P5172" s="34"/>
      <c r="Q5172" s="34"/>
      <c r="R5172" s="34"/>
    </row>
    <row r="5173" spans="13:18">
      <c r="M5173" s="34"/>
      <c r="N5173" s="34"/>
      <c r="O5173" s="34"/>
      <c r="P5173" s="34"/>
      <c r="Q5173" s="34"/>
      <c r="R5173" s="34"/>
    </row>
    <row r="5174" spans="13:18">
      <c r="M5174" s="34"/>
      <c r="N5174" s="34"/>
      <c r="O5174" s="34"/>
      <c r="P5174" s="34"/>
      <c r="Q5174" s="34"/>
      <c r="R5174" s="34"/>
    </row>
    <row r="5175" spans="13:18">
      <c r="M5175" s="34"/>
      <c r="N5175" s="34"/>
      <c r="O5175" s="34"/>
      <c r="P5175" s="34"/>
      <c r="Q5175" s="34"/>
      <c r="R5175" s="34"/>
    </row>
    <row r="5176" spans="13:18">
      <c r="M5176" s="34"/>
      <c r="N5176" s="34"/>
      <c r="O5176" s="34"/>
      <c r="P5176" s="34"/>
      <c r="Q5176" s="34"/>
      <c r="R5176" s="34"/>
    </row>
    <row r="5177" spans="13:18">
      <c r="M5177" s="34"/>
      <c r="N5177" s="34"/>
      <c r="O5177" s="34"/>
      <c r="P5177" s="34"/>
      <c r="Q5177" s="34"/>
      <c r="R5177" s="34"/>
    </row>
    <row r="5178" spans="13:18">
      <c r="M5178" s="34"/>
      <c r="N5178" s="34"/>
      <c r="O5178" s="34"/>
      <c r="P5178" s="34"/>
      <c r="Q5178" s="34"/>
      <c r="R5178" s="34"/>
    </row>
    <row r="5179" spans="13:18">
      <c r="M5179" s="34"/>
      <c r="N5179" s="34"/>
      <c r="O5179" s="34"/>
      <c r="P5179" s="34"/>
      <c r="Q5179" s="34"/>
      <c r="R5179" s="34"/>
    </row>
    <row r="5180" spans="13:18">
      <c r="M5180" s="34"/>
      <c r="N5180" s="34"/>
      <c r="O5180" s="34"/>
      <c r="P5180" s="34"/>
      <c r="Q5180" s="34"/>
      <c r="R5180" s="34"/>
    </row>
    <row r="5181" spans="13:18">
      <c r="M5181" s="34"/>
      <c r="N5181" s="34"/>
      <c r="O5181" s="34"/>
      <c r="P5181" s="34"/>
      <c r="Q5181" s="34"/>
      <c r="R5181" s="34"/>
    </row>
    <row r="5182" spans="13:18">
      <c r="M5182" s="34"/>
      <c r="N5182" s="34"/>
      <c r="O5182" s="34"/>
      <c r="P5182" s="34"/>
      <c r="Q5182" s="34"/>
      <c r="R5182" s="34"/>
    </row>
    <row r="5183" spans="13:18">
      <c r="M5183" s="34"/>
      <c r="N5183" s="34"/>
      <c r="O5183" s="34"/>
      <c r="P5183" s="34"/>
      <c r="Q5183" s="34"/>
      <c r="R5183" s="34"/>
    </row>
    <row r="5184" spans="13:18">
      <c r="M5184" s="34"/>
      <c r="N5184" s="34"/>
      <c r="O5184" s="34"/>
      <c r="P5184" s="34"/>
      <c r="Q5184" s="34"/>
      <c r="R5184" s="34"/>
    </row>
    <row r="5185" spans="13:18">
      <c r="M5185" s="34"/>
      <c r="N5185" s="34"/>
      <c r="O5185" s="34"/>
      <c r="P5185" s="34"/>
      <c r="Q5185" s="34"/>
      <c r="R5185" s="34"/>
    </row>
    <row r="5186" spans="13:18">
      <c r="M5186" s="34"/>
      <c r="N5186" s="34"/>
      <c r="O5186" s="34"/>
      <c r="P5186" s="34"/>
      <c r="Q5186" s="34"/>
      <c r="R5186" s="34"/>
    </row>
    <row r="5187" spans="13:18">
      <c r="M5187" s="34"/>
      <c r="N5187" s="34"/>
      <c r="O5187" s="34"/>
      <c r="P5187" s="34"/>
      <c r="Q5187" s="34"/>
      <c r="R5187" s="34"/>
    </row>
    <row r="5188" spans="13:18">
      <c r="M5188" s="34"/>
      <c r="N5188" s="34"/>
      <c r="O5188" s="34"/>
      <c r="P5188" s="34"/>
      <c r="Q5188" s="34"/>
      <c r="R5188" s="34"/>
    </row>
    <row r="5189" spans="13:18">
      <c r="M5189" s="34"/>
      <c r="N5189" s="34"/>
      <c r="O5189" s="34"/>
      <c r="P5189" s="34"/>
      <c r="Q5189" s="34"/>
      <c r="R5189" s="34"/>
    </row>
    <row r="5190" spans="13:18">
      <c r="M5190" s="34"/>
      <c r="N5190" s="34"/>
      <c r="O5190" s="34"/>
      <c r="P5190" s="34"/>
      <c r="Q5190" s="34"/>
      <c r="R5190" s="34"/>
    </row>
    <row r="5191" spans="13:18">
      <c r="M5191" s="34"/>
      <c r="N5191" s="34"/>
      <c r="O5191" s="34"/>
      <c r="P5191" s="34"/>
      <c r="Q5191" s="34"/>
      <c r="R5191" s="34"/>
    </row>
    <row r="5192" spans="13:18">
      <c r="M5192" s="34"/>
      <c r="N5192" s="34"/>
      <c r="O5192" s="34"/>
      <c r="P5192" s="34"/>
      <c r="Q5192" s="34"/>
      <c r="R5192" s="34"/>
    </row>
    <row r="5193" spans="13:18">
      <c r="M5193" s="34"/>
      <c r="N5193" s="34"/>
      <c r="O5193" s="34"/>
      <c r="P5193" s="34"/>
      <c r="Q5193" s="34"/>
      <c r="R5193" s="34"/>
    </row>
    <row r="5194" spans="13:18">
      <c r="M5194" s="34"/>
      <c r="N5194" s="34"/>
      <c r="O5194" s="34"/>
      <c r="P5194" s="34"/>
      <c r="Q5194" s="34"/>
      <c r="R5194" s="34"/>
    </row>
    <row r="5195" spans="13:18">
      <c r="M5195" s="34"/>
      <c r="N5195" s="34"/>
      <c r="O5195" s="34"/>
      <c r="P5195" s="34"/>
      <c r="Q5195" s="34"/>
      <c r="R5195" s="34"/>
    </row>
    <row r="5196" spans="13:18">
      <c r="M5196" s="34"/>
      <c r="N5196" s="34"/>
      <c r="O5196" s="34"/>
      <c r="P5196" s="34"/>
      <c r="Q5196" s="34"/>
      <c r="R5196" s="34"/>
    </row>
    <row r="5197" spans="13:18">
      <c r="M5197" s="34"/>
      <c r="N5197" s="34"/>
      <c r="O5197" s="34"/>
      <c r="P5197" s="34"/>
      <c r="Q5197" s="34"/>
      <c r="R5197" s="34"/>
    </row>
    <row r="5198" spans="13:18">
      <c r="M5198" s="34"/>
      <c r="N5198" s="34"/>
      <c r="O5198" s="34"/>
      <c r="P5198" s="34"/>
      <c r="Q5198" s="34"/>
      <c r="R5198" s="34"/>
    </row>
    <row r="5199" spans="13:18">
      <c r="M5199" s="34"/>
      <c r="N5199" s="34"/>
      <c r="O5199" s="34"/>
      <c r="P5199" s="34"/>
      <c r="Q5199" s="34"/>
      <c r="R5199" s="34"/>
    </row>
    <row r="5200" spans="13:18">
      <c r="M5200" s="34"/>
      <c r="N5200" s="34"/>
      <c r="O5200" s="34"/>
      <c r="P5200" s="34"/>
      <c r="Q5200" s="34"/>
      <c r="R5200" s="34"/>
    </row>
    <row r="5201" spans="13:18">
      <c r="M5201" s="34"/>
      <c r="N5201" s="34"/>
      <c r="O5201" s="34"/>
      <c r="P5201" s="34"/>
      <c r="Q5201" s="34"/>
      <c r="R5201" s="34"/>
    </row>
    <row r="5202" spans="13:18">
      <c r="M5202" s="34"/>
      <c r="N5202" s="34"/>
      <c r="O5202" s="34"/>
      <c r="P5202" s="34"/>
      <c r="Q5202" s="34"/>
      <c r="R5202" s="34"/>
    </row>
    <row r="5203" spans="13:18">
      <c r="M5203" s="34"/>
      <c r="N5203" s="34"/>
      <c r="O5203" s="34"/>
      <c r="P5203" s="34"/>
      <c r="Q5203" s="34"/>
      <c r="R5203" s="34"/>
    </row>
    <row r="5204" spans="13:18">
      <c r="M5204" s="34"/>
      <c r="N5204" s="34"/>
      <c r="O5204" s="34"/>
      <c r="P5204" s="34"/>
      <c r="Q5204" s="34"/>
      <c r="R5204" s="34"/>
    </row>
    <row r="5205" spans="13:18">
      <c r="M5205" s="34"/>
      <c r="N5205" s="34"/>
      <c r="O5205" s="34"/>
      <c r="P5205" s="34"/>
      <c r="Q5205" s="34"/>
      <c r="R5205" s="34"/>
    </row>
    <row r="5206" spans="13:18">
      <c r="M5206" s="34"/>
      <c r="N5206" s="34"/>
      <c r="O5206" s="34"/>
      <c r="P5206" s="34"/>
      <c r="Q5206" s="34"/>
      <c r="R5206" s="34"/>
    </row>
    <row r="5207" spans="13:18">
      <c r="M5207" s="34"/>
      <c r="N5207" s="34"/>
      <c r="O5207" s="34"/>
      <c r="P5207" s="34"/>
      <c r="Q5207" s="34"/>
      <c r="R5207" s="34"/>
    </row>
    <row r="5208" spans="13:18">
      <c r="M5208" s="34"/>
      <c r="N5208" s="34"/>
      <c r="O5208" s="34"/>
      <c r="P5208" s="34"/>
      <c r="Q5208" s="34"/>
      <c r="R5208" s="34"/>
    </row>
    <row r="5209" spans="13:18">
      <c r="M5209" s="34"/>
      <c r="N5209" s="34"/>
      <c r="O5209" s="34"/>
      <c r="P5209" s="34"/>
      <c r="Q5209" s="34"/>
      <c r="R5209" s="34"/>
    </row>
    <row r="5210" spans="13:18">
      <c r="M5210" s="34"/>
      <c r="N5210" s="34"/>
      <c r="O5210" s="34"/>
      <c r="P5210" s="34"/>
      <c r="Q5210" s="34"/>
      <c r="R5210" s="34"/>
    </row>
    <row r="5211" spans="13:18">
      <c r="M5211" s="34"/>
      <c r="N5211" s="34"/>
      <c r="O5211" s="34"/>
      <c r="P5211" s="34"/>
      <c r="Q5211" s="34"/>
      <c r="R5211" s="34"/>
    </row>
    <row r="5212" spans="13:18">
      <c r="M5212" s="34"/>
      <c r="N5212" s="34"/>
      <c r="O5212" s="34"/>
      <c r="P5212" s="34"/>
      <c r="Q5212" s="34"/>
      <c r="R5212" s="34"/>
    </row>
    <row r="5213" spans="13:18">
      <c r="M5213" s="34"/>
      <c r="N5213" s="34"/>
      <c r="O5213" s="34"/>
      <c r="P5213" s="34"/>
      <c r="Q5213" s="34"/>
      <c r="R5213" s="34"/>
    </row>
    <row r="5214" spans="13:18">
      <c r="M5214" s="34"/>
      <c r="N5214" s="34"/>
      <c r="O5214" s="34"/>
      <c r="P5214" s="34"/>
      <c r="Q5214" s="34"/>
      <c r="R5214" s="34"/>
    </row>
    <row r="5215" spans="13:18">
      <c r="M5215" s="34"/>
      <c r="N5215" s="34"/>
      <c r="O5215" s="34"/>
      <c r="P5215" s="34"/>
      <c r="Q5215" s="34"/>
      <c r="R5215" s="34"/>
    </row>
    <row r="5216" spans="13:18">
      <c r="M5216" s="34"/>
      <c r="N5216" s="34"/>
      <c r="O5216" s="34"/>
      <c r="P5216" s="34"/>
      <c r="Q5216" s="34"/>
      <c r="R5216" s="34"/>
    </row>
    <row r="5217" spans="13:18">
      <c r="M5217" s="34"/>
      <c r="N5217" s="34"/>
      <c r="O5217" s="34"/>
      <c r="P5217" s="34"/>
      <c r="Q5217" s="34"/>
      <c r="R5217" s="34"/>
    </row>
    <row r="5218" spans="13:18">
      <c r="M5218" s="34"/>
      <c r="N5218" s="34"/>
      <c r="O5218" s="34"/>
      <c r="P5218" s="34"/>
      <c r="Q5218" s="34"/>
      <c r="R5218" s="34"/>
    </row>
    <row r="5219" spans="13:18">
      <c r="M5219" s="34"/>
      <c r="N5219" s="34"/>
      <c r="O5219" s="34"/>
      <c r="P5219" s="34"/>
      <c r="Q5219" s="34"/>
      <c r="R5219" s="34"/>
    </row>
    <row r="5220" spans="13:18">
      <c r="M5220" s="34"/>
      <c r="N5220" s="34"/>
      <c r="O5220" s="34"/>
      <c r="P5220" s="34"/>
      <c r="Q5220" s="34"/>
      <c r="R5220" s="34"/>
    </row>
    <row r="5221" spans="13:18">
      <c r="M5221" s="34"/>
      <c r="N5221" s="34"/>
      <c r="O5221" s="34"/>
      <c r="P5221" s="34"/>
      <c r="Q5221" s="34"/>
      <c r="R5221" s="34"/>
    </row>
    <row r="5222" spans="13:18">
      <c r="M5222" s="34"/>
      <c r="N5222" s="34"/>
      <c r="O5222" s="34"/>
      <c r="P5222" s="34"/>
      <c r="Q5222" s="34"/>
      <c r="R5222" s="34"/>
    </row>
    <row r="5223" spans="13:18">
      <c r="M5223" s="34"/>
      <c r="N5223" s="34"/>
      <c r="O5223" s="34"/>
      <c r="P5223" s="34"/>
      <c r="Q5223" s="34"/>
      <c r="R5223" s="34"/>
    </row>
    <row r="5224" spans="13:18">
      <c r="M5224" s="34"/>
      <c r="N5224" s="34"/>
      <c r="O5224" s="34"/>
      <c r="P5224" s="34"/>
      <c r="Q5224" s="34"/>
      <c r="R5224" s="34"/>
    </row>
    <row r="5225" spans="13:18">
      <c r="M5225" s="34"/>
      <c r="N5225" s="34"/>
      <c r="O5225" s="34"/>
      <c r="P5225" s="34"/>
      <c r="Q5225" s="34"/>
      <c r="R5225" s="34"/>
    </row>
    <row r="5226" spans="13:18">
      <c r="M5226" s="34"/>
      <c r="N5226" s="34"/>
      <c r="O5226" s="34"/>
      <c r="P5226" s="34"/>
      <c r="Q5226" s="34"/>
      <c r="R5226" s="34"/>
    </row>
    <row r="5227" spans="13:18">
      <c r="M5227" s="34"/>
      <c r="N5227" s="34"/>
      <c r="O5227" s="34"/>
      <c r="P5227" s="34"/>
      <c r="Q5227" s="34"/>
      <c r="R5227" s="34"/>
    </row>
    <row r="5228" spans="13:18">
      <c r="M5228" s="34"/>
      <c r="N5228" s="34"/>
      <c r="O5228" s="34"/>
      <c r="P5228" s="34"/>
      <c r="Q5228" s="34"/>
      <c r="R5228" s="34"/>
    </row>
    <row r="5229" spans="13:18">
      <c r="M5229" s="34"/>
      <c r="N5229" s="34"/>
      <c r="O5229" s="34"/>
      <c r="P5229" s="34"/>
      <c r="Q5229" s="34"/>
      <c r="R5229" s="34"/>
    </row>
    <row r="5230" spans="13:18">
      <c r="M5230" s="34"/>
      <c r="N5230" s="34"/>
      <c r="O5230" s="34"/>
      <c r="P5230" s="34"/>
      <c r="Q5230" s="34"/>
      <c r="R5230" s="34"/>
    </row>
    <row r="5231" spans="13:18">
      <c r="M5231" s="34"/>
      <c r="N5231" s="34"/>
      <c r="O5231" s="34"/>
      <c r="P5231" s="34"/>
      <c r="Q5231" s="34"/>
      <c r="R5231" s="34"/>
    </row>
    <row r="5232" spans="13:18">
      <c r="M5232" s="34"/>
      <c r="N5232" s="34"/>
      <c r="O5232" s="34"/>
      <c r="P5232" s="34"/>
      <c r="Q5232" s="34"/>
      <c r="R5232" s="34"/>
    </row>
    <row r="5233" spans="13:18">
      <c r="M5233" s="34"/>
      <c r="N5233" s="34"/>
      <c r="O5233" s="34"/>
      <c r="P5233" s="34"/>
      <c r="Q5233" s="34"/>
      <c r="R5233" s="34"/>
    </row>
    <row r="5234" spans="13:18">
      <c r="M5234" s="34"/>
      <c r="N5234" s="34"/>
      <c r="O5234" s="34"/>
      <c r="P5234" s="34"/>
      <c r="Q5234" s="34"/>
      <c r="R5234" s="34"/>
    </row>
    <row r="5235" spans="13:18">
      <c r="M5235" s="34"/>
      <c r="N5235" s="34"/>
      <c r="O5235" s="34"/>
      <c r="P5235" s="34"/>
      <c r="Q5235" s="34"/>
      <c r="R5235" s="34"/>
    </row>
    <row r="5236" spans="13:18">
      <c r="M5236" s="34"/>
      <c r="N5236" s="34"/>
      <c r="O5236" s="34"/>
      <c r="P5236" s="34"/>
      <c r="Q5236" s="34"/>
      <c r="R5236" s="34"/>
    </row>
    <row r="5237" spans="13:18">
      <c r="M5237" s="34"/>
      <c r="N5237" s="34"/>
      <c r="O5237" s="34"/>
      <c r="P5237" s="34"/>
      <c r="Q5237" s="34"/>
      <c r="R5237" s="34"/>
    </row>
    <row r="5238" spans="13:18">
      <c r="M5238" s="34"/>
      <c r="N5238" s="34"/>
      <c r="O5238" s="34"/>
      <c r="P5238" s="34"/>
      <c r="Q5238" s="34"/>
      <c r="R5238" s="34"/>
    </row>
    <row r="5239" spans="13:18">
      <c r="M5239" s="34"/>
      <c r="N5239" s="34"/>
      <c r="O5239" s="34"/>
      <c r="P5239" s="34"/>
      <c r="Q5239" s="34"/>
      <c r="R5239" s="34"/>
    </row>
    <row r="5240" spans="13:18">
      <c r="M5240" s="34"/>
      <c r="N5240" s="34"/>
      <c r="O5240" s="34"/>
      <c r="P5240" s="34"/>
      <c r="Q5240" s="34"/>
      <c r="R5240" s="34"/>
    </row>
    <row r="5241" spans="13:18">
      <c r="M5241" s="34"/>
      <c r="N5241" s="34"/>
      <c r="O5241" s="34"/>
      <c r="P5241" s="34"/>
      <c r="Q5241" s="34"/>
      <c r="R5241" s="34"/>
    </row>
    <row r="5242" spans="13:18">
      <c r="M5242" s="34"/>
      <c r="N5242" s="34"/>
      <c r="O5242" s="34"/>
      <c r="P5242" s="34"/>
      <c r="Q5242" s="34"/>
      <c r="R5242" s="34"/>
    </row>
    <row r="5243" spans="13:18">
      <c r="M5243" s="34"/>
      <c r="N5243" s="34"/>
      <c r="O5243" s="34"/>
      <c r="P5243" s="34"/>
      <c r="Q5243" s="34"/>
      <c r="R5243" s="34"/>
    </row>
    <row r="5244" spans="13:18">
      <c r="M5244" s="34"/>
      <c r="N5244" s="34"/>
      <c r="O5244" s="34"/>
      <c r="P5244" s="34"/>
      <c r="Q5244" s="34"/>
      <c r="R5244" s="34"/>
    </row>
    <row r="5245" spans="13:18">
      <c r="M5245" s="34"/>
      <c r="N5245" s="34"/>
      <c r="O5245" s="34"/>
      <c r="P5245" s="34"/>
      <c r="Q5245" s="34"/>
      <c r="R5245" s="34"/>
    </row>
    <row r="5246" spans="13:18">
      <c r="M5246" s="34"/>
      <c r="N5246" s="34"/>
      <c r="O5246" s="34"/>
      <c r="P5246" s="34"/>
      <c r="Q5246" s="34"/>
      <c r="R5246" s="34"/>
    </row>
    <row r="5247" spans="13:18">
      <c r="M5247" s="34"/>
      <c r="N5247" s="34"/>
      <c r="O5247" s="34"/>
      <c r="P5247" s="34"/>
      <c r="Q5247" s="34"/>
      <c r="R5247" s="34"/>
    </row>
    <row r="5248" spans="13:18">
      <c r="M5248" s="34"/>
      <c r="N5248" s="34"/>
      <c r="O5248" s="34"/>
      <c r="P5248" s="34"/>
      <c r="Q5248" s="34"/>
      <c r="R5248" s="34"/>
    </row>
    <row r="5249" spans="13:18">
      <c r="M5249" s="34"/>
      <c r="N5249" s="34"/>
      <c r="O5249" s="34"/>
      <c r="P5249" s="34"/>
      <c r="Q5249" s="34"/>
      <c r="R5249" s="34"/>
    </row>
    <row r="5250" spans="13:18">
      <c r="M5250" s="34"/>
      <c r="N5250" s="34"/>
      <c r="O5250" s="34"/>
      <c r="P5250" s="34"/>
      <c r="Q5250" s="34"/>
      <c r="R5250" s="34"/>
    </row>
    <row r="5251" spans="13:18">
      <c r="M5251" s="34"/>
      <c r="N5251" s="34"/>
      <c r="O5251" s="34"/>
      <c r="P5251" s="34"/>
      <c r="Q5251" s="34"/>
      <c r="R5251" s="34"/>
    </row>
    <row r="5252" spans="13:18">
      <c r="M5252" s="34"/>
      <c r="N5252" s="34"/>
      <c r="O5252" s="34"/>
      <c r="P5252" s="34"/>
      <c r="Q5252" s="34"/>
      <c r="R5252" s="34"/>
    </row>
    <row r="5253" spans="13:18">
      <c r="M5253" s="34"/>
      <c r="N5253" s="34"/>
      <c r="O5253" s="34"/>
      <c r="P5253" s="34"/>
      <c r="Q5253" s="34"/>
      <c r="R5253" s="34"/>
    </row>
    <row r="5254" spans="13:18">
      <c r="M5254" s="34"/>
      <c r="N5254" s="34"/>
      <c r="O5254" s="34"/>
      <c r="P5254" s="34"/>
      <c r="Q5254" s="34"/>
      <c r="R5254" s="34"/>
    </row>
    <row r="5255" spans="13:18">
      <c r="M5255" s="34"/>
      <c r="N5255" s="34"/>
      <c r="O5255" s="34"/>
      <c r="P5255" s="34"/>
      <c r="Q5255" s="34"/>
      <c r="R5255" s="34"/>
    </row>
    <row r="5256" spans="13:18">
      <c r="M5256" s="34"/>
      <c r="N5256" s="34"/>
      <c r="O5256" s="34"/>
      <c r="P5256" s="34"/>
      <c r="Q5256" s="34"/>
      <c r="R5256" s="34"/>
    </row>
    <row r="5257" spans="13:18">
      <c r="M5257" s="34"/>
      <c r="N5257" s="34"/>
      <c r="O5257" s="34"/>
      <c r="P5257" s="34"/>
      <c r="Q5257" s="34"/>
      <c r="R5257" s="34"/>
    </row>
    <row r="5258" spans="13:18">
      <c r="M5258" s="34"/>
      <c r="N5258" s="34"/>
      <c r="O5258" s="34"/>
      <c r="P5258" s="34"/>
      <c r="Q5258" s="34"/>
      <c r="R5258" s="34"/>
    </row>
    <row r="5259" spans="13:18">
      <c r="M5259" s="34"/>
      <c r="N5259" s="34"/>
      <c r="O5259" s="34"/>
      <c r="P5259" s="34"/>
      <c r="Q5259" s="34"/>
      <c r="R5259" s="34"/>
    </row>
    <row r="5260" spans="13:18">
      <c r="M5260" s="34"/>
      <c r="N5260" s="34"/>
      <c r="O5260" s="34"/>
      <c r="P5260" s="34"/>
      <c r="Q5260" s="34"/>
      <c r="R5260" s="34"/>
    </row>
    <row r="5261" spans="13:18">
      <c r="M5261" s="34"/>
      <c r="N5261" s="34"/>
      <c r="O5261" s="34"/>
      <c r="P5261" s="34"/>
      <c r="Q5261" s="34"/>
      <c r="R5261" s="34"/>
    </row>
    <row r="5262" spans="13:18">
      <c r="M5262" s="34"/>
      <c r="N5262" s="34"/>
      <c r="O5262" s="34"/>
      <c r="P5262" s="34"/>
      <c r="Q5262" s="34"/>
      <c r="R5262" s="34"/>
    </row>
    <row r="5263" spans="13:18">
      <c r="M5263" s="34"/>
      <c r="N5263" s="34"/>
      <c r="O5263" s="34"/>
      <c r="P5263" s="34"/>
      <c r="Q5263" s="34"/>
      <c r="R5263" s="34"/>
    </row>
    <row r="5264" spans="13:18">
      <c r="M5264" s="34"/>
      <c r="N5264" s="34"/>
      <c r="O5264" s="34"/>
      <c r="P5264" s="34"/>
      <c r="Q5264" s="34"/>
      <c r="R5264" s="34"/>
    </row>
    <row r="5265" spans="13:18">
      <c r="M5265" s="34"/>
      <c r="N5265" s="34"/>
      <c r="O5265" s="34"/>
      <c r="P5265" s="34"/>
      <c r="Q5265" s="34"/>
      <c r="R5265" s="34"/>
    </row>
    <row r="5266" spans="13:18">
      <c r="M5266" s="34"/>
      <c r="N5266" s="34"/>
      <c r="O5266" s="34"/>
      <c r="P5266" s="34"/>
      <c r="Q5266" s="34"/>
      <c r="R5266" s="34"/>
    </row>
    <row r="5267" spans="13:18">
      <c r="M5267" s="34"/>
      <c r="N5267" s="34"/>
      <c r="O5267" s="34"/>
      <c r="P5267" s="34"/>
      <c r="Q5267" s="34"/>
      <c r="R5267" s="34"/>
    </row>
    <row r="5268" spans="13:18">
      <c r="M5268" s="34"/>
      <c r="N5268" s="34"/>
      <c r="O5268" s="34"/>
      <c r="P5268" s="34"/>
      <c r="Q5268" s="34"/>
      <c r="R5268" s="34"/>
    </row>
    <row r="5269" spans="13:18">
      <c r="M5269" s="34"/>
      <c r="N5269" s="34"/>
      <c r="O5269" s="34"/>
      <c r="P5269" s="34"/>
      <c r="Q5269" s="34"/>
      <c r="R5269" s="34"/>
    </row>
    <row r="5270" spans="13:18">
      <c r="M5270" s="34"/>
      <c r="N5270" s="34"/>
      <c r="O5270" s="34"/>
      <c r="P5270" s="34"/>
      <c r="Q5270" s="34"/>
      <c r="R5270" s="34"/>
    </row>
    <row r="5271" spans="13:18">
      <c r="M5271" s="34"/>
      <c r="N5271" s="34"/>
      <c r="O5271" s="34"/>
      <c r="P5271" s="34"/>
      <c r="Q5271" s="34"/>
      <c r="R5271" s="34"/>
    </row>
    <row r="5272" spans="13:18">
      <c r="M5272" s="34"/>
      <c r="N5272" s="34"/>
      <c r="O5272" s="34"/>
      <c r="P5272" s="34"/>
      <c r="Q5272" s="34"/>
      <c r="R5272" s="34"/>
    </row>
    <row r="5273" spans="13:18">
      <c r="M5273" s="34"/>
      <c r="N5273" s="34"/>
      <c r="O5273" s="34"/>
      <c r="P5273" s="34"/>
      <c r="Q5273" s="34"/>
      <c r="R5273" s="34"/>
    </row>
    <row r="5274" spans="13:18">
      <c r="M5274" s="34"/>
      <c r="N5274" s="34"/>
      <c r="O5274" s="34"/>
      <c r="P5274" s="34"/>
      <c r="Q5274" s="34"/>
      <c r="R5274" s="34"/>
    </row>
    <row r="5275" spans="13:18">
      <c r="M5275" s="34"/>
      <c r="N5275" s="34"/>
      <c r="O5275" s="34"/>
      <c r="P5275" s="34"/>
      <c r="Q5275" s="34"/>
      <c r="R5275" s="34"/>
    </row>
    <row r="5276" spans="13:18">
      <c r="M5276" s="34"/>
      <c r="N5276" s="34"/>
      <c r="O5276" s="34"/>
      <c r="P5276" s="34"/>
      <c r="Q5276" s="34"/>
      <c r="R5276" s="34"/>
    </row>
    <row r="5277" spans="13:18">
      <c r="M5277" s="34"/>
      <c r="N5277" s="34"/>
      <c r="O5277" s="34"/>
      <c r="P5277" s="34"/>
      <c r="Q5277" s="34"/>
      <c r="R5277" s="34"/>
    </row>
    <row r="5278" spans="13:18">
      <c r="M5278" s="34"/>
      <c r="N5278" s="34"/>
      <c r="O5278" s="34"/>
      <c r="P5278" s="34"/>
      <c r="Q5278" s="34"/>
      <c r="R5278" s="34"/>
    </row>
    <row r="5279" spans="13:18">
      <c r="M5279" s="34"/>
      <c r="N5279" s="34"/>
      <c r="O5279" s="34"/>
      <c r="P5279" s="34"/>
      <c r="Q5279" s="34"/>
      <c r="R5279" s="34"/>
    </row>
    <row r="5280" spans="13:18">
      <c r="M5280" s="34"/>
      <c r="N5280" s="34"/>
      <c r="O5280" s="34"/>
      <c r="P5280" s="34"/>
      <c r="Q5280" s="34"/>
      <c r="R5280" s="34"/>
    </row>
    <row r="5281" spans="13:18">
      <c r="M5281" s="34"/>
      <c r="N5281" s="34"/>
      <c r="O5281" s="34"/>
      <c r="P5281" s="34"/>
      <c r="Q5281" s="34"/>
      <c r="R5281" s="34"/>
    </row>
    <row r="5282" spans="13:18">
      <c r="M5282" s="34"/>
      <c r="N5282" s="34"/>
      <c r="O5282" s="34"/>
      <c r="P5282" s="34"/>
      <c r="Q5282" s="34"/>
      <c r="R5282" s="34"/>
    </row>
    <row r="5283" spans="13:18">
      <c r="M5283" s="34"/>
      <c r="N5283" s="34"/>
      <c r="O5283" s="34"/>
      <c r="P5283" s="34"/>
      <c r="Q5283" s="34"/>
      <c r="R5283" s="34"/>
    </row>
    <row r="5284" spans="13:18">
      <c r="M5284" s="34"/>
      <c r="N5284" s="34"/>
      <c r="O5284" s="34"/>
      <c r="P5284" s="34"/>
      <c r="Q5284" s="34"/>
      <c r="R5284" s="34"/>
    </row>
    <row r="5285" spans="13:18">
      <c r="M5285" s="34"/>
      <c r="N5285" s="34"/>
      <c r="O5285" s="34"/>
      <c r="P5285" s="34"/>
      <c r="Q5285" s="34"/>
      <c r="R5285" s="34"/>
    </row>
    <row r="5286" spans="13:18">
      <c r="M5286" s="34"/>
      <c r="N5286" s="34"/>
      <c r="O5286" s="34"/>
      <c r="P5286" s="34"/>
      <c r="Q5286" s="34"/>
      <c r="R5286" s="34"/>
    </row>
    <row r="5287" spans="13:18">
      <c r="M5287" s="34"/>
      <c r="N5287" s="34"/>
      <c r="O5287" s="34"/>
      <c r="P5287" s="34"/>
      <c r="Q5287" s="34"/>
      <c r="R5287" s="34"/>
    </row>
    <row r="5288" spans="13:18">
      <c r="M5288" s="34"/>
      <c r="N5288" s="34"/>
      <c r="O5288" s="34"/>
      <c r="P5288" s="34"/>
      <c r="Q5288" s="34"/>
      <c r="R5288" s="34"/>
    </row>
    <row r="5289" spans="13:18">
      <c r="M5289" s="34"/>
      <c r="N5289" s="34"/>
      <c r="O5289" s="34"/>
      <c r="P5289" s="34"/>
      <c r="Q5289" s="34"/>
      <c r="R5289" s="34"/>
    </row>
    <row r="5290" spans="13:18">
      <c r="M5290" s="34"/>
      <c r="N5290" s="34"/>
      <c r="O5290" s="34"/>
      <c r="P5290" s="34"/>
      <c r="Q5290" s="34"/>
      <c r="R5290" s="34"/>
    </row>
    <row r="5291" spans="13:18">
      <c r="M5291" s="34"/>
      <c r="N5291" s="34"/>
      <c r="O5291" s="34"/>
      <c r="P5291" s="34"/>
      <c r="Q5291" s="34"/>
      <c r="R5291" s="34"/>
    </row>
    <row r="5292" spans="13:18">
      <c r="M5292" s="34"/>
      <c r="N5292" s="34"/>
      <c r="O5292" s="34"/>
      <c r="P5292" s="34"/>
      <c r="Q5292" s="34"/>
      <c r="R5292" s="34"/>
    </row>
    <row r="5293" spans="13:18">
      <c r="M5293" s="34"/>
      <c r="N5293" s="34"/>
      <c r="O5293" s="34"/>
      <c r="P5293" s="34"/>
      <c r="Q5293" s="34"/>
      <c r="R5293" s="34"/>
    </row>
    <row r="5294" spans="13:18">
      <c r="M5294" s="34"/>
      <c r="N5294" s="34"/>
      <c r="O5294" s="34"/>
      <c r="P5294" s="34"/>
      <c r="Q5294" s="34"/>
      <c r="R5294" s="34"/>
    </row>
    <row r="5295" spans="13:18">
      <c r="M5295" s="34"/>
      <c r="N5295" s="34"/>
      <c r="O5295" s="34"/>
      <c r="P5295" s="34"/>
      <c r="Q5295" s="34"/>
      <c r="R5295" s="34"/>
    </row>
    <row r="5296" spans="13:18">
      <c r="M5296" s="34"/>
      <c r="N5296" s="34"/>
      <c r="O5296" s="34"/>
      <c r="P5296" s="34"/>
      <c r="Q5296" s="34"/>
      <c r="R5296" s="34"/>
    </row>
    <row r="5297" spans="13:18">
      <c r="M5297" s="34"/>
      <c r="N5297" s="34"/>
      <c r="O5297" s="34"/>
      <c r="P5297" s="34"/>
      <c r="Q5297" s="34"/>
      <c r="R5297" s="34"/>
    </row>
    <row r="5298" spans="13:18">
      <c r="M5298" s="34"/>
      <c r="N5298" s="34"/>
      <c r="O5298" s="34"/>
      <c r="P5298" s="34"/>
      <c r="Q5298" s="34"/>
      <c r="R5298" s="34"/>
    </row>
    <row r="5299" spans="13:18">
      <c r="M5299" s="34"/>
      <c r="N5299" s="34"/>
      <c r="O5299" s="34"/>
      <c r="P5299" s="34"/>
      <c r="Q5299" s="34"/>
      <c r="R5299" s="34"/>
    </row>
    <row r="5300" spans="13:18">
      <c r="M5300" s="34"/>
      <c r="N5300" s="34"/>
      <c r="O5300" s="34"/>
      <c r="P5300" s="34"/>
      <c r="Q5300" s="34"/>
      <c r="R5300" s="34"/>
    </row>
    <row r="5301" spans="13:18">
      <c r="M5301" s="34"/>
      <c r="N5301" s="34"/>
      <c r="O5301" s="34"/>
      <c r="P5301" s="34"/>
      <c r="Q5301" s="34"/>
      <c r="R5301" s="34"/>
    </row>
    <row r="5302" spans="13:18">
      <c r="M5302" s="34"/>
      <c r="N5302" s="34"/>
      <c r="O5302" s="34"/>
      <c r="P5302" s="34"/>
      <c r="Q5302" s="34"/>
      <c r="R5302" s="34"/>
    </row>
    <row r="5303" spans="13:18">
      <c r="M5303" s="34"/>
      <c r="N5303" s="34"/>
      <c r="O5303" s="34"/>
      <c r="P5303" s="34"/>
      <c r="Q5303" s="34"/>
      <c r="R5303" s="34"/>
    </row>
    <row r="5304" spans="13:18">
      <c r="M5304" s="34"/>
      <c r="N5304" s="34"/>
      <c r="O5304" s="34"/>
      <c r="P5304" s="34"/>
      <c r="Q5304" s="34"/>
      <c r="R5304" s="34"/>
    </row>
    <row r="5305" spans="13:18">
      <c r="M5305" s="34"/>
      <c r="N5305" s="34"/>
      <c r="O5305" s="34"/>
      <c r="P5305" s="34"/>
      <c r="Q5305" s="34"/>
      <c r="R5305" s="34"/>
    </row>
    <row r="5306" spans="13:18">
      <c r="M5306" s="34"/>
      <c r="N5306" s="34"/>
      <c r="O5306" s="34"/>
      <c r="P5306" s="34"/>
      <c r="Q5306" s="34"/>
      <c r="R5306" s="34"/>
    </row>
    <row r="5307" spans="13:18">
      <c r="M5307" s="34"/>
      <c r="N5307" s="34"/>
      <c r="O5307" s="34"/>
      <c r="P5307" s="34"/>
      <c r="Q5307" s="34"/>
      <c r="R5307" s="34"/>
    </row>
    <row r="5308" spans="13:18">
      <c r="M5308" s="34"/>
      <c r="N5308" s="34"/>
      <c r="O5308" s="34"/>
      <c r="P5308" s="34"/>
      <c r="Q5308" s="34"/>
      <c r="R5308" s="34"/>
    </row>
    <row r="5309" spans="13:18">
      <c r="M5309" s="34"/>
      <c r="N5309" s="34"/>
      <c r="O5309" s="34"/>
      <c r="P5309" s="34"/>
      <c r="Q5309" s="34"/>
      <c r="R5309" s="34"/>
    </row>
    <row r="5310" spans="13:18">
      <c r="M5310" s="34"/>
      <c r="N5310" s="34"/>
      <c r="O5310" s="34"/>
      <c r="P5310" s="34"/>
      <c r="Q5310" s="34"/>
      <c r="R5310" s="34"/>
    </row>
    <row r="5311" spans="13:18">
      <c r="M5311" s="34"/>
      <c r="N5311" s="34"/>
      <c r="O5311" s="34"/>
      <c r="P5311" s="34"/>
      <c r="Q5311" s="34"/>
      <c r="R5311" s="34"/>
    </row>
    <row r="5312" spans="13:18">
      <c r="M5312" s="34"/>
      <c r="N5312" s="34"/>
      <c r="O5312" s="34"/>
      <c r="P5312" s="34"/>
      <c r="Q5312" s="34"/>
      <c r="R5312" s="34"/>
    </row>
    <row r="5313" spans="13:18">
      <c r="M5313" s="34"/>
      <c r="N5313" s="34"/>
      <c r="O5313" s="34"/>
      <c r="P5313" s="34"/>
      <c r="Q5313" s="34"/>
      <c r="R5313" s="34"/>
    </row>
    <row r="5314" spans="13:18">
      <c r="M5314" s="34"/>
      <c r="N5314" s="34"/>
      <c r="O5314" s="34"/>
      <c r="P5314" s="34"/>
      <c r="Q5314" s="34"/>
      <c r="R5314" s="34"/>
    </row>
    <row r="5315" spans="13:18">
      <c r="M5315" s="34"/>
      <c r="N5315" s="34"/>
      <c r="O5315" s="34"/>
      <c r="P5315" s="34"/>
      <c r="Q5315" s="34"/>
      <c r="R5315" s="34"/>
    </row>
    <row r="5316" spans="13:18">
      <c r="M5316" s="34"/>
      <c r="N5316" s="34"/>
      <c r="O5316" s="34"/>
      <c r="P5316" s="34"/>
      <c r="Q5316" s="34"/>
      <c r="R5316" s="34"/>
    </row>
    <row r="5317" spans="13:18">
      <c r="M5317" s="34"/>
      <c r="N5317" s="34"/>
      <c r="O5317" s="34"/>
      <c r="P5317" s="34"/>
      <c r="Q5317" s="34"/>
      <c r="R5317" s="34"/>
    </row>
    <row r="5318" spans="13:18">
      <c r="M5318" s="34"/>
      <c r="N5318" s="34"/>
      <c r="O5318" s="34"/>
      <c r="P5318" s="34"/>
      <c r="Q5318" s="34"/>
      <c r="R5318" s="34"/>
    </row>
    <row r="5319" spans="13:18">
      <c r="M5319" s="34"/>
      <c r="N5319" s="34"/>
      <c r="O5319" s="34"/>
      <c r="P5319" s="34"/>
      <c r="Q5319" s="34"/>
      <c r="R5319" s="34"/>
    </row>
    <row r="5320" spans="13:18">
      <c r="M5320" s="34"/>
      <c r="N5320" s="34"/>
      <c r="O5320" s="34"/>
      <c r="P5320" s="34"/>
      <c r="Q5320" s="34"/>
      <c r="R5320" s="34"/>
    </row>
    <row r="5321" spans="13:18">
      <c r="M5321" s="34"/>
      <c r="N5321" s="34"/>
      <c r="O5321" s="34"/>
      <c r="P5321" s="34"/>
      <c r="Q5321" s="34"/>
      <c r="R5321" s="34"/>
    </row>
    <row r="5322" spans="13:18">
      <c r="M5322" s="34"/>
      <c r="N5322" s="34"/>
      <c r="O5322" s="34"/>
      <c r="P5322" s="34"/>
      <c r="Q5322" s="34"/>
      <c r="R5322" s="34"/>
    </row>
    <row r="5323" spans="13:18">
      <c r="M5323" s="34"/>
      <c r="N5323" s="34"/>
      <c r="O5323" s="34"/>
      <c r="P5323" s="34"/>
      <c r="Q5323" s="34"/>
      <c r="R5323" s="34"/>
    </row>
    <row r="5324" spans="13:18">
      <c r="M5324" s="34"/>
      <c r="N5324" s="34"/>
      <c r="O5324" s="34"/>
      <c r="P5324" s="34"/>
      <c r="Q5324" s="34"/>
      <c r="R5324" s="34"/>
    </row>
    <row r="5325" spans="13:18">
      <c r="M5325" s="34"/>
      <c r="N5325" s="34"/>
      <c r="O5325" s="34"/>
      <c r="P5325" s="34"/>
      <c r="Q5325" s="34"/>
      <c r="R5325" s="34"/>
    </row>
    <row r="5326" spans="13:18">
      <c r="M5326" s="34"/>
      <c r="N5326" s="34"/>
      <c r="O5326" s="34"/>
      <c r="P5326" s="34"/>
      <c r="Q5326" s="34"/>
      <c r="R5326" s="34"/>
    </row>
    <row r="5327" spans="13:18">
      <c r="M5327" s="34"/>
      <c r="N5327" s="34"/>
      <c r="O5327" s="34"/>
      <c r="P5327" s="34"/>
      <c r="Q5327" s="34"/>
      <c r="R5327" s="34"/>
    </row>
    <row r="5328" spans="13:18">
      <c r="M5328" s="34"/>
      <c r="N5328" s="34"/>
      <c r="O5328" s="34"/>
      <c r="P5328" s="34"/>
      <c r="Q5328" s="34"/>
      <c r="R5328" s="34"/>
    </row>
    <row r="5329" spans="13:18">
      <c r="M5329" s="34"/>
      <c r="N5329" s="34"/>
      <c r="O5329" s="34"/>
      <c r="P5329" s="34"/>
      <c r="Q5329" s="34"/>
      <c r="R5329" s="34"/>
    </row>
    <row r="5330" spans="13:18">
      <c r="M5330" s="34"/>
      <c r="N5330" s="34"/>
      <c r="O5330" s="34"/>
      <c r="P5330" s="34"/>
      <c r="Q5330" s="34"/>
      <c r="R5330" s="34"/>
    </row>
    <row r="5331" spans="13:18">
      <c r="M5331" s="34"/>
      <c r="N5331" s="34"/>
      <c r="O5331" s="34"/>
      <c r="P5331" s="34"/>
      <c r="Q5331" s="34"/>
      <c r="R5331" s="34"/>
    </row>
    <row r="5332" spans="13:18">
      <c r="M5332" s="34"/>
      <c r="N5332" s="34"/>
      <c r="O5332" s="34"/>
      <c r="P5332" s="34"/>
      <c r="Q5332" s="34"/>
      <c r="R5332" s="34"/>
    </row>
    <row r="5333" spans="13:18">
      <c r="M5333" s="34"/>
      <c r="N5333" s="34"/>
      <c r="O5333" s="34"/>
      <c r="P5333" s="34"/>
      <c r="Q5333" s="34"/>
      <c r="R5333" s="34"/>
    </row>
    <row r="5334" spans="13:18">
      <c r="M5334" s="34"/>
      <c r="N5334" s="34"/>
      <c r="O5334" s="34"/>
      <c r="P5334" s="34"/>
      <c r="Q5334" s="34"/>
      <c r="R5334" s="34"/>
    </row>
    <row r="5335" spans="13:18">
      <c r="M5335" s="34"/>
      <c r="N5335" s="34"/>
      <c r="O5335" s="34"/>
      <c r="P5335" s="34"/>
      <c r="Q5335" s="34"/>
      <c r="R5335" s="34"/>
    </row>
    <row r="5336" spans="13:18">
      <c r="M5336" s="34"/>
      <c r="N5336" s="34"/>
      <c r="O5336" s="34"/>
      <c r="P5336" s="34"/>
      <c r="Q5336" s="34"/>
      <c r="R5336" s="34"/>
    </row>
    <row r="5337" spans="13:18">
      <c r="M5337" s="34"/>
      <c r="N5337" s="34"/>
      <c r="O5337" s="34"/>
      <c r="P5337" s="34"/>
      <c r="Q5337" s="34"/>
      <c r="R5337" s="34"/>
    </row>
    <row r="5338" spans="13:18">
      <c r="M5338" s="34"/>
      <c r="N5338" s="34"/>
      <c r="O5338" s="34"/>
      <c r="P5338" s="34"/>
      <c r="Q5338" s="34"/>
      <c r="R5338" s="34"/>
    </row>
    <row r="5339" spans="13:18">
      <c r="M5339" s="34"/>
      <c r="N5339" s="34"/>
      <c r="O5339" s="34"/>
      <c r="P5339" s="34"/>
      <c r="Q5339" s="34"/>
      <c r="R5339" s="34"/>
    </row>
    <row r="5340" spans="13:18">
      <c r="M5340" s="34"/>
      <c r="N5340" s="34"/>
      <c r="O5340" s="34"/>
      <c r="P5340" s="34"/>
      <c r="Q5340" s="34"/>
      <c r="R5340" s="34"/>
    </row>
    <row r="5341" spans="13:18">
      <c r="M5341" s="34"/>
      <c r="N5341" s="34"/>
      <c r="O5341" s="34"/>
      <c r="P5341" s="34"/>
      <c r="Q5341" s="34"/>
      <c r="R5341" s="34"/>
    </row>
    <row r="5342" spans="13:18">
      <c r="M5342" s="34"/>
      <c r="N5342" s="34"/>
      <c r="O5342" s="34"/>
      <c r="P5342" s="34"/>
      <c r="Q5342" s="34"/>
      <c r="R5342" s="34"/>
    </row>
    <row r="5343" spans="13:18">
      <c r="M5343" s="34"/>
      <c r="N5343" s="34"/>
      <c r="O5343" s="34"/>
      <c r="P5343" s="34"/>
      <c r="Q5343" s="34"/>
      <c r="R5343" s="34"/>
    </row>
    <row r="5344" spans="13:18">
      <c r="M5344" s="34"/>
      <c r="N5344" s="34"/>
      <c r="O5344" s="34"/>
      <c r="P5344" s="34"/>
      <c r="Q5344" s="34"/>
      <c r="R5344" s="34"/>
    </row>
    <row r="5345" spans="13:18">
      <c r="M5345" s="34"/>
      <c r="N5345" s="34"/>
      <c r="O5345" s="34"/>
      <c r="P5345" s="34"/>
      <c r="Q5345" s="34"/>
      <c r="R5345" s="34"/>
    </row>
    <row r="5346" spans="13:18">
      <c r="M5346" s="34"/>
      <c r="N5346" s="34"/>
      <c r="O5346" s="34"/>
      <c r="P5346" s="34"/>
      <c r="Q5346" s="34"/>
      <c r="R5346" s="34"/>
    </row>
    <row r="5347" spans="13:18">
      <c r="M5347" s="34"/>
      <c r="N5347" s="34"/>
      <c r="O5347" s="34"/>
      <c r="P5347" s="34"/>
      <c r="Q5347" s="34"/>
      <c r="R5347" s="34"/>
    </row>
    <row r="5348" spans="13:18">
      <c r="M5348" s="34"/>
      <c r="N5348" s="34"/>
      <c r="O5348" s="34"/>
      <c r="P5348" s="34"/>
      <c r="Q5348" s="34"/>
      <c r="R5348" s="34"/>
    </row>
    <row r="5349" spans="13:18">
      <c r="M5349" s="34"/>
      <c r="N5349" s="34"/>
      <c r="O5349" s="34"/>
      <c r="P5349" s="34"/>
      <c r="Q5349" s="34"/>
      <c r="R5349" s="34"/>
    </row>
    <row r="5350" spans="13:18">
      <c r="M5350" s="34"/>
      <c r="N5350" s="34"/>
      <c r="O5350" s="34"/>
      <c r="P5350" s="34"/>
      <c r="Q5350" s="34"/>
      <c r="R5350" s="34"/>
    </row>
    <row r="5351" spans="13:18">
      <c r="M5351" s="34"/>
      <c r="N5351" s="34"/>
      <c r="O5351" s="34"/>
      <c r="P5351" s="34"/>
      <c r="Q5351" s="34"/>
      <c r="R5351" s="34"/>
    </row>
    <row r="5352" spans="13:18">
      <c r="M5352" s="34"/>
      <c r="N5352" s="34"/>
      <c r="O5352" s="34"/>
      <c r="P5352" s="34"/>
      <c r="Q5352" s="34"/>
      <c r="R5352" s="34"/>
    </row>
    <row r="5353" spans="13:18">
      <c r="M5353" s="34"/>
      <c r="N5353" s="34"/>
      <c r="O5353" s="34"/>
      <c r="P5353" s="34"/>
      <c r="Q5353" s="34"/>
      <c r="R5353" s="34"/>
    </row>
    <row r="5354" spans="13:18">
      <c r="M5354" s="34"/>
      <c r="N5354" s="34"/>
      <c r="O5354" s="34"/>
      <c r="P5354" s="34"/>
      <c r="Q5354" s="34"/>
      <c r="R5354" s="34"/>
    </row>
    <row r="5355" spans="13:18">
      <c r="M5355" s="34"/>
      <c r="N5355" s="34"/>
      <c r="O5355" s="34"/>
      <c r="P5355" s="34"/>
      <c r="Q5355" s="34"/>
      <c r="R5355" s="34"/>
    </row>
    <row r="5356" spans="13:18">
      <c r="M5356" s="34"/>
      <c r="N5356" s="34"/>
      <c r="O5356" s="34"/>
      <c r="P5356" s="34"/>
      <c r="Q5356" s="34"/>
      <c r="R5356" s="34"/>
    </row>
    <row r="5357" spans="13:18">
      <c r="M5357" s="34"/>
      <c r="N5357" s="34"/>
      <c r="O5357" s="34"/>
      <c r="P5357" s="34"/>
      <c r="Q5357" s="34"/>
      <c r="R5357" s="34"/>
    </row>
    <row r="5358" spans="13:18">
      <c r="M5358" s="34"/>
      <c r="N5358" s="34"/>
      <c r="O5358" s="34"/>
      <c r="P5358" s="34"/>
      <c r="Q5358" s="34"/>
      <c r="R5358" s="34"/>
    </row>
    <row r="5359" spans="13:18">
      <c r="M5359" s="34"/>
      <c r="N5359" s="34"/>
      <c r="O5359" s="34"/>
      <c r="P5359" s="34"/>
      <c r="Q5359" s="34"/>
      <c r="R5359" s="34"/>
    </row>
    <row r="5360" spans="13:18">
      <c r="M5360" s="34"/>
      <c r="N5360" s="34"/>
      <c r="O5360" s="34"/>
      <c r="P5360" s="34"/>
      <c r="Q5360" s="34"/>
      <c r="R5360" s="34"/>
    </row>
    <row r="5361" spans="13:18">
      <c r="M5361" s="34"/>
      <c r="N5361" s="34"/>
      <c r="O5361" s="34"/>
      <c r="P5361" s="34"/>
      <c r="Q5361" s="34"/>
      <c r="R5361" s="34"/>
    </row>
    <row r="5362" spans="13:18">
      <c r="M5362" s="34"/>
      <c r="N5362" s="34"/>
      <c r="O5362" s="34"/>
      <c r="P5362" s="34"/>
      <c r="Q5362" s="34"/>
      <c r="R5362" s="34"/>
    </row>
    <row r="5363" spans="13:18">
      <c r="M5363" s="34"/>
      <c r="N5363" s="34"/>
      <c r="O5363" s="34"/>
      <c r="P5363" s="34"/>
      <c r="Q5363" s="34"/>
      <c r="R5363" s="34"/>
    </row>
    <row r="5364" spans="13:18">
      <c r="M5364" s="34"/>
      <c r="N5364" s="34"/>
      <c r="O5364" s="34"/>
      <c r="P5364" s="34"/>
      <c r="Q5364" s="34"/>
      <c r="R5364" s="34"/>
    </row>
    <row r="5365" spans="13:18">
      <c r="M5365" s="34"/>
      <c r="N5365" s="34"/>
      <c r="O5365" s="34"/>
      <c r="P5365" s="34"/>
      <c r="Q5365" s="34"/>
      <c r="R5365" s="34"/>
    </row>
    <row r="5366" spans="13:18">
      <c r="M5366" s="34"/>
      <c r="N5366" s="34"/>
      <c r="O5366" s="34"/>
      <c r="P5366" s="34"/>
      <c r="Q5366" s="34"/>
      <c r="R5366" s="34"/>
    </row>
    <row r="5367" spans="13:18">
      <c r="M5367" s="34"/>
      <c r="N5367" s="34"/>
      <c r="O5367" s="34"/>
      <c r="P5367" s="34"/>
      <c r="Q5367" s="34"/>
      <c r="R5367" s="34"/>
    </row>
    <row r="5368" spans="13:18">
      <c r="M5368" s="34"/>
      <c r="N5368" s="34"/>
      <c r="O5368" s="34"/>
      <c r="P5368" s="34"/>
      <c r="Q5368" s="34"/>
      <c r="R5368" s="34"/>
    </row>
    <row r="5369" spans="13:18">
      <c r="M5369" s="34"/>
      <c r="N5369" s="34"/>
      <c r="O5369" s="34"/>
      <c r="P5369" s="34"/>
      <c r="Q5369" s="34"/>
      <c r="R5369" s="34"/>
    </row>
    <row r="5370" spans="13:18">
      <c r="M5370" s="34"/>
      <c r="N5370" s="34"/>
      <c r="O5370" s="34"/>
      <c r="P5370" s="34"/>
      <c r="Q5370" s="34"/>
      <c r="R5370" s="34"/>
    </row>
    <row r="5371" spans="13:18">
      <c r="M5371" s="34"/>
      <c r="N5371" s="34"/>
      <c r="O5371" s="34"/>
      <c r="P5371" s="34"/>
      <c r="Q5371" s="34"/>
      <c r="R5371" s="34"/>
    </row>
    <row r="5372" spans="13:18">
      <c r="M5372" s="34"/>
      <c r="N5372" s="34"/>
      <c r="O5372" s="34"/>
      <c r="P5372" s="34"/>
      <c r="Q5372" s="34"/>
      <c r="R5372" s="34"/>
    </row>
    <row r="5373" spans="13:18">
      <c r="M5373" s="34"/>
      <c r="N5373" s="34"/>
      <c r="O5373" s="34"/>
      <c r="P5373" s="34"/>
      <c r="Q5373" s="34"/>
      <c r="R5373" s="34"/>
    </row>
    <row r="5374" spans="13:18">
      <c r="M5374" s="34"/>
      <c r="N5374" s="34"/>
      <c r="O5374" s="34"/>
      <c r="P5374" s="34"/>
      <c r="Q5374" s="34"/>
      <c r="R5374" s="34"/>
    </row>
    <row r="5375" spans="13:18">
      <c r="M5375" s="34"/>
      <c r="N5375" s="34"/>
      <c r="O5375" s="34"/>
      <c r="P5375" s="34"/>
      <c r="Q5375" s="34"/>
      <c r="R5375" s="34"/>
    </row>
    <row r="5376" spans="13:18">
      <c r="M5376" s="34"/>
      <c r="N5376" s="34"/>
      <c r="O5376" s="34"/>
      <c r="P5376" s="34"/>
      <c r="Q5376" s="34"/>
      <c r="R5376" s="34"/>
    </row>
    <row r="5377" spans="13:18">
      <c r="M5377" s="34"/>
      <c r="N5377" s="34"/>
      <c r="O5377" s="34"/>
      <c r="P5377" s="34"/>
      <c r="Q5377" s="34"/>
      <c r="R5377" s="34"/>
    </row>
    <row r="5378" spans="13:18">
      <c r="M5378" s="34"/>
      <c r="N5378" s="34"/>
      <c r="O5378" s="34"/>
      <c r="P5378" s="34"/>
      <c r="Q5378" s="34"/>
      <c r="R5378" s="34"/>
    </row>
    <row r="5379" spans="13:18">
      <c r="M5379" s="34"/>
      <c r="N5379" s="34"/>
      <c r="O5379" s="34"/>
      <c r="P5379" s="34"/>
      <c r="Q5379" s="34"/>
      <c r="R5379" s="34"/>
    </row>
    <row r="5380" spans="13:18">
      <c r="M5380" s="34"/>
      <c r="N5380" s="34"/>
      <c r="O5380" s="34"/>
      <c r="P5380" s="34"/>
      <c r="Q5380" s="34"/>
      <c r="R5380" s="34"/>
    </row>
    <row r="5381" spans="13:18">
      <c r="M5381" s="34"/>
      <c r="N5381" s="34"/>
      <c r="O5381" s="34"/>
      <c r="P5381" s="34"/>
      <c r="Q5381" s="34"/>
      <c r="R5381" s="34"/>
    </row>
    <row r="5382" spans="13:18">
      <c r="M5382" s="34"/>
      <c r="N5382" s="34"/>
      <c r="O5382" s="34"/>
      <c r="P5382" s="34"/>
      <c r="Q5382" s="34"/>
      <c r="R5382" s="34"/>
    </row>
    <row r="5383" spans="13:18">
      <c r="M5383" s="34"/>
      <c r="N5383" s="34"/>
      <c r="O5383" s="34"/>
      <c r="P5383" s="34"/>
      <c r="Q5383" s="34"/>
      <c r="R5383" s="34"/>
    </row>
    <row r="5384" spans="13:18">
      <c r="M5384" s="34"/>
      <c r="N5384" s="34"/>
      <c r="O5384" s="34"/>
      <c r="P5384" s="34"/>
      <c r="Q5384" s="34"/>
      <c r="R5384" s="34"/>
    </row>
    <row r="5385" spans="13:18">
      <c r="M5385" s="34"/>
      <c r="N5385" s="34"/>
      <c r="O5385" s="34"/>
      <c r="P5385" s="34"/>
      <c r="Q5385" s="34"/>
      <c r="R5385" s="34"/>
    </row>
    <row r="5386" spans="13:18">
      <c r="M5386" s="34"/>
      <c r="N5386" s="34"/>
      <c r="O5386" s="34"/>
      <c r="P5386" s="34"/>
      <c r="Q5386" s="34"/>
      <c r="R5386" s="34"/>
    </row>
    <row r="5387" spans="13:18">
      <c r="M5387" s="34"/>
      <c r="N5387" s="34"/>
      <c r="O5387" s="34"/>
      <c r="P5387" s="34"/>
      <c r="Q5387" s="34"/>
      <c r="R5387" s="34"/>
    </row>
    <row r="5388" spans="13:18">
      <c r="M5388" s="34"/>
      <c r="N5388" s="34"/>
      <c r="O5388" s="34"/>
      <c r="P5388" s="34"/>
      <c r="Q5388" s="34"/>
      <c r="R5388" s="34"/>
    </row>
    <row r="5389" spans="13:18">
      <c r="M5389" s="34"/>
      <c r="N5389" s="34"/>
      <c r="O5389" s="34"/>
      <c r="P5389" s="34"/>
      <c r="Q5389" s="34"/>
      <c r="R5389" s="34"/>
    </row>
    <row r="5390" spans="13:18">
      <c r="M5390" s="34"/>
      <c r="N5390" s="34"/>
      <c r="O5390" s="34"/>
      <c r="P5390" s="34"/>
      <c r="Q5390" s="34"/>
      <c r="R5390" s="34"/>
    </row>
    <row r="5391" spans="13:18">
      <c r="M5391" s="34"/>
      <c r="N5391" s="34"/>
      <c r="O5391" s="34"/>
      <c r="P5391" s="34"/>
      <c r="Q5391" s="34"/>
      <c r="R5391" s="34"/>
    </row>
    <row r="5392" spans="13:18">
      <c r="M5392" s="34"/>
      <c r="N5392" s="34"/>
      <c r="O5392" s="34"/>
      <c r="P5392" s="34"/>
      <c r="Q5392" s="34"/>
      <c r="R5392" s="34"/>
    </row>
    <row r="5393" spans="13:18">
      <c r="M5393" s="34"/>
      <c r="N5393" s="34"/>
      <c r="O5393" s="34"/>
      <c r="P5393" s="34"/>
      <c r="Q5393" s="34"/>
      <c r="R5393" s="34"/>
    </row>
    <row r="5394" spans="13:18">
      <c r="M5394" s="34"/>
      <c r="N5394" s="34"/>
      <c r="O5394" s="34"/>
      <c r="P5394" s="34"/>
      <c r="Q5394" s="34"/>
      <c r="R5394" s="34"/>
    </row>
    <row r="5395" spans="13:18">
      <c r="M5395" s="34"/>
      <c r="N5395" s="34"/>
      <c r="O5395" s="34"/>
      <c r="P5395" s="34"/>
      <c r="Q5395" s="34"/>
      <c r="R5395" s="34"/>
    </row>
    <row r="5396" spans="13:18">
      <c r="M5396" s="34"/>
      <c r="N5396" s="34"/>
      <c r="O5396" s="34"/>
      <c r="P5396" s="34"/>
      <c r="Q5396" s="34"/>
      <c r="R5396" s="34"/>
    </row>
    <row r="5397" spans="13:18">
      <c r="M5397" s="34"/>
      <c r="N5397" s="34"/>
      <c r="O5397" s="34"/>
      <c r="P5397" s="34"/>
      <c r="Q5397" s="34"/>
      <c r="R5397" s="34"/>
    </row>
    <row r="5398" spans="13:18">
      <c r="M5398" s="34"/>
      <c r="N5398" s="34"/>
      <c r="O5398" s="34"/>
      <c r="P5398" s="34"/>
      <c r="Q5398" s="34"/>
      <c r="R5398" s="34"/>
    </row>
    <row r="5399" spans="13:18">
      <c r="M5399" s="34"/>
      <c r="N5399" s="34"/>
      <c r="O5399" s="34"/>
      <c r="P5399" s="34"/>
      <c r="Q5399" s="34"/>
      <c r="R5399" s="34"/>
    </row>
    <row r="5400" spans="13:18">
      <c r="M5400" s="34"/>
      <c r="N5400" s="34"/>
      <c r="O5400" s="34"/>
      <c r="P5400" s="34"/>
      <c r="Q5400" s="34"/>
      <c r="R5400" s="34"/>
    </row>
    <row r="5401" spans="13:18">
      <c r="M5401" s="34"/>
      <c r="N5401" s="34"/>
      <c r="O5401" s="34"/>
      <c r="P5401" s="34"/>
      <c r="Q5401" s="34"/>
      <c r="R5401" s="34"/>
    </row>
    <row r="5402" spans="13:18">
      <c r="M5402" s="34"/>
      <c r="N5402" s="34"/>
      <c r="O5402" s="34"/>
      <c r="P5402" s="34"/>
      <c r="Q5402" s="34"/>
      <c r="R5402" s="34"/>
    </row>
    <row r="5403" spans="13:18">
      <c r="M5403" s="34"/>
      <c r="N5403" s="34"/>
      <c r="O5403" s="34"/>
      <c r="P5403" s="34"/>
      <c r="Q5403" s="34"/>
      <c r="R5403" s="34"/>
    </row>
    <row r="5404" spans="13:18">
      <c r="M5404" s="34"/>
      <c r="N5404" s="34"/>
      <c r="O5404" s="34"/>
      <c r="P5404" s="34"/>
      <c r="Q5404" s="34"/>
      <c r="R5404" s="34"/>
    </row>
    <row r="5405" spans="13:18">
      <c r="M5405" s="34"/>
      <c r="N5405" s="34"/>
      <c r="O5405" s="34"/>
      <c r="P5405" s="34"/>
      <c r="Q5405" s="34"/>
      <c r="R5405" s="34"/>
    </row>
    <row r="5406" spans="13:18">
      <c r="M5406" s="34"/>
      <c r="N5406" s="34"/>
      <c r="O5406" s="34"/>
      <c r="P5406" s="34"/>
      <c r="Q5406" s="34"/>
      <c r="R5406" s="34"/>
    </row>
    <row r="5407" spans="13:18">
      <c r="M5407" s="34"/>
      <c r="N5407" s="34"/>
      <c r="O5407" s="34"/>
      <c r="P5407" s="34"/>
      <c r="Q5407" s="34"/>
      <c r="R5407" s="34"/>
    </row>
    <row r="5408" spans="13:18">
      <c r="M5408" s="34"/>
      <c r="N5408" s="34"/>
      <c r="O5408" s="34"/>
      <c r="P5408" s="34"/>
      <c r="Q5408" s="34"/>
      <c r="R5408" s="34"/>
    </row>
    <row r="5409" spans="13:18">
      <c r="M5409" s="34"/>
      <c r="N5409" s="34"/>
      <c r="O5409" s="34"/>
      <c r="P5409" s="34"/>
      <c r="Q5409" s="34"/>
      <c r="R5409" s="34"/>
    </row>
    <row r="5410" spans="13:18">
      <c r="M5410" s="34"/>
      <c r="N5410" s="34"/>
      <c r="O5410" s="34"/>
      <c r="P5410" s="34"/>
      <c r="Q5410" s="34"/>
      <c r="R5410" s="34"/>
    </row>
    <row r="5411" spans="13:18">
      <c r="M5411" s="34"/>
      <c r="N5411" s="34"/>
      <c r="O5411" s="34"/>
      <c r="P5411" s="34"/>
      <c r="Q5411" s="34"/>
      <c r="R5411" s="34"/>
    </row>
    <row r="5412" spans="13:18">
      <c r="M5412" s="34"/>
      <c r="N5412" s="34"/>
      <c r="O5412" s="34"/>
      <c r="P5412" s="34"/>
      <c r="Q5412" s="34"/>
      <c r="R5412" s="34"/>
    </row>
    <row r="5413" spans="13:18">
      <c r="M5413" s="34"/>
      <c r="N5413" s="34"/>
      <c r="O5413" s="34"/>
      <c r="P5413" s="34"/>
      <c r="Q5413" s="34"/>
      <c r="R5413" s="34"/>
    </row>
    <row r="5414" spans="13:18">
      <c r="M5414" s="34"/>
      <c r="N5414" s="34"/>
      <c r="O5414" s="34"/>
      <c r="P5414" s="34"/>
      <c r="Q5414" s="34"/>
      <c r="R5414" s="34"/>
    </row>
    <row r="5415" spans="13:18">
      <c r="M5415" s="34"/>
      <c r="N5415" s="34"/>
      <c r="O5415" s="34"/>
      <c r="P5415" s="34"/>
      <c r="Q5415" s="34"/>
      <c r="R5415" s="34"/>
    </row>
    <row r="5416" spans="13:18">
      <c r="M5416" s="34"/>
      <c r="N5416" s="34"/>
      <c r="O5416" s="34"/>
      <c r="P5416" s="34"/>
      <c r="Q5416" s="34"/>
      <c r="R5416" s="34"/>
    </row>
    <row r="5417" spans="13:18">
      <c r="M5417" s="34"/>
      <c r="N5417" s="34"/>
      <c r="O5417" s="34"/>
      <c r="P5417" s="34"/>
      <c r="Q5417" s="34"/>
      <c r="R5417" s="34"/>
    </row>
    <row r="5418" spans="13:18">
      <c r="M5418" s="34"/>
      <c r="N5418" s="34"/>
      <c r="O5418" s="34"/>
      <c r="P5418" s="34"/>
      <c r="Q5418" s="34"/>
      <c r="R5418" s="34"/>
    </row>
    <row r="5419" spans="13:18">
      <c r="M5419" s="34"/>
      <c r="N5419" s="34"/>
      <c r="O5419" s="34"/>
      <c r="P5419" s="34"/>
      <c r="Q5419" s="34"/>
      <c r="R5419" s="34"/>
    </row>
    <row r="5420" spans="13:18">
      <c r="M5420" s="34"/>
      <c r="N5420" s="34"/>
      <c r="O5420" s="34"/>
      <c r="P5420" s="34"/>
      <c r="Q5420" s="34"/>
      <c r="R5420" s="34"/>
    </row>
    <row r="5421" spans="13:18">
      <c r="M5421" s="34"/>
      <c r="N5421" s="34"/>
      <c r="O5421" s="34"/>
      <c r="P5421" s="34"/>
      <c r="Q5421" s="34"/>
      <c r="R5421" s="34"/>
    </row>
    <row r="5422" spans="13:18">
      <c r="M5422" s="34"/>
      <c r="N5422" s="34"/>
      <c r="O5422" s="34"/>
      <c r="P5422" s="34"/>
      <c r="Q5422" s="34"/>
      <c r="R5422" s="34"/>
    </row>
    <row r="5423" spans="13:18">
      <c r="M5423" s="34"/>
      <c r="N5423" s="34"/>
      <c r="O5423" s="34"/>
      <c r="P5423" s="34"/>
      <c r="Q5423" s="34"/>
      <c r="R5423" s="34"/>
    </row>
    <row r="5424" spans="13:18">
      <c r="M5424" s="34"/>
      <c r="N5424" s="34"/>
      <c r="O5424" s="34"/>
      <c r="P5424" s="34"/>
      <c r="Q5424" s="34"/>
      <c r="R5424" s="34"/>
    </row>
    <row r="5425" spans="13:18">
      <c r="M5425" s="34"/>
      <c r="N5425" s="34"/>
      <c r="O5425" s="34"/>
      <c r="P5425" s="34"/>
      <c r="Q5425" s="34"/>
      <c r="R5425" s="34"/>
    </row>
    <row r="5426" spans="13:18">
      <c r="M5426" s="34"/>
      <c r="N5426" s="34"/>
      <c r="O5426" s="34"/>
      <c r="P5426" s="34"/>
      <c r="Q5426" s="34"/>
      <c r="R5426" s="34"/>
    </row>
    <row r="5427" spans="13:18">
      <c r="M5427" s="34"/>
      <c r="N5427" s="34"/>
      <c r="O5427" s="34"/>
      <c r="P5427" s="34"/>
      <c r="Q5427" s="34"/>
      <c r="R5427" s="34"/>
    </row>
    <row r="5428" spans="13:18">
      <c r="M5428" s="34"/>
      <c r="N5428" s="34"/>
      <c r="O5428" s="34"/>
      <c r="P5428" s="34"/>
      <c r="Q5428" s="34"/>
      <c r="R5428" s="34"/>
    </row>
    <row r="5429" spans="13:18">
      <c r="M5429" s="34"/>
      <c r="N5429" s="34"/>
      <c r="O5429" s="34"/>
      <c r="P5429" s="34"/>
      <c r="Q5429" s="34"/>
      <c r="R5429" s="34"/>
    </row>
    <row r="5430" spans="13:18">
      <c r="M5430" s="34"/>
      <c r="N5430" s="34"/>
      <c r="O5430" s="34"/>
      <c r="P5430" s="34"/>
      <c r="Q5430" s="34"/>
      <c r="R5430" s="34"/>
    </row>
    <row r="5431" spans="13:18">
      <c r="M5431" s="34"/>
      <c r="N5431" s="34"/>
      <c r="O5431" s="34"/>
      <c r="P5431" s="34"/>
      <c r="Q5431" s="34"/>
      <c r="R5431" s="34"/>
    </row>
    <row r="5432" spans="13:18">
      <c r="M5432" s="34"/>
      <c r="N5432" s="34"/>
      <c r="O5432" s="34"/>
      <c r="P5432" s="34"/>
      <c r="Q5432" s="34"/>
      <c r="R5432" s="34"/>
    </row>
    <row r="5433" spans="13:18">
      <c r="M5433" s="34"/>
      <c r="N5433" s="34"/>
      <c r="O5433" s="34"/>
      <c r="P5433" s="34"/>
      <c r="Q5433" s="34"/>
      <c r="R5433" s="34"/>
    </row>
    <row r="5434" spans="13:18">
      <c r="M5434" s="34"/>
      <c r="N5434" s="34"/>
      <c r="O5434" s="34"/>
      <c r="P5434" s="34"/>
      <c r="Q5434" s="34"/>
      <c r="R5434" s="34"/>
    </row>
    <row r="5435" spans="13:18">
      <c r="M5435" s="34"/>
      <c r="N5435" s="34"/>
      <c r="O5435" s="34"/>
      <c r="P5435" s="34"/>
      <c r="Q5435" s="34"/>
      <c r="R5435" s="34"/>
    </row>
    <row r="5436" spans="13:18">
      <c r="M5436" s="34"/>
      <c r="N5436" s="34"/>
      <c r="O5436" s="34"/>
      <c r="P5436" s="34"/>
      <c r="Q5436" s="34"/>
      <c r="R5436" s="34"/>
    </row>
    <row r="5437" spans="13:18">
      <c r="M5437" s="34"/>
      <c r="N5437" s="34"/>
      <c r="O5437" s="34"/>
      <c r="P5437" s="34"/>
      <c r="Q5437" s="34"/>
      <c r="R5437" s="34"/>
    </row>
    <row r="5438" spans="13:18">
      <c r="M5438" s="34"/>
      <c r="N5438" s="34"/>
      <c r="O5438" s="34"/>
      <c r="P5438" s="34"/>
      <c r="Q5438" s="34"/>
      <c r="R5438" s="34"/>
    </row>
    <row r="5439" spans="13:18">
      <c r="M5439" s="34"/>
      <c r="N5439" s="34"/>
      <c r="O5439" s="34"/>
      <c r="P5439" s="34"/>
      <c r="Q5439" s="34"/>
      <c r="R5439" s="34"/>
    </row>
    <row r="5440" spans="13:18">
      <c r="M5440" s="34"/>
      <c r="N5440" s="34"/>
      <c r="O5440" s="34"/>
      <c r="P5440" s="34"/>
      <c r="Q5440" s="34"/>
      <c r="R5440" s="34"/>
    </row>
    <row r="5441" spans="13:18">
      <c r="M5441" s="34"/>
      <c r="N5441" s="34"/>
      <c r="O5441" s="34"/>
      <c r="P5441" s="34"/>
      <c r="Q5441" s="34"/>
      <c r="R5441" s="34"/>
    </row>
    <row r="5442" spans="13:18">
      <c r="M5442" s="34"/>
      <c r="N5442" s="34"/>
      <c r="O5442" s="34"/>
      <c r="P5442" s="34"/>
      <c r="Q5442" s="34"/>
      <c r="R5442" s="34"/>
    </row>
    <row r="5443" spans="13:18">
      <c r="M5443" s="34"/>
      <c r="N5443" s="34"/>
      <c r="O5443" s="34"/>
      <c r="P5443" s="34"/>
      <c r="Q5443" s="34"/>
      <c r="R5443" s="34"/>
    </row>
    <row r="5444" spans="13:18">
      <c r="M5444" s="34"/>
      <c r="N5444" s="34"/>
      <c r="O5444" s="34"/>
      <c r="P5444" s="34"/>
      <c r="Q5444" s="34"/>
      <c r="R5444" s="34"/>
    </row>
    <row r="5445" spans="13:18">
      <c r="M5445" s="34"/>
      <c r="N5445" s="34"/>
      <c r="O5445" s="34"/>
      <c r="P5445" s="34"/>
      <c r="Q5445" s="34"/>
      <c r="R5445" s="34"/>
    </row>
    <row r="5446" spans="13:18">
      <c r="M5446" s="34"/>
      <c r="N5446" s="34"/>
      <c r="O5446" s="34"/>
      <c r="P5446" s="34"/>
      <c r="Q5446" s="34"/>
      <c r="R5446" s="34"/>
    </row>
    <row r="5447" spans="13:18">
      <c r="M5447" s="34"/>
      <c r="N5447" s="34"/>
      <c r="O5447" s="34"/>
      <c r="P5447" s="34"/>
      <c r="Q5447" s="34"/>
      <c r="R5447" s="34"/>
    </row>
    <row r="5448" spans="13:18">
      <c r="M5448" s="34"/>
      <c r="N5448" s="34"/>
      <c r="O5448" s="34"/>
      <c r="P5448" s="34"/>
      <c r="Q5448" s="34"/>
      <c r="R5448" s="34"/>
    </row>
    <row r="5449" spans="13:18">
      <c r="M5449" s="34"/>
      <c r="N5449" s="34"/>
      <c r="O5449" s="34"/>
      <c r="P5449" s="34"/>
      <c r="Q5449" s="34"/>
      <c r="R5449" s="34"/>
    </row>
    <row r="5450" spans="13:18">
      <c r="M5450" s="34"/>
      <c r="N5450" s="34"/>
      <c r="O5450" s="34"/>
      <c r="P5450" s="34"/>
      <c r="Q5450" s="34"/>
      <c r="R5450" s="34"/>
    </row>
    <row r="5451" spans="13:18">
      <c r="M5451" s="34"/>
      <c r="N5451" s="34"/>
      <c r="O5451" s="34"/>
      <c r="P5451" s="34"/>
      <c r="Q5451" s="34"/>
      <c r="R5451" s="34"/>
    </row>
    <row r="5452" spans="13:18">
      <c r="M5452" s="34"/>
      <c r="N5452" s="34"/>
      <c r="O5452" s="34"/>
      <c r="P5452" s="34"/>
      <c r="Q5452" s="34"/>
      <c r="R5452" s="34"/>
    </row>
    <row r="5453" spans="13:18">
      <c r="M5453" s="34"/>
      <c r="N5453" s="34"/>
      <c r="O5453" s="34"/>
      <c r="P5453" s="34"/>
      <c r="Q5453" s="34"/>
      <c r="R5453" s="34"/>
    </row>
    <row r="5454" spans="13:18">
      <c r="M5454" s="34"/>
      <c r="N5454" s="34"/>
      <c r="O5454" s="34"/>
      <c r="P5454" s="34"/>
      <c r="Q5454" s="34"/>
      <c r="R5454" s="34"/>
    </row>
    <row r="5455" spans="13:18">
      <c r="M5455" s="34"/>
      <c r="N5455" s="34"/>
      <c r="O5455" s="34"/>
      <c r="P5455" s="34"/>
      <c r="Q5455" s="34"/>
      <c r="R5455" s="34"/>
    </row>
    <row r="5456" spans="13:18">
      <c r="M5456" s="34"/>
      <c r="N5456" s="34"/>
      <c r="O5456" s="34"/>
      <c r="P5456" s="34"/>
      <c r="Q5456" s="34"/>
      <c r="R5456" s="34"/>
    </row>
    <row r="5457" spans="13:18">
      <c r="M5457" s="34"/>
      <c r="N5457" s="34"/>
      <c r="O5457" s="34"/>
      <c r="P5457" s="34"/>
      <c r="Q5457" s="34"/>
      <c r="R5457" s="34"/>
    </row>
    <row r="5458" spans="13:18">
      <c r="M5458" s="34"/>
      <c r="N5458" s="34"/>
      <c r="O5458" s="34"/>
      <c r="P5458" s="34"/>
      <c r="Q5458" s="34"/>
      <c r="R5458" s="34"/>
    </row>
    <row r="5459" spans="13:18">
      <c r="M5459" s="34"/>
      <c r="N5459" s="34"/>
      <c r="O5459" s="34"/>
      <c r="P5459" s="34"/>
      <c r="Q5459" s="34"/>
      <c r="R5459" s="34"/>
    </row>
    <row r="5460" spans="13:18">
      <c r="M5460" s="34"/>
      <c r="N5460" s="34"/>
      <c r="O5460" s="34"/>
      <c r="P5460" s="34"/>
      <c r="Q5460" s="34"/>
      <c r="R5460" s="34"/>
    </row>
    <row r="5461" spans="13:18">
      <c r="M5461" s="34"/>
      <c r="N5461" s="34"/>
      <c r="O5461" s="34"/>
      <c r="P5461" s="34"/>
      <c r="Q5461" s="34"/>
      <c r="R5461" s="34"/>
    </row>
    <row r="5462" spans="13:18">
      <c r="M5462" s="34"/>
      <c r="N5462" s="34"/>
      <c r="O5462" s="34"/>
      <c r="P5462" s="34"/>
      <c r="Q5462" s="34"/>
      <c r="R5462" s="34"/>
    </row>
    <row r="5463" spans="13:18">
      <c r="M5463" s="34"/>
      <c r="N5463" s="34"/>
      <c r="O5463" s="34"/>
      <c r="P5463" s="34"/>
      <c r="Q5463" s="34"/>
      <c r="R5463" s="34"/>
    </row>
    <row r="5464" spans="13:18">
      <c r="M5464" s="34"/>
      <c r="N5464" s="34"/>
      <c r="O5464" s="34"/>
      <c r="P5464" s="34"/>
      <c r="Q5464" s="34"/>
      <c r="R5464" s="34"/>
    </row>
    <row r="5465" spans="13:18">
      <c r="M5465" s="34"/>
      <c r="N5465" s="34"/>
      <c r="O5465" s="34"/>
      <c r="P5465" s="34"/>
      <c r="Q5465" s="34"/>
      <c r="R5465" s="34"/>
    </row>
    <row r="5466" spans="13:18">
      <c r="M5466" s="34"/>
      <c r="N5466" s="34"/>
      <c r="O5466" s="34"/>
      <c r="P5466" s="34"/>
      <c r="Q5466" s="34"/>
      <c r="R5466" s="34"/>
    </row>
    <row r="5467" spans="13:18">
      <c r="M5467" s="34"/>
      <c r="N5467" s="34"/>
      <c r="O5467" s="34"/>
      <c r="P5467" s="34"/>
      <c r="Q5467" s="34"/>
      <c r="R5467" s="34"/>
    </row>
    <row r="5468" spans="13:18">
      <c r="M5468" s="34"/>
      <c r="N5468" s="34"/>
      <c r="O5468" s="34"/>
      <c r="P5468" s="34"/>
      <c r="Q5468" s="34"/>
      <c r="R5468" s="34"/>
    </row>
    <row r="5469" spans="13:18">
      <c r="M5469" s="34"/>
      <c r="N5469" s="34"/>
      <c r="O5469" s="34"/>
      <c r="P5469" s="34"/>
      <c r="Q5469" s="34"/>
      <c r="R5469" s="34"/>
    </row>
    <row r="5470" spans="13:18">
      <c r="M5470" s="34"/>
      <c r="N5470" s="34"/>
      <c r="O5470" s="34"/>
      <c r="P5470" s="34"/>
      <c r="Q5470" s="34"/>
      <c r="R5470" s="34"/>
    </row>
    <row r="5471" spans="13:18">
      <c r="M5471" s="34"/>
      <c r="N5471" s="34"/>
      <c r="O5471" s="34"/>
      <c r="P5471" s="34"/>
      <c r="Q5471" s="34"/>
      <c r="R5471" s="34"/>
    </row>
    <row r="5472" spans="13:18">
      <c r="M5472" s="34"/>
      <c r="N5472" s="34"/>
      <c r="O5472" s="34"/>
      <c r="P5472" s="34"/>
      <c r="Q5472" s="34"/>
      <c r="R5472" s="34"/>
    </row>
    <row r="5473" spans="13:18">
      <c r="M5473" s="34"/>
      <c r="N5473" s="34"/>
      <c r="O5473" s="34"/>
      <c r="P5473" s="34"/>
      <c r="Q5473" s="34"/>
      <c r="R5473" s="34"/>
    </row>
    <row r="5474" spans="13:18">
      <c r="M5474" s="34"/>
      <c r="N5474" s="34"/>
      <c r="O5474" s="34"/>
      <c r="P5474" s="34"/>
      <c r="Q5474" s="34"/>
      <c r="R5474" s="34"/>
    </row>
    <row r="5475" spans="13:18">
      <c r="M5475" s="34"/>
      <c r="N5475" s="34"/>
      <c r="O5475" s="34"/>
      <c r="P5475" s="34"/>
      <c r="Q5475" s="34"/>
      <c r="R5475" s="34"/>
    </row>
    <row r="5476" spans="13:18">
      <c r="M5476" s="34"/>
      <c r="N5476" s="34"/>
      <c r="O5476" s="34"/>
      <c r="P5476" s="34"/>
      <c r="Q5476" s="34"/>
      <c r="R5476" s="34"/>
    </row>
    <row r="5477" spans="13:18">
      <c r="M5477" s="34"/>
      <c r="N5477" s="34"/>
      <c r="O5477" s="34"/>
      <c r="P5477" s="34"/>
      <c r="Q5477" s="34"/>
      <c r="R5477" s="34"/>
    </row>
    <row r="5478" spans="13:18">
      <c r="M5478" s="34"/>
      <c r="N5478" s="34"/>
      <c r="O5478" s="34"/>
      <c r="P5478" s="34"/>
      <c r="Q5478" s="34"/>
      <c r="R5478" s="34"/>
    </row>
    <row r="5479" spans="13:18">
      <c r="M5479" s="34"/>
      <c r="N5479" s="34"/>
      <c r="O5479" s="34"/>
      <c r="P5479" s="34"/>
      <c r="Q5479" s="34"/>
      <c r="R5479" s="34"/>
    </row>
    <row r="5480" spans="13:18">
      <c r="M5480" s="34"/>
      <c r="N5480" s="34"/>
      <c r="O5480" s="34"/>
      <c r="P5480" s="34"/>
      <c r="Q5480" s="34"/>
      <c r="R5480" s="34"/>
    </row>
    <row r="5481" spans="13:18">
      <c r="M5481" s="34"/>
      <c r="N5481" s="34"/>
      <c r="O5481" s="34"/>
      <c r="P5481" s="34"/>
      <c r="Q5481" s="34"/>
      <c r="R5481" s="34"/>
    </row>
    <row r="5482" spans="13:18">
      <c r="M5482" s="34"/>
      <c r="N5482" s="34"/>
      <c r="O5482" s="34"/>
      <c r="P5482" s="34"/>
      <c r="Q5482" s="34"/>
      <c r="R5482" s="34"/>
    </row>
    <row r="5483" spans="13:18">
      <c r="M5483" s="34"/>
      <c r="N5483" s="34"/>
      <c r="O5483" s="34"/>
      <c r="P5483" s="34"/>
      <c r="Q5483" s="34"/>
      <c r="R5483" s="34"/>
    </row>
    <row r="5484" spans="13:18">
      <c r="M5484" s="34"/>
      <c r="N5484" s="34"/>
      <c r="O5484" s="34"/>
      <c r="P5484" s="34"/>
      <c r="Q5484" s="34"/>
      <c r="R5484" s="34"/>
    </row>
    <row r="5485" spans="13:18">
      <c r="M5485" s="34"/>
      <c r="N5485" s="34"/>
      <c r="O5485" s="34"/>
      <c r="P5485" s="34"/>
      <c r="Q5485" s="34"/>
      <c r="R5485" s="34"/>
    </row>
    <row r="5486" spans="13:18">
      <c r="M5486" s="34"/>
      <c r="N5486" s="34"/>
      <c r="O5486" s="34"/>
      <c r="P5486" s="34"/>
      <c r="Q5486" s="34"/>
      <c r="R5486" s="34"/>
    </row>
    <row r="5487" spans="13:18">
      <c r="M5487" s="34"/>
      <c r="N5487" s="34"/>
      <c r="O5487" s="34"/>
      <c r="P5487" s="34"/>
      <c r="Q5487" s="34"/>
      <c r="R5487" s="34"/>
    </row>
    <row r="5488" spans="13:18">
      <c r="M5488" s="34"/>
      <c r="N5488" s="34"/>
      <c r="O5488" s="34"/>
      <c r="P5488" s="34"/>
      <c r="Q5488" s="34"/>
      <c r="R5488" s="34"/>
    </row>
    <row r="5489" spans="13:18">
      <c r="M5489" s="34"/>
      <c r="N5489" s="34"/>
      <c r="O5489" s="34"/>
      <c r="P5489" s="34"/>
      <c r="Q5489" s="34"/>
      <c r="R5489" s="34"/>
    </row>
    <row r="5490" spans="13:18">
      <c r="M5490" s="34"/>
      <c r="N5490" s="34"/>
      <c r="O5490" s="34"/>
      <c r="P5490" s="34"/>
      <c r="Q5490" s="34"/>
      <c r="R5490" s="34"/>
    </row>
    <row r="5491" spans="13:18">
      <c r="M5491" s="34"/>
      <c r="N5491" s="34"/>
      <c r="O5491" s="34"/>
      <c r="P5491" s="34"/>
      <c r="Q5491" s="34"/>
      <c r="R5491" s="34"/>
    </row>
    <row r="5492" spans="13:18">
      <c r="M5492" s="34"/>
      <c r="N5492" s="34"/>
      <c r="O5492" s="34"/>
      <c r="P5492" s="34"/>
      <c r="Q5492" s="34"/>
      <c r="R5492" s="34"/>
    </row>
    <row r="5493" spans="13:18">
      <c r="M5493" s="34"/>
      <c r="N5493" s="34"/>
      <c r="O5493" s="34"/>
      <c r="P5493" s="34"/>
      <c r="Q5493" s="34"/>
      <c r="R5493" s="34"/>
    </row>
    <row r="5494" spans="13:18">
      <c r="M5494" s="34"/>
      <c r="N5494" s="34"/>
      <c r="O5494" s="34"/>
      <c r="P5494" s="34"/>
      <c r="Q5494" s="34"/>
      <c r="R5494" s="34"/>
    </row>
    <row r="5495" spans="13:18">
      <c r="M5495" s="34"/>
      <c r="N5495" s="34"/>
      <c r="O5495" s="34"/>
      <c r="P5495" s="34"/>
      <c r="Q5495" s="34"/>
      <c r="R5495" s="34"/>
    </row>
    <row r="5496" spans="13:18">
      <c r="M5496" s="34"/>
      <c r="N5496" s="34"/>
      <c r="O5496" s="34"/>
      <c r="P5496" s="34"/>
      <c r="Q5496" s="34"/>
      <c r="R5496" s="34"/>
    </row>
    <row r="5497" spans="13:18">
      <c r="M5497" s="34"/>
      <c r="N5497" s="34"/>
      <c r="O5497" s="34"/>
      <c r="P5497" s="34"/>
      <c r="Q5497" s="34"/>
      <c r="R5497" s="34"/>
    </row>
    <row r="5498" spans="13:18">
      <c r="M5498" s="34"/>
      <c r="N5498" s="34"/>
      <c r="O5498" s="34"/>
      <c r="P5498" s="34"/>
      <c r="Q5498" s="34"/>
      <c r="R5498" s="34"/>
    </row>
    <row r="5499" spans="13:18">
      <c r="M5499" s="34"/>
      <c r="N5499" s="34"/>
      <c r="O5499" s="34"/>
      <c r="P5499" s="34"/>
      <c r="Q5499" s="34"/>
      <c r="R5499" s="34"/>
    </row>
    <row r="5500" spans="13:18">
      <c r="M5500" s="34"/>
      <c r="N5500" s="34"/>
      <c r="O5500" s="34"/>
      <c r="P5500" s="34"/>
      <c r="Q5500" s="34"/>
      <c r="R5500" s="34"/>
    </row>
    <row r="5501" spans="13:18">
      <c r="M5501" s="34"/>
      <c r="N5501" s="34"/>
      <c r="O5501" s="34"/>
      <c r="P5501" s="34"/>
      <c r="Q5501" s="34"/>
      <c r="R5501" s="34"/>
    </row>
    <row r="5502" spans="13:18">
      <c r="M5502" s="34"/>
      <c r="N5502" s="34"/>
      <c r="O5502" s="34"/>
      <c r="P5502" s="34"/>
      <c r="Q5502" s="34"/>
      <c r="R5502" s="34"/>
    </row>
    <row r="5503" spans="13:18">
      <c r="M5503" s="34"/>
      <c r="N5503" s="34"/>
      <c r="O5503" s="34"/>
      <c r="P5503" s="34"/>
      <c r="Q5503" s="34"/>
      <c r="R5503" s="34"/>
    </row>
    <row r="5504" spans="13:18">
      <c r="M5504" s="34"/>
      <c r="N5504" s="34"/>
      <c r="O5504" s="34"/>
      <c r="P5504" s="34"/>
      <c r="Q5504" s="34"/>
      <c r="R5504" s="34"/>
    </row>
    <row r="5505" spans="13:18">
      <c r="M5505" s="34"/>
      <c r="N5505" s="34"/>
      <c r="O5505" s="34"/>
      <c r="P5505" s="34"/>
      <c r="Q5505" s="34"/>
      <c r="R5505" s="34"/>
    </row>
    <row r="5506" spans="13:18">
      <c r="M5506" s="34"/>
      <c r="N5506" s="34"/>
      <c r="O5506" s="34"/>
      <c r="P5506" s="34"/>
      <c r="Q5506" s="34"/>
      <c r="R5506" s="34"/>
    </row>
    <row r="5507" spans="13:18">
      <c r="M5507" s="34"/>
      <c r="N5507" s="34"/>
      <c r="O5507" s="34"/>
      <c r="P5507" s="34"/>
      <c r="Q5507" s="34"/>
      <c r="R5507" s="34"/>
    </row>
    <row r="5508" spans="13:18">
      <c r="M5508" s="34"/>
      <c r="N5508" s="34"/>
      <c r="O5508" s="34"/>
      <c r="P5508" s="34"/>
      <c r="Q5508" s="34"/>
      <c r="R5508" s="34"/>
    </row>
    <row r="5509" spans="13:18">
      <c r="M5509" s="34"/>
      <c r="N5509" s="34"/>
      <c r="O5509" s="34"/>
      <c r="P5509" s="34"/>
      <c r="Q5509" s="34"/>
      <c r="R5509" s="34"/>
    </row>
    <row r="5510" spans="13:18">
      <c r="M5510" s="34"/>
      <c r="N5510" s="34"/>
      <c r="O5510" s="34"/>
      <c r="P5510" s="34"/>
      <c r="Q5510" s="34"/>
      <c r="R5510" s="34"/>
    </row>
    <row r="5511" spans="13:18">
      <c r="M5511" s="34"/>
      <c r="N5511" s="34"/>
      <c r="O5511" s="34"/>
      <c r="P5511" s="34"/>
      <c r="Q5511" s="34"/>
      <c r="R5511" s="34"/>
    </row>
    <row r="5512" spans="13:18">
      <c r="M5512" s="34"/>
      <c r="N5512" s="34"/>
      <c r="O5512" s="34"/>
      <c r="P5512" s="34"/>
      <c r="Q5512" s="34"/>
      <c r="R5512" s="34"/>
    </row>
    <row r="5513" spans="13:18">
      <c r="M5513" s="34"/>
      <c r="N5513" s="34"/>
      <c r="O5513" s="34"/>
      <c r="P5513" s="34"/>
      <c r="Q5513" s="34"/>
      <c r="R5513" s="34"/>
    </row>
    <row r="5514" spans="13:18">
      <c r="M5514" s="34"/>
      <c r="N5514" s="34"/>
      <c r="O5514" s="34"/>
      <c r="P5514" s="34"/>
      <c r="Q5514" s="34"/>
      <c r="R5514" s="34"/>
    </row>
    <row r="5515" spans="13:18">
      <c r="M5515" s="34"/>
      <c r="N5515" s="34"/>
      <c r="O5515" s="34"/>
      <c r="P5515" s="34"/>
      <c r="Q5515" s="34"/>
      <c r="R5515" s="34"/>
    </row>
    <row r="5516" spans="13:18">
      <c r="M5516" s="34"/>
      <c r="N5516" s="34"/>
      <c r="O5516" s="34"/>
      <c r="P5516" s="34"/>
      <c r="Q5516" s="34"/>
      <c r="R5516" s="34"/>
    </row>
    <row r="5517" spans="13:18">
      <c r="M5517" s="34"/>
      <c r="N5517" s="34"/>
      <c r="O5517" s="34"/>
      <c r="P5517" s="34"/>
      <c r="Q5517" s="34"/>
      <c r="R5517" s="34"/>
    </row>
    <row r="5518" spans="13:18">
      <c r="M5518" s="34"/>
      <c r="N5518" s="34"/>
      <c r="O5518" s="34"/>
      <c r="P5518" s="34"/>
      <c r="Q5518" s="34"/>
      <c r="R5518" s="34"/>
    </row>
    <row r="5519" spans="13:18">
      <c r="M5519" s="34"/>
      <c r="N5519" s="34"/>
      <c r="O5519" s="34"/>
      <c r="P5519" s="34"/>
      <c r="Q5519" s="34"/>
      <c r="R5519" s="34"/>
    </row>
    <row r="5520" spans="13:18">
      <c r="M5520" s="34"/>
      <c r="N5520" s="34"/>
      <c r="O5520" s="34"/>
      <c r="P5520" s="34"/>
      <c r="Q5520" s="34"/>
      <c r="R5520" s="34"/>
    </row>
    <row r="5521" spans="13:18">
      <c r="M5521" s="34"/>
      <c r="N5521" s="34"/>
      <c r="O5521" s="34"/>
      <c r="P5521" s="34"/>
      <c r="Q5521" s="34"/>
      <c r="R5521" s="34"/>
    </row>
    <row r="5522" spans="13:18">
      <c r="M5522" s="34"/>
      <c r="N5522" s="34"/>
      <c r="O5522" s="34"/>
      <c r="P5522" s="34"/>
      <c r="Q5522" s="34"/>
      <c r="R5522" s="34"/>
    </row>
    <row r="5523" spans="13:18">
      <c r="M5523" s="34"/>
      <c r="N5523" s="34"/>
      <c r="O5523" s="34"/>
      <c r="P5523" s="34"/>
      <c r="Q5523" s="34"/>
      <c r="R5523" s="34"/>
    </row>
    <row r="5524" spans="13:18">
      <c r="M5524" s="34"/>
      <c r="N5524" s="34"/>
      <c r="O5524" s="34"/>
      <c r="P5524" s="34"/>
      <c r="Q5524" s="34"/>
      <c r="R5524" s="34"/>
    </row>
    <row r="5525" spans="13:18">
      <c r="M5525" s="34"/>
      <c r="N5525" s="34"/>
      <c r="O5525" s="34"/>
      <c r="P5525" s="34"/>
      <c r="Q5525" s="34"/>
      <c r="R5525" s="34"/>
    </row>
    <row r="5526" spans="13:18">
      <c r="M5526" s="34"/>
      <c r="N5526" s="34"/>
      <c r="O5526" s="34"/>
      <c r="P5526" s="34"/>
      <c r="Q5526" s="34"/>
      <c r="R5526" s="34"/>
    </row>
    <row r="5527" spans="13:18">
      <c r="M5527" s="34"/>
      <c r="N5527" s="34"/>
      <c r="O5527" s="34"/>
      <c r="P5527" s="34"/>
      <c r="Q5527" s="34"/>
      <c r="R5527" s="34"/>
    </row>
    <row r="5528" spans="13:18">
      <c r="M5528" s="34"/>
      <c r="N5528" s="34"/>
      <c r="O5528" s="34"/>
      <c r="P5528" s="34"/>
      <c r="Q5528" s="34"/>
      <c r="R5528" s="34"/>
    </row>
    <row r="5529" spans="13:18">
      <c r="M5529" s="34"/>
      <c r="N5529" s="34"/>
      <c r="O5529" s="34"/>
      <c r="P5529" s="34"/>
      <c r="Q5529" s="34"/>
      <c r="R5529" s="34"/>
    </row>
    <row r="5530" spans="13:18">
      <c r="M5530" s="34"/>
      <c r="N5530" s="34"/>
      <c r="O5530" s="34"/>
      <c r="P5530" s="34"/>
      <c r="Q5530" s="34"/>
      <c r="R5530" s="34"/>
    </row>
    <row r="5531" spans="13:18">
      <c r="M5531" s="34"/>
      <c r="N5531" s="34"/>
      <c r="O5531" s="34"/>
      <c r="P5531" s="34"/>
      <c r="Q5531" s="34"/>
      <c r="R5531" s="34"/>
    </row>
    <row r="5532" spans="13:18">
      <c r="M5532" s="34"/>
      <c r="N5532" s="34"/>
      <c r="O5532" s="34"/>
      <c r="P5532" s="34"/>
      <c r="Q5532" s="34"/>
      <c r="R5532" s="34"/>
    </row>
    <row r="5533" spans="13:18">
      <c r="M5533" s="34"/>
      <c r="N5533" s="34"/>
      <c r="O5533" s="34"/>
      <c r="P5533" s="34"/>
      <c r="Q5533" s="34"/>
      <c r="R5533" s="34"/>
    </row>
    <row r="5534" spans="13:18">
      <c r="M5534" s="34"/>
      <c r="N5534" s="34"/>
      <c r="O5534" s="34"/>
      <c r="P5534" s="34"/>
      <c r="Q5534" s="34"/>
      <c r="R5534" s="34"/>
    </row>
    <row r="5535" spans="13:18">
      <c r="M5535" s="34"/>
      <c r="N5535" s="34"/>
      <c r="O5535" s="34"/>
      <c r="P5535" s="34"/>
      <c r="Q5535" s="34"/>
      <c r="R5535" s="34"/>
    </row>
    <row r="5536" spans="13:18">
      <c r="M5536" s="34"/>
      <c r="N5536" s="34"/>
      <c r="O5536" s="34"/>
      <c r="P5536" s="34"/>
      <c r="Q5536" s="34"/>
      <c r="R5536" s="34"/>
    </row>
    <row r="5537" spans="13:18">
      <c r="M5537" s="34"/>
      <c r="N5537" s="34"/>
      <c r="O5537" s="34"/>
      <c r="P5537" s="34"/>
      <c r="Q5537" s="34"/>
      <c r="R5537" s="34"/>
    </row>
    <row r="5538" spans="13:18">
      <c r="M5538" s="34"/>
      <c r="N5538" s="34"/>
      <c r="O5538" s="34"/>
      <c r="P5538" s="34"/>
      <c r="Q5538" s="34"/>
      <c r="R5538" s="34"/>
    </row>
    <row r="5539" spans="13:18">
      <c r="M5539" s="34"/>
      <c r="N5539" s="34"/>
      <c r="O5539" s="34"/>
      <c r="P5539" s="34"/>
      <c r="Q5539" s="34"/>
      <c r="R5539" s="34"/>
    </row>
    <row r="5540" spans="13:18">
      <c r="M5540" s="34"/>
      <c r="N5540" s="34"/>
      <c r="O5540" s="34"/>
      <c r="P5540" s="34"/>
      <c r="Q5540" s="34"/>
      <c r="R5540" s="34"/>
    </row>
    <row r="5541" spans="13:18">
      <c r="M5541" s="34"/>
      <c r="N5541" s="34"/>
      <c r="O5541" s="34"/>
      <c r="P5541" s="34"/>
      <c r="Q5541" s="34"/>
      <c r="R5541" s="34"/>
    </row>
    <row r="5542" spans="13:18">
      <c r="M5542" s="34"/>
      <c r="N5542" s="34"/>
      <c r="O5542" s="34"/>
      <c r="P5542" s="34"/>
      <c r="Q5542" s="34"/>
      <c r="R5542" s="34"/>
    </row>
    <row r="5543" spans="13:18">
      <c r="M5543" s="34"/>
      <c r="N5543" s="34"/>
      <c r="O5543" s="34"/>
      <c r="P5543" s="34"/>
      <c r="Q5543" s="34"/>
      <c r="R5543" s="34"/>
    </row>
    <row r="5544" spans="13:18">
      <c r="M5544" s="34"/>
      <c r="N5544" s="34"/>
      <c r="O5544" s="34"/>
      <c r="P5544" s="34"/>
      <c r="Q5544" s="34"/>
      <c r="R5544" s="34"/>
    </row>
    <row r="5545" spans="13:18">
      <c r="M5545" s="34"/>
      <c r="N5545" s="34"/>
      <c r="O5545" s="34"/>
      <c r="P5545" s="34"/>
      <c r="Q5545" s="34"/>
      <c r="R5545" s="34"/>
    </row>
    <row r="5546" spans="13:18">
      <c r="M5546" s="34"/>
      <c r="N5546" s="34"/>
      <c r="O5546" s="34"/>
      <c r="P5546" s="34"/>
      <c r="Q5546" s="34"/>
      <c r="R5546" s="34"/>
    </row>
    <row r="5547" spans="13:18">
      <c r="M5547" s="34"/>
      <c r="N5547" s="34"/>
      <c r="O5547" s="34"/>
      <c r="P5547" s="34"/>
      <c r="Q5547" s="34"/>
      <c r="R5547" s="34"/>
    </row>
    <row r="5548" spans="13:18">
      <c r="M5548" s="34"/>
      <c r="N5548" s="34"/>
      <c r="O5548" s="34"/>
      <c r="P5548" s="34"/>
      <c r="Q5548" s="34"/>
      <c r="R5548" s="34"/>
    </row>
    <row r="5549" spans="13:18">
      <c r="M5549" s="34"/>
      <c r="N5549" s="34"/>
      <c r="O5549" s="34"/>
      <c r="P5549" s="34"/>
      <c r="Q5549" s="34"/>
      <c r="R5549" s="34"/>
    </row>
    <row r="5550" spans="13:18">
      <c r="M5550" s="34"/>
      <c r="N5550" s="34"/>
      <c r="O5550" s="34"/>
      <c r="P5550" s="34"/>
      <c r="Q5550" s="34"/>
      <c r="R5550" s="34"/>
    </row>
    <row r="5551" spans="13:18">
      <c r="M5551" s="34"/>
      <c r="N5551" s="34"/>
      <c r="O5551" s="34"/>
      <c r="P5551" s="34"/>
      <c r="Q5551" s="34"/>
      <c r="R5551" s="34"/>
    </row>
    <row r="5552" spans="13:18">
      <c r="M5552" s="34"/>
      <c r="N5552" s="34"/>
      <c r="O5552" s="34"/>
      <c r="P5552" s="34"/>
      <c r="Q5552" s="34"/>
      <c r="R5552" s="34"/>
    </row>
    <row r="5553" spans="13:18">
      <c r="M5553" s="34"/>
      <c r="N5553" s="34"/>
      <c r="O5553" s="34"/>
      <c r="P5553" s="34"/>
      <c r="Q5553" s="34"/>
      <c r="R5553" s="34"/>
    </row>
    <row r="5554" spans="13:18">
      <c r="M5554" s="34"/>
      <c r="N5554" s="34"/>
      <c r="O5554" s="34"/>
      <c r="P5554" s="34"/>
      <c r="Q5554" s="34"/>
      <c r="R5554" s="34"/>
    </row>
    <row r="5555" spans="13:18">
      <c r="M5555" s="34"/>
      <c r="N5555" s="34"/>
      <c r="O5555" s="34"/>
      <c r="P5555" s="34"/>
      <c r="Q5555" s="34"/>
      <c r="R5555" s="34"/>
    </row>
    <row r="5556" spans="13:18">
      <c r="M5556" s="34"/>
      <c r="N5556" s="34"/>
      <c r="O5556" s="34"/>
      <c r="P5556" s="34"/>
      <c r="Q5556" s="34"/>
      <c r="R5556" s="34"/>
    </row>
    <row r="5557" spans="13:18">
      <c r="M5557" s="34"/>
      <c r="N5557" s="34"/>
      <c r="O5557" s="34"/>
      <c r="P5557" s="34"/>
      <c r="Q5557" s="34"/>
      <c r="R5557" s="34"/>
    </row>
    <row r="5558" spans="13:18">
      <c r="M5558" s="34"/>
      <c r="N5558" s="34"/>
      <c r="O5558" s="34"/>
      <c r="P5558" s="34"/>
      <c r="Q5558" s="34"/>
      <c r="R5558" s="34"/>
    </row>
    <row r="5559" spans="13:18">
      <c r="M5559" s="34"/>
      <c r="N5559" s="34"/>
      <c r="O5559" s="34"/>
      <c r="P5559" s="34"/>
      <c r="Q5559" s="34"/>
      <c r="R5559" s="34"/>
    </row>
    <row r="5560" spans="13:18">
      <c r="M5560" s="34"/>
      <c r="N5560" s="34"/>
      <c r="O5560" s="34"/>
      <c r="P5560" s="34"/>
      <c r="Q5560" s="34"/>
      <c r="R5560" s="34"/>
    </row>
    <row r="5561" spans="13:18">
      <c r="M5561" s="34"/>
      <c r="N5561" s="34"/>
      <c r="O5561" s="34"/>
      <c r="P5561" s="34"/>
      <c r="Q5561" s="34"/>
      <c r="R5561" s="34"/>
    </row>
    <row r="5562" spans="13:18">
      <c r="M5562" s="34"/>
      <c r="N5562" s="34"/>
      <c r="O5562" s="34"/>
      <c r="P5562" s="34"/>
      <c r="Q5562" s="34"/>
      <c r="R5562" s="34"/>
    </row>
    <row r="5563" spans="13:18">
      <c r="M5563" s="34"/>
      <c r="N5563" s="34"/>
      <c r="O5563" s="34"/>
      <c r="P5563" s="34"/>
      <c r="Q5563" s="34"/>
      <c r="R5563" s="34"/>
    </row>
    <row r="5564" spans="13:18">
      <c r="M5564" s="34"/>
      <c r="N5564" s="34"/>
      <c r="O5564" s="34"/>
      <c r="P5564" s="34"/>
      <c r="Q5564" s="34"/>
      <c r="R5564" s="34"/>
    </row>
    <row r="5565" spans="13:18">
      <c r="M5565" s="34"/>
      <c r="N5565" s="34"/>
      <c r="O5565" s="34"/>
      <c r="P5565" s="34"/>
      <c r="Q5565" s="34"/>
      <c r="R5565" s="34"/>
    </row>
    <row r="5566" spans="13:18">
      <c r="M5566" s="34"/>
      <c r="N5566" s="34"/>
      <c r="O5566" s="34"/>
      <c r="P5566" s="34"/>
      <c r="Q5566" s="34"/>
      <c r="R5566" s="34"/>
    </row>
    <row r="5567" spans="13:18">
      <c r="M5567" s="34"/>
      <c r="N5567" s="34"/>
      <c r="O5567" s="34"/>
      <c r="P5567" s="34"/>
      <c r="Q5567" s="34"/>
      <c r="R5567" s="34"/>
    </row>
    <row r="5568" spans="13:18">
      <c r="M5568" s="34"/>
      <c r="N5568" s="34"/>
      <c r="O5568" s="34"/>
      <c r="P5568" s="34"/>
      <c r="Q5568" s="34"/>
      <c r="R5568" s="34"/>
    </row>
    <row r="5569" spans="13:18">
      <c r="M5569" s="34"/>
      <c r="N5569" s="34"/>
      <c r="O5569" s="34"/>
      <c r="P5569" s="34"/>
      <c r="Q5569" s="34"/>
      <c r="R5569" s="34"/>
    </row>
    <row r="5570" spans="13:18">
      <c r="M5570" s="34"/>
      <c r="N5570" s="34"/>
      <c r="O5570" s="34"/>
      <c r="P5570" s="34"/>
      <c r="Q5570" s="34"/>
      <c r="R5570" s="34"/>
    </row>
    <row r="5571" spans="13:18">
      <c r="M5571" s="34"/>
      <c r="N5571" s="34"/>
      <c r="O5571" s="34"/>
      <c r="P5571" s="34"/>
      <c r="Q5571" s="34"/>
      <c r="R5571" s="34"/>
    </row>
    <row r="5572" spans="13:18">
      <c r="M5572" s="34"/>
      <c r="N5572" s="34"/>
      <c r="O5572" s="34"/>
      <c r="P5572" s="34"/>
      <c r="Q5572" s="34"/>
      <c r="R5572" s="34"/>
    </row>
    <row r="5573" spans="13:18">
      <c r="M5573" s="34"/>
      <c r="N5573" s="34"/>
      <c r="O5573" s="34"/>
      <c r="P5573" s="34"/>
      <c r="Q5573" s="34"/>
      <c r="R5573" s="34"/>
    </row>
    <row r="5574" spans="13:18">
      <c r="M5574" s="34"/>
      <c r="N5574" s="34"/>
      <c r="O5574" s="34"/>
      <c r="P5574" s="34"/>
      <c r="Q5574" s="34"/>
      <c r="R5574" s="34"/>
    </row>
    <row r="5575" spans="13:18">
      <c r="M5575" s="34"/>
      <c r="N5575" s="34"/>
      <c r="O5575" s="34"/>
      <c r="P5575" s="34"/>
      <c r="Q5575" s="34"/>
      <c r="R5575" s="34"/>
    </row>
    <row r="5576" spans="13:18">
      <c r="M5576" s="34"/>
      <c r="N5576" s="34"/>
      <c r="O5576" s="34"/>
      <c r="P5576" s="34"/>
      <c r="Q5576" s="34"/>
      <c r="R5576" s="34"/>
    </row>
    <row r="5577" spans="13:18">
      <c r="M5577" s="34"/>
      <c r="N5577" s="34"/>
      <c r="O5577" s="34"/>
      <c r="P5577" s="34"/>
      <c r="Q5577" s="34"/>
      <c r="R5577" s="34"/>
    </row>
    <row r="5578" spans="13:18">
      <c r="M5578" s="34"/>
      <c r="N5578" s="34"/>
      <c r="O5578" s="34"/>
      <c r="P5578" s="34"/>
      <c r="Q5578" s="34"/>
      <c r="R5578" s="34"/>
    </row>
    <row r="5579" spans="13:18">
      <c r="M5579" s="34"/>
      <c r="N5579" s="34"/>
      <c r="O5579" s="34"/>
      <c r="P5579" s="34"/>
      <c r="Q5579" s="34"/>
      <c r="R5579" s="34"/>
    </row>
    <row r="5580" spans="13:18">
      <c r="M5580" s="34"/>
      <c r="N5580" s="34"/>
      <c r="O5580" s="34"/>
      <c r="P5580" s="34"/>
      <c r="Q5580" s="34"/>
      <c r="R5580" s="34"/>
    </row>
    <row r="5581" spans="13:18">
      <c r="M5581" s="34"/>
      <c r="N5581" s="34"/>
      <c r="O5581" s="34"/>
      <c r="P5581" s="34"/>
      <c r="Q5581" s="34"/>
      <c r="R5581" s="34"/>
    </row>
    <row r="5582" spans="13:18">
      <c r="M5582" s="34"/>
      <c r="N5582" s="34"/>
      <c r="O5582" s="34"/>
      <c r="P5582" s="34"/>
      <c r="Q5582" s="34"/>
      <c r="R5582" s="34"/>
    </row>
    <row r="5583" spans="13:18">
      <c r="M5583" s="34"/>
      <c r="N5583" s="34"/>
      <c r="O5583" s="34"/>
      <c r="P5583" s="34"/>
      <c r="Q5583" s="34"/>
      <c r="R5583" s="34"/>
    </row>
    <row r="5584" spans="13:18">
      <c r="M5584" s="34"/>
      <c r="N5584" s="34"/>
      <c r="O5584" s="34"/>
      <c r="P5584" s="34"/>
      <c r="Q5584" s="34"/>
      <c r="R5584" s="34"/>
    </row>
    <row r="5585" spans="13:18">
      <c r="M5585" s="34"/>
      <c r="N5585" s="34"/>
      <c r="O5585" s="34"/>
      <c r="P5585" s="34"/>
      <c r="Q5585" s="34"/>
      <c r="R5585" s="34"/>
    </row>
    <row r="5586" spans="13:18">
      <c r="M5586" s="34"/>
      <c r="N5586" s="34"/>
      <c r="O5586" s="34"/>
      <c r="P5586" s="34"/>
      <c r="Q5586" s="34"/>
      <c r="R5586" s="34"/>
    </row>
    <row r="5587" spans="13:18">
      <c r="M5587" s="34"/>
      <c r="N5587" s="34"/>
      <c r="O5587" s="34"/>
      <c r="P5587" s="34"/>
      <c r="Q5587" s="34"/>
      <c r="R5587" s="34"/>
    </row>
    <row r="5588" spans="13:18">
      <c r="M5588" s="34"/>
      <c r="N5588" s="34"/>
      <c r="O5588" s="34"/>
      <c r="P5588" s="34"/>
      <c r="Q5588" s="34"/>
      <c r="R5588" s="34"/>
    </row>
    <row r="5589" spans="13:18">
      <c r="M5589" s="34"/>
      <c r="N5589" s="34"/>
      <c r="O5589" s="34"/>
      <c r="P5589" s="34"/>
      <c r="Q5589" s="34"/>
      <c r="R5589" s="34"/>
    </row>
    <row r="5590" spans="13:18">
      <c r="M5590" s="34"/>
      <c r="N5590" s="34"/>
      <c r="O5590" s="34"/>
      <c r="P5590" s="34"/>
      <c r="Q5590" s="34"/>
      <c r="R5590" s="34"/>
    </row>
    <row r="5591" spans="13:18">
      <c r="M5591" s="34"/>
      <c r="N5591" s="34"/>
      <c r="O5591" s="34"/>
      <c r="P5591" s="34"/>
      <c r="Q5591" s="34"/>
      <c r="R5591" s="34"/>
    </row>
    <row r="5592" spans="13:18">
      <c r="M5592" s="34"/>
      <c r="N5592" s="34"/>
      <c r="O5592" s="34"/>
      <c r="P5592" s="34"/>
      <c r="Q5592" s="34"/>
      <c r="R5592" s="34"/>
    </row>
    <row r="5593" spans="13:18">
      <c r="M5593" s="34"/>
      <c r="N5593" s="34"/>
      <c r="O5593" s="34"/>
      <c r="P5593" s="34"/>
      <c r="Q5593" s="34"/>
      <c r="R5593" s="34"/>
    </row>
    <row r="5594" spans="13:18">
      <c r="M5594" s="34"/>
      <c r="N5594" s="34"/>
      <c r="O5594" s="34"/>
      <c r="P5594" s="34"/>
      <c r="Q5594" s="34"/>
      <c r="R5594" s="34"/>
    </row>
    <row r="5595" spans="13:18">
      <c r="M5595" s="34"/>
      <c r="N5595" s="34"/>
      <c r="O5595" s="34"/>
      <c r="P5595" s="34"/>
      <c r="Q5595" s="34"/>
      <c r="R5595" s="34"/>
    </row>
    <row r="5596" spans="13:18">
      <c r="M5596" s="34"/>
      <c r="N5596" s="34"/>
      <c r="O5596" s="34"/>
      <c r="P5596" s="34"/>
      <c r="Q5596" s="34"/>
      <c r="R5596" s="34"/>
    </row>
    <row r="5597" spans="13:18">
      <c r="M5597" s="34"/>
      <c r="N5597" s="34"/>
      <c r="O5597" s="34"/>
      <c r="P5597" s="34"/>
      <c r="Q5597" s="34"/>
      <c r="R5597" s="34"/>
    </row>
    <row r="5598" spans="13:18">
      <c r="M5598" s="34"/>
      <c r="N5598" s="34"/>
      <c r="O5598" s="34"/>
      <c r="P5598" s="34"/>
      <c r="Q5598" s="34"/>
      <c r="R5598" s="34"/>
    </row>
    <row r="5599" spans="13:18">
      <c r="M5599" s="34"/>
      <c r="N5599" s="34"/>
      <c r="O5599" s="34"/>
      <c r="P5599" s="34"/>
      <c r="Q5599" s="34"/>
      <c r="R5599" s="34"/>
    </row>
    <row r="5600" spans="13:18">
      <c r="M5600" s="34"/>
      <c r="N5600" s="34"/>
      <c r="O5600" s="34"/>
      <c r="P5600" s="34"/>
      <c r="Q5600" s="34"/>
      <c r="R5600" s="34"/>
    </row>
    <row r="5601" spans="13:18">
      <c r="M5601" s="34"/>
      <c r="N5601" s="34"/>
      <c r="O5601" s="34"/>
      <c r="P5601" s="34"/>
      <c r="Q5601" s="34"/>
      <c r="R5601" s="34"/>
    </row>
    <row r="5602" spans="13:18">
      <c r="M5602" s="34"/>
      <c r="N5602" s="34"/>
      <c r="O5602" s="34"/>
      <c r="P5602" s="34"/>
      <c r="Q5602" s="34"/>
      <c r="R5602" s="34"/>
    </row>
    <row r="5603" spans="13:18">
      <c r="M5603" s="34"/>
      <c r="N5603" s="34"/>
      <c r="O5603" s="34"/>
      <c r="P5603" s="34"/>
      <c r="Q5603" s="34"/>
      <c r="R5603" s="34"/>
    </row>
    <row r="5604" spans="13:18">
      <c r="M5604" s="34"/>
      <c r="N5604" s="34"/>
      <c r="O5604" s="34"/>
      <c r="P5604" s="34"/>
      <c r="Q5604" s="34"/>
      <c r="R5604" s="34"/>
    </row>
    <row r="5605" spans="13:18">
      <c r="M5605" s="34"/>
      <c r="N5605" s="34"/>
      <c r="O5605" s="34"/>
      <c r="P5605" s="34"/>
      <c r="Q5605" s="34"/>
      <c r="R5605" s="34"/>
    </row>
    <row r="5606" spans="13:18">
      <c r="M5606" s="34"/>
      <c r="N5606" s="34"/>
      <c r="O5606" s="34"/>
      <c r="P5606" s="34"/>
      <c r="Q5606" s="34"/>
      <c r="R5606" s="34"/>
    </row>
    <row r="5607" spans="13:18">
      <c r="M5607" s="34"/>
      <c r="N5607" s="34"/>
      <c r="O5607" s="34"/>
      <c r="P5607" s="34"/>
      <c r="Q5607" s="34"/>
      <c r="R5607" s="34"/>
    </row>
    <row r="5608" spans="13:18">
      <c r="M5608" s="34"/>
      <c r="N5608" s="34"/>
      <c r="O5608" s="34"/>
      <c r="P5608" s="34"/>
      <c r="Q5608" s="34"/>
      <c r="R5608" s="34"/>
    </row>
    <row r="5609" spans="13:18">
      <c r="M5609" s="34"/>
      <c r="N5609" s="34"/>
      <c r="O5609" s="34"/>
      <c r="P5609" s="34"/>
      <c r="Q5609" s="34"/>
      <c r="R5609" s="34"/>
    </row>
    <row r="5610" spans="13:18">
      <c r="M5610" s="34"/>
      <c r="N5610" s="34"/>
      <c r="O5610" s="34"/>
      <c r="P5610" s="34"/>
      <c r="Q5610" s="34"/>
      <c r="R5610" s="34"/>
    </row>
    <row r="5611" spans="13:18">
      <c r="M5611" s="34"/>
      <c r="N5611" s="34"/>
      <c r="O5611" s="34"/>
      <c r="P5611" s="34"/>
      <c r="Q5611" s="34"/>
      <c r="R5611" s="34"/>
    </row>
    <row r="5612" spans="13:18">
      <c r="M5612" s="34"/>
      <c r="N5612" s="34"/>
      <c r="O5612" s="34"/>
      <c r="P5612" s="34"/>
      <c r="Q5612" s="34"/>
      <c r="R5612" s="34"/>
    </row>
    <row r="5613" spans="13:18">
      <c r="M5613" s="34"/>
      <c r="N5613" s="34"/>
      <c r="O5613" s="34"/>
      <c r="P5613" s="34"/>
      <c r="Q5613" s="34"/>
      <c r="R5613" s="34"/>
    </row>
    <row r="5614" spans="13:18">
      <c r="M5614" s="34"/>
      <c r="N5614" s="34"/>
      <c r="O5614" s="34"/>
      <c r="P5614" s="34"/>
      <c r="Q5614" s="34"/>
      <c r="R5614" s="34"/>
    </row>
    <row r="5615" spans="13:18">
      <c r="M5615" s="34"/>
      <c r="N5615" s="34"/>
      <c r="O5615" s="34"/>
      <c r="P5615" s="34"/>
      <c r="Q5615" s="34"/>
      <c r="R5615" s="34"/>
    </row>
    <row r="5616" spans="13:18">
      <c r="M5616" s="34"/>
      <c r="N5616" s="34"/>
      <c r="O5616" s="34"/>
      <c r="P5616" s="34"/>
      <c r="Q5616" s="34"/>
      <c r="R5616" s="34"/>
    </row>
    <row r="5617" spans="13:18">
      <c r="M5617" s="34"/>
      <c r="N5617" s="34"/>
      <c r="O5617" s="34"/>
      <c r="P5617" s="34"/>
      <c r="Q5617" s="34"/>
      <c r="R5617" s="34"/>
    </row>
    <row r="5618" spans="13:18">
      <c r="M5618" s="34"/>
      <c r="N5618" s="34"/>
      <c r="O5618" s="34"/>
      <c r="P5618" s="34"/>
      <c r="Q5618" s="34"/>
      <c r="R5618" s="34"/>
    </row>
    <row r="5619" spans="13:18">
      <c r="M5619" s="34"/>
      <c r="N5619" s="34"/>
      <c r="O5619" s="34"/>
      <c r="P5619" s="34"/>
      <c r="Q5619" s="34"/>
      <c r="R5619" s="34"/>
    </row>
    <row r="5620" spans="13:18">
      <c r="M5620" s="34"/>
      <c r="N5620" s="34"/>
      <c r="O5620" s="34"/>
      <c r="P5620" s="34"/>
      <c r="Q5620" s="34"/>
      <c r="R5620" s="34"/>
    </row>
    <row r="5621" spans="13:18">
      <c r="M5621" s="34"/>
      <c r="N5621" s="34"/>
      <c r="O5621" s="34"/>
      <c r="P5621" s="34"/>
      <c r="Q5621" s="34"/>
      <c r="R5621" s="34"/>
    </row>
    <row r="5622" spans="13:18">
      <c r="M5622" s="34"/>
      <c r="N5622" s="34"/>
      <c r="O5622" s="34"/>
      <c r="P5622" s="34"/>
      <c r="Q5622" s="34"/>
      <c r="R5622" s="34"/>
    </row>
    <row r="5623" spans="13:18">
      <c r="M5623" s="34"/>
      <c r="N5623" s="34"/>
      <c r="O5623" s="34"/>
      <c r="P5623" s="34"/>
      <c r="Q5623" s="34"/>
      <c r="R5623" s="34"/>
    </row>
    <row r="5624" spans="13:18">
      <c r="M5624" s="34"/>
      <c r="N5624" s="34"/>
      <c r="O5624" s="34"/>
      <c r="P5624" s="34"/>
      <c r="Q5624" s="34"/>
      <c r="R5624" s="34"/>
    </row>
    <row r="5625" spans="13:18">
      <c r="M5625" s="34"/>
      <c r="N5625" s="34"/>
      <c r="O5625" s="34"/>
      <c r="P5625" s="34"/>
      <c r="Q5625" s="34"/>
      <c r="R5625" s="34"/>
    </row>
    <row r="5626" spans="13:18">
      <c r="M5626" s="34"/>
      <c r="N5626" s="34"/>
      <c r="O5626" s="34"/>
      <c r="P5626" s="34"/>
      <c r="Q5626" s="34"/>
      <c r="R5626" s="34"/>
    </row>
    <row r="5627" spans="13:18">
      <c r="M5627" s="34"/>
      <c r="N5627" s="34"/>
      <c r="O5627" s="34"/>
      <c r="P5627" s="34"/>
      <c r="Q5627" s="34"/>
      <c r="R5627" s="34"/>
    </row>
    <row r="5628" spans="13:18">
      <c r="M5628" s="34"/>
      <c r="N5628" s="34"/>
      <c r="O5628" s="34"/>
      <c r="P5628" s="34"/>
      <c r="Q5628" s="34"/>
      <c r="R5628" s="34"/>
    </row>
    <row r="5629" spans="13:18">
      <c r="M5629" s="34"/>
      <c r="N5629" s="34"/>
      <c r="O5629" s="34"/>
      <c r="P5629" s="34"/>
      <c r="Q5629" s="34"/>
      <c r="R5629" s="34"/>
    </row>
    <row r="5630" spans="13:18">
      <c r="M5630" s="34"/>
      <c r="N5630" s="34"/>
      <c r="O5630" s="34"/>
      <c r="P5630" s="34"/>
      <c r="Q5630" s="34"/>
      <c r="R5630" s="34"/>
    </row>
    <row r="5631" spans="13:18">
      <c r="M5631" s="34"/>
      <c r="N5631" s="34"/>
      <c r="O5631" s="34"/>
      <c r="P5631" s="34"/>
      <c r="Q5631" s="34"/>
      <c r="R5631" s="34"/>
    </row>
    <row r="5632" spans="13:18">
      <c r="M5632" s="34"/>
      <c r="N5632" s="34"/>
      <c r="O5632" s="34"/>
      <c r="P5632" s="34"/>
      <c r="Q5632" s="34"/>
      <c r="R5632" s="34"/>
    </row>
    <row r="5633" spans="13:18">
      <c r="M5633" s="34"/>
      <c r="N5633" s="34"/>
      <c r="O5633" s="34"/>
      <c r="P5633" s="34"/>
      <c r="Q5633" s="34"/>
      <c r="R5633" s="34"/>
    </row>
    <row r="5634" spans="13:18">
      <c r="M5634" s="34"/>
      <c r="N5634" s="34"/>
      <c r="O5634" s="34"/>
      <c r="P5634" s="34"/>
      <c r="Q5634" s="34"/>
      <c r="R5634" s="34"/>
    </row>
    <row r="5635" spans="13:18">
      <c r="M5635" s="34"/>
      <c r="N5635" s="34"/>
      <c r="O5635" s="34"/>
      <c r="P5635" s="34"/>
      <c r="Q5635" s="34"/>
      <c r="R5635" s="34"/>
    </row>
    <row r="5636" spans="13:18">
      <c r="M5636" s="34"/>
      <c r="N5636" s="34"/>
      <c r="O5636" s="34"/>
      <c r="P5636" s="34"/>
      <c r="Q5636" s="34"/>
      <c r="R5636" s="34"/>
    </row>
    <row r="5637" spans="13:18">
      <c r="M5637" s="34"/>
      <c r="N5637" s="34"/>
      <c r="O5637" s="34"/>
      <c r="P5637" s="34"/>
      <c r="Q5637" s="34"/>
      <c r="R5637" s="34"/>
    </row>
    <row r="5638" spans="13:18">
      <c r="M5638" s="34"/>
      <c r="N5638" s="34"/>
      <c r="O5638" s="34"/>
      <c r="P5638" s="34"/>
      <c r="Q5638" s="34"/>
      <c r="R5638" s="34"/>
    </row>
    <row r="5639" spans="13:18">
      <c r="M5639" s="34"/>
      <c r="N5639" s="34"/>
      <c r="O5639" s="34"/>
      <c r="P5639" s="34"/>
      <c r="Q5639" s="34"/>
      <c r="R5639" s="34"/>
    </row>
    <row r="5640" spans="13:18">
      <c r="M5640" s="34"/>
      <c r="N5640" s="34"/>
      <c r="O5640" s="34"/>
      <c r="P5640" s="34"/>
      <c r="Q5640" s="34"/>
      <c r="R5640" s="34"/>
    </row>
    <row r="5641" spans="13:18">
      <c r="M5641" s="34"/>
      <c r="N5641" s="34"/>
      <c r="O5641" s="34"/>
      <c r="P5641" s="34"/>
      <c r="Q5641" s="34"/>
      <c r="R5641" s="34"/>
    </row>
    <row r="5642" spans="13:18">
      <c r="M5642" s="34"/>
      <c r="N5642" s="34"/>
      <c r="O5642" s="34"/>
      <c r="P5642" s="34"/>
      <c r="Q5642" s="34"/>
      <c r="R5642" s="34"/>
    </row>
    <row r="5643" spans="13:18">
      <c r="M5643" s="34"/>
      <c r="N5643" s="34"/>
      <c r="O5643" s="34"/>
      <c r="P5643" s="34"/>
      <c r="Q5643" s="34"/>
      <c r="R5643" s="34"/>
    </row>
    <row r="5644" spans="13:18">
      <c r="M5644" s="34"/>
      <c r="N5644" s="34"/>
      <c r="O5644" s="34"/>
      <c r="P5644" s="34"/>
      <c r="Q5644" s="34"/>
      <c r="R5644" s="34"/>
    </row>
    <row r="5645" spans="13:18">
      <c r="M5645" s="34"/>
      <c r="N5645" s="34"/>
      <c r="O5645" s="34"/>
      <c r="P5645" s="34"/>
      <c r="Q5645" s="34"/>
      <c r="R5645" s="34"/>
    </row>
    <row r="5646" spans="13:18">
      <c r="M5646" s="34"/>
      <c r="N5646" s="34"/>
      <c r="O5646" s="34"/>
      <c r="P5646" s="34"/>
      <c r="Q5646" s="34"/>
      <c r="R5646" s="34"/>
    </row>
    <row r="5647" spans="13:18">
      <c r="M5647" s="34"/>
      <c r="N5647" s="34"/>
      <c r="O5647" s="34"/>
      <c r="P5647" s="34"/>
      <c r="Q5647" s="34"/>
      <c r="R5647" s="34"/>
    </row>
    <row r="5648" spans="13:18">
      <c r="M5648" s="34"/>
      <c r="N5648" s="34"/>
      <c r="O5648" s="34"/>
      <c r="P5648" s="34"/>
      <c r="Q5648" s="34"/>
      <c r="R5648" s="34"/>
    </row>
    <row r="5649" spans="13:18">
      <c r="M5649" s="34"/>
      <c r="N5649" s="34"/>
      <c r="O5649" s="34"/>
      <c r="P5649" s="34"/>
      <c r="Q5649" s="34"/>
      <c r="R5649" s="34"/>
    </row>
    <row r="5650" spans="13:18">
      <c r="M5650" s="34"/>
      <c r="N5650" s="34"/>
      <c r="O5650" s="34"/>
      <c r="P5650" s="34"/>
      <c r="Q5650" s="34"/>
      <c r="R5650" s="34"/>
    </row>
    <row r="5651" spans="13:18">
      <c r="M5651" s="34"/>
      <c r="N5651" s="34"/>
      <c r="O5651" s="34"/>
      <c r="P5651" s="34"/>
      <c r="Q5651" s="34"/>
      <c r="R5651" s="34"/>
    </row>
    <row r="5652" spans="13:18">
      <c r="M5652" s="34"/>
      <c r="N5652" s="34"/>
      <c r="O5652" s="34"/>
      <c r="P5652" s="34"/>
      <c r="Q5652" s="34"/>
      <c r="R5652" s="34"/>
    </row>
    <row r="5653" spans="13:18">
      <c r="M5653" s="34"/>
      <c r="N5653" s="34"/>
      <c r="O5653" s="34"/>
      <c r="P5653" s="34"/>
      <c r="Q5653" s="34"/>
      <c r="R5653" s="34"/>
    </row>
    <row r="5654" spans="13:18">
      <c r="M5654" s="34"/>
      <c r="N5654" s="34"/>
      <c r="O5654" s="34"/>
      <c r="P5654" s="34"/>
      <c r="Q5654" s="34"/>
      <c r="R5654" s="34"/>
    </row>
    <row r="5655" spans="13:18">
      <c r="M5655" s="34"/>
      <c r="N5655" s="34"/>
      <c r="O5655" s="34"/>
      <c r="P5655" s="34"/>
      <c r="Q5655" s="34"/>
      <c r="R5655" s="34"/>
    </row>
    <row r="5656" spans="13:18">
      <c r="M5656" s="34"/>
      <c r="N5656" s="34"/>
      <c r="O5656" s="34"/>
      <c r="P5656" s="34"/>
      <c r="Q5656" s="34"/>
      <c r="R5656" s="34"/>
    </row>
    <row r="5657" spans="13:18">
      <c r="M5657" s="34"/>
      <c r="N5657" s="34"/>
      <c r="O5657" s="34"/>
      <c r="P5657" s="34"/>
      <c r="Q5657" s="34"/>
      <c r="R5657" s="34"/>
    </row>
    <row r="5658" spans="13:18">
      <c r="M5658" s="34"/>
      <c r="N5658" s="34"/>
      <c r="O5658" s="34"/>
      <c r="P5658" s="34"/>
      <c r="Q5658" s="34"/>
      <c r="R5658" s="34"/>
    </row>
    <row r="5659" spans="13:18">
      <c r="M5659" s="34"/>
      <c r="N5659" s="34"/>
      <c r="O5659" s="34"/>
      <c r="P5659" s="34"/>
      <c r="Q5659" s="34"/>
      <c r="R5659" s="34"/>
    </row>
    <row r="5660" spans="13:18">
      <c r="M5660" s="34"/>
      <c r="N5660" s="34"/>
      <c r="O5660" s="34"/>
      <c r="P5660" s="34"/>
      <c r="Q5660" s="34"/>
      <c r="R5660" s="34"/>
    </row>
    <row r="5661" spans="13:18">
      <c r="M5661" s="34"/>
      <c r="N5661" s="34"/>
      <c r="O5661" s="34"/>
      <c r="P5661" s="34"/>
      <c r="Q5661" s="34"/>
      <c r="R5661" s="34"/>
    </row>
    <row r="5662" spans="13:18">
      <c r="M5662" s="34"/>
      <c r="N5662" s="34"/>
      <c r="O5662" s="34"/>
      <c r="P5662" s="34"/>
      <c r="Q5662" s="34"/>
      <c r="R5662" s="34"/>
    </row>
    <row r="5663" spans="13:18">
      <c r="M5663" s="34"/>
      <c r="N5663" s="34"/>
      <c r="O5663" s="34"/>
      <c r="P5663" s="34"/>
      <c r="Q5663" s="34"/>
      <c r="R5663" s="34"/>
    </row>
    <row r="5664" spans="13:18">
      <c r="M5664" s="34"/>
      <c r="N5664" s="34"/>
      <c r="O5664" s="34"/>
      <c r="P5664" s="34"/>
      <c r="Q5664" s="34"/>
      <c r="R5664" s="34"/>
    </row>
    <row r="5665" spans="13:18">
      <c r="M5665" s="34"/>
      <c r="N5665" s="34"/>
      <c r="O5665" s="34"/>
      <c r="P5665" s="34"/>
      <c r="Q5665" s="34"/>
      <c r="R5665" s="34"/>
    </row>
    <row r="5666" spans="13:18">
      <c r="M5666" s="34"/>
      <c r="N5666" s="34"/>
      <c r="O5666" s="34"/>
      <c r="P5666" s="34"/>
      <c r="Q5666" s="34"/>
      <c r="R5666" s="34"/>
    </row>
    <row r="5667" spans="13:18">
      <c r="M5667" s="34"/>
      <c r="N5667" s="34"/>
      <c r="O5667" s="34"/>
      <c r="P5667" s="34"/>
      <c r="Q5667" s="34"/>
      <c r="R5667" s="34"/>
    </row>
    <row r="5668" spans="13:18">
      <c r="M5668" s="34"/>
      <c r="N5668" s="34"/>
      <c r="O5668" s="34"/>
      <c r="P5668" s="34"/>
      <c r="Q5668" s="34"/>
      <c r="R5668" s="34"/>
    </row>
    <row r="5669" spans="13:18">
      <c r="M5669" s="34"/>
      <c r="N5669" s="34"/>
      <c r="O5669" s="34"/>
      <c r="P5669" s="34"/>
      <c r="Q5669" s="34"/>
      <c r="R5669" s="34"/>
    </row>
    <row r="5670" spans="13:18">
      <c r="M5670" s="34"/>
      <c r="N5670" s="34"/>
      <c r="O5670" s="34"/>
      <c r="P5670" s="34"/>
      <c r="Q5670" s="34"/>
      <c r="R5670" s="34"/>
    </row>
    <row r="5671" spans="13:18">
      <c r="M5671" s="34"/>
      <c r="N5671" s="34"/>
      <c r="O5671" s="34"/>
      <c r="P5671" s="34"/>
      <c r="Q5671" s="34"/>
      <c r="R5671" s="34"/>
    </row>
    <row r="5672" spans="13:18">
      <c r="M5672" s="34"/>
      <c r="N5672" s="34"/>
      <c r="O5672" s="34"/>
      <c r="P5672" s="34"/>
      <c r="Q5672" s="34"/>
      <c r="R5672" s="34"/>
    </row>
    <row r="5673" spans="13:18">
      <c r="M5673" s="34"/>
      <c r="N5673" s="34"/>
      <c r="O5673" s="34"/>
      <c r="P5673" s="34"/>
      <c r="Q5673" s="34"/>
      <c r="R5673" s="34"/>
    </row>
    <row r="5674" spans="13:18">
      <c r="M5674" s="34"/>
      <c r="N5674" s="34"/>
      <c r="O5674" s="34"/>
      <c r="P5674" s="34"/>
      <c r="Q5674" s="34"/>
      <c r="R5674" s="34"/>
    </row>
    <row r="5675" spans="13:18">
      <c r="M5675" s="34"/>
      <c r="N5675" s="34"/>
      <c r="O5675" s="34"/>
      <c r="P5675" s="34"/>
      <c r="Q5675" s="34"/>
      <c r="R5675" s="34"/>
    </row>
    <row r="5676" spans="13:18">
      <c r="M5676" s="34"/>
      <c r="N5676" s="34"/>
      <c r="O5676" s="34"/>
      <c r="P5676" s="34"/>
      <c r="Q5676" s="34"/>
      <c r="R5676" s="34"/>
    </row>
    <row r="5677" spans="13:18">
      <c r="M5677" s="34"/>
      <c r="N5677" s="34"/>
      <c r="O5677" s="34"/>
      <c r="P5677" s="34"/>
      <c r="Q5677" s="34"/>
      <c r="R5677" s="34"/>
    </row>
    <row r="5678" spans="13:18">
      <c r="M5678" s="34"/>
      <c r="N5678" s="34"/>
      <c r="O5678" s="34"/>
      <c r="P5678" s="34"/>
      <c r="Q5678" s="34"/>
      <c r="R5678" s="34"/>
    </row>
    <row r="5679" spans="13:18">
      <c r="M5679" s="34"/>
      <c r="N5679" s="34"/>
      <c r="O5679" s="34"/>
      <c r="P5679" s="34"/>
      <c r="Q5679" s="34"/>
      <c r="R5679" s="34"/>
    </row>
    <row r="5680" spans="13:18">
      <c r="M5680" s="34"/>
      <c r="N5680" s="34"/>
      <c r="O5680" s="34"/>
      <c r="P5680" s="34"/>
      <c r="Q5680" s="34"/>
      <c r="R5680" s="34"/>
    </row>
    <row r="5681" spans="13:18">
      <c r="M5681" s="34"/>
      <c r="N5681" s="34"/>
      <c r="O5681" s="34"/>
      <c r="P5681" s="34"/>
      <c r="Q5681" s="34"/>
      <c r="R5681" s="34"/>
    </row>
    <row r="5682" spans="13:18">
      <c r="M5682" s="34"/>
      <c r="N5682" s="34"/>
      <c r="O5682" s="34"/>
      <c r="P5682" s="34"/>
      <c r="Q5682" s="34"/>
      <c r="R5682" s="34"/>
    </row>
    <row r="5683" spans="13:18">
      <c r="M5683" s="34"/>
      <c r="N5683" s="34"/>
      <c r="O5683" s="34"/>
      <c r="P5683" s="34"/>
      <c r="Q5683" s="34"/>
      <c r="R5683" s="34"/>
    </row>
    <row r="5684" spans="13:18">
      <c r="M5684" s="34"/>
      <c r="N5684" s="34"/>
      <c r="O5684" s="34"/>
      <c r="P5684" s="34"/>
      <c r="Q5684" s="34"/>
      <c r="R5684" s="34"/>
    </row>
    <row r="5685" spans="13:18">
      <c r="M5685" s="34"/>
      <c r="N5685" s="34"/>
      <c r="O5685" s="34"/>
      <c r="P5685" s="34"/>
      <c r="Q5685" s="34"/>
      <c r="R5685" s="34"/>
    </row>
    <row r="5686" spans="13:18">
      <c r="M5686" s="34"/>
      <c r="N5686" s="34"/>
      <c r="O5686" s="34"/>
      <c r="P5686" s="34"/>
      <c r="Q5686" s="34"/>
      <c r="R5686" s="34"/>
    </row>
    <row r="5687" spans="13:18">
      <c r="M5687" s="34"/>
      <c r="N5687" s="34"/>
      <c r="O5687" s="34"/>
      <c r="P5687" s="34"/>
      <c r="Q5687" s="34"/>
      <c r="R5687" s="34"/>
    </row>
    <row r="5688" spans="13:18">
      <c r="M5688" s="34"/>
      <c r="N5688" s="34"/>
      <c r="O5688" s="34"/>
      <c r="P5688" s="34"/>
      <c r="Q5688" s="34"/>
      <c r="R5688" s="34"/>
    </row>
    <row r="5689" spans="13:18">
      <c r="M5689" s="34"/>
      <c r="N5689" s="34"/>
      <c r="O5689" s="34"/>
      <c r="P5689" s="34"/>
      <c r="Q5689" s="34"/>
      <c r="R5689" s="34"/>
    </row>
    <row r="5690" spans="13:18">
      <c r="M5690" s="34"/>
      <c r="N5690" s="34"/>
      <c r="O5690" s="34"/>
      <c r="P5690" s="34"/>
      <c r="Q5690" s="34"/>
      <c r="R5690" s="34"/>
    </row>
    <row r="5691" spans="13:18">
      <c r="M5691" s="34"/>
      <c r="N5691" s="34"/>
      <c r="O5691" s="34"/>
      <c r="P5691" s="34"/>
      <c r="Q5691" s="34"/>
      <c r="R5691" s="34"/>
    </row>
    <row r="5692" spans="13:18">
      <c r="M5692" s="34"/>
      <c r="N5692" s="34"/>
      <c r="O5692" s="34"/>
      <c r="P5692" s="34"/>
      <c r="Q5692" s="34"/>
      <c r="R5692" s="34"/>
    </row>
    <row r="5693" spans="13:18">
      <c r="M5693" s="34"/>
      <c r="N5693" s="34"/>
      <c r="O5693" s="34"/>
      <c r="P5693" s="34"/>
      <c r="Q5693" s="34"/>
      <c r="R5693" s="34"/>
    </row>
    <row r="5694" spans="13:18">
      <c r="M5694" s="34"/>
      <c r="N5694" s="34"/>
      <c r="O5694" s="34"/>
      <c r="P5694" s="34"/>
      <c r="Q5694" s="34"/>
      <c r="R5694" s="34"/>
    </row>
    <row r="5695" spans="13:18">
      <c r="M5695" s="34"/>
      <c r="N5695" s="34"/>
      <c r="O5695" s="34"/>
      <c r="P5695" s="34"/>
      <c r="Q5695" s="34"/>
      <c r="R5695" s="34"/>
    </row>
    <row r="5696" spans="13:18">
      <c r="M5696" s="34"/>
      <c r="N5696" s="34"/>
      <c r="O5696" s="34"/>
      <c r="P5696" s="34"/>
      <c r="Q5696" s="34"/>
      <c r="R5696" s="34"/>
    </row>
    <row r="5697" spans="13:18">
      <c r="M5697" s="34"/>
      <c r="N5697" s="34"/>
      <c r="O5697" s="34"/>
      <c r="P5697" s="34"/>
      <c r="Q5697" s="34"/>
      <c r="R5697" s="34"/>
    </row>
    <row r="5698" spans="13:18">
      <c r="M5698" s="34"/>
      <c r="N5698" s="34"/>
      <c r="O5698" s="34"/>
      <c r="P5698" s="34"/>
      <c r="Q5698" s="34"/>
      <c r="R5698" s="34"/>
    </row>
    <row r="5699" spans="13:18">
      <c r="M5699" s="34"/>
      <c r="N5699" s="34"/>
      <c r="O5699" s="34"/>
      <c r="P5699" s="34"/>
      <c r="Q5699" s="34"/>
      <c r="R5699" s="34"/>
    </row>
    <row r="5700" spans="13:18">
      <c r="M5700" s="34"/>
      <c r="N5700" s="34"/>
      <c r="O5700" s="34"/>
      <c r="P5700" s="34"/>
      <c r="Q5700" s="34"/>
      <c r="R5700" s="34"/>
    </row>
    <row r="5701" spans="13:18">
      <c r="M5701" s="34"/>
      <c r="N5701" s="34"/>
      <c r="O5701" s="34"/>
      <c r="P5701" s="34"/>
      <c r="Q5701" s="34"/>
      <c r="R5701" s="34"/>
    </row>
    <row r="5702" spans="13:18">
      <c r="M5702" s="34"/>
      <c r="N5702" s="34"/>
      <c r="O5702" s="34"/>
      <c r="P5702" s="34"/>
      <c r="Q5702" s="34"/>
      <c r="R5702" s="34"/>
    </row>
    <row r="5703" spans="13:18">
      <c r="M5703" s="34"/>
      <c r="N5703" s="34"/>
      <c r="O5703" s="34"/>
      <c r="P5703" s="34"/>
      <c r="Q5703" s="34"/>
      <c r="R5703" s="34"/>
    </row>
    <row r="5704" spans="13:18">
      <c r="M5704" s="34"/>
      <c r="N5704" s="34"/>
      <c r="O5704" s="34"/>
      <c r="P5704" s="34"/>
      <c r="Q5704" s="34"/>
      <c r="R5704" s="34"/>
    </row>
    <row r="5705" spans="13:18">
      <c r="M5705" s="34"/>
      <c r="N5705" s="34"/>
      <c r="O5705" s="34"/>
      <c r="P5705" s="34"/>
      <c r="Q5705" s="34"/>
      <c r="R5705" s="34"/>
    </row>
    <row r="5706" spans="13:18">
      <c r="M5706" s="34"/>
      <c r="N5706" s="34"/>
      <c r="O5706" s="34"/>
      <c r="P5706" s="34"/>
      <c r="Q5706" s="34"/>
      <c r="R5706" s="34"/>
    </row>
    <row r="5707" spans="13:18">
      <c r="M5707" s="34"/>
      <c r="N5707" s="34"/>
      <c r="O5707" s="34"/>
      <c r="P5707" s="34"/>
      <c r="Q5707" s="34"/>
      <c r="R5707" s="34"/>
    </row>
    <row r="5708" spans="13:18">
      <c r="M5708" s="34"/>
      <c r="N5708" s="34"/>
      <c r="O5708" s="34"/>
      <c r="P5708" s="34"/>
      <c r="Q5708" s="34"/>
      <c r="R5708" s="34"/>
    </row>
    <row r="5709" spans="13:18">
      <c r="M5709" s="34"/>
      <c r="N5709" s="34"/>
      <c r="O5709" s="34"/>
      <c r="P5709" s="34"/>
      <c r="Q5709" s="34"/>
      <c r="R5709" s="34"/>
    </row>
    <row r="5710" spans="13:18">
      <c r="M5710" s="34"/>
      <c r="N5710" s="34"/>
      <c r="O5710" s="34"/>
      <c r="P5710" s="34"/>
      <c r="Q5710" s="34"/>
      <c r="R5710" s="34"/>
    </row>
    <row r="5711" spans="13:18">
      <c r="M5711" s="34"/>
      <c r="N5711" s="34"/>
      <c r="O5711" s="34"/>
      <c r="P5711" s="34"/>
      <c r="Q5711" s="34"/>
      <c r="R5711" s="34"/>
    </row>
    <row r="5712" spans="13:18">
      <c r="M5712" s="34"/>
      <c r="N5712" s="34"/>
      <c r="O5712" s="34"/>
      <c r="P5712" s="34"/>
      <c r="Q5712" s="34"/>
      <c r="R5712" s="34"/>
    </row>
  </sheetData>
  <sheetProtection password="8B10" sheet="1" objects="1" scenarios="1"/>
  <phoneticPr fontId="3" type="noConversion"/>
  <pageMargins left="0.70866141732283472" right="0.70866141732283472" top="1.0236220472440944" bottom="1.0236220472440944" header="0.39370078740157483" footer="0.39370078740157483"/>
  <pageSetup paperSize="9" scale="58" orientation="landscape" r:id="rId1"/>
  <headerFooter alignWithMargins="0">
    <oddFooter>&amp;L&amp;"Frutiger 57Cn,Standard"&amp;8
Santander Consumer Bank AG
Santander-Platz 1
41061 Mönchengladbach
Tel.: +49 180 / 5556 - 499
Fax.: +49 180 / 5556 - 498</oddFooter>
  </headerFooter>
  <colBreaks count="1" manualBreakCount="1">
    <brk id="1" max="9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M260"/>
  <sheetViews>
    <sheetView view="pageBreakPreview" zoomScale="75" zoomScaleNormal="100" workbookViewId="0">
      <selection activeCell="B3" sqref="B3"/>
    </sheetView>
  </sheetViews>
  <sheetFormatPr defaultRowHeight="12.75"/>
  <cols>
    <col min="1" max="1" width="1.28515625" style="31" customWidth="1"/>
    <col min="2" max="2" width="26" style="31" customWidth="1"/>
    <col min="3" max="3" width="14.85546875" style="31" customWidth="1"/>
    <col min="4" max="4" width="21.42578125" style="31" bestFit="1" customWidth="1"/>
    <col min="5" max="5" width="18.7109375" style="31" customWidth="1"/>
    <col min="6" max="6" width="20.7109375" style="31" customWidth="1"/>
    <col min="7" max="7" width="20.5703125" style="31" customWidth="1"/>
    <col min="8" max="8" width="19" style="31" customWidth="1"/>
    <col min="9" max="9" width="15.5703125" style="31" customWidth="1"/>
    <col min="10" max="10" width="25.5703125" style="31" customWidth="1"/>
    <col min="11" max="11" width="1.28515625" style="31" customWidth="1"/>
    <col min="12" max="12" width="4.28515625" style="31" customWidth="1"/>
    <col min="13" max="256" width="11.42578125" style="31" customWidth="1"/>
    <col min="257" max="16384" width="9.140625" style="31"/>
  </cols>
  <sheetData>
    <row r="1" spans="1:13" ht="6" customHeight="1">
      <c r="A1" s="35"/>
      <c r="B1" s="36"/>
      <c r="C1" s="36"/>
      <c r="D1" s="36"/>
      <c r="E1" s="36"/>
      <c r="F1" s="36"/>
      <c r="G1" s="36"/>
      <c r="H1" s="36"/>
      <c r="I1" s="36"/>
      <c r="J1" s="36"/>
      <c r="K1" s="37"/>
    </row>
    <row r="2" spans="1:13" s="27" customFormat="1" ht="18">
      <c r="A2" s="5"/>
      <c r="B2" s="7" t="str">
        <f>'Cover Sheet'!B2</f>
        <v>SC Germany Auto 10-1</v>
      </c>
      <c r="C2" s="7"/>
      <c r="D2" s="108" t="s">
        <v>54</v>
      </c>
      <c r="E2" s="109"/>
      <c r="F2" s="110">
        <f>'Cover Sheet'!F2</f>
        <v>41191</v>
      </c>
      <c r="G2" s="109"/>
      <c r="H2" s="109"/>
      <c r="I2" s="109"/>
      <c r="J2" s="111"/>
      <c r="K2" s="88"/>
    </row>
    <row r="3" spans="1:13" s="27" customFormat="1" ht="18">
      <c r="A3" s="5"/>
      <c r="B3" s="7" t="str">
        <f>'Cover Sheet'!B3</f>
        <v>Monthly Investor Report</v>
      </c>
      <c r="C3" s="7"/>
      <c r="D3" s="112" t="s">
        <v>4</v>
      </c>
      <c r="E3" s="113"/>
      <c r="F3" s="114">
        <f>'Cover Sheet'!F3</f>
        <v>41197</v>
      </c>
      <c r="G3" s="113"/>
      <c r="H3" s="113"/>
      <c r="I3" s="113"/>
      <c r="J3" s="115"/>
      <c r="K3" s="90"/>
    </row>
    <row r="4" spans="1:13" s="27" customFormat="1">
      <c r="A4" s="5"/>
      <c r="B4" s="42"/>
      <c r="C4" s="12"/>
      <c r="D4" s="112" t="s">
        <v>5</v>
      </c>
      <c r="E4" s="113"/>
      <c r="F4" s="122">
        <f>'Cover Sheet'!F4</f>
        <v>27</v>
      </c>
      <c r="G4" s="113"/>
      <c r="H4" s="117"/>
      <c r="I4" s="113"/>
      <c r="J4" s="118"/>
      <c r="K4" s="88"/>
    </row>
    <row r="5" spans="1:13" s="27" customFormat="1" ht="18">
      <c r="A5" s="5"/>
      <c r="B5" s="105" t="s">
        <v>385</v>
      </c>
      <c r="C5" s="14"/>
      <c r="D5" s="112" t="s">
        <v>3</v>
      </c>
      <c r="E5" s="113"/>
      <c r="F5" s="123">
        <f>'Cover Sheet'!F5</f>
        <v>41197</v>
      </c>
      <c r="G5" s="113"/>
      <c r="H5" s="117"/>
      <c r="I5" s="113"/>
      <c r="J5" s="118"/>
      <c r="K5" s="90"/>
    </row>
    <row r="6" spans="1:13" s="27" customFormat="1" ht="15" customHeight="1">
      <c r="A6" s="5"/>
      <c r="B6" s="43"/>
      <c r="C6" s="89"/>
      <c r="D6" s="552" t="str">
        <f>'Cover Sheet'!D6</f>
        <v>Interest Period</v>
      </c>
      <c r="E6" s="114" t="s">
        <v>38</v>
      </c>
      <c r="F6" s="114">
        <f>'Cover Sheet'!F6</f>
        <v>41164</v>
      </c>
      <c r="G6" s="116" t="s">
        <v>6</v>
      </c>
      <c r="H6" s="114">
        <f>'Cover Sheet'!H6</f>
        <v>41197</v>
      </c>
      <c r="I6" s="116" t="s">
        <v>18</v>
      </c>
      <c r="J6" s="542" t="str">
        <f>'Cover Sheet'!J6</f>
        <v>33 days</v>
      </c>
      <c r="K6" s="90"/>
      <c r="M6" s="30"/>
    </row>
    <row r="7" spans="1:13" s="27" customFormat="1">
      <c r="A7" s="5"/>
      <c r="B7" s="4"/>
      <c r="C7" s="4"/>
      <c r="D7" s="553" t="str">
        <f>'Cover Sheet'!D7</f>
        <v>Collection Period</v>
      </c>
      <c r="E7" s="121" t="s">
        <v>38</v>
      </c>
      <c r="F7" s="121" t="str">
        <f>'Cover Sheet'!F7</f>
        <v>01.09.2012</v>
      </c>
      <c r="G7" s="120" t="s">
        <v>6</v>
      </c>
      <c r="H7" s="121">
        <f>'Cover Sheet'!H7</f>
        <v>41182</v>
      </c>
      <c r="I7" s="543"/>
      <c r="J7" s="544"/>
      <c r="K7" s="90"/>
    </row>
    <row r="8" spans="1:13" s="27" customFormat="1">
      <c r="A8" s="5"/>
      <c r="B8" s="4"/>
      <c r="C8" s="4"/>
      <c r="D8" s="4"/>
      <c r="E8" s="9"/>
      <c r="F8" s="15"/>
      <c r="G8" s="9"/>
      <c r="H8" s="4"/>
      <c r="I8" s="16"/>
      <c r="J8" s="4"/>
      <c r="K8" s="90"/>
    </row>
    <row r="9" spans="1:13" s="27" customFormat="1">
      <c r="A9" s="5"/>
      <c r="B9" s="4"/>
      <c r="C9" s="4"/>
      <c r="D9" s="4"/>
      <c r="E9" s="4"/>
      <c r="F9" s="4"/>
      <c r="G9" s="4"/>
      <c r="H9" s="4"/>
      <c r="I9" s="4"/>
      <c r="J9" s="4"/>
      <c r="K9" s="8"/>
      <c r="M9" s="32"/>
    </row>
    <row r="10" spans="1:13" s="27" customFormat="1">
      <c r="A10" s="5"/>
      <c r="B10" s="4"/>
      <c r="C10" s="4"/>
      <c r="D10" s="34"/>
      <c r="E10" s="34"/>
      <c r="F10" s="102"/>
      <c r="G10" s="34"/>
      <c r="H10" s="34"/>
      <c r="I10" s="34"/>
      <c r="J10" s="34"/>
      <c r="K10" s="8"/>
    </row>
    <row r="11" spans="1:13" s="27" customFormat="1" ht="18">
      <c r="A11" s="5"/>
      <c r="B11" s="125"/>
      <c r="C11" s="4"/>
      <c r="D11" s="34"/>
      <c r="E11" s="34"/>
      <c r="F11" s="34"/>
      <c r="G11" s="137"/>
      <c r="H11" s="137"/>
      <c r="I11" s="34"/>
      <c r="J11" s="4"/>
      <c r="K11" s="8"/>
      <c r="M11" s="101"/>
    </row>
    <row r="12" spans="1:13" s="27" customFormat="1">
      <c r="A12" s="5"/>
      <c r="B12" s="4"/>
      <c r="C12" s="4"/>
      <c r="D12" s="34"/>
      <c r="E12" s="34"/>
      <c r="F12" s="34"/>
      <c r="G12" s="137"/>
      <c r="H12" s="137"/>
      <c r="I12" s="34"/>
      <c r="J12" s="4"/>
      <c r="K12" s="8"/>
      <c r="M12" s="101"/>
    </row>
    <row r="13" spans="1:13" s="27" customFormat="1" ht="45" customHeight="1">
      <c r="A13" s="5"/>
      <c r="B13" s="127"/>
      <c r="C13" s="34"/>
      <c r="D13" s="375"/>
      <c r="E13" s="328"/>
      <c r="F13" s="327"/>
      <c r="G13" s="328"/>
      <c r="H13" s="328"/>
      <c r="I13" s="102"/>
      <c r="J13" s="4"/>
      <c r="K13" s="8"/>
      <c r="M13" s="101"/>
    </row>
    <row r="14" spans="1:13" s="27" customFormat="1">
      <c r="A14" s="5"/>
      <c r="B14" s="138"/>
      <c r="C14" s="138"/>
      <c r="D14" s="156"/>
      <c r="E14" s="157"/>
      <c r="F14" s="141"/>
      <c r="G14" s="158"/>
      <c r="H14" s="141"/>
      <c r="I14" s="102"/>
      <c r="J14" s="4"/>
      <c r="K14" s="8"/>
      <c r="M14" s="101"/>
    </row>
    <row r="15" spans="1:13">
      <c r="A15" s="40"/>
      <c r="B15" s="139"/>
      <c r="C15" s="140"/>
      <c r="D15" s="156"/>
      <c r="E15" s="157"/>
      <c r="F15" s="141"/>
      <c r="G15" s="158"/>
      <c r="H15" s="141"/>
      <c r="I15" s="102"/>
      <c r="J15" s="34"/>
      <c r="K15" s="41"/>
      <c r="M15" s="101"/>
    </row>
    <row r="16" spans="1:13">
      <c r="A16" s="40"/>
      <c r="B16" s="139"/>
      <c r="C16" s="140"/>
      <c r="D16" s="156"/>
      <c r="E16" s="157"/>
      <c r="F16" s="141"/>
      <c r="G16" s="158"/>
      <c r="H16" s="141"/>
      <c r="I16" s="102"/>
      <c r="J16" s="34"/>
      <c r="K16" s="41"/>
      <c r="M16" s="101"/>
    </row>
    <row r="17" spans="1:13">
      <c r="A17" s="40"/>
      <c r="B17" s="139"/>
      <c r="C17" s="140"/>
      <c r="D17" s="156"/>
      <c r="E17" s="157"/>
      <c r="F17" s="141"/>
      <c r="G17" s="158"/>
      <c r="H17" s="141"/>
      <c r="I17" s="102"/>
      <c r="J17" s="34"/>
      <c r="K17" s="41"/>
      <c r="M17" s="101"/>
    </row>
    <row r="18" spans="1:13">
      <c r="A18" s="40"/>
      <c r="B18" s="139"/>
      <c r="C18" s="140"/>
      <c r="D18" s="156"/>
      <c r="E18" s="157"/>
      <c r="F18" s="141"/>
      <c r="G18" s="158"/>
      <c r="H18" s="141"/>
      <c r="I18" s="102"/>
      <c r="J18" s="34"/>
      <c r="K18" s="41"/>
      <c r="M18" s="101"/>
    </row>
    <row r="19" spans="1:13">
      <c r="A19" s="40"/>
      <c r="B19" s="139"/>
      <c r="C19" s="140"/>
      <c r="D19" s="156"/>
      <c r="E19" s="157"/>
      <c r="F19" s="141"/>
      <c r="G19" s="158"/>
      <c r="H19" s="141"/>
      <c r="I19" s="102"/>
      <c r="J19" s="34"/>
      <c r="K19" s="41"/>
      <c r="M19" s="101"/>
    </row>
    <row r="20" spans="1:13">
      <c r="A20" s="40"/>
      <c r="B20" s="139"/>
      <c r="C20" s="140"/>
      <c r="D20" s="156"/>
      <c r="E20" s="157"/>
      <c r="F20" s="141"/>
      <c r="G20" s="158"/>
      <c r="H20" s="141"/>
      <c r="I20" s="102"/>
      <c r="J20" s="34"/>
      <c r="K20" s="41"/>
      <c r="M20" s="101"/>
    </row>
    <row r="21" spans="1:13">
      <c r="A21" s="40"/>
      <c r="B21" s="139"/>
      <c r="C21" s="140"/>
      <c r="D21" s="156"/>
      <c r="E21" s="157"/>
      <c r="F21" s="141"/>
      <c r="G21" s="158"/>
      <c r="H21" s="141"/>
      <c r="I21" s="102"/>
      <c r="J21" s="34"/>
      <c r="K21" s="41"/>
      <c r="M21" s="101"/>
    </row>
    <row r="22" spans="1:13">
      <c r="A22" s="40"/>
      <c r="B22" s="139"/>
      <c r="C22" s="140"/>
      <c r="D22" s="156"/>
      <c r="E22" s="157"/>
      <c r="F22" s="141"/>
      <c r="G22" s="158"/>
      <c r="H22" s="141"/>
      <c r="I22" s="102"/>
      <c r="J22" s="34"/>
      <c r="K22" s="41"/>
      <c r="M22" s="101"/>
    </row>
    <row r="23" spans="1:13">
      <c r="A23" s="40"/>
      <c r="B23" s="139"/>
      <c r="C23" s="140"/>
      <c r="D23" s="156"/>
      <c r="E23" s="157"/>
      <c r="F23" s="141"/>
      <c r="G23" s="158"/>
      <c r="H23" s="141"/>
      <c r="I23" s="102"/>
      <c r="J23" s="34"/>
      <c r="K23" s="41"/>
      <c r="M23" s="101"/>
    </row>
    <row r="24" spans="1:13">
      <c r="A24" s="40"/>
      <c r="B24" s="139"/>
      <c r="C24" s="140"/>
      <c r="D24" s="156"/>
      <c r="E24" s="157"/>
      <c r="F24" s="141"/>
      <c r="G24" s="158"/>
      <c r="H24" s="141"/>
      <c r="I24" s="102"/>
      <c r="J24" s="34"/>
      <c r="K24" s="41"/>
      <c r="M24" s="101"/>
    </row>
    <row r="25" spans="1:13">
      <c r="A25" s="40"/>
      <c r="B25" s="139"/>
      <c r="C25" s="140"/>
      <c r="D25" s="156"/>
      <c r="E25" s="157"/>
      <c r="F25" s="141"/>
      <c r="G25" s="158"/>
      <c r="H25" s="141"/>
      <c r="I25" s="102"/>
      <c r="J25" s="34"/>
      <c r="K25" s="41"/>
      <c r="M25" s="101"/>
    </row>
    <row r="26" spans="1:13">
      <c r="A26" s="40"/>
      <c r="B26" s="139"/>
      <c r="C26" s="140"/>
      <c r="D26" s="156"/>
      <c r="E26" s="157"/>
      <c r="F26" s="141"/>
      <c r="G26" s="158"/>
      <c r="H26" s="141"/>
      <c r="I26" s="102"/>
      <c r="J26" s="34"/>
      <c r="K26" s="41"/>
      <c r="M26" s="101"/>
    </row>
    <row r="27" spans="1:13">
      <c r="A27" s="40"/>
      <c r="B27" s="139"/>
      <c r="C27" s="140"/>
      <c r="D27" s="156"/>
      <c r="E27" s="157"/>
      <c r="F27" s="141"/>
      <c r="G27" s="158"/>
      <c r="H27" s="141"/>
      <c r="I27" s="102"/>
      <c r="J27" s="34"/>
      <c r="K27" s="41"/>
      <c r="M27" s="101"/>
    </row>
    <row r="28" spans="1:13">
      <c r="A28" s="40"/>
      <c r="B28" s="139"/>
      <c r="C28" s="140"/>
      <c r="D28" s="156"/>
      <c r="E28" s="157"/>
      <c r="F28" s="141"/>
      <c r="G28" s="158"/>
      <c r="H28" s="141"/>
      <c r="I28" s="102"/>
      <c r="J28" s="34"/>
      <c r="K28" s="41"/>
      <c r="M28" s="101"/>
    </row>
    <row r="29" spans="1:13">
      <c r="A29" s="40"/>
      <c r="B29" s="139"/>
      <c r="C29" s="140"/>
      <c r="D29" s="156"/>
      <c r="E29" s="157"/>
      <c r="F29" s="141"/>
      <c r="G29" s="158"/>
      <c r="H29" s="141"/>
      <c r="I29" s="102"/>
      <c r="J29" s="34"/>
      <c r="K29" s="41"/>
      <c r="M29" s="101"/>
    </row>
    <row r="30" spans="1:13">
      <c r="A30" s="40"/>
      <c r="B30" s="139"/>
      <c r="C30" s="140"/>
      <c r="D30" s="156"/>
      <c r="E30" s="157"/>
      <c r="F30" s="141"/>
      <c r="G30" s="158"/>
      <c r="H30" s="141"/>
      <c r="I30" s="102"/>
      <c r="J30" s="102"/>
      <c r="K30" s="41"/>
      <c r="M30" s="101"/>
    </row>
    <row r="31" spans="1:13">
      <c r="A31" s="40"/>
      <c r="B31" s="139"/>
      <c r="C31" s="140"/>
      <c r="D31" s="156"/>
      <c r="E31" s="157"/>
      <c r="F31" s="141"/>
      <c r="G31" s="158"/>
      <c r="H31" s="141"/>
      <c r="I31" s="102"/>
      <c r="J31" s="102"/>
      <c r="K31" s="41"/>
    </row>
    <row r="32" spans="1:13">
      <c r="A32" s="40"/>
      <c r="B32" s="139"/>
      <c r="C32" s="140"/>
      <c r="D32" s="156"/>
      <c r="E32" s="157"/>
      <c r="F32" s="141"/>
      <c r="G32" s="158"/>
      <c r="H32" s="141"/>
      <c r="I32" s="102"/>
      <c r="J32" s="102"/>
      <c r="K32" s="41"/>
    </row>
    <row r="33" spans="1:11">
      <c r="A33" s="40"/>
      <c r="B33" s="139"/>
      <c r="C33" s="140"/>
      <c r="D33" s="156"/>
      <c r="E33" s="157"/>
      <c r="F33" s="141"/>
      <c r="G33" s="158"/>
      <c r="H33" s="141"/>
      <c r="I33" s="102"/>
      <c r="J33" s="102"/>
      <c r="K33" s="41"/>
    </row>
    <row r="34" spans="1:11">
      <c r="A34" s="40"/>
      <c r="B34" s="139"/>
      <c r="C34" s="140"/>
      <c r="D34" s="156"/>
      <c r="E34" s="157"/>
      <c r="F34" s="141"/>
      <c r="G34" s="158"/>
      <c r="H34" s="141"/>
      <c r="I34" s="102"/>
      <c r="J34" s="102"/>
      <c r="K34" s="41"/>
    </row>
    <row r="35" spans="1:11">
      <c r="A35" s="40"/>
      <c r="B35" s="139"/>
      <c r="C35" s="140"/>
      <c r="D35" s="156"/>
      <c r="E35" s="157"/>
      <c r="F35" s="141"/>
      <c r="G35" s="158"/>
      <c r="H35" s="141"/>
      <c r="I35" s="102"/>
      <c r="J35" s="102"/>
      <c r="K35" s="41"/>
    </row>
    <row r="36" spans="1:11">
      <c r="A36" s="40"/>
      <c r="B36" s="139"/>
      <c r="C36" s="140"/>
      <c r="D36" s="156"/>
      <c r="E36" s="157"/>
      <c r="F36" s="141"/>
      <c r="G36" s="158"/>
      <c r="H36" s="141"/>
      <c r="I36" s="102"/>
      <c r="J36" s="102"/>
      <c r="K36" s="41"/>
    </row>
    <row r="37" spans="1:11">
      <c r="A37" s="40"/>
      <c r="B37" s="139"/>
      <c r="C37" s="140"/>
      <c r="D37" s="156"/>
      <c r="E37" s="157"/>
      <c r="F37" s="141"/>
      <c r="G37" s="158"/>
      <c r="H37" s="141"/>
      <c r="I37" s="102"/>
      <c r="J37" s="102"/>
      <c r="K37" s="41"/>
    </row>
    <row r="38" spans="1:11">
      <c r="A38" s="40"/>
      <c r="B38" s="139"/>
      <c r="C38" s="140"/>
      <c r="D38" s="156"/>
      <c r="E38" s="157"/>
      <c r="F38" s="141"/>
      <c r="G38" s="158"/>
      <c r="H38" s="141"/>
      <c r="I38" s="102"/>
      <c r="J38" s="102"/>
      <c r="K38" s="41"/>
    </row>
    <row r="39" spans="1:11">
      <c r="A39" s="40"/>
      <c r="B39" s="139"/>
      <c r="C39" s="140"/>
      <c r="D39" s="156"/>
      <c r="E39" s="157"/>
      <c r="F39" s="141"/>
      <c r="G39" s="158"/>
      <c r="H39" s="141"/>
      <c r="I39" s="102"/>
      <c r="J39" s="102"/>
      <c r="K39" s="41"/>
    </row>
    <row r="40" spans="1:11">
      <c r="A40" s="40"/>
      <c r="B40" s="139"/>
      <c r="C40" s="140"/>
      <c r="D40" s="156"/>
      <c r="E40" s="157"/>
      <c r="F40" s="141"/>
      <c r="G40" s="158"/>
      <c r="H40" s="141"/>
      <c r="I40" s="102"/>
      <c r="J40" s="34"/>
      <c r="K40" s="41"/>
    </row>
    <row r="41" spans="1:11">
      <c r="A41" s="40"/>
      <c r="B41" s="139"/>
      <c r="C41" s="140"/>
      <c r="D41" s="156"/>
      <c r="E41" s="157"/>
      <c r="F41" s="141"/>
      <c r="G41" s="158"/>
      <c r="H41" s="141"/>
      <c r="I41" s="102"/>
      <c r="J41" s="34"/>
      <c r="K41" s="41"/>
    </row>
    <row r="42" spans="1:11">
      <c r="A42" s="40"/>
      <c r="B42" s="139"/>
      <c r="C42" s="140"/>
      <c r="D42" s="156"/>
      <c r="E42" s="157"/>
      <c r="F42" s="141"/>
      <c r="G42" s="158"/>
      <c r="H42" s="141"/>
      <c r="I42" s="102"/>
      <c r="J42" s="34"/>
      <c r="K42" s="41"/>
    </row>
    <row r="43" spans="1:11">
      <c r="A43" s="40"/>
      <c r="B43" s="139"/>
      <c r="C43" s="140"/>
      <c r="D43" s="156"/>
      <c r="E43" s="157"/>
      <c r="F43" s="141"/>
      <c r="G43" s="158"/>
      <c r="H43" s="141"/>
      <c r="I43" s="102"/>
      <c r="J43" s="34"/>
      <c r="K43" s="41"/>
    </row>
    <row r="44" spans="1:11">
      <c r="A44" s="40"/>
      <c r="B44" s="139"/>
      <c r="C44" s="140"/>
      <c r="D44" s="156"/>
      <c r="E44" s="157"/>
      <c r="F44" s="141"/>
      <c r="G44" s="158"/>
      <c r="H44" s="141"/>
      <c r="I44" s="102"/>
      <c r="J44" s="34"/>
      <c r="K44" s="41"/>
    </row>
    <row r="45" spans="1:11" s="27" customFormat="1" ht="12.75" customHeight="1">
      <c r="A45" s="5"/>
      <c r="B45" s="139"/>
      <c r="C45" s="140"/>
      <c r="D45" s="156"/>
      <c r="E45" s="157"/>
      <c r="F45" s="141"/>
      <c r="G45" s="158"/>
      <c r="H45" s="141"/>
      <c r="I45" s="102"/>
      <c r="J45" s="4"/>
      <c r="K45" s="8"/>
    </row>
    <row r="46" spans="1:11" s="27" customFormat="1">
      <c r="A46" s="5"/>
      <c r="B46" s="139"/>
      <c r="C46" s="140"/>
      <c r="D46" s="156"/>
      <c r="E46" s="157"/>
      <c r="F46" s="141"/>
      <c r="G46" s="158"/>
      <c r="H46" s="141"/>
      <c r="I46" s="102"/>
      <c r="J46" s="4"/>
      <c r="K46" s="8"/>
    </row>
    <row r="47" spans="1:11">
      <c r="A47" s="60"/>
      <c r="B47" s="61"/>
      <c r="C47" s="61"/>
      <c r="D47" s="61"/>
      <c r="E47" s="61"/>
      <c r="F47" s="61"/>
      <c r="G47" s="61"/>
      <c r="H47" s="61"/>
      <c r="I47" s="126"/>
      <c r="J47" s="61"/>
      <c r="K47" s="79"/>
    </row>
    <row r="48" spans="1:11">
      <c r="I48" s="124"/>
    </row>
    <row r="49" spans="9:9">
      <c r="I49" s="124"/>
    </row>
    <row r="50" spans="9:9">
      <c r="I50" s="124"/>
    </row>
    <row r="51" spans="9:9">
      <c r="I51" s="124"/>
    </row>
    <row r="52" spans="9:9">
      <c r="I52" s="124"/>
    </row>
    <row r="53" spans="9:9">
      <c r="I53" s="124"/>
    </row>
    <row r="54" spans="9:9">
      <c r="I54" s="124"/>
    </row>
    <row r="55" spans="9:9">
      <c r="I55" s="124"/>
    </row>
    <row r="56" spans="9:9">
      <c r="I56" s="124"/>
    </row>
    <row r="57" spans="9:9">
      <c r="I57" s="124"/>
    </row>
    <row r="58" spans="9:9">
      <c r="I58" s="124"/>
    </row>
    <row r="59" spans="9:9">
      <c r="I59" s="124"/>
    </row>
    <row r="60" spans="9:9">
      <c r="I60" s="124"/>
    </row>
    <row r="61" spans="9:9">
      <c r="I61" s="124"/>
    </row>
    <row r="62" spans="9:9">
      <c r="I62" s="124"/>
    </row>
    <row r="63" spans="9:9">
      <c r="I63" s="124"/>
    </row>
    <row r="64" spans="9:9">
      <c r="I64" s="124"/>
    </row>
    <row r="65" spans="9:9">
      <c r="I65" s="124"/>
    </row>
    <row r="66" spans="9:9">
      <c r="I66" s="124"/>
    </row>
    <row r="67" spans="9:9">
      <c r="I67" s="124"/>
    </row>
    <row r="68" spans="9:9">
      <c r="I68" s="124"/>
    </row>
    <row r="69" spans="9:9">
      <c r="I69" s="124"/>
    </row>
    <row r="70" spans="9:9">
      <c r="I70" s="124"/>
    </row>
    <row r="71" spans="9:9">
      <c r="I71" s="124"/>
    </row>
    <row r="72" spans="9:9">
      <c r="I72" s="124"/>
    </row>
    <row r="73" spans="9:9">
      <c r="I73" s="124"/>
    </row>
    <row r="74" spans="9:9">
      <c r="I74" s="124"/>
    </row>
    <row r="75" spans="9:9">
      <c r="I75" s="124"/>
    </row>
    <row r="76" spans="9:9">
      <c r="I76" s="124"/>
    </row>
    <row r="77" spans="9:9">
      <c r="I77" s="124"/>
    </row>
    <row r="78" spans="9:9">
      <c r="I78" s="124"/>
    </row>
    <row r="79" spans="9:9">
      <c r="I79" s="124"/>
    </row>
    <row r="80" spans="9:9">
      <c r="I80" s="124"/>
    </row>
    <row r="81" spans="9:9">
      <c r="I81" s="124"/>
    </row>
    <row r="82" spans="9:9">
      <c r="I82" s="124"/>
    </row>
    <row r="83" spans="9:9">
      <c r="I83" s="124"/>
    </row>
    <row r="84" spans="9:9">
      <c r="I84" s="124"/>
    </row>
    <row r="85" spans="9:9">
      <c r="I85" s="124"/>
    </row>
    <row r="86" spans="9:9">
      <c r="I86" s="124"/>
    </row>
    <row r="87" spans="9:9">
      <c r="I87" s="124"/>
    </row>
    <row r="88" spans="9:9">
      <c r="I88" s="124"/>
    </row>
    <row r="89" spans="9:9">
      <c r="I89" s="124"/>
    </row>
    <row r="90" spans="9:9">
      <c r="I90" s="124"/>
    </row>
    <row r="91" spans="9:9">
      <c r="I91" s="124"/>
    </row>
    <row r="92" spans="9:9">
      <c r="I92" s="124"/>
    </row>
    <row r="93" spans="9:9">
      <c r="I93" s="124"/>
    </row>
    <row r="94" spans="9:9">
      <c r="I94" s="124"/>
    </row>
    <row r="95" spans="9:9">
      <c r="I95" s="124"/>
    </row>
    <row r="96" spans="9:9">
      <c r="I96" s="124"/>
    </row>
    <row r="97" spans="9:9">
      <c r="I97" s="124"/>
    </row>
    <row r="98" spans="9:9">
      <c r="I98" s="124"/>
    </row>
    <row r="99" spans="9:9">
      <c r="I99" s="124"/>
    </row>
    <row r="100" spans="9:9">
      <c r="I100" s="124"/>
    </row>
    <row r="101" spans="9:9">
      <c r="I101" s="124"/>
    </row>
    <row r="102" spans="9:9">
      <c r="I102" s="124"/>
    </row>
    <row r="103" spans="9:9">
      <c r="I103" s="124"/>
    </row>
    <row r="104" spans="9:9">
      <c r="I104" s="124"/>
    </row>
    <row r="105" spans="9:9">
      <c r="I105" s="124"/>
    </row>
    <row r="106" spans="9:9">
      <c r="I106" s="124"/>
    </row>
    <row r="107" spans="9:9">
      <c r="I107" s="124"/>
    </row>
    <row r="108" spans="9:9">
      <c r="I108" s="124"/>
    </row>
    <row r="109" spans="9:9">
      <c r="I109" s="124"/>
    </row>
    <row r="110" spans="9:9">
      <c r="I110" s="124"/>
    </row>
    <row r="111" spans="9:9">
      <c r="I111" s="124"/>
    </row>
    <row r="112" spans="9:9">
      <c r="I112" s="124"/>
    </row>
    <row r="113" spans="9:9">
      <c r="I113" s="124"/>
    </row>
    <row r="114" spans="9:9">
      <c r="I114" s="124"/>
    </row>
    <row r="115" spans="9:9">
      <c r="I115" s="124"/>
    </row>
    <row r="116" spans="9:9">
      <c r="I116" s="124"/>
    </row>
    <row r="117" spans="9:9">
      <c r="I117" s="124"/>
    </row>
    <row r="118" spans="9:9">
      <c r="I118" s="124"/>
    </row>
    <row r="119" spans="9:9">
      <c r="I119" s="124"/>
    </row>
    <row r="120" spans="9:9">
      <c r="I120" s="124"/>
    </row>
    <row r="121" spans="9:9">
      <c r="I121" s="124"/>
    </row>
    <row r="122" spans="9:9">
      <c r="I122" s="124"/>
    </row>
    <row r="123" spans="9:9">
      <c r="I123" s="124"/>
    </row>
    <row r="124" spans="9:9">
      <c r="I124" s="124"/>
    </row>
    <row r="125" spans="9:9">
      <c r="I125" s="124"/>
    </row>
    <row r="126" spans="9:9">
      <c r="I126" s="124"/>
    </row>
    <row r="127" spans="9:9">
      <c r="I127" s="124"/>
    </row>
    <row r="128" spans="9:9">
      <c r="I128" s="124"/>
    </row>
    <row r="129" spans="9:9">
      <c r="I129" s="124"/>
    </row>
    <row r="130" spans="9:9">
      <c r="I130" s="124"/>
    </row>
    <row r="131" spans="9:9">
      <c r="I131" s="124"/>
    </row>
    <row r="132" spans="9:9">
      <c r="I132" s="124"/>
    </row>
    <row r="133" spans="9:9">
      <c r="I133" s="124"/>
    </row>
    <row r="134" spans="9:9">
      <c r="I134" s="124"/>
    </row>
    <row r="135" spans="9:9">
      <c r="I135" s="124"/>
    </row>
    <row r="136" spans="9:9">
      <c r="I136" s="124"/>
    </row>
    <row r="137" spans="9:9">
      <c r="I137" s="124"/>
    </row>
    <row r="138" spans="9:9">
      <c r="I138" s="124"/>
    </row>
    <row r="139" spans="9:9">
      <c r="I139" s="124"/>
    </row>
    <row r="140" spans="9:9">
      <c r="I140" s="124"/>
    </row>
    <row r="141" spans="9:9">
      <c r="I141" s="124"/>
    </row>
    <row r="142" spans="9:9">
      <c r="I142" s="124"/>
    </row>
    <row r="143" spans="9:9">
      <c r="I143" s="124"/>
    </row>
    <row r="144" spans="9:9">
      <c r="I144" s="124"/>
    </row>
    <row r="145" spans="9:9">
      <c r="I145" s="124"/>
    </row>
    <row r="146" spans="9:9">
      <c r="I146" s="124"/>
    </row>
    <row r="147" spans="9:9">
      <c r="I147" s="124"/>
    </row>
    <row r="148" spans="9:9">
      <c r="I148" s="124"/>
    </row>
    <row r="149" spans="9:9">
      <c r="I149" s="124"/>
    </row>
    <row r="150" spans="9:9">
      <c r="I150" s="124"/>
    </row>
    <row r="151" spans="9:9">
      <c r="I151" s="124"/>
    </row>
    <row r="152" spans="9:9">
      <c r="I152" s="124"/>
    </row>
    <row r="153" spans="9:9">
      <c r="I153" s="124"/>
    </row>
    <row r="154" spans="9:9">
      <c r="I154" s="124"/>
    </row>
    <row r="155" spans="9:9">
      <c r="I155" s="124"/>
    </row>
    <row r="156" spans="9:9">
      <c r="I156" s="124"/>
    </row>
    <row r="157" spans="9:9">
      <c r="I157" s="124"/>
    </row>
    <row r="158" spans="9:9">
      <c r="I158" s="124"/>
    </row>
    <row r="159" spans="9:9">
      <c r="I159" s="124"/>
    </row>
    <row r="160" spans="9:9">
      <c r="I160" s="124"/>
    </row>
    <row r="161" spans="9:9">
      <c r="I161" s="124"/>
    </row>
    <row r="162" spans="9:9">
      <c r="I162" s="124"/>
    </row>
    <row r="163" spans="9:9">
      <c r="I163" s="124"/>
    </row>
    <row r="164" spans="9:9">
      <c r="I164" s="124"/>
    </row>
    <row r="165" spans="9:9">
      <c r="I165" s="124"/>
    </row>
    <row r="166" spans="9:9">
      <c r="I166" s="124"/>
    </row>
    <row r="167" spans="9:9">
      <c r="I167" s="124"/>
    </row>
    <row r="168" spans="9:9">
      <c r="I168" s="124"/>
    </row>
    <row r="169" spans="9:9">
      <c r="I169" s="124"/>
    </row>
    <row r="170" spans="9:9">
      <c r="I170" s="124"/>
    </row>
    <row r="171" spans="9:9">
      <c r="I171" s="124"/>
    </row>
    <row r="172" spans="9:9">
      <c r="I172" s="124"/>
    </row>
    <row r="173" spans="9:9">
      <c r="I173" s="124"/>
    </row>
    <row r="174" spans="9:9">
      <c r="I174" s="124"/>
    </row>
    <row r="175" spans="9:9">
      <c r="I175" s="124"/>
    </row>
    <row r="176" spans="9:9">
      <c r="I176" s="124"/>
    </row>
    <row r="177" spans="9:9">
      <c r="I177" s="124"/>
    </row>
    <row r="178" spans="9:9">
      <c r="I178" s="124"/>
    </row>
    <row r="179" spans="9:9">
      <c r="I179" s="124"/>
    </row>
    <row r="180" spans="9:9">
      <c r="I180" s="124"/>
    </row>
    <row r="181" spans="9:9">
      <c r="I181" s="124"/>
    </row>
    <row r="182" spans="9:9">
      <c r="I182" s="124"/>
    </row>
    <row r="183" spans="9:9">
      <c r="I183" s="124"/>
    </row>
    <row r="184" spans="9:9">
      <c r="I184" s="124"/>
    </row>
    <row r="185" spans="9:9">
      <c r="I185" s="124"/>
    </row>
    <row r="186" spans="9:9">
      <c r="I186" s="124"/>
    </row>
    <row r="187" spans="9:9">
      <c r="I187" s="124"/>
    </row>
    <row r="188" spans="9:9">
      <c r="I188" s="124"/>
    </row>
    <row r="189" spans="9:9">
      <c r="I189" s="124"/>
    </row>
    <row r="190" spans="9:9">
      <c r="I190" s="124"/>
    </row>
    <row r="191" spans="9:9">
      <c r="I191" s="124"/>
    </row>
    <row r="192" spans="9:9">
      <c r="I192" s="124"/>
    </row>
    <row r="193" spans="9:9">
      <c r="I193" s="124"/>
    </row>
    <row r="194" spans="9:9">
      <c r="I194" s="124"/>
    </row>
    <row r="195" spans="9:9">
      <c r="I195" s="124"/>
    </row>
    <row r="196" spans="9:9">
      <c r="I196" s="124"/>
    </row>
    <row r="197" spans="9:9">
      <c r="I197" s="124"/>
    </row>
    <row r="198" spans="9:9">
      <c r="I198" s="124"/>
    </row>
    <row r="199" spans="9:9">
      <c r="I199" s="124"/>
    </row>
    <row r="200" spans="9:9">
      <c r="I200" s="124"/>
    </row>
    <row r="201" spans="9:9">
      <c r="I201" s="124"/>
    </row>
    <row r="202" spans="9:9">
      <c r="I202" s="124"/>
    </row>
    <row r="203" spans="9:9">
      <c r="I203" s="124"/>
    </row>
    <row r="204" spans="9:9">
      <c r="I204" s="124"/>
    </row>
    <row r="205" spans="9:9">
      <c r="I205" s="124"/>
    </row>
    <row r="206" spans="9:9">
      <c r="I206" s="124"/>
    </row>
    <row r="207" spans="9:9">
      <c r="I207" s="124"/>
    </row>
    <row r="208" spans="9:9">
      <c r="I208" s="124"/>
    </row>
    <row r="209" spans="9:9">
      <c r="I209" s="124"/>
    </row>
    <row r="210" spans="9:9">
      <c r="I210" s="124"/>
    </row>
    <row r="211" spans="9:9">
      <c r="I211" s="124"/>
    </row>
    <row r="212" spans="9:9">
      <c r="I212" s="124"/>
    </row>
    <row r="213" spans="9:9">
      <c r="I213" s="124"/>
    </row>
    <row r="214" spans="9:9">
      <c r="I214" s="124"/>
    </row>
    <row r="215" spans="9:9">
      <c r="I215" s="124"/>
    </row>
    <row r="216" spans="9:9">
      <c r="I216" s="124"/>
    </row>
    <row r="217" spans="9:9">
      <c r="I217" s="124"/>
    </row>
    <row r="218" spans="9:9">
      <c r="I218" s="124"/>
    </row>
    <row r="219" spans="9:9">
      <c r="I219" s="124"/>
    </row>
    <row r="220" spans="9:9">
      <c r="I220" s="124"/>
    </row>
    <row r="221" spans="9:9">
      <c r="I221" s="124"/>
    </row>
    <row r="222" spans="9:9">
      <c r="I222" s="124"/>
    </row>
    <row r="223" spans="9:9">
      <c r="I223" s="124"/>
    </row>
    <row r="224" spans="9:9">
      <c r="I224" s="124"/>
    </row>
    <row r="225" spans="9:9">
      <c r="I225" s="124"/>
    </row>
    <row r="226" spans="9:9">
      <c r="I226" s="124"/>
    </row>
    <row r="227" spans="9:9">
      <c r="I227" s="124"/>
    </row>
    <row r="228" spans="9:9">
      <c r="I228" s="124"/>
    </row>
    <row r="229" spans="9:9">
      <c r="I229" s="124"/>
    </row>
    <row r="230" spans="9:9">
      <c r="I230" s="124"/>
    </row>
    <row r="231" spans="9:9">
      <c r="I231" s="124"/>
    </row>
    <row r="232" spans="9:9">
      <c r="I232" s="124"/>
    </row>
    <row r="233" spans="9:9">
      <c r="I233" s="124"/>
    </row>
    <row r="234" spans="9:9">
      <c r="I234" s="124"/>
    </row>
    <row r="235" spans="9:9">
      <c r="I235" s="124"/>
    </row>
    <row r="236" spans="9:9">
      <c r="I236" s="124"/>
    </row>
    <row r="237" spans="9:9">
      <c r="I237" s="124"/>
    </row>
    <row r="238" spans="9:9">
      <c r="I238" s="124"/>
    </row>
    <row r="239" spans="9:9">
      <c r="I239" s="124"/>
    </row>
    <row r="240" spans="9:9">
      <c r="I240" s="124"/>
    </row>
    <row r="241" spans="9:9">
      <c r="I241" s="124"/>
    </row>
    <row r="242" spans="9:9">
      <c r="I242" s="124"/>
    </row>
    <row r="243" spans="9:9">
      <c r="I243" s="124"/>
    </row>
    <row r="244" spans="9:9">
      <c r="I244" s="124"/>
    </row>
    <row r="245" spans="9:9">
      <c r="I245" s="124"/>
    </row>
    <row r="246" spans="9:9">
      <c r="I246" s="124"/>
    </row>
    <row r="247" spans="9:9">
      <c r="I247" s="124"/>
    </row>
    <row r="248" spans="9:9">
      <c r="I248" s="124"/>
    </row>
    <row r="249" spans="9:9">
      <c r="I249" s="124"/>
    </row>
    <row r="250" spans="9:9">
      <c r="I250" s="124"/>
    </row>
    <row r="251" spans="9:9">
      <c r="I251" s="124"/>
    </row>
    <row r="252" spans="9:9">
      <c r="I252" s="124"/>
    </row>
    <row r="253" spans="9:9">
      <c r="I253" s="124"/>
    </row>
    <row r="254" spans="9:9">
      <c r="I254" s="124"/>
    </row>
    <row r="255" spans="9:9">
      <c r="I255" s="124"/>
    </row>
    <row r="256" spans="9:9">
      <c r="I256" s="124"/>
    </row>
    <row r="257" spans="9:9">
      <c r="I257" s="124"/>
    </row>
    <row r="258" spans="9:9">
      <c r="I258" s="124"/>
    </row>
    <row r="259" spans="9:9">
      <c r="I259" s="124"/>
    </row>
    <row r="260" spans="9:9">
      <c r="I260" s="124"/>
    </row>
  </sheetData>
  <sheetProtection password="8B10" sheet="1" objects="1" scenarios="1"/>
  <phoneticPr fontId="3" type="noConversion"/>
  <pageMargins left="0.70866141732283472" right="0.70866141732283472" top="1.0236220472440944" bottom="1.0236220472440944" header="0.39370078740157483" footer="0.39370078740157483"/>
  <pageSetup paperSize="9" scale="71" orientation="landscape" r:id="rId1"/>
  <headerFooter alignWithMargins="0">
    <oddFooter>&amp;L&amp;"Frutiger 57Cn,Standard"&amp;8
Santander Consumer Bank AG
Santander-Platz 1
41061 Mönchengladbach
Tel.: +49 180 / 5556 - 499
Fax.: +49 180 / 5556 - 498</oddFooter>
  </headerFooter>
  <colBreaks count="1" manualBreakCount="1">
    <brk id="1" max="95"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Q271"/>
  <sheetViews>
    <sheetView view="pageBreakPreview" zoomScale="70" zoomScaleNormal="100" zoomScaleSheetLayoutView="70" workbookViewId="0">
      <selection activeCell="B3" sqref="B3"/>
    </sheetView>
  </sheetViews>
  <sheetFormatPr defaultRowHeight="12.75"/>
  <cols>
    <col min="1" max="1" width="1.28515625" style="31" customWidth="1"/>
    <col min="2" max="2" width="26" style="31" customWidth="1"/>
    <col min="3" max="3" width="14.85546875" style="31" bestFit="1" customWidth="1"/>
    <col min="4" max="4" width="25.42578125" style="31" customWidth="1"/>
    <col min="5" max="6" width="18.7109375" style="31" customWidth="1"/>
    <col min="7" max="8" width="18.85546875" style="31" customWidth="1"/>
    <col min="9" max="9" width="9.28515625" style="31" customWidth="1"/>
    <col min="10" max="10" width="15.42578125" style="31" customWidth="1"/>
    <col min="11" max="11" width="1.28515625" style="31" customWidth="1"/>
    <col min="12" max="12" width="3.140625" style="31" customWidth="1"/>
    <col min="13" max="15" width="18.7109375" style="34" customWidth="1"/>
    <col min="16" max="17" width="18.85546875" style="34" customWidth="1"/>
    <col min="18" max="256" width="11.42578125" style="31" customWidth="1"/>
    <col min="257" max="16384" width="9.140625" style="31"/>
  </cols>
  <sheetData>
    <row r="1" spans="1:17" ht="6" customHeight="1">
      <c r="A1" s="35"/>
      <c r="B1" s="36"/>
      <c r="C1" s="36"/>
      <c r="D1" s="36"/>
      <c r="E1" s="36"/>
      <c r="F1" s="36"/>
      <c r="G1" s="36"/>
      <c r="H1" s="36"/>
      <c r="I1" s="36"/>
      <c r="J1" s="36"/>
      <c r="K1" s="37"/>
    </row>
    <row r="2" spans="1:17" s="27" customFormat="1" ht="18">
      <c r="A2" s="5"/>
      <c r="B2" s="7" t="str">
        <f>'Cover Sheet'!B2</f>
        <v>SC Germany Auto 10-1</v>
      </c>
      <c r="C2" s="7"/>
      <c r="D2" s="108" t="s">
        <v>54</v>
      </c>
      <c r="E2" s="109"/>
      <c r="F2" s="110">
        <f>'Cover Sheet'!F2</f>
        <v>41191</v>
      </c>
      <c r="G2" s="109"/>
      <c r="H2" s="109"/>
      <c r="I2" s="109"/>
      <c r="J2" s="111"/>
      <c r="K2" s="88"/>
      <c r="M2" s="28"/>
      <c r="N2" s="34"/>
      <c r="O2" s="372"/>
      <c r="P2" s="34"/>
      <c r="Q2" s="34"/>
    </row>
    <row r="3" spans="1:17" s="27" customFormat="1" ht="18">
      <c r="A3" s="5"/>
      <c r="B3" s="7" t="str">
        <f>'Cover Sheet'!B3</f>
        <v>Monthly Investor Report</v>
      </c>
      <c r="C3" s="7"/>
      <c r="D3" s="112" t="s">
        <v>4</v>
      </c>
      <c r="E3" s="113"/>
      <c r="F3" s="114">
        <f>'Cover Sheet'!F3</f>
        <v>41197</v>
      </c>
      <c r="G3" s="113"/>
      <c r="H3" s="113"/>
      <c r="I3" s="113"/>
      <c r="J3" s="115"/>
      <c r="K3" s="90"/>
      <c r="M3" s="28"/>
      <c r="N3" s="34"/>
      <c r="O3" s="372"/>
      <c r="P3" s="34"/>
      <c r="Q3" s="34"/>
    </row>
    <row r="4" spans="1:17" s="27" customFormat="1">
      <c r="A4" s="5"/>
      <c r="B4" s="42"/>
      <c r="C4" s="12"/>
      <c r="D4" s="112" t="s">
        <v>5</v>
      </c>
      <c r="E4" s="113"/>
      <c r="F4" s="122">
        <f>'Cover Sheet'!F4</f>
        <v>27</v>
      </c>
      <c r="G4" s="113"/>
      <c r="H4" s="117"/>
      <c r="I4" s="113"/>
      <c r="J4" s="118"/>
      <c r="K4" s="88"/>
      <c r="M4" s="28"/>
      <c r="N4" s="34"/>
      <c r="O4" s="45"/>
      <c r="P4" s="34"/>
      <c r="Q4" s="28"/>
    </row>
    <row r="5" spans="1:17" s="27" customFormat="1" ht="18">
      <c r="A5" s="5"/>
      <c r="B5" s="105" t="s">
        <v>384</v>
      </c>
      <c r="C5" s="14"/>
      <c r="D5" s="112" t="s">
        <v>3</v>
      </c>
      <c r="E5" s="113"/>
      <c r="F5" s="123">
        <f>'Cover Sheet'!F5</f>
        <v>41197</v>
      </c>
      <c r="G5" s="113"/>
      <c r="H5" s="117"/>
      <c r="I5" s="113"/>
      <c r="J5" s="118"/>
      <c r="K5" s="90"/>
      <c r="M5" s="28"/>
      <c r="N5" s="34"/>
      <c r="O5" s="373"/>
      <c r="P5" s="34"/>
      <c r="Q5" s="28"/>
    </row>
    <row r="6" spans="1:17" s="27" customFormat="1" ht="15" customHeight="1">
      <c r="A6" s="5"/>
      <c r="B6" s="43"/>
      <c r="C6" s="89"/>
      <c r="D6" s="552" t="str">
        <f>'Cover Sheet'!D6</f>
        <v>Interest Period</v>
      </c>
      <c r="E6" s="114" t="s">
        <v>38</v>
      </c>
      <c r="F6" s="114">
        <f>'Cover Sheet'!F6</f>
        <v>41164</v>
      </c>
      <c r="G6" s="116" t="s">
        <v>6</v>
      </c>
      <c r="H6" s="114">
        <f>'Cover Sheet'!H6</f>
        <v>41197</v>
      </c>
      <c r="I6" s="116" t="s">
        <v>18</v>
      </c>
      <c r="J6" s="542" t="str">
        <f>'Cover Sheet'!J6</f>
        <v>33 days</v>
      </c>
      <c r="K6" s="90"/>
      <c r="M6" s="28"/>
      <c r="N6" s="45"/>
      <c r="O6" s="372"/>
      <c r="P6" s="45"/>
      <c r="Q6" s="372"/>
    </row>
    <row r="7" spans="1:17" s="27" customFormat="1">
      <c r="A7" s="5"/>
      <c r="B7" s="4"/>
      <c r="C7" s="4"/>
      <c r="D7" s="553" t="str">
        <f>'Cover Sheet'!D7</f>
        <v>Collection Period</v>
      </c>
      <c r="E7" s="121" t="s">
        <v>38</v>
      </c>
      <c r="F7" s="121" t="str">
        <f>'Cover Sheet'!F7</f>
        <v>01.09.2012</v>
      </c>
      <c r="G7" s="120" t="s">
        <v>6</v>
      </c>
      <c r="H7" s="121">
        <f>'Cover Sheet'!H7</f>
        <v>41182</v>
      </c>
      <c r="I7" s="543"/>
      <c r="J7" s="544"/>
      <c r="K7" s="90"/>
      <c r="M7" s="28"/>
      <c r="N7" s="34"/>
      <c r="O7" s="374"/>
      <c r="P7" s="45"/>
      <c r="Q7" s="372"/>
    </row>
    <row r="8" spans="1:17" s="27" customFormat="1">
      <c r="A8" s="5"/>
      <c r="B8" s="4"/>
      <c r="C8" s="4"/>
      <c r="D8" s="4"/>
      <c r="E8" s="9"/>
      <c r="F8" s="15"/>
      <c r="G8" s="9"/>
      <c r="H8" s="4"/>
      <c r="I8" s="16"/>
      <c r="J8" s="4"/>
      <c r="K8" s="90"/>
      <c r="M8" s="34"/>
      <c r="N8" s="44"/>
      <c r="O8" s="45"/>
      <c r="P8" s="44"/>
      <c r="Q8" s="34"/>
    </row>
    <row r="9" spans="1:17" s="27" customFormat="1">
      <c r="A9" s="5"/>
      <c r="K9" s="8"/>
      <c r="M9" s="34"/>
      <c r="N9" s="34"/>
      <c r="O9" s="34"/>
      <c r="P9" s="34"/>
      <c r="Q9" s="34"/>
    </row>
    <row r="10" spans="1:17" s="27" customFormat="1">
      <c r="A10" s="5"/>
      <c r="B10" s="4"/>
      <c r="C10" s="4"/>
      <c r="D10" s="4"/>
      <c r="E10" s="4"/>
      <c r="F10" s="18"/>
      <c r="G10" s="4"/>
      <c r="H10" s="4"/>
      <c r="I10" s="34"/>
      <c r="J10" s="34"/>
      <c r="K10" s="8"/>
      <c r="M10" s="34"/>
      <c r="N10" s="34"/>
      <c r="O10" s="102"/>
      <c r="P10" s="34"/>
      <c r="Q10" s="34"/>
    </row>
    <row r="11" spans="1:17" s="27" customFormat="1" ht="18">
      <c r="A11" s="5"/>
      <c r="B11" s="125"/>
      <c r="C11" s="4"/>
      <c r="D11" s="4"/>
      <c r="E11" s="4"/>
      <c r="F11" s="34"/>
      <c r="G11" s="100"/>
      <c r="H11" s="100"/>
      <c r="I11" s="34"/>
      <c r="K11" s="8"/>
      <c r="M11" s="47"/>
      <c r="N11" s="34"/>
      <c r="O11" s="34"/>
      <c r="P11" s="137"/>
      <c r="Q11" s="137"/>
    </row>
    <row r="12" spans="1:17" s="27" customFormat="1" ht="13.5" thickBot="1">
      <c r="A12" s="5"/>
      <c r="B12" s="4"/>
      <c r="C12" s="4"/>
      <c r="D12" s="4"/>
      <c r="E12" s="4"/>
      <c r="F12" s="34"/>
      <c r="G12" s="100"/>
      <c r="H12" s="100"/>
      <c r="I12" s="34"/>
      <c r="K12" s="8"/>
      <c r="M12" s="34"/>
      <c r="N12" s="34"/>
      <c r="O12" s="34"/>
      <c r="P12" s="137"/>
      <c r="Q12" s="137"/>
    </row>
    <row r="13" spans="1:17" s="27" customFormat="1" ht="29.25" thickBot="1">
      <c r="A13" s="5"/>
      <c r="B13" s="127"/>
      <c r="C13" s="34"/>
      <c r="D13" s="277" t="s">
        <v>90</v>
      </c>
      <c r="E13" s="270" t="s">
        <v>91</v>
      </c>
      <c r="F13" s="270" t="s">
        <v>70</v>
      </c>
      <c r="G13" s="269" t="s">
        <v>71</v>
      </c>
      <c r="H13" s="271" t="s">
        <v>72</v>
      </c>
      <c r="I13" s="102"/>
      <c r="K13" s="8"/>
      <c r="M13" s="377"/>
      <c r="N13" s="327"/>
      <c r="O13" s="327"/>
      <c r="P13" s="328"/>
      <c r="Q13" s="328"/>
    </row>
    <row r="14" spans="1:17">
      <c r="A14" s="40"/>
      <c r="B14" s="139"/>
      <c r="C14" s="140"/>
      <c r="D14" s="588" t="s">
        <v>477</v>
      </c>
      <c r="E14" s="272">
        <v>1723098.7399999988</v>
      </c>
      <c r="F14" s="273">
        <v>7.9203435943522409E-3</v>
      </c>
      <c r="G14" s="274">
        <v>7425</v>
      </c>
      <c r="H14" s="275">
        <v>0.17631135278892501</v>
      </c>
      <c r="I14" s="102"/>
      <c r="K14" s="41"/>
      <c r="M14" s="156"/>
      <c r="N14" s="157"/>
      <c r="O14" s="141"/>
      <c r="P14" s="158"/>
      <c r="Q14" s="141"/>
    </row>
    <row r="15" spans="1:17">
      <c r="A15" s="40"/>
      <c r="B15" s="139"/>
      <c r="C15" s="140"/>
      <c r="D15" s="588" t="s">
        <v>478</v>
      </c>
      <c r="E15" s="272">
        <v>5805912.5900000008</v>
      </c>
      <c r="F15" s="273">
        <v>2.6687282350154561E-2</v>
      </c>
      <c r="G15" s="274">
        <v>3856</v>
      </c>
      <c r="H15" s="275">
        <v>9.1563175266544769E-2</v>
      </c>
      <c r="I15" s="102"/>
      <c r="K15" s="41"/>
      <c r="M15" s="156"/>
      <c r="N15" s="157"/>
      <c r="O15" s="141"/>
      <c r="P15" s="158"/>
      <c r="Q15" s="141"/>
    </row>
    <row r="16" spans="1:17">
      <c r="A16" s="40"/>
      <c r="B16" s="139"/>
      <c r="C16" s="140"/>
      <c r="D16" s="588" t="s">
        <v>479</v>
      </c>
      <c r="E16" s="272">
        <v>10165088.410000015</v>
      </c>
      <c r="F16" s="273">
        <v>4.6724538185297419E-2</v>
      </c>
      <c r="G16" s="274">
        <v>4052</v>
      </c>
      <c r="H16" s="275">
        <v>9.6217320067437606E-2</v>
      </c>
      <c r="I16" s="102"/>
      <c r="K16" s="41"/>
      <c r="M16" s="156"/>
      <c r="N16" s="157"/>
      <c r="O16" s="141"/>
      <c r="P16" s="158"/>
      <c r="Q16" s="141"/>
    </row>
    <row r="17" spans="1:17">
      <c r="A17" s="40"/>
      <c r="B17" s="139"/>
      <c r="C17" s="140"/>
      <c r="D17" s="588" t="s">
        <v>480</v>
      </c>
      <c r="E17" s="272">
        <v>13996738.999999966</v>
      </c>
      <c r="F17" s="273">
        <v>6.4336987490612396E-2</v>
      </c>
      <c r="G17" s="274">
        <v>4022</v>
      </c>
      <c r="H17" s="275">
        <v>9.5504950965260127E-2</v>
      </c>
      <c r="I17" s="102"/>
      <c r="K17" s="41"/>
      <c r="M17" s="156"/>
      <c r="N17" s="157"/>
      <c r="O17" s="141"/>
      <c r="P17" s="158"/>
      <c r="Q17" s="141"/>
    </row>
    <row r="18" spans="1:17">
      <c r="A18" s="40"/>
      <c r="B18" s="139"/>
      <c r="C18" s="140"/>
      <c r="D18" s="588" t="s">
        <v>481</v>
      </c>
      <c r="E18" s="272">
        <v>16510213.390000004</v>
      </c>
      <c r="F18" s="273">
        <v>7.5890347911736739E-2</v>
      </c>
      <c r="G18" s="274">
        <v>3677</v>
      </c>
      <c r="H18" s="275">
        <v>8.7312706290219172E-2</v>
      </c>
      <c r="I18" s="102"/>
      <c r="K18" s="41"/>
      <c r="M18" s="156"/>
      <c r="N18" s="157"/>
      <c r="O18" s="141"/>
      <c r="P18" s="158"/>
      <c r="Q18" s="141"/>
    </row>
    <row r="19" spans="1:17">
      <c r="A19" s="40"/>
      <c r="B19" s="139"/>
      <c r="C19" s="140"/>
      <c r="D19" s="588" t="s">
        <v>482</v>
      </c>
      <c r="E19" s="272">
        <v>18444661.62999998</v>
      </c>
      <c r="F19" s="273">
        <v>8.4782174230575436E-2</v>
      </c>
      <c r="G19" s="274">
        <v>3363</v>
      </c>
      <c r="H19" s="275">
        <v>7.9856576354094932E-2</v>
      </c>
      <c r="I19" s="102"/>
      <c r="K19" s="41"/>
      <c r="M19" s="156"/>
      <c r="N19" s="157"/>
      <c r="O19" s="141"/>
      <c r="P19" s="158"/>
      <c r="Q19" s="141"/>
    </row>
    <row r="20" spans="1:17">
      <c r="A20" s="40"/>
      <c r="B20" s="139"/>
      <c r="C20" s="140"/>
      <c r="D20" s="588" t="s">
        <v>483</v>
      </c>
      <c r="E20" s="272">
        <v>19373431.389999986</v>
      </c>
      <c r="F20" s="273">
        <v>8.9051329240951743E-2</v>
      </c>
      <c r="G20" s="274">
        <v>2982</v>
      </c>
      <c r="H20" s="275">
        <v>7.0809488756441011E-2</v>
      </c>
      <c r="I20" s="102"/>
      <c r="K20" s="41"/>
      <c r="M20" s="156"/>
      <c r="N20" s="157"/>
      <c r="O20" s="141"/>
      <c r="P20" s="158"/>
      <c r="Q20" s="141"/>
    </row>
    <row r="21" spans="1:17">
      <c r="A21" s="40"/>
      <c r="B21" s="139"/>
      <c r="C21" s="140"/>
      <c r="D21" s="588" t="s">
        <v>484</v>
      </c>
      <c r="E21" s="272">
        <v>20852581.779999975</v>
      </c>
      <c r="F21" s="273">
        <v>9.5850347222080343E-2</v>
      </c>
      <c r="G21" s="274">
        <v>2780</v>
      </c>
      <c r="H21" s="275">
        <v>6.6012870135112672E-2</v>
      </c>
      <c r="I21" s="102"/>
      <c r="K21" s="41"/>
      <c r="M21" s="156"/>
      <c r="N21" s="157"/>
      <c r="O21" s="141"/>
      <c r="P21" s="158"/>
      <c r="Q21" s="141"/>
    </row>
    <row r="22" spans="1:17">
      <c r="A22" s="40"/>
      <c r="B22" s="139"/>
      <c r="C22" s="140"/>
      <c r="D22" s="588" t="s">
        <v>485</v>
      </c>
      <c r="E22" s="272">
        <v>23051191.870000005</v>
      </c>
      <c r="F22" s="273">
        <v>0.10595641191736876</v>
      </c>
      <c r="G22" s="274">
        <v>2716</v>
      </c>
      <c r="H22" s="275">
        <v>6.4493149383800727E-2</v>
      </c>
      <c r="I22" s="102"/>
      <c r="K22" s="41"/>
      <c r="M22" s="156"/>
      <c r="N22" s="157"/>
      <c r="O22" s="141"/>
      <c r="P22" s="158"/>
      <c r="Q22" s="141"/>
    </row>
    <row r="23" spans="1:17">
      <c r="A23" s="40"/>
      <c r="B23" s="139"/>
      <c r="C23" s="140"/>
      <c r="D23" s="588" t="s">
        <v>486</v>
      </c>
      <c r="E23" s="272">
        <v>19241494.980000012</v>
      </c>
      <c r="F23" s="273">
        <v>8.8444874326008727E-2</v>
      </c>
      <c r="G23" s="274">
        <v>2028</v>
      </c>
      <c r="H23" s="275">
        <v>4.8156151307197304E-2</v>
      </c>
      <c r="I23" s="102"/>
      <c r="K23" s="41"/>
      <c r="M23" s="156"/>
      <c r="N23" s="157"/>
      <c r="O23" s="141"/>
      <c r="P23" s="158"/>
      <c r="Q23" s="141"/>
    </row>
    <row r="24" spans="1:17">
      <c r="A24" s="40"/>
      <c r="B24" s="139"/>
      <c r="C24" s="140"/>
      <c r="D24" s="588" t="s">
        <v>487</v>
      </c>
      <c r="E24" s="272">
        <v>14700698.050000023</v>
      </c>
      <c r="F24" s="273">
        <v>6.7572784385428908E-2</v>
      </c>
      <c r="G24" s="274">
        <v>1404</v>
      </c>
      <c r="H24" s="275">
        <v>3.3338873981905826E-2</v>
      </c>
      <c r="I24" s="102"/>
      <c r="K24" s="41"/>
      <c r="M24" s="156"/>
      <c r="N24" s="157"/>
      <c r="O24" s="141"/>
      <c r="P24" s="158"/>
      <c r="Q24" s="141"/>
    </row>
    <row r="25" spans="1:17">
      <c r="A25" s="40"/>
      <c r="B25" s="139"/>
      <c r="C25" s="140"/>
      <c r="D25" s="588" t="s">
        <v>488</v>
      </c>
      <c r="E25" s="272">
        <v>12103096.59999999</v>
      </c>
      <c r="F25" s="273">
        <v>5.5632728062720516E-2</v>
      </c>
      <c r="G25" s="274">
        <v>1056</v>
      </c>
      <c r="H25" s="275">
        <v>2.5075392396647116E-2</v>
      </c>
      <c r="I25" s="102"/>
      <c r="K25" s="41"/>
      <c r="M25" s="156"/>
      <c r="N25" s="157"/>
      <c r="O25" s="141"/>
      <c r="P25" s="158"/>
      <c r="Q25" s="141"/>
    </row>
    <row r="26" spans="1:17">
      <c r="A26" s="40"/>
      <c r="B26" s="139"/>
      <c r="C26" s="140"/>
      <c r="D26" s="588" t="s">
        <v>489</v>
      </c>
      <c r="E26" s="272">
        <v>9351854.6899999995</v>
      </c>
      <c r="F26" s="273">
        <v>4.2986452644759351E-2</v>
      </c>
      <c r="G26" s="274">
        <v>750</v>
      </c>
      <c r="H26" s="275">
        <v>1.7809227554436872E-2</v>
      </c>
      <c r="I26" s="102"/>
      <c r="K26" s="41"/>
      <c r="M26" s="156"/>
      <c r="N26" s="157"/>
      <c r="O26" s="141"/>
      <c r="P26" s="158"/>
      <c r="Q26" s="141"/>
    </row>
    <row r="27" spans="1:17">
      <c r="A27" s="40"/>
      <c r="B27" s="139"/>
      <c r="C27" s="140"/>
      <c r="D27" s="588" t="s">
        <v>490</v>
      </c>
      <c r="E27" s="272">
        <v>7424188.3799999924</v>
      </c>
      <c r="F27" s="273">
        <v>3.4125799940401158E-2</v>
      </c>
      <c r="G27" s="274">
        <v>551</v>
      </c>
      <c r="H27" s="275">
        <v>1.3083845843326289E-2</v>
      </c>
      <c r="I27" s="102"/>
      <c r="K27" s="41"/>
      <c r="M27" s="156"/>
      <c r="N27" s="157"/>
      <c r="O27" s="141"/>
      <c r="P27" s="158"/>
      <c r="Q27" s="141"/>
    </row>
    <row r="28" spans="1:17">
      <c r="A28" s="40"/>
      <c r="B28" s="139"/>
      <c r="C28" s="140"/>
      <c r="D28" s="588" t="s">
        <v>491</v>
      </c>
      <c r="E28" s="272">
        <v>6171892.8400000073</v>
      </c>
      <c r="F28" s="273">
        <v>2.8369536106980467E-2</v>
      </c>
      <c r="G28" s="274">
        <v>426</v>
      </c>
      <c r="H28" s="275">
        <v>1.0115641250920144E-2</v>
      </c>
      <c r="I28" s="102"/>
      <c r="K28" s="41"/>
      <c r="M28" s="156"/>
      <c r="N28" s="157"/>
      <c r="O28" s="141"/>
      <c r="P28" s="158"/>
      <c r="Q28" s="141"/>
    </row>
    <row r="29" spans="1:17">
      <c r="A29" s="40"/>
      <c r="B29" s="139"/>
      <c r="C29" s="140"/>
      <c r="D29" s="588" t="s">
        <v>492</v>
      </c>
      <c r="E29" s="272">
        <v>4749512.4800000023</v>
      </c>
      <c r="F29" s="273">
        <v>2.1831465530097287E-2</v>
      </c>
      <c r="G29" s="274">
        <v>307</v>
      </c>
      <c r="H29" s="275">
        <v>7.2899104789494931E-3</v>
      </c>
      <c r="I29" s="102"/>
      <c r="K29" s="41"/>
      <c r="M29" s="156"/>
      <c r="N29" s="157"/>
      <c r="O29" s="141"/>
      <c r="P29" s="158"/>
      <c r="Q29" s="141"/>
    </row>
    <row r="30" spans="1:17">
      <c r="A30" s="40"/>
      <c r="B30" s="139"/>
      <c r="C30" s="140"/>
      <c r="D30" s="588" t="s">
        <v>493</v>
      </c>
      <c r="E30" s="272">
        <v>3240764.9299999992</v>
      </c>
      <c r="F30" s="273">
        <v>1.4896402137771221E-2</v>
      </c>
      <c r="G30" s="274">
        <v>197</v>
      </c>
      <c r="H30" s="275">
        <v>4.6778904376320847E-3</v>
      </c>
      <c r="I30" s="102"/>
      <c r="K30" s="41"/>
      <c r="M30" s="156"/>
      <c r="N30" s="157"/>
      <c r="O30" s="141"/>
      <c r="P30" s="158"/>
      <c r="Q30" s="141"/>
    </row>
    <row r="31" spans="1:17">
      <c r="A31" s="40"/>
      <c r="B31" s="139"/>
      <c r="C31" s="140"/>
      <c r="D31" s="588" t="s">
        <v>494</v>
      </c>
      <c r="E31" s="272">
        <v>2860081.9699999993</v>
      </c>
      <c r="F31" s="273">
        <v>1.3146566348491351E-2</v>
      </c>
      <c r="G31" s="274">
        <v>164</v>
      </c>
      <c r="H31" s="275">
        <v>3.8942844252368627E-3</v>
      </c>
      <c r="I31" s="102"/>
      <c r="K31" s="41"/>
      <c r="M31" s="156"/>
      <c r="N31" s="157"/>
      <c r="O31" s="141"/>
      <c r="P31" s="158"/>
      <c r="Q31" s="141"/>
    </row>
    <row r="32" spans="1:17">
      <c r="A32" s="40"/>
      <c r="B32" s="139"/>
      <c r="C32" s="140"/>
      <c r="D32" s="588" t="s">
        <v>495</v>
      </c>
      <c r="E32" s="272">
        <v>1547845.15</v>
      </c>
      <c r="F32" s="273">
        <v>7.1147782389137434E-3</v>
      </c>
      <c r="G32" s="274">
        <v>84</v>
      </c>
      <c r="H32" s="275">
        <v>1.9946334860969296E-3</v>
      </c>
      <c r="I32" s="102"/>
      <c r="K32" s="41"/>
      <c r="M32" s="156"/>
      <c r="N32" s="157"/>
      <c r="O32" s="141"/>
      <c r="P32" s="158"/>
      <c r="Q32" s="141"/>
    </row>
    <row r="33" spans="1:17">
      <c r="A33" s="40"/>
      <c r="B33" s="139"/>
      <c r="C33" s="140"/>
      <c r="D33" s="588" t="s">
        <v>496</v>
      </c>
      <c r="E33" s="272">
        <v>1188160.7499999995</v>
      </c>
      <c r="F33" s="273">
        <v>5.4614637959303804E-3</v>
      </c>
      <c r="G33" s="274">
        <v>61</v>
      </c>
      <c r="H33" s="275">
        <v>1.448483841094199E-3</v>
      </c>
      <c r="I33" s="102"/>
      <c r="K33" s="41"/>
      <c r="M33" s="156"/>
      <c r="N33" s="157"/>
      <c r="O33" s="141"/>
      <c r="P33" s="158"/>
      <c r="Q33" s="141"/>
    </row>
    <row r="34" spans="1:17">
      <c r="A34" s="40"/>
      <c r="B34" s="139"/>
      <c r="C34" s="140"/>
      <c r="D34" s="588" t="s">
        <v>497</v>
      </c>
      <c r="E34" s="272">
        <v>1271312.1499999997</v>
      </c>
      <c r="F34" s="273">
        <v>5.8436750082439728E-3</v>
      </c>
      <c r="G34" s="274">
        <v>62</v>
      </c>
      <c r="H34" s="275">
        <v>1.4722294778334482E-3</v>
      </c>
      <c r="I34" s="102"/>
      <c r="K34" s="41"/>
      <c r="M34" s="156"/>
      <c r="N34" s="157"/>
      <c r="O34" s="141"/>
      <c r="P34" s="158"/>
      <c r="Q34" s="141"/>
    </row>
    <row r="35" spans="1:17">
      <c r="A35" s="40"/>
      <c r="B35" s="139"/>
      <c r="C35" s="140"/>
      <c r="D35" s="588" t="s">
        <v>498</v>
      </c>
      <c r="E35" s="272">
        <v>729578.57000000007</v>
      </c>
      <c r="F35" s="273">
        <v>3.3535588061982865E-3</v>
      </c>
      <c r="G35" s="274">
        <v>34</v>
      </c>
      <c r="H35" s="275">
        <v>8.0735164913447153E-4</v>
      </c>
      <c r="I35" s="102"/>
      <c r="K35" s="41"/>
      <c r="M35" s="156"/>
      <c r="N35" s="157"/>
      <c r="O35" s="141"/>
      <c r="P35" s="158"/>
      <c r="Q35" s="141"/>
    </row>
    <row r="36" spans="1:17">
      <c r="A36" s="40"/>
      <c r="B36" s="139"/>
      <c r="C36" s="140"/>
      <c r="D36" s="588" t="s">
        <v>499</v>
      </c>
      <c r="E36" s="272">
        <v>631355.69000000006</v>
      </c>
      <c r="F36" s="273">
        <v>2.9020704843933337E-3</v>
      </c>
      <c r="G36" s="274">
        <v>28</v>
      </c>
      <c r="H36" s="275">
        <v>6.6487782869897654E-4</v>
      </c>
      <c r="I36" s="102"/>
      <c r="K36" s="41"/>
      <c r="M36" s="156"/>
      <c r="N36" s="157"/>
      <c r="O36" s="141"/>
      <c r="P36" s="158"/>
      <c r="Q36" s="141"/>
    </row>
    <row r="37" spans="1:17">
      <c r="A37" s="40"/>
      <c r="B37" s="139"/>
      <c r="C37" s="140"/>
      <c r="D37" s="588" t="s">
        <v>500</v>
      </c>
      <c r="E37" s="272">
        <v>635263.94999999995</v>
      </c>
      <c r="F37" s="273">
        <v>2.9200350741974339E-3</v>
      </c>
      <c r="G37" s="274">
        <v>27</v>
      </c>
      <c r="H37" s="275">
        <v>6.411321919597274E-4</v>
      </c>
      <c r="I37" s="102"/>
      <c r="K37" s="41"/>
      <c r="M37" s="156"/>
      <c r="N37" s="157"/>
      <c r="O37" s="141"/>
      <c r="P37" s="158"/>
      <c r="Q37" s="141"/>
    </row>
    <row r="38" spans="1:17">
      <c r="A38" s="40"/>
      <c r="B38" s="139"/>
      <c r="C38" s="140"/>
      <c r="D38" s="588" t="s">
        <v>501</v>
      </c>
      <c r="E38" s="272">
        <v>171697.84999999998</v>
      </c>
      <c r="F38" s="273">
        <v>7.8922114841286023E-4</v>
      </c>
      <c r="G38" s="274">
        <v>7</v>
      </c>
      <c r="H38" s="275">
        <v>1.6621945717474414E-4</v>
      </c>
      <c r="I38" s="102"/>
      <c r="K38" s="41"/>
      <c r="M38" s="156"/>
      <c r="N38" s="157"/>
      <c r="O38" s="141"/>
      <c r="P38" s="158"/>
      <c r="Q38" s="141"/>
    </row>
    <row r="39" spans="1:17">
      <c r="A39" s="40"/>
      <c r="B39" s="139"/>
      <c r="C39" s="140"/>
      <c r="D39" s="588" t="s">
        <v>502</v>
      </c>
      <c r="E39" s="272">
        <v>331770.36</v>
      </c>
      <c r="F39" s="273">
        <v>1.5250056103122322E-3</v>
      </c>
      <c r="G39" s="274">
        <v>13</v>
      </c>
      <c r="H39" s="275">
        <v>3.0869327761023913E-4</v>
      </c>
      <c r="I39" s="102"/>
      <c r="K39" s="41"/>
      <c r="M39" s="156"/>
      <c r="N39" s="157"/>
      <c r="O39" s="141"/>
      <c r="P39" s="158"/>
      <c r="Q39" s="141"/>
    </row>
    <row r="40" spans="1:17">
      <c r="A40" s="40"/>
      <c r="B40" s="139"/>
      <c r="C40" s="140"/>
      <c r="D40" s="588" t="s">
        <v>503</v>
      </c>
      <c r="E40" s="272">
        <v>236923.84999999998</v>
      </c>
      <c r="F40" s="273">
        <v>1.0890370088116785E-3</v>
      </c>
      <c r="G40" s="274">
        <v>9</v>
      </c>
      <c r="H40" s="275">
        <v>2.1371073065324246E-4</v>
      </c>
      <c r="I40" s="102"/>
      <c r="K40" s="41"/>
      <c r="M40" s="156"/>
      <c r="N40" s="157"/>
      <c r="O40" s="141"/>
      <c r="P40" s="158"/>
      <c r="Q40" s="141"/>
    </row>
    <row r="41" spans="1:17">
      <c r="A41" s="40"/>
      <c r="B41" s="139"/>
      <c r="C41" s="140"/>
      <c r="D41" s="588" t="s">
        <v>504</v>
      </c>
      <c r="E41" s="272">
        <v>191612</v>
      </c>
      <c r="F41" s="273">
        <v>8.8075792847542938E-4</v>
      </c>
      <c r="G41" s="274">
        <v>7</v>
      </c>
      <c r="H41" s="275">
        <v>1.6621945717474414E-4</v>
      </c>
      <c r="I41" s="102"/>
      <c r="K41" s="41"/>
      <c r="M41" s="156"/>
      <c r="N41" s="157"/>
      <c r="O41" s="141"/>
      <c r="P41" s="158"/>
      <c r="Q41" s="141"/>
    </row>
    <row r="42" spans="1:17">
      <c r="A42" s="40"/>
      <c r="B42" s="139"/>
      <c r="C42" s="140"/>
      <c r="D42" s="588" t="s">
        <v>505</v>
      </c>
      <c r="E42" s="272">
        <v>57009.78</v>
      </c>
      <c r="F42" s="273">
        <v>2.6204943184998832E-4</v>
      </c>
      <c r="G42" s="274">
        <v>2</v>
      </c>
      <c r="H42" s="275">
        <v>4.7491273478498327E-5</v>
      </c>
      <c r="I42" s="102"/>
      <c r="K42" s="41"/>
      <c r="M42" s="156"/>
      <c r="N42" s="157"/>
      <c r="O42" s="141"/>
      <c r="P42" s="158"/>
      <c r="Q42" s="141"/>
    </row>
    <row r="43" spans="1:17">
      <c r="A43" s="40"/>
      <c r="B43" s="139"/>
      <c r="C43" s="140"/>
      <c r="D43" s="588" t="s">
        <v>506</v>
      </c>
      <c r="E43" s="272">
        <v>175794.41999999998</v>
      </c>
      <c r="F43" s="273">
        <v>8.0805131827202674E-4</v>
      </c>
      <c r="G43" s="274">
        <v>6</v>
      </c>
      <c r="H43" s="275">
        <v>1.4247382043549499E-4</v>
      </c>
      <c r="I43" s="102"/>
      <c r="K43" s="41"/>
      <c r="M43" s="156"/>
      <c r="N43" s="157"/>
      <c r="O43" s="141"/>
      <c r="P43" s="158"/>
      <c r="Q43" s="141"/>
    </row>
    <row r="44" spans="1:17">
      <c r="A44" s="40"/>
      <c r="B44" s="139"/>
      <c r="C44" s="140"/>
      <c r="D44" s="588" t="s">
        <v>507</v>
      </c>
      <c r="E44" s="272">
        <v>152627.97</v>
      </c>
      <c r="F44" s="273">
        <v>7.0156511431752704E-4</v>
      </c>
      <c r="G44" s="274">
        <v>5</v>
      </c>
      <c r="H44" s="275">
        <v>1.1872818369624582E-4</v>
      </c>
      <c r="I44" s="102"/>
      <c r="K44" s="41"/>
      <c r="M44" s="156"/>
      <c r="N44" s="157"/>
      <c r="O44" s="141"/>
      <c r="P44" s="158"/>
      <c r="Q44" s="141"/>
    </row>
    <row r="45" spans="1:17">
      <c r="A45" s="40"/>
      <c r="B45" s="139"/>
      <c r="C45" s="140"/>
      <c r="D45" s="588" t="s">
        <v>508</v>
      </c>
      <c r="E45" s="272">
        <v>62109.520000000004</v>
      </c>
      <c r="F45" s="273">
        <v>2.8549074261425829E-4</v>
      </c>
      <c r="G45" s="274">
        <v>2</v>
      </c>
      <c r="H45" s="275">
        <v>4.7491273478498327E-5</v>
      </c>
      <c r="I45" s="102"/>
      <c r="K45" s="41"/>
      <c r="M45" s="156"/>
      <c r="N45" s="157"/>
      <c r="O45" s="141"/>
      <c r="P45" s="158"/>
      <c r="Q45" s="141"/>
    </row>
    <row r="46" spans="1:17">
      <c r="A46" s="40"/>
      <c r="B46" s="139"/>
      <c r="C46" s="140"/>
      <c r="D46" s="588" t="s">
        <v>509</v>
      </c>
      <c r="E46" s="272">
        <v>64923.81</v>
      </c>
      <c r="F46" s="273">
        <v>2.984268229773311E-4</v>
      </c>
      <c r="G46" s="274">
        <v>2</v>
      </c>
      <c r="H46" s="275">
        <v>4.7491273478498327E-5</v>
      </c>
      <c r="I46" s="102"/>
      <c r="K46" s="41"/>
      <c r="M46" s="156"/>
      <c r="N46" s="157"/>
      <c r="O46" s="141"/>
      <c r="P46" s="158"/>
      <c r="Q46" s="141"/>
    </row>
    <row r="47" spans="1:17">
      <c r="A47" s="40"/>
      <c r="B47" s="139"/>
      <c r="C47" s="140"/>
      <c r="D47" s="588" t="s">
        <v>510</v>
      </c>
      <c r="E47" s="272">
        <v>33959.410000000003</v>
      </c>
      <c r="F47" s="273">
        <v>1.5609679771542379E-4</v>
      </c>
      <c r="G47" s="274">
        <v>1</v>
      </c>
      <c r="H47" s="275">
        <v>2.3745636739249164E-5</v>
      </c>
      <c r="I47" s="102"/>
      <c r="K47" s="41"/>
      <c r="M47" s="156"/>
      <c r="N47" s="157"/>
      <c r="O47" s="141"/>
      <c r="P47" s="158"/>
      <c r="Q47" s="141"/>
    </row>
    <row r="48" spans="1:17">
      <c r="A48" s="40"/>
      <c r="B48" s="139"/>
      <c r="C48" s="140"/>
      <c r="D48" s="588" t="s">
        <v>511</v>
      </c>
      <c r="E48" s="272">
        <v>34294.01</v>
      </c>
      <c r="F48" s="273">
        <v>1.5763480996344519E-4</v>
      </c>
      <c r="G48" s="274">
        <v>1</v>
      </c>
      <c r="H48" s="275">
        <v>2.3745636739249164E-5</v>
      </c>
      <c r="I48" s="102"/>
      <c r="K48" s="41"/>
      <c r="M48" s="156"/>
      <c r="N48" s="157"/>
      <c r="O48" s="141"/>
      <c r="P48" s="158"/>
      <c r="Q48" s="141"/>
    </row>
    <row r="49" spans="1:17" ht="13.5" thickBot="1">
      <c r="A49" s="40"/>
      <c r="B49" s="139"/>
      <c r="C49" s="140"/>
      <c r="D49" s="588" t="s">
        <v>512</v>
      </c>
      <c r="E49" s="272">
        <v>270791.11000000004</v>
      </c>
      <c r="F49" s="273">
        <v>1.2447102326219766E-3</v>
      </c>
      <c r="G49" s="274">
        <v>6</v>
      </c>
      <c r="H49" s="275">
        <v>1.4247382043549499E-4</v>
      </c>
      <c r="I49" s="102"/>
      <c r="K49" s="41"/>
      <c r="M49" s="156"/>
      <c r="N49" s="157"/>
      <c r="O49" s="141"/>
      <c r="P49" s="158"/>
      <c r="Q49" s="141"/>
    </row>
    <row r="50" spans="1:17" ht="14.25" thickTop="1" thickBot="1">
      <c r="A50" s="40"/>
      <c r="B50" s="142"/>
      <c r="C50" s="134"/>
      <c r="D50" s="278" t="s">
        <v>40</v>
      </c>
      <c r="E50" s="279">
        <f>SUM(E14:E49)</f>
        <v>217553534.06999993</v>
      </c>
      <c r="F50" s="280">
        <f>SUM(F14:F49)</f>
        <v>1.00000000000001</v>
      </c>
      <c r="G50" s="281">
        <f>SUM(G14:G49)</f>
        <v>42113</v>
      </c>
      <c r="H50" s="282">
        <f>SUM(H14:H49)</f>
        <v>1</v>
      </c>
      <c r="I50" s="102"/>
      <c r="J50" s="34"/>
      <c r="K50" s="41"/>
      <c r="M50" s="378"/>
      <c r="N50" s="379"/>
      <c r="O50" s="341"/>
      <c r="P50" s="340"/>
      <c r="Q50" s="341"/>
    </row>
    <row r="51" spans="1:17">
      <c r="A51" s="40"/>
      <c r="B51" s="142"/>
      <c r="C51" s="134"/>
      <c r="D51" s="304"/>
      <c r="E51" s="305"/>
      <c r="F51" s="306"/>
      <c r="G51" s="340"/>
      <c r="H51" s="341"/>
      <c r="I51" s="102"/>
      <c r="J51" s="34"/>
      <c r="K51" s="41"/>
      <c r="M51" s="378"/>
      <c r="N51" s="379"/>
      <c r="O51" s="341"/>
      <c r="P51" s="340"/>
      <c r="Q51" s="341"/>
    </row>
    <row r="52" spans="1:17">
      <c r="A52" s="40"/>
      <c r="B52" s="142"/>
      <c r="C52" s="134"/>
      <c r="D52" s="304"/>
      <c r="E52" s="305"/>
      <c r="F52" s="306"/>
      <c r="G52" s="340"/>
      <c r="H52" s="341"/>
      <c r="I52" s="102"/>
      <c r="J52" s="34"/>
      <c r="K52" s="41"/>
      <c r="M52" s="378"/>
      <c r="N52" s="379"/>
      <c r="O52" s="341"/>
      <c r="P52" s="340"/>
      <c r="Q52" s="341"/>
    </row>
    <row r="53" spans="1:17" ht="13.5" thickBot="1">
      <c r="A53" s="40"/>
      <c r="B53" s="142"/>
      <c r="C53" s="134"/>
      <c r="D53" s="276" t="s">
        <v>89</v>
      </c>
      <c r="E53" s="276" t="s">
        <v>68</v>
      </c>
      <c r="F53" s="154"/>
      <c r="G53" s="154"/>
      <c r="H53" s="154"/>
      <c r="I53" s="102"/>
      <c r="J53" s="34"/>
      <c r="K53" s="41"/>
      <c r="M53" s="376"/>
      <c r="N53" s="376"/>
      <c r="O53" s="142"/>
      <c r="P53" s="142"/>
      <c r="Q53" s="142"/>
    </row>
    <row r="54" spans="1:17" ht="13.5" thickBot="1">
      <c r="A54" s="40"/>
      <c r="B54" s="142"/>
      <c r="C54" s="134"/>
      <c r="D54" s="489" t="s">
        <v>69</v>
      </c>
      <c r="E54" s="741">
        <v>5165.9471913660336</v>
      </c>
      <c r="F54" s="154"/>
      <c r="G54" s="154"/>
      <c r="H54" s="154"/>
      <c r="I54" s="102"/>
      <c r="J54" s="34"/>
      <c r="K54" s="41"/>
      <c r="M54" s="145"/>
      <c r="N54" s="146"/>
      <c r="O54" s="142"/>
      <c r="P54" s="142"/>
      <c r="Q54" s="142"/>
    </row>
    <row r="55" spans="1:17">
      <c r="A55" s="40"/>
      <c r="B55" s="34"/>
      <c r="I55" s="124"/>
      <c r="J55" s="34"/>
      <c r="K55" s="41"/>
    </row>
    <row r="56" spans="1:17">
      <c r="A56" s="60"/>
      <c r="B56" s="61"/>
      <c r="C56" s="61"/>
      <c r="D56" s="61"/>
      <c r="E56" s="61"/>
      <c r="F56" s="61"/>
      <c r="G56" s="61"/>
      <c r="H56" s="61"/>
      <c r="I56" s="126"/>
      <c r="J56" s="61"/>
      <c r="K56" s="79"/>
    </row>
    <row r="57" spans="1:17">
      <c r="I57" s="124"/>
    </row>
    <row r="58" spans="1:17">
      <c r="I58" s="124"/>
    </row>
    <row r="59" spans="1:17">
      <c r="I59" s="124"/>
    </row>
    <row r="60" spans="1:17">
      <c r="I60" s="124"/>
    </row>
    <row r="61" spans="1:17">
      <c r="I61" s="124"/>
    </row>
    <row r="62" spans="1:17">
      <c r="I62" s="124"/>
    </row>
    <row r="63" spans="1:17">
      <c r="I63" s="124"/>
    </row>
    <row r="64" spans="1:17">
      <c r="I64" s="124"/>
    </row>
    <row r="65" spans="9:9">
      <c r="I65" s="124"/>
    </row>
    <row r="66" spans="9:9">
      <c r="I66" s="124"/>
    </row>
    <row r="67" spans="9:9">
      <c r="I67" s="124"/>
    </row>
    <row r="68" spans="9:9">
      <c r="I68" s="124"/>
    </row>
    <row r="69" spans="9:9">
      <c r="I69" s="124"/>
    </row>
    <row r="70" spans="9:9">
      <c r="I70" s="124"/>
    </row>
    <row r="71" spans="9:9">
      <c r="I71" s="124"/>
    </row>
    <row r="72" spans="9:9">
      <c r="I72" s="124"/>
    </row>
    <row r="73" spans="9:9">
      <c r="I73" s="124"/>
    </row>
    <row r="74" spans="9:9">
      <c r="I74" s="124"/>
    </row>
    <row r="75" spans="9:9">
      <c r="I75" s="124"/>
    </row>
    <row r="76" spans="9:9">
      <c r="I76" s="124"/>
    </row>
    <row r="77" spans="9:9">
      <c r="I77" s="124"/>
    </row>
    <row r="78" spans="9:9">
      <c r="I78" s="124"/>
    </row>
    <row r="79" spans="9:9">
      <c r="I79" s="124"/>
    </row>
    <row r="80" spans="9:9">
      <c r="I80" s="124"/>
    </row>
    <row r="81" spans="9:9">
      <c r="I81" s="124"/>
    </row>
    <row r="82" spans="9:9">
      <c r="I82" s="124"/>
    </row>
    <row r="83" spans="9:9">
      <c r="I83" s="124"/>
    </row>
    <row r="84" spans="9:9">
      <c r="I84" s="124"/>
    </row>
    <row r="85" spans="9:9">
      <c r="I85" s="124"/>
    </row>
    <row r="86" spans="9:9">
      <c r="I86" s="124"/>
    </row>
    <row r="87" spans="9:9">
      <c r="I87" s="124"/>
    </row>
    <row r="88" spans="9:9">
      <c r="I88" s="124"/>
    </row>
    <row r="89" spans="9:9">
      <c r="I89" s="124"/>
    </row>
    <row r="90" spans="9:9">
      <c r="I90" s="124"/>
    </row>
    <row r="91" spans="9:9">
      <c r="I91" s="124"/>
    </row>
    <row r="92" spans="9:9">
      <c r="I92" s="124"/>
    </row>
    <row r="93" spans="9:9">
      <c r="I93" s="124"/>
    </row>
    <row r="94" spans="9:9">
      <c r="I94" s="124"/>
    </row>
    <row r="95" spans="9:9">
      <c r="I95" s="124"/>
    </row>
    <row r="96" spans="9:9">
      <c r="I96" s="124"/>
    </row>
    <row r="97" spans="9:9">
      <c r="I97" s="124"/>
    </row>
    <row r="98" spans="9:9">
      <c r="I98" s="124"/>
    </row>
    <row r="99" spans="9:9">
      <c r="I99" s="124"/>
    </row>
    <row r="100" spans="9:9">
      <c r="I100" s="124"/>
    </row>
    <row r="101" spans="9:9">
      <c r="I101" s="124"/>
    </row>
    <row r="102" spans="9:9">
      <c r="I102" s="124"/>
    </row>
    <row r="103" spans="9:9">
      <c r="I103" s="124"/>
    </row>
    <row r="104" spans="9:9">
      <c r="I104" s="124"/>
    </row>
    <row r="105" spans="9:9">
      <c r="I105" s="124"/>
    </row>
    <row r="106" spans="9:9">
      <c r="I106" s="124"/>
    </row>
    <row r="107" spans="9:9">
      <c r="I107" s="124"/>
    </row>
    <row r="108" spans="9:9">
      <c r="I108" s="124"/>
    </row>
    <row r="109" spans="9:9">
      <c r="I109" s="124"/>
    </row>
    <row r="110" spans="9:9">
      <c r="I110" s="124"/>
    </row>
    <row r="111" spans="9:9">
      <c r="I111" s="124"/>
    </row>
    <row r="112" spans="9:9">
      <c r="I112" s="124"/>
    </row>
    <row r="113" spans="9:9">
      <c r="I113" s="124"/>
    </row>
    <row r="114" spans="9:9">
      <c r="I114" s="124"/>
    </row>
    <row r="115" spans="9:9">
      <c r="I115" s="124"/>
    </row>
    <row r="116" spans="9:9">
      <c r="I116" s="124"/>
    </row>
    <row r="117" spans="9:9">
      <c r="I117" s="124"/>
    </row>
    <row r="118" spans="9:9">
      <c r="I118" s="124"/>
    </row>
    <row r="119" spans="9:9">
      <c r="I119" s="124"/>
    </row>
    <row r="120" spans="9:9">
      <c r="I120" s="124"/>
    </row>
    <row r="121" spans="9:9">
      <c r="I121" s="124"/>
    </row>
    <row r="122" spans="9:9">
      <c r="I122" s="124"/>
    </row>
    <row r="123" spans="9:9">
      <c r="I123" s="124"/>
    </row>
    <row r="124" spans="9:9">
      <c r="I124" s="124"/>
    </row>
    <row r="125" spans="9:9">
      <c r="I125" s="124"/>
    </row>
    <row r="126" spans="9:9">
      <c r="I126" s="124"/>
    </row>
    <row r="127" spans="9:9">
      <c r="I127" s="124"/>
    </row>
    <row r="128" spans="9:9">
      <c r="I128" s="124"/>
    </row>
    <row r="129" spans="9:9">
      <c r="I129" s="124"/>
    </row>
    <row r="130" spans="9:9">
      <c r="I130" s="124"/>
    </row>
    <row r="131" spans="9:9">
      <c r="I131" s="124"/>
    </row>
    <row r="132" spans="9:9">
      <c r="I132" s="124"/>
    </row>
    <row r="133" spans="9:9">
      <c r="I133" s="124"/>
    </row>
    <row r="134" spans="9:9">
      <c r="I134" s="124"/>
    </row>
    <row r="135" spans="9:9">
      <c r="I135" s="124"/>
    </row>
    <row r="136" spans="9:9">
      <c r="I136" s="124"/>
    </row>
    <row r="137" spans="9:9">
      <c r="I137" s="124"/>
    </row>
    <row r="138" spans="9:9">
      <c r="I138" s="124"/>
    </row>
    <row r="139" spans="9:9">
      <c r="I139" s="124"/>
    </row>
    <row r="140" spans="9:9">
      <c r="I140" s="124"/>
    </row>
    <row r="141" spans="9:9">
      <c r="I141" s="124"/>
    </row>
    <row r="142" spans="9:9">
      <c r="I142" s="124"/>
    </row>
    <row r="143" spans="9:9">
      <c r="I143" s="124"/>
    </row>
    <row r="144" spans="9:9">
      <c r="I144" s="124"/>
    </row>
    <row r="145" spans="9:9">
      <c r="I145" s="124"/>
    </row>
    <row r="146" spans="9:9">
      <c r="I146" s="124"/>
    </row>
    <row r="147" spans="9:9">
      <c r="I147" s="124"/>
    </row>
    <row r="148" spans="9:9">
      <c r="I148" s="124"/>
    </row>
    <row r="149" spans="9:9">
      <c r="I149" s="124"/>
    </row>
    <row r="150" spans="9:9">
      <c r="I150" s="124"/>
    </row>
    <row r="151" spans="9:9">
      <c r="I151" s="124"/>
    </row>
    <row r="152" spans="9:9">
      <c r="I152" s="124"/>
    </row>
    <row r="153" spans="9:9">
      <c r="I153" s="124"/>
    </row>
    <row r="154" spans="9:9">
      <c r="I154" s="124"/>
    </row>
    <row r="155" spans="9:9">
      <c r="I155" s="124"/>
    </row>
    <row r="156" spans="9:9">
      <c r="I156" s="124"/>
    </row>
    <row r="157" spans="9:9">
      <c r="I157" s="124"/>
    </row>
    <row r="158" spans="9:9">
      <c r="I158" s="124"/>
    </row>
    <row r="159" spans="9:9">
      <c r="I159" s="124"/>
    </row>
    <row r="160" spans="9:9">
      <c r="I160" s="124"/>
    </row>
    <row r="161" spans="9:9">
      <c r="I161" s="124"/>
    </row>
    <row r="162" spans="9:9">
      <c r="I162" s="124"/>
    </row>
    <row r="163" spans="9:9">
      <c r="I163" s="124"/>
    </row>
    <row r="164" spans="9:9">
      <c r="I164" s="124"/>
    </row>
    <row r="165" spans="9:9">
      <c r="I165" s="124"/>
    </row>
    <row r="166" spans="9:9">
      <c r="I166" s="124"/>
    </row>
    <row r="167" spans="9:9">
      <c r="I167" s="124"/>
    </row>
    <row r="168" spans="9:9">
      <c r="I168" s="124"/>
    </row>
    <row r="169" spans="9:9">
      <c r="I169" s="124"/>
    </row>
    <row r="170" spans="9:9">
      <c r="I170" s="124"/>
    </row>
    <row r="171" spans="9:9">
      <c r="I171" s="124"/>
    </row>
    <row r="172" spans="9:9">
      <c r="I172" s="124"/>
    </row>
    <row r="173" spans="9:9">
      <c r="I173" s="124"/>
    </row>
    <row r="174" spans="9:9">
      <c r="I174" s="124"/>
    </row>
    <row r="175" spans="9:9">
      <c r="I175" s="124"/>
    </row>
    <row r="176" spans="9:9">
      <c r="I176" s="124"/>
    </row>
    <row r="177" spans="9:9">
      <c r="I177" s="124"/>
    </row>
    <row r="178" spans="9:9">
      <c r="I178" s="124"/>
    </row>
    <row r="179" spans="9:9">
      <c r="I179" s="124"/>
    </row>
    <row r="180" spans="9:9">
      <c r="I180" s="124"/>
    </row>
    <row r="181" spans="9:9">
      <c r="I181" s="124"/>
    </row>
    <row r="182" spans="9:9">
      <c r="I182" s="124"/>
    </row>
    <row r="183" spans="9:9">
      <c r="I183" s="124"/>
    </row>
    <row r="184" spans="9:9">
      <c r="I184" s="124"/>
    </row>
    <row r="185" spans="9:9">
      <c r="I185" s="124"/>
    </row>
    <row r="186" spans="9:9">
      <c r="I186" s="124"/>
    </row>
    <row r="187" spans="9:9">
      <c r="I187" s="124"/>
    </row>
    <row r="188" spans="9:9">
      <c r="I188" s="124"/>
    </row>
    <row r="189" spans="9:9">
      <c r="I189" s="124"/>
    </row>
    <row r="190" spans="9:9">
      <c r="I190" s="124"/>
    </row>
    <row r="191" spans="9:9">
      <c r="I191" s="124"/>
    </row>
    <row r="192" spans="9:9">
      <c r="I192" s="124"/>
    </row>
    <row r="193" spans="9:9">
      <c r="I193" s="124"/>
    </row>
    <row r="194" spans="9:9">
      <c r="I194" s="124"/>
    </row>
    <row r="195" spans="9:9">
      <c r="I195" s="124"/>
    </row>
    <row r="196" spans="9:9">
      <c r="I196" s="124"/>
    </row>
    <row r="197" spans="9:9">
      <c r="I197" s="124"/>
    </row>
    <row r="198" spans="9:9">
      <c r="I198" s="124"/>
    </row>
    <row r="199" spans="9:9">
      <c r="I199" s="124"/>
    </row>
    <row r="200" spans="9:9">
      <c r="I200" s="124"/>
    </row>
    <row r="201" spans="9:9">
      <c r="I201" s="124"/>
    </row>
    <row r="202" spans="9:9">
      <c r="I202" s="124"/>
    </row>
    <row r="203" spans="9:9">
      <c r="I203" s="124"/>
    </row>
    <row r="204" spans="9:9">
      <c r="I204" s="124"/>
    </row>
    <row r="205" spans="9:9">
      <c r="I205" s="124"/>
    </row>
    <row r="206" spans="9:9">
      <c r="I206" s="124"/>
    </row>
    <row r="207" spans="9:9">
      <c r="I207" s="124"/>
    </row>
    <row r="208" spans="9:9">
      <c r="I208" s="124"/>
    </row>
    <row r="209" spans="9:9">
      <c r="I209" s="124"/>
    </row>
    <row r="210" spans="9:9">
      <c r="I210" s="124"/>
    </row>
    <row r="211" spans="9:9">
      <c r="I211" s="124"/>
    </row>
    <row r="212" spans="9:9">
      <c r="I212" s="124"/>
    </row>
    <row r="213" spans="9:9">
      <c r="I213" s="124"/>
    </row>
    <row r="214" spans="9:9">
      <c r="I214" s="124"/>
    </row>
    <row r="215" spans="9:9">
      <c r="I215" s="124"/>
    </row>
    <row r="216" spans="9:9">
      <c r="I216" s="124"/>
    </row>
    <row r="217" spans="9:9">
      <c r="I217" s="124"/>
    </row>
    <row r="218" spans="9:9">
      <c r="I218" s="124"/>
    </row>
    <row r="219" spans="9:9">
      <c r="I219" s="124"/>
    </row>
    <row r="220" spans="9:9">
      <c r="I220" s="124"/>
    </row>
    <row r="221" spans="9:9">
      <c r="I221" s="124"/>
    </row>
    <row r="222" spans="9:9">
      <c r="I222" s="124"/>
    </row>
    <row r="223" spans="9:9">
      <c r="I223" s="124"/>
    </row>
    <row r="224" spans="9:9">
      <c r="I224" s="124"/>
    </row>
    <row r="225" spans="9:9">
      <c r="I225" s="124"/>
    </row>
    <row r="226" spans="9:9">
      <c r="I226" s="124"/>
    </row>
    <row r="227" spans="9:9">
      <c r="I227" s="124"/>
    </row>
    <row r="228" spans="9:9">
      <c r="I228" s="124"/>
    </row>
    <row r="229" spans="9:9">
      <c r="I229" s="124"/>
    </row>
    <row r="230" spans="9:9">
      <c r="I230" s="124"/>
    </row>
    <row r="231" spans="9:9">
      <c r="I231" s="124"/>
    </row>
    <row r="232" spans="9:9">
      <c r="I232" s="124"/>
    </row>
    <row r="233" spans="9:9">
      <c r="I233" s="124"/>
    </row>
    <row r="234" spans="9:9">
      <c r="I234" s="124"/>
    </row>
    <row r="235" spans="9:9">
      <c r="I235" s="124"/>
    </row>
    <row r="236" spans="9:9">
      <c r="I236" s="124"/>
    </row>
    <row r="237" spans="9:9">
      <c r="I237" s="124"/>
    </row>
    <row r="238" spans="9:9">
      <c r="I238" s="124"/>
    </row>
    <row r="239" spans="9:9">
      <c r="I239" s="124"/>
    </row>
    <row r="240" spans="9:9">
      <c r="I240" s="124"/>
    </row>
    <row r="241" spans="9:9">
      <c r="I241" s="124"/>
    </row>
    <row r="242" spans="9:9">
      <c r="I242" s="124"/>
    </row>
    <row r="243" spans="9:9">
      <c r="I243" s="124"/>
    </row>
    <row r="244" spans="9:9">
      <c r="I244" s="124"/>
    </row>
    <row r="245" spans="9:9">
      <c r="I245" s="124"/>
    </row>
    <row r="246" spans="9:9">
      <c r="I246" s="124"/>
    </row>
    <row r="247" spans="9:9">
      <c r="I247" s="124"/>
    </row>
    <row r="248" spans="9:9">
      <c r="I248" s="124"/>
    </row>
    <row r="249" spans="9:9">
      <c r="I249" s="124"/>
    </row>
    <row r="250" spans="9:9">
      <c r="I250" s="124"/>
    </row>
    <row r="251" spans="9:9">
      <c r="I251" s="124"/>
    </row>
    <row r="252" spans="9:9">
      <c r="I252" s="124"/>
    </row>
    <row r="253" spans="9:9">
      <c r="I253" s="124"/>
    </row>
    <row r="254" spans="9:9">
      <c r="I254" s="124"/>
    </row>
    <row r="255" spans="9:9">
      <c r="I255" s="124"/>
    </row>
    <row r="256" spans="9:9">
      <c r="I256" s="124"/>
    </row>
    <row r="257" spans="9:9">
      <c r="I257" s="124"/>
    </row>
    <row r="258" spans="9:9">
      <c r="I258" s="124"/>
    </row>
    <row r="259" spans="9:9">
      <c r="I259" s="124"/>
    </row>
    <row r="260" spans="9:9">
      <c r="I260" s="124"/>
    </row>
    <row r="261" spans="9:9">
      <c r="I261" s="124"/>
    </row>
    <row r="262" spans="9:9">
      <c r="I262" s="124"/>
    </row>
    <row r="263" spans="9:9">
      <c r="I263" s="124"/>
    </row>
    <row r="264" spans="9:9">
      <c r="I264" s="124"/>
    </row>
    <row r="265" spans="9:9">
      <c r="I265" s="124"/>
    </row>
    <row r="266" spans="9:9">
      <c r="I266" s="124"/>
    </row>
    <row r="267" spans="9:9">
      <c r="I267" s="124"/>
    </row>
    <row r="268" spans="9:9">
      <c r="I268" s="124"/>
    </row>
    <row r="269" spans="9:9">
      <c r="I269" s="124"/>
    </row>
    <row r="270" spans="9:9">
      <c r="I270" s="124"/>
    </row>
    <row r="271" spans="9:9">
      <c r="I271" s="124"/>
    </row>
  </sheetData>
  <sheetProtection password="8B10" sheet="1" objects="1" scenarios="1"/>
  <phoneticPr fontId="3" type="noConversion"/>
  <pageMargins left="0.70866141732283472" right="0.70866141732283472" top="1.0236220472440944" bottom="1.0236220472440944" header="0.39370078740157483" footer="0.39370078740157483"/>
  <pageSetup paperSize="9" scale="61" orientation="landscape" r:id="rId1"/>
  <headerFooter alignWithMargins="0">
    <oddFooter>&amp;L&amp;"Frutiger 57Cn,Standard"&amp;8
Santander Consumer Bank AG
Santander-Platz 1
41061 Mönchengladbach
Tel.: +49 180 / 5556 - 499
Fax.: +49 180 / 5556 - 498</oddFooter>
  </headerFooter>
  <colBreaks count="1" manualBreakCount="1">
    <brk id="1" max="89"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M260"/>
  <sheetViews>
    <sheetView view="pageBreakPreview" zoomScale="75" zoomScaleNormal="100" workbookViewId="0">
      <selection activeCell="B3" sqref="B3"/>
    </sheetView>
  </sheetViews>
  <sheetFormatPr defaultRowHeight="12.75"/>
  <cols>
    <col min="1" max="1" width="1.28515625" style="31" customWidth="1"/>
    <col min="2" max="2" width="26" style="31" customWidth="1"/>
    <col min="3" max="3" width="14.85546875" style="31" customWidth="1"/>
    <col min="4" max="5" width="18.7109375" style="31" customWidth="1"/>
    <col min="6" max="6" width="20.7109375" style="31" customWidth="1"/>
    <col min="7" max="7" width="20.5703125" style="31" customWidth="1"/>
    <col min="8" max="8" width="19" style="31" customWidth="1"/>
    <col min="9" max="9" width="15.5703125" style="31" customWidth="1"/>
    <col min="10" max="10" width="25.5703125" style="31" customWidth="1"/>
    <col min="11" max="11" width="1.28515625" style="31" customWidth="1"/>
    <col min="12" max="12" width="4.28515625" style="31" customWidth="1"/>
    <col min="13" max="256" width="11.42578125" style="31" customWidth="1"/>
    <col min="257" max="16384" width="9.140625" style="31"/>
  </cols>
  <sheetData>
    <row r="1" spans="1:13" ht="6" customHeight="1">
      <c r="A1" s="35"/>
      <c r="B1" s="36"/>
      <c r="C1" s="36"/>
      <c r="D1" s="36"/>
      <c r="E1" s="36"/>
      <c r="F1" s="36"/>
      <c r="G1" s="36"/>
      <c r="H1" s="36"/>
      <c r="I1" s="36"/>
      <c r="J1" s="36"/>
      <c r="K1" s="37"/>
    </row>
    <row r="2" spans="1:13" s="27" customFormat="1" ht="18">
      <c r="A2" s="5"/>
      <c r="B2" s="7" t="str">
        <f>'Cover Sheet'!B2</f>
        <v>SC Germany Auto 10-1</v>
      </c>
      <c r="C2" s="7"/>
      <c r="D2" s="108" t="s">
        <v>54</v>
      </c>
      <c r="E2" s="109"/>
      <c r="F2" s="110">
        <f>'Cover Sheet'!F2</f>
        <v>41191</v>
      </c>
      <c r="G2" s="109"/>
      <c r="H2" s="109"/>
      <c r="I2" s="109"/>
      <c r="J2" s="111"/>
      <c r="K2" s="88"/>
    </row>
    <row r="3" spans="1:13" s="27" customFormat="1" ht="18">
      <c r="A3" s="5"/>
      <c r="B3" s="7" t="str">
        <f>'Cover Sheet'!B3</f>
        <v>Monthly Investor Report</v>
      </c>
      <c r="C3" s="7"/>
      <c r="D3" s="112" t="s">
        <v>4</v>
      </c>
      <c r="E3" s="113"/>
      <c r="F3" s="114">
        <f>'Cover Sheet'!F3</f>
        <v>41197</v>
      </c>
      <c r="G3" s="113"/>
      <c r="H3" s="113"/>
      <c r="I3" s="113"/>
      <c r="J3" s="115"/>
      <c r="K3" s="90"/>
    </row>
    <row r="4" spans="1:13" s="27" customFormat="1">
      <c r="A4" s="5"/>
      <c r="B4" s="42"/>
      <c r="C4" s="12"/>
      <c r="D4" s="112" t="s">
        <v>5</v>
      </c>
      <c r="E4" s="113"/>
      <c r="F4" s="122">
        <f>'Cover Sheet'!F4</f>
        <v>27</v>
      </c>
      <c r="G4" s="113"/>
      <c r="H4" s="117"/>
      <c r="I4" s="113"/>
      <c r="J4" s="118"/>
      <c r="K4" s="88"/>
    </row>
    <row r="5" spans="1:13" s="27" customFormat="1" ht="18">
      <c r="A5" s="5"/>
      <c r="B5" s="105" t="s">
        <v>383</v>
      </c>
      <c r="C5" s="14"/>
      <c r="D5" s="112" t="s">
        <v>3</v>
      </c>
      <c r="E5" s="113"/>
      <c r="F5" s="123">
        <f>'Cover Sheet'!F5</f>
        <v>41197</v>
      </c>
      <c r="G5" s="113"/>
      <c r="H5" s="117"/>
      <c r="I5" s="113"/>
      <c r="J5" s="118"/>
      <c r="K5" s="90"/>
    </row>
    <row r="6" spans="1:13" s="27" customFormat="1" ht="15" customHeight="1">
      <c r="A6" s="5"/>
      <c r="B6" s="43"/>
      <c r="C6" s="89"/>
      <c r="D6" s="552" t="str">
        <f>'Cover Sheet'!D6</f>
        <v>Interest Period</v>
      </c>
      <c r="E6" s="114" t="s">
        <v>38</v>
      </c>
      <c r="F6" s="114">
        <f>'Cover Sheet'!F6</f>
        <v>41164</v>
      </c>
      <c r="G6" s="116" t="s">
        <v>6</v>
      </c>
      <c r="H6" s="114">
        <f>'Cover Sheet'!H6</f>
        <v>41197</v>
      </c>
      <c r="I6" s="116" t="s">
        <v>18</v>
      </c>
      <c r="J6" s="542" t="str">
        <f>'Cover Sheet'!J6</f>
        <v>33 days</v>
      </c>
      <c r="K6" s="90"/>
      <c r="M6" s="30"/>
    </row>
    <row r="7" spans="1:13" s="27" customFormat="1">
      <c r="A7" s="5"/>
      <c r="B7" s="4"/>
      <c r="C7" s="4"/>
      <c r="D7" s="553" t="str">
        <f>'Cover Sheet'!D7</f>
        <v>Collection Period</v>
      </c>
      <c r="E7" s="121" t="s">
        <v>38</v>
      </c>
      <c r="F7" s="121" t="str">
        <f>'Cover Sheet'!F7</f>
        <v>01.09.2012</v>
      </c>
      <c r="G7" s="120" t="s">
        <v>6</v>
      </c>
      <c r="H7" s="121">
        <f>'Cover Sheet'!H7</f>
        <v>41182</v>
      </c>
      <c r="I7" s="543"/>
      <c r="J7" s="544"/>
      <c r="K7" s="90"/>
    </row>
    <row r="8" spans="1:13" s="27" customFormat="1">
      <c r="A8" s="5"/>
      <c r="B8" s="4"/>
      <c r="C8" s="4"/>
      <c r="D8" s="4"/>
      <c r="E8" s="9"/>
      <c r="F8" s="15"/>
      <c r="G8" s="9"/>
      <c r="H8" s="4"/>
      <c r="I8" s="16"/>
      <c r="J8" s="4"/>
      <c r="K8" s="90"/>
    </row>
    <row r="9" spans="1:13" s="27" customFormat="1">
      <c r="A9" s="5"/>
      <c r="B9" s="4"/>
      <c r="C9" s="4"/>
      <c r="D9" s="4"/>
      <c r="E9" s="4"/>
      <c r="F9" s="4"/>
      <c r="G9" s="4"/>
      <c r="H9" s="4"/>
      <c r="I9" s="4"/>
      <c r="J9" s="4"/>
      <c r="K9" s="8"/>
      <c r="M9" s="32"/>
    </row>
    <row r="10" spans="1:13" s="27" customFormat="1">
      <c r="A10" s="5"/>
      <c r="B10" s="4"/>
      <c r="C10" s="4"/>
      <c r="D10" s="34"/>
      <c r="E10" s="34"/>
      <c r="F10" s="102"/>
      <c r="G10" s="34"/>
      <c r="H10" s="34"/>
      <c r="I10" s="34"/>
      <c r="J10" s="34"/>
      <c r="K10" s="8"/>
    </row>
    <row r="11" spans="1:13" s="27" customFormat="1" ht="18">
      <c r="A11" s="5"/>
      <c r="B11" s="125"/>
      <c r="C11" s="4"/>
      <c r="D11" s="34"/>
      <c r="E11" s="34"/>
      <c r="F11" s="34"/>
      <c r="G11" s="137"/>
      <c r="H11" s="137"/>
      <c r="I11" s="34"/>
      <c r="J11" s="4"/>
      <c r="K11" s="8"/>
      <c r="M11" s="101"/>
    </row>
    <row r="12" spans="1:13" s="27" customFormat="1">
      <c r="A12" s="5"/>
      <c r="B12" s="4"/>
      <c r="C12" s="4"/>
      <c r="D12" s="34"/>
      <c r="E12" s="34"/>
      <c r="F12" s="34"/>
      <c r="G12" s="137"/>
      <c r="H12" s="137"/>
      <c r="I12" s="34"/>
      <c r="J12" s="4"/>
      <c r="K12" s="8"/>
      <c r="M12" s="101"/>
    </row>
    <row r="13" spans="1:13" s="27" customFormat="1" ht="45" customHeight="1">
      <c r="A13" s="5"/>
      <c r="B13" s="127"/>
      <c r="C13" s="34"/>
      <c r="D13" s="375"/>
      <c r="E13" s="328"/>
      <c r="F13" s="327"/>
      <c r="G13" s="328"/>
      <c r="H13" s="328"/>
      <c r="I13" s="102"/>
      <c r="J13" s="4"/>
      <c r="K13" s="8"/>
      <c r="M13" s="101"/>
    </row>
    <row r="14" spans="1:13" s="27" customFormat="1">
      <c r="A14" s="5"/>
      <c r="B14" s="138"/>
      <c r="C14" s="138"/>
      <c r="D14" s="156"/>
      <c r="E14" s="157"/>
      <c r="F14" s="141"/>
      <c r="G14" s="158"/>
      <c r="H14" s="141"/>
      <c r="I14" s="102"/>
      <c r="J14" s="4"/>
      <c r="K14" s="8"/>
      <c r="M14" s="101"/>
    </row>
    <row r="15" spans="1:13">
      <c r="A15" s="40"/>
      <c r="B15" s="139"/>
      <c r="C15" s="140"/>
      <c r="D15" s="156"/>
      <c r="E15" s="157"/>
      <c r="F15" s="141"/>
      <c r="G15" s="158"/>
      <c r="H15" s="141"/>
      <c r="I15" s="102"/>
      <c r="J15" s="34"/>
      <c r="K15" s="41"/>
      <c r="M15" s="101"/>
    </row>
    <row r="16" spans="1:13">
      <c r="A16" s="40"/>
      <c r="B16" s="139"/>
      <c r="C16" s="140"/>
      <c r="D16" s="156"/>
      <c r="E16" s="157"/>
      <c r="F16" s="141"/>
      <c r="G16" s="158"/>
      <c r="H16" s="141"/>
      <c r="I16" s="102"/>
      <c r="J16" s="34"/>
      <c r="K16" s="41"/>
      <c r="M16" s="101"/>
    </row>
    <row r="17" spans="1:13">
      <c r="A17" s="40"/>
      <c r="B17" s="139"/>
      <c r="C17" s="140"/>
      <c r="D17" s="156"/>
      <c r="E17" s="157"/>
      <c r="F17" s="141"/>
      <c r="G17" s="158"/>
      <c r="H17" s="141"/>
      <c r="I17" s="102"/>
      <c r="J17" s="34"/>
      <c r="K17" s="41"/>
      <c r="M17" s="101"/>
    </row>
    <row r="18" spans="1:13">
      <c r="A18" s="40"/>
      <c r="B18" s="139"/>
      <c r="C18" s="140"/>
      <c r="D18" s="156"/>
      <c r="E18" s="157"/>
      <c r="F18" s="141"/>
      <c r="G18" s="158"/>
      <c r="H18" s="141"/>
      <c r="I18" s="102"/>
      <c r="J18" s="34"/>
      <c r="K18" s="41"/>
      <c r="M18" s="101"/>
    </row>
    <row r="19" spans="1:13">
      <c r="A19" s="40"/>
      <c r="B19" s="139"/>
      <c r="C19" s="140"/>
      <c r="D19" s="156"/>
      <c r="E19" s="157"/>
      <c r="F19" s="141"/>
      <c r="G19" s="158"/>
      <c r="H19" s="141"/>
      <c r="I19" s="102"/>
      <c r="J19" s="34"/>
      <c r="K19" s="41"/>
      <c r="M19" s="101"/>
    </row>
    <row r="20" spans="1:13">
      <c r="A20" s="40"/>
      <c r="B20" s="139"/>
      <c r="C20" s="140"/>
      <c r="D20" s="156"/>
      <c r="E20" s="157"/>
      <c r="F20" s="141"/>
      <c r="G20" s="158"/>
      <c r="H20" s="141"/>
      <c r="I20" s="102"/>
      <c r="J20" s="34"/>
      <c r="K20" s="41"/>
      <c r="M20" s="101"/>
    </row>
    <row r="21" spans="1:13">
      <c r="A21" s="40"/>
      <c r="B21" s="139"/>
      <c r="C21" s="140"/>
      <c r="D21" s="156"/>
      <c r="E21" s="157"/>
      <c r="F21" s="141"/>
      <c r="G21" s="158"/>
      <c r="H21" s="141"/>
      <c r="I21" s="102"/>
      <c r="J21" s="34"/>
      <c r="K21" s="41"/>
      <c r="M21" s="101"/>
    </row>
    <row r="22" spans="1:13">
      <c r="A22" s="40"/>
      <c r="B22" s="139"/>
      <c r="C22" s="140"/>
      <c r="D22" s="156"/>
      <c r="E22" s="157"/>
      <c r="F22" s="141"/>
      <c r="G22" s="158"/>
      <c r="H22" s="141"/>
      <c r="I22" s="102"/>
      <c r="J22" s="34"/>
      <c r="K22" s="41"/>
      <c r="M22" s="101"/>
    </row>
    <row r="23" spans="1:13">
      <c r="A23" s="40"/>
      <c r="B23" s="139"/>
      <c r="C23" s="140"/>
      <c r="D23" s="156"/>
      <c r="E23" s="157"/>
      <c r="F23" s="141"/>
      <c r="G23" s="158"/>
      <c r="H23" s="141"/>
      <c r="I23" s="102"/>
      <c r="J23" s="34"/>
      <c r="K23" s="41"/>
      <c r="M23" s="101"/>
    </row>
    <row r="24" spans="1:13">
      <c r="A24" s="40"/>
      <c r="B24" s="139"/>
      <c r="C24" s="140"/>
      <c r="D24" s="156"/>
      <c r="E24" s="157"/>
      <c r="F24" s="141"/>
      <c r="G24" s="158"/>
      <c r="H24" s="141"/>
      <c r="I24" s="102"/>
      <c r="J24" s="34"/>
      <c r="K24" s="41"/>
      <c r="M24" s="101"/>
    </row>
    <row r="25" spans="1:13">
      <c r="A25" s="40"/>
      <c r="B25" s="139"/>
      <c r="C25" s="140"/>
      <c r="D25" s="156"/>
      <c r="E25" s="157"/>
      <c r="F25" s="141"/>
      <c r="G25" s="158"/>
      <c r="H25" s="141"/>
      <c r="I25" s="102"/>
      <c r="J25" s="34"/>
      <c r="K25" s="41"/>
      <c r="M25" s="101"/>
    </row>
    <row r="26" spans="1:13">
      <c r="A26" s="40"/>
      <c r="B26" s="139"/>
      <c r="C26" s="140"/>
      <c r="D26" s="156"/>
      <c r="E26" s="157"/>
      <c r="F26" s="141"/>
      <c r="G26" s="158"/>
      <c r="H26" s="141"/>
      <c r="I26" s="102"/>
      <c r="J26" s="34"/>
      <c r="K26" s="41"/>
      <c r="M26" s="101"/>
    </row>
    <row r="27" spans="1:13">
      <c r="A27" s="40"/>
      <c r="B27" s="139"/>
      <c r="C27" s="140"/>
      <c r="D27" s="156"/>
      <c r="E27" s="157"/>
      <c r="F27" s="141"/>
      <c r="G27" s="158"/>
      <c r="H27" s="141"/>
      <c r="I27" s="102"/>
      <c r="J27" s="34"/>
      <c r="K27" s="41"/>
      <c r="M27" s="101"/>
    </row>
    <row r="28" spans="1:13">
      <c r="A28" s="40"/>
      <c r="B28" s="139"/>
      <c r="C28" s="140"/>
      <c r="D28" s="156"/>
      <c r="E28" s="157"/>
      <c r="F28" s="141"/>
      <c r="G28" s="158"/>
      <c r="H28" s="141"/>
      <c r="I28" s="102"/>
      <c r="J28" s="34"/>
      <c r="K28" s="41"/>
      <c r="M28" s="101"/>
    </row>
    <row r="29" spans="1:13">
      <c r="A29" s="40"/>
      <c r="B29" s="139"/>
      <c r="C29" s="140"/>
      <c r="D29" s="156"/>
      <c r="E29" s="157"/>
      <c r="F29" s="141"/>
      <c r="G29" s="158"/>
      <c r="H29" s="141"/>
      <c r="I29" s="102"/>
      <c r="J29" s="34"/>
      <c r="K29" s="41"/>
      <c r="M29" s="101"/>
    </row>
    <row r="30" spans="1:13">
      <c r="A30" s="40"/>
      <c r="B30" s="139"/>
      <c r="C30" s="140"/>
      <c r="D30" s="156"/>
      <c r="E30" s="157"/>
      <c r="F30" s="141"/>
      <c r="G30" s="158"/>
      <c r="H30" s="141"/>
      <c r="I30" s="102"/>
      <c r="J30" s="102"/>
      <c r="K30" s="41"/>
      <c r="M30" s="101"/>
    </row>
    <row r="31" spans="1:13">
      <c r="A31" s="40"/>
      <c r="B31" s="139"/>
      <c r="C31" s="140"/>
      <c r="D31" s="156"/>
      <c r="E31" s="157"/>
      <c r="F31" s="141"/>
      <c r="G31" s="158"/>
      <c r="H31" s="141"/>
      <c r="I31" s="102"/>
      <c r="J31" s="102"/>
      <c r="K31" s="41"/>
    </row>
    <row r="32" spans="1:13">
      <c r="A32" s="40"/>
      <c r="B32" s="139"/>
      <c r="C32" s="140"/>
      <c r="D32" s="156"/>
      <c r="E32" s="157"/>
      <c r="F32" s="141"/>
      <c r="G32" s="158"/>
      <c r="H32" s="141"/>
      <c r="I32" s="102"/>
      <c r="J32" s="102"/>
      <c r="K32" s="41"/>
    </row>
    <row r="33" spans="1:11">
      <c r="A33" s="40"/>
      <c r="B33" s="139"/>
      <c r="C33" s="140"/>
      <c r="D33" s="156"/>
      <c r="E33" s="157"/>
      <c r="F33" s="141"/>
      <c r="G33" s="158"/>
      <c r="H33" s="141"/>
      <c r="I33" s="102"/>
      <c r="J33" s="102"/>
      <c r="K33" s="41"/>
    </row>
    <row r="34" spans="1:11">
      <c r="A34" s="40"/>
      <c r="B34" s="139"/>
      <c r="C34" s="140"/>
      <c r="D34" s="156"/>
      <c r="E34" s="157"/>
      <c r="F34" s="141"/>
      <c r="G34" s="158"/>
      <c r="H34" s="141"/>
      <c r="I34" s="102"/>
      <c r="J34" s="102"/>
      <c r="K34" s="41"/>
    </row>
    <row r="35" spans="1:11">
      <c r="A35" s="40"/>
      <c r="B35" s="139"/>
      <c r="C35" s="140"/>
      <c r="D35" s="156"/>
      <c r="E35" s="157"/>
      <c r="F35" s="141"/>
      <c r="G35" s="158"/>
      <c r="H35" s="141"/>
      <c r="I35" s="102"/>
      <c r="J35" s="102"/>
      <c r="K35" s="41"/>
    </row>
    <row r="36" spans="1:11">
      <c r="A36" s="40"/>
      <c r="B36" s="139"/>
      <c r="C36" s="140"/>
      <c r="D36" s="156"/>
      <c r="E36" s="157"/>
      <c r="F36" s="141"/>
      <c r="G36" s="158"/>
      <c r="H36" s="141"/>
      <c r="I36" s="102"/>
      <c r="J36" s="102"/>
      <c r="K36" s="41"/>
    </row>
    <row r="37" spans="1:11">
      <c r="A37" s="40"/>
      <c r="B37" s="139"/>
      <c r="C37" s="140"/>
      <c r="D37" s="156"/>
      <c r="E37" s="157"/>
      <c r="F37" s="141"/>
      <c r="G37" s="158"/>
      <c r="H37" s="141"/>
      <c r="I37" s="102"/>
      <c r="J37" s="102"/>
      <c r="K37" s="41"/>
    </row>
    <row r="38" spans="1:11">
      <c r="A38" s="40"/>
      <c r="B38" s="139"/>
      <c r="C38" s="140"/>
      <c r="D38" s="156"/>
      <c r="E38" s="157"/>
      <c r="F38" s="141"/>
      <c r="G38" s="158"/>
      <c r="H38" s="141"/>
      <c r="I38" s="102"/>
      <c r="J38" s="102"/>
      <c r="K38" s="41"/>
    </row>
    <row r="39" spans="1:11">
      <c r="A39" s="40"/>
      <c r="B39" s="139"/>
      <c r="C39" s="140"/>
      <c r="D39" s="156"/>
      <c r="E39" s="157"/>
      <c r="F39" s="141"/>
      <c r="G39" s="158"/>
      <c r="H39" s="141"/>
      <c r="I39" s="102"/>
      <c r="J39" s="102"/>
      <c r="K39" s="41"/>
    </row>
    <row r="40" spans="1:11">
      <c r="A40" s="40"/>
      <c r="B40" s="139"/>
      <c r="C40" s="140"/>
      <c r="D40" s="156"/>
      <c r="E40" s="157"/>
      <c r="F40" s="141"/>
      <c r="G40" s="158"/>
      <c r="H40" s="141"/>
      <c r="I40" s="102"/>
      <c r="J40" s="34"/>
      <c r="K40" s="41"/>
    </row>
    <row r="41" spans="1:11">
      <c r="A41" s="40"/>
      <c r="B41" s="139"/>
      <c r="C41" s="140"/>
      <c r="D41" s="156"/>
      <c r="E41" s="157"/>
      <c r="F41" s="141"/>
      <c r="G41" s="158"/>
      <c r="H41" s="141"/>
      <c r="I41" s="102"/>
      <c r="J41" s="34"/>
      <c r="K41" s="41"/>
    </row>
    <row r="42" spans="1:11">
      <c r="A42" s="40"/>
      <c r="B42" s="139"/>
      <c r="C42" s="140"/>
      <c r="D42" s="156"/>
      <c r="E42" s="157"/>
      <c r="F42" s="141"/>
      <c r="G42" s="158"/>
      <c r="H42" s="141"/>
      <c r="I42" s="102"/>
      <c r="J42" s="34"/>
      <c r="K42" s="41"/>
    </row>
    <row r="43" spans="1:11">
      <c r="A43" s="40"/>
      <c r="B43" s="139"/>
      <c r="C43" s="140"/>
      <c r="D43" s="156"/>
      <c r="E43" s="157"/>
      <c r="F43" s="141"/>
      <c r="G43" s="158"/>
      <c r="H43" s="141"/>
      <c r="I43" s="102"/>
      <c r="J43" s="34"/>
      <c r="K43" s="41"/>
    </row>
    <row r="44" spans="1:11">
      <c r="A44" s="40"/>
      <c r="B44" s="139"/>
      <c r="C44" s="140"/>
      <c r="D44" s="156"/>
      <c r="E44" s="157"/>
      <c r="F44" s="141"/>
      <c r="G44" s="158"/>
      <c r="H44" s="141"/>
      <c r="I44" s="102"/>
      <c r="J44" s="34"/>
      <c r="K44" s="41"/>
    </row>
    <row r="45" spans="1:11" s="27" customFormat="1" ht="12.75" customHeight="1">
      <c r="A45" s="5"/>
      <c r="B45" s="139"/>
      <c r="C45" s="140"/>
      <c r="D45" s="156"/>
      <c r="E45" s="157"/>
      <c r="F45" s="141"/>
      <c r="G45" s="158"/>
      <c r="H45" s="141"/>
      <c r="I45" s="102"/>
      <c r="J45" s="4"/>
      <c r="K45" s="8"/>
    </row>
    <row r="46" spans="1:11" s="27" customFormat="1">
      <c r="A46" s="5"/>
      <c r="B46" s="139"/>
      <c r="C46" s="140"/>
      <c r="D46" s="156"/>
      <c r="E46" s="157"/>
      <c r="F46" s="141"/>
      <c r="G46" s="158"/>
      <c r="H46" s="141"/>
      <c r="I46" s="102"/>
      <c r="J46" s="4"/>
      <c r="K46" s="8"/>
    </row>
    <row r="47" spans="1:11">
      <c r="A47" s="60"/>
      <c r="B47" s="61"/>
      <c r="C47" s="61"/>
      <c r="D47" s="61"/>
      <c r="E47" s="61"/>
      <c r="F47" s="61"/>
      <c r="G47" s="61"/>
      <c r="H47" s="61"/>
      <c r="I47" s="126"/>
      <c r="J47" s="61"/>
      <c r="K47" s="79"/>
    </row>
    <row r="48" spans="1:11">
      <c r="I48" s="124"/>
    </row>
    <row r="49" spans="9:9">
      <c r="I49" s="124"/>
    </row>
    <row r="50" spans="9:9">
      <c r="I50" s="124"/>
    </row>
    <row r="51" spans="9:9">
      <c r="I51" s="124"/>
    </row>
    <row r="52" spans="9:9">
      <c r="I52" s="124"/>
    </row>
    <row r="53" spans="9:9">
      <c r="I53" s="124"/>
    </row>
    <row r="54" spans="9:9">
      <c r="I54" s="124"/>
    </row>
    <row r="55" spans="9:9">
      <c r="I55" s="124"/>
    </row>
    <row r="56" spans="9:9">
      <c r="I56" s="124"/>
    </row>
    <row r="57" spans="9:9">
      <c r="I57" s="124"/>
    </row>
    <row r="58" spans="9:9">
      <c r="I58" s="124"/>
    </row>
    <row r="59" spans="9:9">
      <c r="I59" s="124"/>
    </row>
    <row r="60" spans="9:9">
      <c r="I60" s="124"/>
    </row>
    <row r="61" spans="9:9">
      <c r="I61" s="124"/>
    </row>
    <row r="62" spans="9:9">
      <c r="I62" s="124"/>
    </row>
    <row r="63" spans="9:9">
      <c r="I63" s="124"/>
    </row>
    <row r="64" spans="9:9">
      <c r="I64" s="124"/>
    </row>
    <row r="65" spans="9:9">
      <c r="I65" s="124"/>
    </row>
    <row r="66" spans="9:9">
      <c r="I66" s="124"/>
    </row>
    <row r="67" spans="9:9">
      <c r="I67" s="124"/>
    </row>
    <row r="68" spans="9:9">
      <c r="I68" s="124"/>
    </row>
    <row r="69" spans="9:9">
      <c r="I69" s="124"/>
    </row>
    <row r="70" spans="9:9">
      <c r="I70" s="124"/>
    </row>
    <row r="71" spans="9:9">
      <c r="I71" s="124"/>
    </row>
    <row r="72" spans="9:9">
      <c r="I72" s="124"/>
    </row>
    <row r="73" spans="9:9">
      <c r="I73" s="124"/>
    </row>
    <row r="74" spans="9:9">
      <c r="I74" s="124"/>
    </row>
    <row r="75" spans="9:9">
      <c r="I75" s="124"/>
    </row>
    <row r="76" spans="9:9">
      <c r="I76" s="124"/>
    </row>
    <row r="77" spans="9:9">
      <c r="I77" s="124"/>
    </row>
    <row r="78" spans="9:9">
      <c r="I78" s="124"/>
    </row>
    <row r="79" spans="9:9">
      <c r="I79" s="124"/>
    </row>
    <row r="80" spans="9:9">
      <c r="I80" s="124"/>
    </row>
    <row r="81" spans="9:9">
      <c r="I81" s="124"/>
    </row>
    <row r="82" spans="9:9">
      <c r="I82" s="124"/>
    </row>
    <row r="83" spans="9:9">
      <c r="I83" s="124"/>
    </row>
    <row r="84" spans="9:9">
      <c r="I84" s="124"/>
    </row>
    <row r="85" spans="9:9">
      <c r="I85" s="124"/>
    </row>
    <row r="86" spans="9:9">
      <c r="I86" s="124"/>
    </row>
    <row r="87" spans="9:9">
      <c r="I87" s="124"/>
    </row>
    <row r="88" spans="9:9">
      <c r="I88" s="124"/>
    </row>
    <row r="89" spans="9:9">
      <c r="I89" s="124"/>
    </row>
    <row r="90" spans="9:9">
      <c r="I90" s="124"/>
    </row>
    <row r="91" spans="9:9">
      <c r="I91" s="124"/>
    </row>
    <row r="92" spans="9:9">
      <c r="I92" s="124"/>
    </row>
    <row r="93" spans="9:9">
      <c r="I93" s="124"/>
    </row>
    <row r="94" spans="9:9">
      <c r="I94" s="124"/>
    </row>
    <row r="95" spans="9:9">
      <c r="I95" s="124"/>
    </row>
    <row r="96" spans="9:9">
      <c r="I96" s="124"/>
    </row>
    <row r="97" spans="9:9">
      <c r="I97" s="124"/>
    </row>
    <row r="98" spans="9:9">
      <c r="I98" s="124"/>
    </row>
    <row r="99" spans="9:9">
      <c r="I99" s="124"/>
    </row>
    <row r="100" spans="9:9">
      <c r="I100" s="124"/>
    </row>
    <row r="101" spans="9:9">
      <c r="I101" s="124"/>
    </row>
    <row r="102" spans="9:9">
      <c r="I102" s="124"/>
    </row>
    <row r="103" spans="9:9">
      <c r="I103" s="124"/>
    </row>
    <row r="104" spans="9:9">
      <c r="I104" s="124"/>
    </row>
    <row r="105" spans="9:9">
      <c r="I105" s="124"/>
    </row>
    <row r="106" spans="9:9">
      <c r="I106" s="124"/>
    </row>
    <row r="107" spans="9:9">
      <c r="I107" s="124"/>
    </row>
    <row r="108" spans="9:9">
      <c r="I108" s="124"/>
    </row>
    <row r="109" spans="9:9">
      <c r="I109" s="124"/>
    </row>
    <row r="110" spans="9:9">
      <c r="I110" s="124"/>
    </row>
    <row r="111" spans="9:9">
      <c r="I111" s="124"/>
    </row>
    <row r="112" spans="9:9">
      <c r="I112" s="124"/>
    </row>
    <row r="113" spans="9:9">
      <c r="I113" s="124"/>
    </row>
    <row r="114" spans="9:9">
      <c r="I114" s="124"/>
    </row>
    <row r="115" spans="9:9">
      <c r="I115" s="124"/>
    </row>
    <row r="116" spans="9:9">
      <c r="I116" s="124"/>
    </row>
    <row r="117" spans="9:9">
      <c r="I117" s="124"/>
    </row>
    <row r="118" spans="9:9">
      <c r="I118" s="124"/>
    </row>
    <row r="119" spans="9:9">
      <c r="I119" s="124"/>
    </row>
    <row r="120" spans="9:9">
      <c r="I120" s="124"/>
    </row>
    <row r="121" spans="9:9">
      <c r="I121" s="124"/>
    </row>
    <row r="122" spans="9:9">
      <c r="I122" s="124"/>
    </row>
    <row r="123" spans="9:9">
      <c r="I123" s="124"/>
    </row>
    <row r="124" spans="9:9">
      <c r="I124" s="124"/>
    </row>
    <row r="125" spans="9:9">
      <c r="I125" s="124"/>
    </row>
    <row r="126" spans="9:9">
      <c r="I126" s="124"/>
    </row>
    <row r="127" spans="9:9">
      <c r="I127" s="124"/>
    </row>
    <row r="128" spans="9:9">
      <c r="I128" s="124"/>
    </row>
    <row r="129" spans="9:9">
      <c r="I129" s="124"/>
    </row>
    <row r="130" spans="9:9">
      <c r="I130" s="124"/>
    </row>
    <row r="131" spans="9:9">
      <c r="I131" s="124"/>
    </row>
    <row r="132" spans="9:9">
      <c r="I132" s="124"/>
    </row>
    <row r="133" spans="9:9">
      <c r="I133" s="124"/>
    </row>
    <row r="134" spans="9:9">
      <c r="I134" s="124"/>
    </row>
    <row r="135" spans="9:9">
      <c r="I135" s="124"/>
    </row>
    <row r="136" spans="9:9">
      <c r="I136" s="124"/>
    </row>
    <row r="137" spans="9:9">
      <c r="I137" s="124"/>
    </row>
    <row r="138" spans="9:9">
      <c r="I138" s="124"/>
    </row>
    <row r="139" spans="9:9">
      <c r="I139" s="124"/>
    </row>
    <row r="140" spans="9:9">
      <c r="I140" s="124"/>
    </row>
    <row r="141" spans="9:9">
      <c r="I141" s="124"/>
    </row>
    <row r="142" spans="9:9">
      <c r="I142" s="124"/>
    </row>
    <row r="143" spans="9:9">
      <c r="I143" s="124"/>
    </row>
    <row r="144" spans="9:9">
      <c r="I144" s="124"/>
    </row>
    <row r="145" spans="9:9">
      <c r="I145" s="124"/>
    </row>
    <row r="146" spans="9:9">
      <c r="I146" s="124"/>
    </row>
    <row r="147" spans="9:9">
      <c r="I147" s="124"/>
    </row>
    <row r="148" spans="9:9">
      <c r="I148" s="124"/>
    </row>
    <row r="149" spans="9:9">
      <c r="I149" s="124"/>
    </row>
    <row r="150" spans="9:9">
      <c r="I150" s="124"/>
    </row>
    <row r="151" spans="9:9">
      <c r="I151" s="124"/>
    </row>
    <row r="152" spans="9:9">
      <c r="I152" s="124"/>
    </row>
    <row r="153" spans="9:9">
      <c r="I153" s="124"/>
    </row>
    <row r="154" spans="9:9">
      <c r="I154" s="124"/>
    </row>
    <row r="155" spans="9:9">
      <c r="I155" s="124"/>
    </row>
    <row r="156" spans="9:9">
      <c r="I156" s="124"/>
    </row>
    <row r="157" spans="9:9">
      <c r="I157" s="124"/>
    </row>
    <row r="158" spans="9:9">
      <c r="I158" s="124"/>
    </row>
    <row r="159" spans="9:9">
      <c r="I159" s="124"/>
    </row>
    <row r="160" spans="9:9">
      <c r="I160" s="124"/>
    </row>
    <row r="161" spans="9:9">
      <c r="I161" s="124"/>
    </row>
    <row r="162" spans="9:9">
      <c r="I162" s="124"/>
    </row>
    <row r="163" spans="9:9">
      <c r="I163" s="124"/>
    </row>
    <row r="164" spans="9:9">
      <c r="I164" s="124"/>
    </row>
    <row r="165" spans="9:9">
      <c r="I165" s="124"/>
    </row>
    <row r="166" spans="9:9">
      <c r="I166" s="124"/>
    </row>
    <row r="167" spans="9:9">
      <c r="I167" s="124"/>
    </row>
    <row r="168" spans="9:9">
      <c r="I168" s="124"/>
    </row>
    <row r="169" spans="9:9">
      <c r="I169" s="124"/>
    </row>
    <row r="170" spans="9:9">
      <c r="I170" s="124"/>
    </row>
    <row r="171" spans="9:9">
      <c r="I171" s="124"/>
    </row>
    <row r="172" spans="9:9">
      <c r="I172" s="124"/>
    </row>
    <row r="173" spans="9:9">
      <c r="I173" s="124"/>
    </row>
    <row r="174" spans="9:9">
      <c r="I174" s="124"/>
    </row>
    <row r="175" spans="9:9">
      <c r="I175" s="124"/>
    </row>
    <row r="176" spans="9:9">
      <c r="I176" s="124"/>
    </row>
    <row r="177" spans="9:9">
      <c r="I177" s="124"/>
    </row>
    <row r="178" spans="9:9">
      <c r="I178" s="124"/>
    </row>
    <row r="179" spans="9:9">
      <c r="I179" s="124"/>
    </row>
    <row r="180" spans="9:9">
      <c r="I180" s="124"/>
    </row>
    <row r="181" spans="9:9">
      <c r="I181" s="124"/>
    </row>
    <row r="182" spans="9:9">
      <c r="I182" s="124"/>
    </row>
    <row r="183" spans="9:9">
      <c r="I183" s="124"/>
    </row>
    <row r="184" spans="9:9">
      <c r="I184" s="124"/>
    </row>
    <row r="185" spans="9:9">
      <c r="I185" s="124"/>
    </row>
    <row r="186" spans="9:9">
      <c r="I186" s="124"/>
    </row>
    <row r="187" spans="9:9">
      <c r="I187" s="124"/>
    </row>
    <row r="188" spans="9:9">
      <c r="I188" s="124"/>
    </row>
    <row r="189" spans="9:9">
      <c r="I189" s="124"/>
    </row>
    <row r="190" spans="9:9">
      <c r="I190" s="124"/>
    </row>
    <row r="191" spans="9:9">
      <c r="I191" s="124"/>
    </row>
    <row r="192" spans="9:9">
      <c r="I192" s="124"/>
    </row>
    <row r="193" spans="9:9">
      <c r="I193" s="124"/>
    </row>
    <row r="194" spans="9:9">
      <c r="I194" s="124"/>
    </row>
    <row r="195" spans="9:9">
      <c r="I195" s="124"/>
    </row>
    <row r="196" spans="9:9">
      <c r="I196" s="124"/>
    </row>
    <row r="197" spans="9:9">
      <c r="I197" s="124"/>
    </row>
    <row r="198" spans="9:9">
      <c r="I198" s="124"/>
    </row>
    <row r="199" spans="9:9">
      <c r="I199" s="124"/>
    </row>
    <row r="200" spans="9:9">
      <c r="I200" s="124"/>
    </row>
    <row r="201" spans="9:9">
      <c r="I201" s="124"/>
    </row>
    <row r="202" spans="9:9">
      <c r="I202" s="124"/>
    </row>
    <row r="203" spans="9:9">
      <c r="I203" s="124"/>
    </row>
    <row r="204" spans="9:9">
      <c r="I204" s="124"/>
    </row>
    <row r="205" spans="9:9">
      <c r="I205" s="124"/>
    </row>
    <row r="206" spans="9:9">
      <c r="I206" s="124"/>
    </row>
    <row r="207" spans="9:9">
      <c r="I207" s="124"/>
    </row>
    <row r="208" spans="9:9">
      <c r="I208" s="124"/>
    </row>
    <row r="209" spans="9:9">
      <c r="I209" s="124"/>
    </row>
    <row r="210" spans="9:9">
      <c r="I210" s="124"/>
    </row>
    <row r="211" spans="9:9">
      <c r="I211" s="124"/>
    </row>
    <row r="212" spans="9:9">
      <c r="I212" s="124"/>
    </row>
    <row r="213" spans="9:9">
      <c r="I213" s="124"/>
    </row>
    <row r="214" spans="9:9">
      <c r="I214" s="124"/>
    </row>
    <row r="215" spans="9:9">
      <c r="I215" s="124"/>
    </row>
    <row r="216" spans="9:9">
      <c r="I216" s="124"/>
    </row>
    <row r="217" spans="9:9">
      <c r="I217" s="124"/>
    </row>
    <row r="218" spans="9:9">
      <c r="I218" s="124"/>
    </row>
    <row r="219" spans="9:9">
      <c r="I219" s="124"/>
    </row>
    <row r="220" spans="9:9">
      <c r="I220" s="124"/>
    </row>
    <row r="221" spans="9:9">
      <c r="I221" s="124"/>
    </row>
    <row r="222" spans="9:9">
      <c r="I222" s="124"/>
    </row>
    <row r="223" spans="9:9">
      <c r="I223" s="124"/>
    </row>
    <row r="224" spans="9:9">
      <c r="I224" s="124"/>
    </row>
    <row r="225" spans="9:9">
      <c r="I225" s="124"/>
    </row>
    <row r="226" spans="9:9">
      <c r="I226" s="124"/>
    </row>
    <row r="227" spans="9:9">
      <c r="I227" s="124"/>
    </row>
    <row r="228" spans="9:9">
      <c r="I228" s="124"/>
    </row>
    <row r="229" spans="9:9">
      <c r="I229" s="124"/>
    </row>
    <row r="230" spans="9:9">
      <c r="I230" s="124"/>
    </row>
    <row r="231" spans="9:9">
      <c r="I231" s="124"/>
    </row>
    <row r="232" spans="9:9">
      <c r="I232" s="124"/>
    </row>
    <row r="233" spans="9:9">
      <c r="I233" s="124"/>
    </row>
    <row r="234" spans="9:9">
      <c r="I234" s="124"/>
    </row>
    <row r="235" spans="9:9">
      <c r="I235" s="124"/>
    </row>
    <row r="236" spans="9:9">
      <c r="I236" s="124"/>
    </row>
    <row r="237" spans="9:9">
      <c r="I237" s="124"/>
    </row>
    <row r="238" spans="9:9">
      <c r="I238" s="124"/>
    </row>
    <row r="239" spans="9:9">
      <c r="I239" s="124"/>
    </row>
    <row r="240" spans="9:9">
      <c r="I240" s="124"/>
    </row>
    <row r="241" spans="9:9">
      <c r="I241" s="124"/>
    </row>
    <row r="242" spans="9:9">
      <c r="I242" s="124"/>
    </row>
    <row r="243" spans="9:9">
      <c r="I243" s="124"/>
    </row>
    <row r="244" spans="9:9">
      <c r="I244" s="124"/>
    </row>
    <row r="245" spans="9:9">
      <c r="I245" s="124"/>
    </row>
    <row r="246" spans="9:9">
      <c r="I246" s="124"/>
    </row>
    <row r="247" spans="9:9">
      <c r="I247" s="124"/>
    </row>
    <row r="248" spans="9:9">
      <c r="I248" s="124"/>
    </row>
    <row r="249" spans="9:9">
      <c r="I249" s="124"/>
    </row>
    <row r="250" spans="9:9">
      <c r="I250" s="124"/>
    </row>
    <row r="251" spans="9:9">
      <c r="I251" s="124"/>
    </row>
    <row r="252" spans="9:9">
      <c r="I252" s="124"/>
    </row>
    <row r="253" spans="9:9">
      <c r="I253" s="124"/>
    </row>
    <row r="254" spans="9:9">
      <c r="I254" s="124"/>
    </row>
    <row r="255" spans="9:9">
      <c r="I255" s="124"/>
    </row>
    <row r="256" spans="9:9">
      <c r="I256" s="124"/>
    </row>
    <row r="257" spans="9:9">
      <c r="I257" s="124"/>
    </row>
    <row r="258" spans="9:9">
      <c r="I258" s="124"/>
    </row>
    <row r="259" spans="9:9">
      <c r="I259" s="124"/>
    </row>
    <row r="260" spans="9:9">
      <c r="I260" s="124"/>
    </row>
  </sheetData>
  <sheetProtection password="8B10" sheet="1" objects="1" scenarios="1"/>
  <phoneticPr fontId="3" type="noConversion"/>
  <pageMargins left="0.70866141732283472" right="0.70866141732283472" top="1.0236220472440944" bottom="1.0236220472440944" header="0.39370078740157483" footer="0.39370078740157483"/>
  <pageSetup paperSize="9" scale="71" orientation="landscape" r:id="rId1"/>
  <headerFooter alignWithMargins="0">
    <oddFooter>&amp;L&amp;"Frutiger 57Cn,Standard"&amp;8
Santander Consumer Bank AG
Santander-Platz 1
41061 Mönchengladbach
Tel.: +49 180 / 5556 - 499
Fax.: +49 180 / 5556 - 498</oddFooter>
  </headerFooter>
  <colBreaks count="1" manualBreakCount="1">
    <brk id="1" max="95"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Q2250"/>
  <sheetViews>
    <sheetView view="pageBreakPreview" zoomScale="75" zoomScaleNormal="100" workbookViewId="0">
      <selection activeCell="B3" sqref="B3"/>
    </sheetView>
  </sheetViews>
  <sheetFormatPr defaultRowHeight="12.75"/>
  <cols>
    <col min="1" max="1" width="1.28515625" style="31" customWidth="1"/>
    <col min="2" max="2" width="26" style="31" customWidth="1"/>
    <col min="3" max="3" width="14.85546875" style="31" bestFit="1" customWidth="1"/>
    <col min="4" max="4" width="18.7109375" style="31" customWidth="1"/>
    <col min="5" max="5" width="18.5703125" style="31" customWidth="1"/>
    <col min="6" max="6" width="17.28515625" style="31" customWidth="1"/>
    <col min="7" max="8" width="19" style="31" customWidth="1"/>
    <col min="9" max="9" width="9.28515625" style="31" customWidth="1"/>
    <col min="10" max="10" width="15.42578125" style="31" customWidth="1"/>
    <col min="11" max="11" width="1.28515625" style="31" customWidth="1"/>
    <col min="12" max="12" width="3.140625" style="31" customWidth="1"/>
    <col min="13" max="13" width="18.7109375" style="34" customWidth="1"/>
    <col min="14" max="14" width="18.5703125" style="34" customWidth="1"/>
    <col min="15" max="15" width="17.28515625" style="34" customWidth="1"/>
    <col min="16" max="17" width="19" style="34" customWidth="1"/>
    <col min="18" max="256" width="11.42578125" style="31" customWidth="1"/>
    <col min="257" max="16384" width="9.140625" style="31"/>
  </cols>
  <sheetData>
    <row r="1" spans="1:17" ht="6" customHeight="1">
      <c r="A1" s="35"/>
      <c r="B1" s="36"/>
      <c r="C1" s="36"/>
      <c r="D1" s="36"/>
      <c r="E1" s="36"/>
      <c r="F1" s="36"/>
      <c r="G1" s="36"/>
      <c r="H1" s="36"/>
      <c r="I1" s="36"/>
      <c r="J1" s="36"/>
      <c r="K1" s="37"/>
    </row>
    <row r="2" spans="1:17" s="27" customFormat="1" ht="18">
      <c r="A2" s="5"/>
      <c r="B2" s="7" t="str">
        <f>'Cover Sheet'!B2</f>
        <v>SC Germany Auto 10-1</v>
      </c>
      <c r="C2" s="7"/>
      <c r="D2" s="108" t="s">
        <v>54</v>
      </c>
      <c r="E2" s="109"/>
      <c r="F2" s="110">
        <f>'Cover Sheet'!F2</f>
        <v>41191</v>
      </c>
      <c r="G2" s="109"/>
      <c r="H2" s="109"/>
      <c r="I2" s="109"/>
      <c r="J2" s="111"/>
      <c r="K2" s="88"/>
      <c r="M2" s="28"/>
      <c r="N2" s="34"/>
      <c r="O2" s="372"/>
      <c r="P2" s="34"/>
      <c r="Q2" s="34"/>
    </row>
    <row r="3" spans="1:17" s="27" customFormat="1" ht="18">
      <c r="A3" s="5"/>
      <c r="B3" s="7" t="str">
        <f>'Cover Sheet'!B3</f>
        <v>Monthly Investor Report</v>
      </c>
      <c r="C3" s="7"/>
      <c r="D3" s="112" t="s">
        <v>4</v>
      </c>
      <c r="E3" s="113"/>
      <c r="F3" s="114">
        <f>'Cover Sheet'!F3</f>
        <v>41197</v>
      </c>
      <c r="G3" s="113"/>
      <c r="H3" s="113"/>
      <c r="I3" s="113"/>
      <c r="J3" s="115"/>
      <c r="K3" s="90"/>
      <c r="M3" s="28"/>
      <c r="N3" s="34"/>
      <c r="O3" s="372"/>
      <c r="P3" s="34"/>
      <c r="Q3" s="34"/>
    </row>
    <row r="4" spans="1:17" s="27" customFormat="1">
      <c r="A4" s="5"/>
      <c r="B4" s="42"/>
      <c r="C4" s="12"/>
      <c r="D4" s="112" t="s">
        <v>5</v>
      </c>
      <c r="E4" s="113"/>
      <c r="F4" s="122">
        <f>'Cover Sheet'!F4</f>
        <v>27</v>
      </c>
      <c r="G4" s="113"/>
      <c r="H4" s="117"/>
      <c r="I4" s="113"/>
      <c r="J4" s="118"/>
      <c r="K4" s="88"/>
      <c r="M4" s="28"/>
      <c r="N4" s="34"/>
      <c r="O4" s="45"/>
      <c r="P4" s="34"/>
      <c r="Q4" s="28"/>
    </row>
    <row r="5" spans="1:17" s="27" customFormat="1" ht="18">
      <c r="A5" s="5"/>
      <c r="B5" s="105" t="s">
        <v>388</v>
      </c>
      <c r="C5" s="14"/>
      <c r="D5" s="112" t="s">
        <v>3</v>
      </c>
      <c r="E5" s="113"/>
      <c r="F5" s="123">
        <f>'Cover Sheet'!F5</f>
        <v>41197</v>
      </c>
      <c r="G5" s="113"/>
      <c r="H5" s="117"/>
      <c r="I5" s="113"/>
      <c r="J5" s="118"/>
      <c r="K5" s="90"/>
      <c r="M5" s="28"/>
      <c r="N5" s="34"/>
      <c r="O5" s="373"/>
      <c r="P5" s="34"/>
      <c r="Q5" s="28"/>
    </row>
    <row r="6" spans="1:17" s="27" customFormat="1" ht="15" customHeight="1">
      <c r="A6" s="5"/>
      <c r="B6" s="43"/>
      <c r="C6" s="89"/>
      <c r="D6" s="552" t="str">
        <f>'Cover Sheet'!D6</f>
        <v>Interest Period</v>
      </c>
      <c r="E6" s="114" t="s">
        <v>38</v>
      </c>
      <c r="F6" s="114">
        <f>'Cover Sheet'!F6</f>
        <v>41164</v>
      </c>
      <c r="G6" s="116" t="s">
        <v>6</v>
      </c>
      <c r="H6" s="114">
        <f>'Cover Sheet'!H6</f>
        <v>41197</v>
      </c>
      <c r="I6" s="116" t="s">
        <v>18</v>
      </c>
      <c r="J6" s="542" t="str">
        <f>'Cover Sheet'!J6</f>
        <v>33 days</v>
      </c>
      <c r="K6" s="90"/>
      <c r="M6" s="28"/>
      <c r="N6" s="45"/>
      <c r="O6" s="372"/>
      <c r="P6" s="45"/>
      <c r="Q6" s="372"/>
    </row>
    <row r="7" spans="1:17" s="27" customFormat="1">
      <c r="A7" s="5"/>
      <c r="B7" s="4"/>
      <c r="C7" s="4"/>
      <c r="D7" s="553" t="str">
        <f>'Cover Sheet'!D7</f>
        <v>Collection Period</v>
      </c>
      <c r="E7" s="121" t="s">
        <v>38</v>
      </c>
      <c r="F7" s="121" t="str">
        <f>'Cover Sheet'!F7</f>
        <v>01.09.2012</v>
      </c>
      <c r="G7" s="120" t="s">
        <v>6</v>
      </c>
      <c r="H7" s="121">
        <f>'Cover Sheet'!H7</f>
        <v>41182</v>
      </c>
      <c r="I7" s="543"/>
      <c r="J7" s="544"/>
      <c r="K7" s="90"/>
      <c r="M7" s="28"/>
      <c r="N7" s="34"/>
      <c r="O7" s="374"/>
      <c r="P7" s="45"/>
      <c r="Q7" s="372"/>
    </row>
    <row r="8" spans="1:17" s="27" customFormat="1">
      <c r="A8" s="5"/>
      <c r="B8" s="4"/>
      <c r="C8" s="4"/>
      <c r="D8" s="4"/>
      <c r="E8" s="9"/>
      <c r="F8" s="15"/>
      <c r="G8" s="9"/>
      <c r="H8" s="4"/>
      <c r="I8" s="16"/>
      <c r="J8" s="4"/>
      <c r="K8" s="90"/>
      <c r="M8" s="34"/>
      <c r="N8" s="44"/>
      <c r="O8" s="45"/>
      <c r="P8" s="44"/>
      <c r="Q8" s="34"/>
    </row>
    <row r="9" spans="1:17" s="27" customFormat="1">
      <c r="A9" s="5"/>
      <c r="K9" s="8"/>
      <c r="M9" s="34"/>
      <c r="N9" s="34"/>
      <c r="O9" s="34"/>
      <c r="P9" s="34"/>
      <c r="Q9" s="34"/>
    </row>
    <row r="10" spans="1:17" s="27" customFormat="1">
      <c r="A10" s="5"/>
      <c r="B10" s="4"/>
      <c r="C10" s="4"/>
      <c r="D10" s="4"/>
      <c r="E10" s="4"/>
      <c r="F10" s="18"/>
      <c r="G10" s="4"/>
      <c r="H10" s="4"/>
      <c r="I10" s="34"/>
      <c r="J10" s="34"/>
      <c r="K10" s="8"/>
      <c r="M10" s="34"/>
      <c r="N10" s="34"/>
      <c r="O10" s="102"/>
      <c r="P10" s="34"/>
      <c r="Q10" s="34"/>
    </row>
    <row r="11" spans="1:17" s="27" customFormat="1" ht="18">
      <c r="A11" s="5"/>
      <c r="B11" s="125"/>
      <c r="C11" s="4"/>
      <c r="D11" s="4"/>
      <c r="E11" s="4"/>
      <c r="F11" s="34"/>
      <c r="G11" s="100"/>
      <c r="H11" s="100"/>
      <c r="I11" s="34"/>
      <c r="K11" s="8"/>
      <c r="M11" s="47"/>
      <c r="N11" s="34"/>
      <c r="O11" s="34"/>
      <c r="P11" s="137"/>
      <c r="Q11" s="137"/>
    </row>
    <row r="12" spans="1:17" s="27" customFormat="1" ht="13.5" thickBot="1">
      <c r="A12" s="5"/>
      <c r="B12" s="4"/>
      <c r="C12" s="4"/>
      <c r="D12" s="4"/>
      <c r="E12" s="4"/>
      <c r="F12" s="34"/>
      <c r="G12" s="100"/>
      <c r="H12" s="100"/>
      <c r="I12" s="34"/>
      <c r="K12" s="8"/>
      <c r="M12" s="34"/>
      <c r="N12" s="34"/>
      <c r="O12" s="34"/>
      <c r="P12" s="137"/>
      <c r="Q12" s="137"/>
    </row>
    <row r="13" spans="1:17" s="27" customFormat="1" ht="29.25" thickBot="1">
      <c r="A13" s="5"/>
      <c r="B13" s="127"/>
      <c r="C13" s="34"/>
      <c r="D13" s="277" t="s">
        <v>73</v>
      </c>
      <c r="E13" s="270" t="s">
        <v>91</v>
      </c>
      <c r="F13" s="270" t="s">
        <v>70</v>
      </c>
      <c r="G13" s="283" t="s">
        <v>71</v>
      </c>
      <c r="H13" s="102"/>
      <c r="J13" s="4"/>
      <c r="K13" s="8"/>
      <c r="L13" s="377"/>
      <c r="M13" s="327"/>
      <c r="N13" s="327"/>
      <c r="O13" s="327"/>
      <c r="P13" s="327"/>
    </row>
    <row r="14" spans="1:17" s="27" customFormat="1">
      <c r="A14" s="5"/>
      <c r="B14" s="138"/>
      <c r="C14" s="138"/>
      <c r="D14" s="593">
        <v>1</v>
      </c>
      <c r="E14" s="160">
        <v>68576.509999999995</v>
      </c>
      <c r="F14" s="161">
        <v>3.1521671340873519E-4</v>
      </c>
      <c r="G14" s="162">
        <v>1</v>
      </c>
      <c r="H14" s="102"/>
      <c r="J14" s="4"/>
      <c r="K14" s="8"/>
      <c r="L14" s="148"/>
      <c r="M14" s="174"/>
      <c r="N14" s="175"/>
      <c r="O14" s="176"/>
      <c r="P14" s="148"/>
    </row>
    <row r="15" spans="1:17">
      <c r="A15" s="40"/>
      <c r="B15" s="139"/>
      <c r="C15" s="140"/>
      <c r="D15" s="593">
        <f>+D14+1</f>
        <v>2</v>
      </c>
      <c r="E15" s="160">
        <v>43386.68</v>
      </c>
      <c r="F15" s="161">
        <v>1.9942990209499583E-4</v>
      </c>
      <c r="G15" s="162">
        <v>1</v>
      </c>
      <c r="H15" s="102"/>
      <c r="J15" s="34"/>
      <c r="K15" s="41"/>
      <c r="L15" s="148"/>
      <c r="M15" s="174"/>
      <c r="N15" s="175"/>
      <c r="O15" s="176"/>
      <c r="P15" s="148"/>
      <c r="Q15" s="31"/>
    </row>
    <row r="16" spans="1:17">
      <c r="A16" s="40"/>
      <c r="B16" s="139"/>
      <c r="C16" s="140"/>
      <c r="D16" s="593">
        <f t="shared" ref="D16:D38" si="0">+D15+1</f>
        <v>3</v>
      </c>
      <c r="E16" s="160">
        <v>42780.79</v>
      </c>
      <c r="F16" s="161">
        <v>1.9664488643165545E-4</v>
      </c>
      <c r="G16" s="162">
        <v>1</v>
      </c>
      <c r="H16" s="102"/>
      <c r="J16" s="34"/>
      <c r="K16" s="41"/>
      <c r="L16" s="148"/>
      <c r="M16" s="174"/>
      <c r="N16" s="175"/>
      <c r="O16" s="176"/>
      <c r="P16" s="148"/>
      <c r="Q16" s="31"/>
    </row>
    <row r="17" spans="1:17">
      <c r="A17" s="40"/>
      <c r="B17" s="139"/>
      <c r="C17" s="140"/>
      <c r="D17" s="593">
        <f t="shared" si="0"/>
        <v>4</v>
      </c>
      <c r="E17" s="160">
        <v>42210.74</v>
      </c>
      <c r="F17" s="161">
        <v>1.9402461182919099E-4</v>
      </c>
      <c r="G17" s="162">
        <v>1</v>
      </c>
      <c r="H17" s="102"/>
      <c r="J17" s="34"/>
      <c r="K17" s="41"/>
      <c r="L17" s="148"/>
      <c r="M17" s="174"/>
      <c r="N17" s="175"/>
      <c r="O17" s="176"/>
      <c r="P17" s="148"/>
      <c r="Q17" s="31"/>
    </row>
    <row r="18" spans="1:17">
      <c r="A18" s="40"/>
      <c r="B18" s="139"/>
      <c r="C18" s="140"/>
      <c r="D18" s="593">
        <f t="shared" si="0"/>
        <v>5</v>
      </c>
      <c r="E18" s="160">
        <v>38211.86</v>
      </c>
      <c r="F18" s="161">
        <v>1.7564348087172578E-4</v>
      </c>
      <c r="G18" s="162">
        <v>1</v>
      </c>
      <c r="H18" s="102"/>
      <c r="J18" s="34"/>
      <c r="K18" s="41"/>
      <c r="L18" s="148"/>
      <c r="M18" s="174"/>
      <c r="N18" s="175"/>
      <c r="O18" s="176"/>
      <c r="P18" s="148"/>
      <c r="Q18" s="31"/>
    </row>
    <row r="19" spans="1:17">
      <c r="A19" s="40"/>
      <c r="B19" s="139"/>
      <c r="C19" s="140"/>
      <c r="D19" s="593">
        <f t="shared" si="0"/>
        <v>6</v>
      </c>
      <c r="E19" s="160">
        <v>37047.869999999995</v>
      </c>
      <c r="F19" s="161">
        <v>1.7029311961477882E-4</v>
      </c>
      <c r="G19" s="162">
        <v>2</v>
      </c>
      <c r="H19" s="102"/>
      <c r="J19" s="34"/>
      <c r="K19" s="41"/>
      <c r="L19" s="148"/>
      <c r="M19" s="174"/>
      <c r="N19" s="175"/>
      <c r="O19" s="176"/>
      <c r="P19" s="148"/>
      <c r="Q19" s="31"/>
    </row>
    <row r="20" spans="1:17">
      <c r="A20" s="40"/>
      <c r="B20" s="139"/>
      <c r="C20" s="140"/>
      <c r="D20" s="593">
        <f t="shared" si="0"/>
        <v>7</v>
      </c>
      <c r="E20" s="160">
        <v>35624.53</v>
      </c>
      <c r="F20" s="161">
        <v>1.6375063798567308E-4</v>
      </c>
      <c r="G20" s="162">
        <v>1</v>
      </c>
      <c r="H20" s="102"/>
      <c r="J20" s="34"/>
      <c r="K20" s="41"/>
      <c r="L20" s="148"/>
      <c r="M20" s="174"/>
      <c r="N20" s="175"/>
      <c r="O20" s="176"/>
      <c r="P20" s="148"/>
      <c r="Q20" s="31"/>
    </row>
    <row r="21" spans="1:17">
      <c r="A21" s="40"/>
      <c r="B21" s="139"/>
      <c r="C21" s="140"/>
      <c r="D21" s="593">
        <f t="shared" si="0"/>
        <v>8</v>
      </c>
      <c r="E21" s="160">
        <v>34294.01</v>
      </c>
      <c r="F21" s="161">
        <v>1.5763480996344519E-4</v>
      </c>
      <c r="G21" s="162">
        <v>1</v>
      </c>
      <c r="H21" s="102"/>
      <c r="J21" s="34"/>
      <c r="K21" s="41"/>
      <c r="L21" s="148"/>
      <c r="M21" s="174"/>
      <c r="N21" s="175"/>
      <c r="O21" s="176"/>
      <c r="P21" s="148"/>
      <c r="Q21" s="31"/>
    </row>
    <row r="22" spans="1:17">
      <c r="A22" s="40"/>
      <c r="B22" s="139"/>
      <c r="C22" s="140"/>
      <c r="D22" s="593">
        <f t="shared" si="0"/>
        <v>9</v>
      </c>
      <c r="E22" s="160">
        <v>33959.410000000003</v>
      </c>
      <c r="F22" s="161">
        <v>1.5609679771542379E-4</v>
      </c>
      <c r="G22" s="162">
        <v>1</v>
      </c>
      <c r="H22" s="102"/>
      <c r="J22" s="34"/>
      <c r="K22" s="41"/>
      <c r="L22" s="148"/>
      <c r="M22" s="174"/>
      <c r="N22" s="175"/>
      <c r="O22" s="176"/>
      <c r="P22" s="148"/>
      <c r="Q22" s="31"/>
    </row>
    <row r="23" spans="1:17">
      <c r="A23" s="40"/>
      <c r="B23" s="139"/>
      <c r="C23" s="140"/>
      <c r="D23" s="593">
        <f t="shared" si="0"/>
        <v>10</v>
      </c>
      <c r="E23" s="160">
        <v>32808.720000000001</v>
      </c>
      <c r="F23" s="161">
        <v>1.5080757083653628E-4</v>
      </c>
      <c r="G23" s="162">
        <v>1</v>
      </c>
      <c r="H23" s="102"/>
      <c r="J23" s="34"/>
      <c r="K23" s="41"/>
      <c r="L23" s="148"/>
      <c r="M23" s="174"/>
      <c r="N23" s="175"/>
      <c r="O23" s="176"/>
      <c r="P23" s="148"/>
      <c r="Q23" s="31"/>
    </row>
    <row r="24" spans="1:17">
      <c r="A24" s="40"/>
      <c r="B24" s="139"/>
      <c r="C24" s="140"/>
      <c r="D24" s="593">
        <f t="shared" si="0"/>
        <v>11</v>
      </c>
      <c r="E24" s="160">
        <v>32115.09</v>
      </c>
      <c r="F24" s="161">
        <v>1.4761925214079483E-4</v>
      </c>
      <c r="G24" s="162">
        <v>1</v>
      </c>
      <c r="H24" s="102"/>
      <c r="J24" s="34"/>
      <c r="K24" s="41"/>
      <c r="L24" s="148"/>
      <c r="M24" s="174"/>
      <c r="N24" s="175"/>
      <c r="O24" s="176"/>
      <c r="P24" s="148"/>
      <c r="Q24" s="31"/>
    </row>
    <row r="25" spans="1:17">
      <c r="A25" s="40"/>
      <c r="B25" s="139"/>
      <c r="C25" s="140"/>
      <c r="D25" s="593">
        <f t="shared" si="0"/>
        <v>12</v>
      </c>
      <c r="E25" s="160">
        <v>31069.37</v>
      </c>
      <c r="F25" s="161">
        <v>1.4281252719159892E-4</v>
      </c>
      <c r="G25" s="162">
        <v>1</v>
      </c>
      <c r="H25" s="102"/>
      <c r="J25" s="34"/>
      <c r="K25" s="41"/>
      <c r="L25" s="148"/>
      <c r="M25" s="174"/>
      <c r="N25" s="175"/>
      <c r="O25" s="176"/>
      <c r="P25" s="148"/>
      <c r="Q25" s="31"/>
    </row>
    <row r="26" spans="1:17">
      <c r="A26" s="40"/>
      <c r="B26" s="139"/>
      <c r="C26" s="140"/>
      <c r="D26" s="593">
        <f t="shared" si="0"/>
        <v>13</v>
      </c>
      <c r="E26" s="160">
        <v>31040.15</v>
      </c>
      <c r="F26" s="161">
        <v>1.4267821542265934E-4</v>
      </c>
      <c r="G26" s="162">
        <v>1</v>
      </c>
      <c r="H26" s="102"/>
      <c r="J26" s="34"/>
      <c r="K26" s="41"/>
      <c r="L26" s="148"/>
      <c r="M26" s="174"/>
      <c r="N26" s="175"/>
      <c r="O26" s="176"/>
      <c r="P26" s="148"/>
      <c r="Q26" s="31"/>
    </row>
    <row r="27" spans="1:17">
      <c r="A27" s="40"/>
      <c r="B27" s="139"/>
      <c r="C27" s="140"/>
      <c r="D27" s="593">
        <f t="shared" si="0"/>
        <v>14</v>
      </c>
      <c r="E27" s="160">
        <v>30875.730000000003</v>
      </c>
      <c r="F27" s="161">
        <v>1.4192244741961189E-4</v>
      </c>
      <c r="G27" s="162">
        <v>1</v>
      </c>
      <c r="H27" s="102"/>
      <c r="J27" s="34"/>
      <c r="K27" s="41"/>
      <c r="L27" s="148"/>
      <c r="M27" s="174"/>
      <c r="N27" s="175"/>
      <c r="O27" s="176"/>
      <c r="P27" s="148"/>
      <c r="Q27" s="31"/>
    </row>
    <row r="28" spans="1:17">
      <c r="A28" s="40"/>
      <c r="B28" s="139"/>
      <c r="C28" s="140"/>
      <c r="D28" s="593">
        <f t="shared" si="0"/>
        <v>15</v>
      </c>
      <c r="E28" s="160">
        <v>30684.98</v>
      </c>
      <c r="F28" s="161">
        <v>1.4104565173428586E-4</v>
      </c>
      <c r="G28" s="162">
        <v>1</v>
      </c>
      <c r="H28" s="102"/>
      <c r="J28" s="34"/>
      <c r="K28" s="41"/>
      <c r="L28" s="148"/>
      <c r="M28" s="174"/>
      <c r="N28" s="175"/>
      <c r="O28" s="176"/>
      <c r="P28" s="148"/>
      <c r="Q28" s="31"/>
    </row>
    <row r="29" spans="1:17">
      <c r="A29" s="40"/>
      <c r="B29" s="139"/>
      <c r="C29" s="140"/>
      <c r="D29" s="593">
        <f t="shared" si="0"/>
        <v>16</v>
      </c>
      <c r="E29" s="160">
        <v>30509.97</v>
      </c>
      <c r="F29" s="161">
        <v>1.4024120605727979E-4</v>
      </c>
      <c r="G29" s="162">
        <v>1</v>
      </c>
      <c r="H29" s="102"/>
      <c r="J29" s="34"/>
      <c r="K29" s="41"/>
      <c r="L29" s="148"/>
      <c r="M29" s="174"/>
      <c r="N29" s="175"/>
      <c r="O29" s="176"/>
      <c r="P29" s="148"/>
      <c r="Q29" s="31"/>
    </row>
    <row r="30" spans="1:17">
      <c r="A30" s="40"/>
      <c r="B30" s="139"/>
      <c r="C30" s="140"/>
      <c r="D30" s="593">
        <f t="shared" si="0"/>
        <v>17</v>
      </c>
      <c r="E30" s="160">
        <v>30303.86</v>
      </c>
      <c r="F30" s="161">
        <v>1.3929380706014983E-4</v>
      </c>
      <c r="G30" s="162">
        <v>1</v>
      </c>
      <c r="H30" s="102"/>
      <c r="I30" s="102"/>
      <c r="J30" s="34"/>
      <c r="K30" s="41"/>
      <c r="L30" s="148"/>
      <c r="M30" s="174"/>
      <c r="N30" s="175"/>
      <c r="O30" s="176"/>
      <c r="P30" s="148"/>
      <c r="Q30" s="31"/>
    </row>
    <row r="31" spans="1:17">
      <c r="A31" s="40"/>
      <c r="B31" s="139"/>
      <c r="C31" s="140"/>
      <c r="D31" s="593">
        <f t="shared" si="0"/>
        <v>18</v>
      </c>
      <c r="E31" s="160">
        <v>30253.43</v>
      </c>
      <c r="F31" s="161">
        <v>1.3906200204619965E-4</v>
      </c>
      <c r="G31" s="162">
        <v>1</v>
      </c>
      <c r="H31" s="102"/>
      <c r="I31" s="102"/>
      <c r="J31" s="34"/>
      <c r="K31" s="41"/>
      <c r="L31" s="148"/>
      <c r="M31" s="174"/>
      <c r="N31" s="175"/>
      <c r="O31" s="176"/>
      <c r="P31" s="148"/>
      <c r="Q31" s="31"/>
    </row>
    <row r="32" spans="1:17">
      <c r="A32" s="40"/>
      <c r="B32" s="139"/>
      <c r="C32" s="140"/>
      <c r="D32" s="593">
        <f t="shared" si="0"/>
        <v>19</v>
      </c>
      <c r="E32" s="160">
        <v>29726.33</v>
      </c>
      <c r="F32" s="161">
        <v>1.3663915011573915E-4</v>
      </c>
      <c r="G32" s="162">
        <v>1</v>
      </c>
      <c r="H32" s="102"/>
      <c r="I32" s="102"/>
      <c r="J32" s="34"/>
      <c r="K32" s="41"/>
      <c r="L32" s="148"/>
      <c r="M32" s="174"/>
      <c r="N32" s="175"/>
      <c r="O32" s="176"/>
      <c r="P32" s="148"/>
      <c r="Q32" s="31"/>
    </row>
    <row r="33" spans="1:17">
      <c r="A33" s="40"/>
      <c r="B33" s="139"/>
      <c r="C33" s="140"/>
      <c r="D33" s="593">
        <f t="shared" si="0"/>
        <v>20</v>
      </c>
      <c r="E33" s="160">
        <v>29498.66</v>
      </c>
      <c r="F33" s="161">
        <v>1.35592649074176E-4</v>
      </c>
      <c r="G33" s="162">
        <v>1</v>
      </c>
      <c r="H33" s="102"/>
      <c r="I33" s="102"/>
      <c r="J33" s="34"/>
      <c r="K33" s="41"/>
      <c r="L33" s="148"/>
      <c r="M33" s="174"/>
      <c r="N33" s="175"/>
      <c r="O33" s="176"/>
      <c r="P33" s="148"/>
      <c r="Q33" s="31"/>
    </row>
    <row r="34" spans="1:17">
      <c r="A34" s="40"/>
      <c r="B34" s="139"/>
      <c r="C34" s="140"/>
      <c r="D34" s="593">
        <f t="shared" si="0"/>
        <v>21</v>
      </c>
      <c r="E34" s="160">
        <v>29369.16</v>
      </c>
      <c r="F34" s="161">
        <v>1.3499739328780787E-4</v>
      </c>
      <c r="G34" s="162">
        <v>1</v>
      </c>
      <c r="H34" s="102"/>
      <c r="I34" s="102"/>
      <c r="J34" s="34"/>
      <c r="K34" s="41"/>
      <c r="L34" s="148"/>
      <c r="M34" s="174"/>
      <c r="N34" s="175"/>
      <c r="O34" s="176"/>
      <c r="P34" s="148"/>
      <c r="Q34" s="31"/>
    </row>
    <row r="35" spans="1:17">
      <c r="A35" s="40"/>
      <c r="B35" s="139"/>
      <c r="C35" s="140"/>
      <c r="D35" s="593">
        <f t="shared" si="0"/>
        <v>22</v>
      </c>
      <c r="E35" s="160">
        <v>29103.06</v>
      </c>
      <c r="F35" s="161">
        <v>1.3377424606964141E-4</v>
      </c>
      <c r="G35" s="162">
        <v>1</v>
      </c>
      <c r="H35" s="102"/>
      <c r="I35" s="102"/>
      <c r="J35" s="34"/>
      <c r="K35" s="41"/>
      <c r="L35" s="148"/>
      <c r="M35" s="174"/>
      <c r="N35" s="175"/>
      <c r="O35" s="176"/>
      <c r="P35" s="148"/>
      <c r="Q35" s="31"/>
    </row>
    <row r="36" spans="1:17">
      <c r="A36" s="40"/>
      <c r="B36" s="139"/>
      <c r="C36" s="140"/>
      <c r="D36" s="593">
        <f t="shared" si="0"/>
        <v>23</v>
      </c>
      <c r="E36" s="160">
        <v>29064.19</v>
      </c>
      <c r="F36" s="161">
        <v>1.3359557740233539E-4</v>
      </c>
      <c r="G36" s="162">
        <v>1</v>
      </c>
      <c r="H36" s="102"/>
      <c r="I36" s="102"/>
      <c r="J36" s="34"/>
      <c r="K36" s="41"/>
      <c r="L36" s="148"/>
      <c r="M36" s="174"/>
      <c r="N36" s="175"/>
      <c r="O36" s="176"/>
      <c r="P36" s="148"/>
      <c r="Q36" s="31"/>
    </row>
    <row r="37" spans="1:17">
      <c r="A37" s="40"/>
      <c r="B37" s="139"/>
      <c r="C37" s="140"/>
      <c r="D37" s="593">
        <f t="shared" si="0"/>
        <v>24</v>
      </c>
      <c r="E37" s="160">
        <v>29033.02</v>
      </c>
      <c r="F37" s="161">
        <v>1.3345230232232694E-4</v>
      </c>
      <c r="G37" s="162">
        <v>1</v>
      </c>
      <c r="H37" s="102"/>
      <c r="I37" s="102"/>
      <c r="J37" s="34"/>
      <c r="K37" s="41"/>
      <c r="L37" s="148"/>
      <c r="M37" s="174"/>
      <c r="N37" s="175"/>
      <c r="O37" s="176"/>
      <c r="P37" s="148"/>
      <c r="Q37" s="31"/>
    </row>
    <row r="38" spans="1:17" ht="13.5" thickBot="1">
      <c r="A38" s="40"/>
      <c r="B38" s="139"/>
      <c r="C38" s="140"/>
      <c r="D38" s="594">
        <f t="shared" si="0"/>
        <v>25</v>
      </c>
      <c r="E38" s="163">
        <v>28549.67</v>
      </c>
      <c r="F38" s="164">
        <v>1.3123055031969349E-4</v>
      </c>
      <c r="G38" s="165">
        <v>1</v>
      </c>
      <c r="H38" s="102"/>
      <c r="I38" s="102"/>
      <c r="J38" s="34"/>
      <c r="K38" s="41"/>
      <c r="L38" s="148"/>
      <c r="M38" s="174"/>
      <c r="N38" s="175"/>
      <c r="O38" s="176"/>
      <c r="P38" s="148"/>
      <c r="Q38" s="31"/>
    </row>
    <row r="39" spans="1:17" ht="14.25" thickTop="1" thickBot="1">
      <c r="A39" s="40"/>
      <c r="B39" s="139"/>
      <c r="C39" s="140"/>
      <c r="D39" s="166"/>
      <c r="E39" s="330">
        <f>SUM(E14:E38)</f>
        <v>860097.79000000015</v>
      </c>
      <c r="F39" s="331">
        <f>SUM(F14:F38)</f>
        <v>3.9534995084164609E-3</v>
      </c>
      <c r="G39" s="476">
        <f>SUM(G14:G38)</f>
        <v>26</v>
      </c>
      <c r="H39" s="102"/>
      <c r="I39" s="102"/>
      <c r="J39" s="34"/>
      <c r="K39" s="41"/>
      <c r="L39" s="148"/>
      <c r="M39" s="177"/>
      <c r="N39" s="361"/>
      <c r="O39" s="380"/>
      <c r="P39" s="381"/>
      <c r="Q39" s="31"/>
    </row>
    <row r="40" spans="1:17">
      <c r="A40" s="40"/>
      <c r="B40" s="139"/>
      <c r="C40" s="140"/>
      <c r="D40" s="156"/>
      <c r="E40" s="157"/>
      <c r="F40" s="141"/>
      <c r="G40" s="158"/>
      <c r="H40" s="141"/>
      <c r="I40" s="102"/>
      <c r="J40" s="34"/>
      <c r="K40" s="41"/>
      <c r="M40" s="156"/>
      <c r="N40" s="157"/>
      <c r="O40" s="141"/>
      <c r="P40" s="158"/>
      <c r="Q40" s="141"/>
    </row>
    <row r="41" spans="1:17">
      <c r="A41" s="40"/>
      <c r="B41" s="139"/>
      <c r="C41" s="140"/>
      <c r="D41" s="156"/>
      <c r="E41" s="157"/>
      <c r="F41" s="141"/>
      <c r="G41" s="158"/>
      <c r="H41" s="141"/>
      <c r="I41" s="102"/>
      <c r="J41" s="34"/>
      <c r="K41" s="41"/>
      <c r="M41" s="156"/>
      <c r="N41" s="157"/>
      <c r="O41" s="141"/>
      <c r="P41" s="158"/>
      <c r="Q41" s="141"/>
    </row>
    <row r="42" spans="1:17">
      <c r="A42" s="40"/>
      <c r="B42" s="139"/>
      <c r="C42" s="140"/>
      <c r="D42" s="156"/>
      <c r="E42" s="157"/>
      <c r="F42" s="141"/>
      <c r="G42" s="158"/>
      <c r="H42" s="141"/>
      <c r="I42" s="102"/>
      <c r="J42" s="34"/>
      <c r="K42" s="41"/>
      <c r="M42" s="156"/>
      <c r="N42" s="157"/>
      <c r="O42" s="141"/>
      <c r="P42" s="158"/>
      <c r="Q42" s="141"/>
    </row>
    <row r="43" spans="1:17">
      <c r="A43" s="40"/>
      <c r="B43" s="139"/>
      <c r="C43" s="140"/>
      <c r="D43" s="156"/>
      <c r="E43" s="157"/>
      <c r="F43" s="141"/>
      <c r="G43" s="158"/>
      <c r="H43" s="141"/>
      <c r="I43" s="102"/>
      <c r="J43" s="34"/>
      <c r="K43" s="41"/>
      <c r="M43" s="156"/>
      <c r="N43" s="157"/>
      <c r="O43" s="141"/>
      <c r="P43" s="158"/>
      <c r="Q43" s="141"/>
    </row>
    <row r="44" spans="1:17">
      <c r="A44" s="40"/>
      <c r="B44" s="139"/>
      <c r="C44" s="140"/>
      <c r="D44" s="156"/>
      <c r="E44" s="157"/>
      <c r="F44" s="141"/>
      <c r="G44" s="158"/>
      <c r="H44" s="141"/>
      <c r="I44" s="102"/>
      <c r="J44" s="34"/>
      <c r="K44" s="41"/>
      <c r="M44" s="156"/>
      <c r="N44" s="157"/>
      <c r="O44" s="141"/>
      <c r="P44" s="158"/>
      <c r="Q44" s="141"/>
    </row>
    <row r="45" spans="1:17">
      <c r="A45" s="40"/>
      <c r="B45" s="139"/>
      <c r="C45" s="140"/>
      <c r="D45" s="156"/>
      <c r="E45" s="157"/>
      <c r="F45" s="141"/>
      <c r="G45" s="158"/>
      <c r="H45" s="141"/>
      <c r="I45" s="102"/>
      <c r="J45" s="34"/>
      <c r="K45" s="41"/>
      <c r="M45" s="156"/>
      <c r="N45" s="157"/>
      <c r="O45" s="141"/>
      <c r="P45" s="158"/>
      <c r="Q45" s="141"/>
    </row>
    <row r="46" spans="1:17">
      <c r="A46" s="40"/>
      <c r="B46" s="139"/>
      <c r="C46" s="140"/>
      <c r="D46" s="156"/>
      <c r="E46" s="157"/>
      <c r="F46" s="141"/>
      <c r="G46" s="158"/>
      <c r="H46" s="141"/>
      <c r="I46" s="102"/>
      <c r="J46" s="34"/>
      <c r="K46" s="41"/>
      <c r="M46" s="156"/>
      <c r="N46" s="157"/>
      <c r="O46" s="141"/>
      <c r="P46" s="158"/>
      <c r="Q46" s="141"/>
    </row>
    <row r="47" spans="1:17">
      <c r="A47" s="60"/>
      <c r="B47" s="167"/>
      <c r="C47" s="168"/>
      <c r="D47" s="169"/>
      <c r="E47" s="170"/>
      <c r="F47" s="171"/>
      <c r="G47" s="172"/>
      <c r="H47" s="171"/>
      <c r="I47" s="126"/>
      <c r="J47" s="61"/>
      <c r="K47" s="79"/>
      <c r="M47" s="156"/>
      <c r="N47" s="157"/>
      <c r="O47" s="141"/>
      <c r="P47" s="158"/>
      <c r="Q47" s="141"/>
    </row>
    <row r="48" spans="1:17">
      <c r="A48" s="36"/>
      <c r="B48" s="139"/>
      <c r="C48" s="140"/>
      <c r="D48" s="156"/>
      <c r="E48" s="157"/>
      <c r="F48" s="141"/>
      <c r="G48" s="158"/>
      <c r="H48" s="141"/>
      <c r="I48" s="102"/>
      <c r="J48" s="34"/>
      <c r="K48" s="34"/>
      <c r="L48" s="34"/>
      <c r="M48" s="156"/>
      <c r="N48" s="157"/>
      <c r="O48" s="141"/>
      <c r="P48" s="158"/>
      <c r="Q48" s="141"/>
    </row>
    <row r="49" spans="2:17" s="34" customFormat="1">
      <c r="B49" s="139"/>
      <c r="C49" s="140"/>
      <c r="D49" s="156"/>
      <c r="E49" s="157"/>
      <c r="F49" s="141"/>
      <c r="G49" s="158"/>
      <c r="H49" s="141"/>
      <c r="I49" s="102"/>
      <c r="M49" s="156"/>
      <c r="N49" s="157"/>
      <c r="O49" s="141"/>
      <c r="P49" s="158"/>
      <c r="Q49" s="141"/>
    </row>
    <row r="50" spans="2:17" s="34" customFormat="1">
      <c r="B50" s="139"/>
      <c r="C50" s="140"/>
      <c r="D50" s="156"/>
      <c r="E50" s="157"/>
      <c r="F50" s="141"/>
      <c r="G50" s="158"/>
      <c r="H50" s="141"/>
      <c r="I50" s="102"/>
      <c r="M50" s="156"/>
      <c r="N50" s="157"/>
      <c r="O50" s="141"/>
      <c r="P50" s="158"/>
      <c r="Q50" s="141"/>
    </row>
    <row r="51" spans="2:17" s="4" customFormat="1" ht="15" customHeight="1">
      <c r="B51" s="139"/>
      <c r="C51" s="140"/>
      <c r="D51" s="156"/>
      <c r="E51" s="157"/>
      <c r="F51" s="141"/>
      <c r="G51" s="158"/>
      <c r="H51" s="141"/>
      <c r="I51" s="18"/>
      <c r="M51" s="156"/>
      <c r="N51" s="157"/>
      <c r="O51" s="141"/>
      <c r="P51" s="158"/>
      <c r="Q51" s="141"/>
    </row>
    <row r="52" spans="2:17" s="4" customFormat="1">
      <c r="B52" s="139"/>
      <c r="C52" s="140"/>
      <c r="D52" s="156"/>
      <c r="E52" s="157"/>
      <c r="F52" s="141"/>
      <c r="G52" s="158"/>
      <c r="H52" s="141"/>
      <c r="I52" s="18"/>
      <c r="M52" s="156"/>
      <c r="N52" s="157"/>
      <c r="O52" s="141"/>
      <c r="P52" s="158"/>
      <c r="Q52" s="141"/>
    </row>
    <row r="53" spans="2:17" s="34" customFormat="1">
      <c r="B53" s="139"/>
      <c r="C53" s="140"/>
      <c r="D53" s="156"/>
      <c r="E53" s="157"/>
      <c r="F53" s="141"/>
      <c r="G53" s="158"/>
      <c r="H53" s="141"/>
      <c r="I53" s="102"/>
      <c r="M53" s="156"/>
      <c r="N53" s="157"/>
      <c r="O53" s="141"/>
      <c r="P53" s="158"/>
      <c r="Q53" s="141"/>
    </row>
    <row r="54" spans="2:17" s="34" customFormat="1">
      <c r="B54" s="139"/>
      <c r="C54" s="140"/>
      <c r="D54" s="156"/>
      <c r="E54" s="157"/>
      <c r="F54" s="141"/>
      <c r="G54" s="158"/>
      <c r="H54" s="141"/>
      <c r="I54" s="102"/>
      <c r="M54" s="156"/>
      <c r="N54" s="157"/>
      <c r="O54" s="141"/>
      <c r="P54" s="158"/>
      <c r="Q54" s="141"/>
    </row>
    <row r="55" spans="2:17" s="34" customFormat="1">
      <c r="B55" s="139"/>
      <c r="C55" s="140"/>
      <c r="D55" s="156"/>
      <c r="E55" s="157"/>
      <c r="F55" s="141"/>
      <c r="G55" s="158"/>
      <c r="H55" s="141"/>
      <c r="I55" s="102"/>
      <c r="M55" s="156"/>
      <c r="N55" s="157"/>
      <c r="O55" s="141"/>
      <c r="P55" s="158"/>
      <c r="Q55" s="141"/>
    </row>
    <row r="56" spans="2:17" s="34" customFormat="1">
      <c r="B56" s="139"/>
      <c r="C56" s="140"/>
      <c r="D56" s="156"/>
      <c r="E56" s="157"/>
      <c r="F56" s="141"/>
      <c r="G56" s="158"/>
      <c r="H56" s="141"/>
      <c r="I56" s="102"/>
      <c r="M56" s="156"/>
      <c r="N56" s="157"/>
      <c r="O56" s="141"/>
      <c r="P56" s="158"/>
      <c r="Q56" s="141"/>
    </row>
    <row r="57" spans="2:17" s="34" customFormat="1">
      <c r="B57" s="139"/>
      <c r="C57" s="140"/>
      <c r="D57" s="156"/>
      <c r="E57" s="157"/>
      <c r="F57" s="141"/>
      <c r="G57" s="158"/>
      <c r="H57" s="141"/>
      <c r="I57" s="102"/>
      <c r="M57" s="156"/>
      <c r="N57" s="157"/>
      <c r="O57" s="141"/>
      <c r="P57" s="158"/>
      <c r="Q57" s="141"/>
    </row>
    <row r="58" spans="2:17" s="34" customFormat="1">
      <c r="B58" s="139"/>
      <c r="C58" s="140"/>
      <c r="D58" s="156"/>
      <c r="E58" s="157"/>
      <c r="F58" s="141"/>
      <c r="G58" s="158"/>
      <c r="H58" s="141"/>
      <c r="I58" s="102"/>
      <c r="M58" s="156"/>
      <c r="N58" s="157"/>
      <c r="O58" s="141"/>
      <c r="P58" s="158"/>
      <c r="Q58" s="141"/>
    </row>
    <row r="59" spans="2:17" s="34" customFormat="1">
      <c r="B59" s="139"/>
      <c r="C59" s="140"/>
      <c r="D59" s="156"/>
      <c r="E59" s="157"/>
      <c r="F59" s="141"/>
      <c r="G59" s="158"/>
      <c r="H59" s="141"/>
      <c r="I59" s="102"/>
      <c r="M59" s="156"/>
      <c r="N59" s="157"/>
      <c r="O59" s="141"/>
      <c r="P59" s="158"/>
      <c r="Q59" s="141"/>
    </row>
    <row r="60" spans="2:17" s="34" customFormat="1">
      <c r="B60" s="139"/>
      <c r="C60" s="140"/>
      <c r="D60" s="156"/>
      <c r="E60" s="157"/>
      <c r="F60" s="141"/>
      <c r="G60" s="158"/>
      <c r="H60" s="141"/>
      <c r="I60" s="102"/>
      <c r="M60" s="156"/>
      <c r="N60" s="157"/>
      <c r="O60" s="141"/>
      <c r="P60" s="158"/>
      <c r="Q60" s="141"/>
    </row>
    <row r="61" spans="2:17" s="34" customFormat="1">
      <c r="B61" s="139"/>
      <c r="C61" s="140"/>
      <c r="D61" s="156"/>
      <c r="E61" s="157"/>
      <c r="F61" s="141"/>
      <c r="G61" s="158"/>
      <c r="H61" s="141"/>
      <c r="I61" s="102"/>
      <c r="M61" s="156"/>
      <c r="N61" s="157"/>
      <c r="O61" s="141"/>
      <c r="P61" s="158"/>
      <c r="Q61" s="141"/>
    </row>
    <row r="62" spans="2:17" s="34" customFormat="1">
      <c r="B62" s="139"/>
      <c r="C62" s="140"/>
      <c r="D62" s="156"/>
      <c r="E62" s="157"/>
      <c r="F62" s="141"/>
      <c r="G62" s="158"/>
      <c r="H62" s="141"/>
      <c r="I62" s="102"/>
      <c r="M62" s="156"/>
      <c r="N62" s="157"/>
      <c r="O62" s="141"/>
      <c r="P62" s="158"/>
      <c r="Q62" s="141"/>
    </row>
    <row r="63" spans="2:17" s="34" customFormat="1">
      <c r="B63" s="139"/>
      <c r="C63" s="140"/>
      <c r="D63" s="156"/>
      <c r="E63" s="157"/>
      <c r="F63" s="141"/>
      <c r="G63" s="158"/>
      <c r="H63" s="141"/>
      <c r="I63" s="102"/>
      <c r="M63" s="156"/>
      <c r="N63" s="157"/>
      <c r="O63" s="141"/>
      <c r="P63" s="158"/>
      <c r="Q63" s="141"/>
    </row>
    <row r="64" spans="2:17" s="34" customFormat="1">
      <c r="B64" s="139"/>
      <c r="C64" s="140"/>
      <c r="D64" s="156"/>
      <c r="E64" s="157"/>
      <c r="F64" s="141"/>
      <c r="G64" s="158"/>
      <c r="H64" s="141"/>
      <c r="I64" s="102"/>
      <c r="M64" s="156"/>
      <c r="N64" s="157"/>
      <c r="O64" s="141"/>
      <c r="P64" s="158"/>
      <c r="Q64" s="141"/>
    </row>
    <row r="65" spans="2:17" s="34" customFormat="1">
      <c r="B65" s="139"/>
      <c r="C65" s="140"/>
      <c r="D65" s="156"/>
      <c r="E65" s="157"/>
      <c r="F65" s="141"/>
      <c r="G65" s="158"/>
      <c r="H65" s="141"/>
      <c r="I65" s="102"/>
      <c r="M65" s="156"/>
      <c r="N65" s="157"/>
      <c r="O65" s="141"/>
      <c r="P65" s="158"/>
      <c r="Q65" s="141"/>
    </row>
    <row r="66" spans="2:17" s="34" customFormat="1">
      <c r="B66" s="139"/>
      <c r="C66" s="140"/>
      <c r="D66" s="156"/>
      <c r="E66" s="157"/>
      <c r="F66" s="141"/>
      <c r="G66" s="158"/>
      <c r="H66" s="141"/>
      <c r="I66" s="102"/>
      <c r="M66" s="156"/>
      <c r="N66" s="157"/>
      <c r="O66" s="141"/>
      <c r="P66" s="158"/>
      <c r="Q66" s="141"/>
    </row>
    <row r="67" spans="2:17" s="34" customFormat="1">
      <c r="B67" s="139"/>
      <c r="C67" s="140"/>
      <c r="D67" s="156"/>
      <c r="E67" s="157"/>
      <c r="F67" s="141"/>
      <c r="G67" s="158"/>
      <c r="H67" s="141"/>
      <c r="I67" s="102"/>
      <c r="M67" s="156"/>
      <c r="N67" s="157"/>
      <c r="O67" s="141"/>
      <c r="P67" s="158"/>
      <c r="Q67" s="141"/>
    </row>
    <row r="68" spans="2:17" s="34" customFormat="1">
      <c r="B68" s="139"/>
      <c r="C68" s="140"/>
      <c r="D68" s="156"/>
      <c r="E68" s="157"/>
      <c r="F68" s="141"/>
      <c r="G68" s="158"/>
      <c r="H68" s="141"/>
      <c r="I68" s="102"/>
      <c r="M68" s="156"/>
      <c r="N68" s="157"/>
      <c r="O68" s="141"/>
      <c r="P68" s="158"/>
      <c r="Q68" s="141"/>
    </row>
    <row r="69" spans="2:17" s="34" customFormat="1">
      <c r="B69" s="139"/>
      <c r="C69" s="140"/>
      <c r="D69" s="156"/>
      <c r="E69" s="157"/>
      <c r="F69" s="141"/>
      <c r="G69" s="158"/>
      <c r="H69" s="141"/>
      <c r="I69" s="102"/>
      <c r="M69" s="156"/>
      <c r="N69" s="157"/>
      <c r="O69" s="141"/>
      <c r="P69" s="158"/>
      <c r="Q69" s="141"/>
    </row>
    <row r="70" spans="2:17" s="34" customFormat="1">
      <c r="B70" s="139"/>
      <c r="C70" s="140"/>
      <c r="D70" s="156"/>
      <c r="E70" s="157"/>
      <c r="F70" s="141"/>
      <c r="G70" s="158"/>
      <c r="H70" s="141"/>
      <c r="I70" s="102"/>
      <c r="M70" s="156"/>
      <c r="N70" s="157"/>
      <c r="O70" s="141"/>
      <c r="P70" s="158"/>
      <c r="Q70" s="141"/>
    </row>
    <row r="71" spans="2:17" s="34" customFormat="1">
      <c r="B71" s="139"/>
      <c r="C71" s="140"/>
      <c r="D71" s="156"/>
      <c r="E71" s="157"/>
      <c r="F71" s="141"/>
      <c r="G71" s="158"/>
      <c r="H71" s="141"/>
      <c r="I71" s="102"/>
      <c r="M71" s="156"/>
      <c r="N71" s="157"/>
      <c r="O71" s="141"/>
      <c r="P71" s="158"/>
      <c r="Q71" s="141"/>
    </row>
    <row r="72" spans="2:17" s="34" customFormat="1">
      <c r="B72" s="139"/>
      <c r="C72" s="140"/>
      <c r="D72" s="156"/>
      <c r="E72" s="157"/>
      <c r="F72" s="141"/>
      <c r="G72" s="158"/>
      <c r="H72" s="141"/>
      <c r="I72" s="102"/>
      <c r="M72" s="156"/>
      <c r="N72" s="157"/>
      <c r="O72" s="141"/>
      <c r="P72" s="158"/>
      <c r="Q72" s="141"/>
    </row>
    <row r="73" spans="2:17" s="34" customFormat="1">
      <c r="B73" s="139"/>
      <c r="C73" s="140"/>
      <c r="D73" s="156"/>
      <c r="E73" s="157"/>
      <c r="F73" s="141"/>
      <c r="G73" s="158"/>
      <c r="H73" s="141"/>
      <c r="I73" s="102"/>
      <c r="M73" s="156"/>
      <c r="N73" s="157"/>
      <c r="O73" s="141"/>
      <c r="P73" s="158"/>
      <c r="Q73" s="141"/>
    </row>
    <row r="74" spans="2:17" s="34" customFormat="1">
      <c r="B74" s="139"/>
      <c r="C74" s="140"/>
      <c r="D74" s="156"/>
      <c r="E74" s="157"/>
      <c r="F74" s="141"/>
      <c r="G74" s="158"/>
      <c r="H74" s="141"/>
      <c r="I74" s="102"/>
      <c r="M74" s="156"/>
      <c r="N74" s="157"/>
      <c r="O74" s="141"/>
      <c r="P74" s="158"/>
      <c r="Q74" s="141"/>
    </row>
    <row r="75" spans="2:17" s="34" customFormat="1">
      <c r="B75" s="139"/>
      <c r="C75" s="140"/>
      <c r="D75" s="156"/>
      <c r="E75" s="157"/>
      <c r="F75" s="141"/>
      <c r="G75" s="158"/>
      <c r="H75" s="141"/>
      <c r="I75" s="102"/>
      <c r="M75" s="156"/>
      <c r="N75" s="157"/>
      <c r="O75" s="141"/>
      <c r="P75" s="158"/>
      <c r="Q75" s="141"/>
    </row>
    <row r="76" spans="2:17" s="34" customFormat="1">
      <c r="B76" s="139"/>
      <c r="C76" s="140"/>
      <c r="D76" s="156"/>
      <c r="E76" s="157"/>
      <c r="F76" s="141"/>
      <c r="G76" s="158"/>
      <c r="H76" s="141"/>
      <c r="I76" s="102"/>
      <c r="M76" s="156"/>
      <c r="N76" s="157"/>
      <c r="O76" s="141"/>
      <c r="P76" s="158"/>
      <c r="Q76" s="141"/>
    </row>
    <row r="77" spans="2:17" s="34" customFormat="1">
      <c r="B77" s="139"/>
      <c r="C77" s="140"/>
      <c r="D77" s="156"/>
      <c r="E77" s="157"/>
      <c r="F77" s="141"/>
      <c r="G77" s="158"/>
      <c r="H77" s="141"/>
      <c r="I77" s="102"/>
      <c r="M77" s="156"/>
      <c r="N77" s="157"/>
      <c r="O77" s="141"/>
      <c r="P77" s="158"/>
      <c r="Q77" s="141"/>
    </row>
    <row r="78" spans="2:17" s="34" customFormat="1">
      <c r="B78" s="139"/>
      <c r="C78" s="140"/>
      <c r="D78" s="156"/>
      <c r="E78" s="157"/>
      <c r="F78" s="141"/>
      <c r="G78" s="158"/>
      <c r="H78" s="141"/>
      <c r="I78" s="102"/>
      <c r="M78" s="156"/>
      <c r="N78" s="157"/>
      <c r="O78" s="141"/>
      <c r="P78" s="158"/>
      <c r="Q78" s="141"/>
    </row>
    <row r="79" spans="2:17" s="34" customFormat="1">
      <c r="B79" s="139"/>
      <c r="C79" s="140"/>
      <c r="D79" s="156"/>
      <c r="E79" s="157"/>
      <c r="F79" s="141"/>
      <c r="G79" s="158"/>
      <c r="H79" s="141"/>
      <c r="I79" s="102"/>
      <c r="M79" s="156"/>
      <c r="N79" s="157"/>
      <c r="O79" s="141"/>
      <c r="P79" s="158"/>
      <c r="Q79" s="141"/>
    </row>
    <row r="80" spans="2:17" s="34" customFormat="1">
      <c r="B80" s="139"/>
      <c r="C80" s="140"/>
      <c r="D80" s="156"/>
      <c r="E80" s="157"/>
      <c r="F80" s="141"/>
      <c r="G80" s="158"/>
      <c r="H80" s="141"/>
      <c r="I80" s="102"/>
      <c r="M80" s="156"/>
      <c r="N80" s="157"/>
      <c r="O80" s="141"/>
      <c r="P80" s="158"/>
      <c r="Q80" s="141"/>
    </row>
    <row r="81" spans="2:17" s="34" customFormat="1">
      <c r="B81" s="139"/>
      <c r="C81" s="140"/>
      <c r="D81" s="142"/>
      <c r="E81" s="134"/>
      <c r="F81" s="143"/>
      <c r="G81" s="144"/>
      <c r="H81" s="143"/>
      <c r="I81" s="102"/>
      <c r="M81" s="142"/>
      <c r="N81" s="134"/>
      <c r="O81" s="143"/>
      <c r="P81" s="144"/>
      <c r="Q81" s="143"/>
    </row>
    <row r="82" spans="2:17" s="34" customFormat="1">
      <c r="B82" s="139"/>
      <c r="C82" s="140"/>
      <c r="D82" s="142"/>
      <c r="E82" s="142"/>
      <c r="F82" s="142"/>
      <c r="G82" s="142"/>
      <c r="H82" s="142"/>
      <c r="I82" s="102"/>
      <c r="M82" s="142"/>
      <c r="N82" s="142"/>
      <c r="O82" s="142"/>
      <c r="P82" s="142"/>
      <c r="Q82" s="142"/>
    </row>
    <row r="83" spans="2:17" s="34" customFormat="1">
      <c r="B83" s="139"/>
      <c r="C83" s="140"/>
      <c r="D83" s="142"/>
      <c r="E83" s="142"/>
      <c r="F83" s="142"/>
      <c r="G83" s="142"/>
      <c r="H83" s="142"/>
      <c r="I83" s="102"/>
      <c r="M83" s="142"/>
      <c r="N83" s="142"/>
      <c r="O83" s="142"/>
      <c r="P83" s="142"/>
      <c r="Q83" s="142"/>
    </row>
    <row r="84" spans="2:17" s="34" customFormat="1">
      <c r="B84" s="139"/>
      <c r="C84" s="140"/>
      <c r="D84" s="145"/>
      <c r="E84" s="146"/>
      <c r="F84" s="142"/>
      <c r="G84" s="142"/>
      <c r="H84" s="142"/>
      <c r="I84" s="102"/>
      <c r="M84" s="145"/>
      <c r="N84" s="146"/>
      <c r="O84" s="142"/>
      <c r="P84" s="142"/>
      <c r="Q84" s="142"/>
    </row>
    <row r="85" spans="2:17" s="34" customFormat="1">
      <c r="B85" s="139"/>
      <c r="C85" s="140"/>
      <c r="D85" s="134"/>
      <c r="E85" s="146"/>
      <c r="F85" s="142"/>
      <c r="G85" s="142"/>
      <c r="H85" s="142"/>
      <c r="I85" s="102"/>
      <c r="M85" s="134"/>
      <c r="N85" s="146"/>
      <c r="O85" s="142"/>
      <c r="P85" s="142"/>
      <c r="Q85" s="142"/>
    </row>
    <row r="86" spans="2:17" s="34" customFormat="1">
      <c r="B86" s="139"/>
      <c r="C86" s="140"/>
      <c r="D86" s="142"/>
      <c r="E86" s="146"/>
      <c r="F86" s="142"/>
      <c r="G86" s="142"/>
      <c r="H86" s="142"/>
      <c r="I86" s="102"/>
      <c r="M86" s="142"/>
      <c r="N86" s="146"/>
      <c r="O86" s="142"/>
      <c r="P86" s="142"/>
      <c r="Q86" s="142"/>
    </row>
    <row r="87" spans="2:17" s="34" customFormat="1" ht="14.25">
      <c r="B87" s="142"/>
      <c r="C87" s="134"/>
      <c r="D87" s="150"/>
      <c r="E87" s="150"/>
      <c r="F87" s="150"/>
      <c r="G87" s="150"/>
      <c r="H87" s="150"/>
      <c r="I87" s="102"/>
      <c r="M87" s="150"/>
      <c r="N87" s="150"/>
      <c r="O87" s="150"/>
      <c r="P87" s="150"/>
      <c r="Q87" s="150"/>
    </row>
    <row r="88" spans="2:17" s="34" customFormat="1" ht="14.25">
      <c r="B88" s="173"/>
      <c r="C88" s="173"/>
      <c r="D88" s="150"/>
      <c r="E88" s="150"/>
      <c r="F88" s="150"/>
      <c r="G88" s="150"/>
      <c r="H88" s="150"/>
      <c r="I88" s="102"/>
      <c r="M88" s="150"/>
      <c r="N88" s="150"/>
      <c r="O88" s="150"/>
      <c r="P88" s="150"/>
      <c r="Q88" s="150"/>
    </row>
    <row r="89" spans="2:17" s="34" customFormat="1" ht="14.25">
      <c r="B89" s="173"/>
      <c r="C89" s="173"/>
      <c r="D89" s="151"/>
      <c r="E89" s="152"/>
      <c r="F89" s="150"/>
      <c r="G89" s="150"/>
      <c r="H89" s="150"/>
      <c r="I89" s="102"/>
      <c r="M89" s="151"/>
      <c r="N89" s="152"/>
      <c r="O89" s="150"/>
      <c r="P89" s="150"/>
      <c r="Q89" s="150"/>
    </row>
    <row r="90" spans="2:17" s="34" customFormat="1" ht="14.25">
      <c r="B90" s="145"/>
      <c r="C90" s="146"/>
      <c r="D90" s="153"/>
      <c r="E90" s="152"/>
      <c r="F90" s="150"/>
      <c r="G90" s="150"/>
      <c r="H90" s="150"/>
      <c r="I90" s="102"/>
      <c r="M90" s="153"/>
      <c r="N90" s="152"/>
      <c r="O90" s="150"/>
      <c r="P90" s="150"/>
      <c r="Q90" s="150"/>
    </row>
    <row r="91" spans="2:17" s="34" customFormat="1" ht="14.25">
      <c r="B91" s="147"/>
      <c r="C91" s="146"/>
      <c r="D91" s="150"/>
      <c r="E91" s="152"/>
      <c r="F91" s="150"/>
      <c r="G91" s="150"/>
      <c r="H91" s="150"/>
      <c r="I91" s="102"/>
      <c r="M91" s="150"/>
      <c r="N91" s="152"/>
      <c r="O91" s="150"/>
      <c r="P91" s="150"/>
      <c r="Q91" s="150"/>
    </row>
    <row r="92" spans="2:17" s="34" customFormat="1">
      <c r="B92" s="148"/>
      <c r="C92" s="146"/>
      <c r="D92" s="148"/>
      <c r="E92" s="148"/>
      <c r="F92" s="148"/>
      <c r="I92" s="102"/>
      <c r="M92" s="148"/>
      <c r="N92" s="148"/>
      <c r="O92" s="148"/>
    </row>
    <row r="93" spans="2:17" s="34" customFormat="1">
      <c r="I93" s="102"/>
    </row>
    <row r="94" spans="2:17" s="34" customFormat="1">
      <c r="I94" s="102"/>
    </row>
    <row r="95" spans="2:17" s="34" customFormat="1">
      <c r="I95" s="102"/>
    </row>
    <row r="96" spans="2:17" s="34" customFormat="1">
      <c r="I96" s="102"/>
    </row>
    <row r="97" spans="9:9" s="34" customFormat="1">
      <c r="I97" s="102"/>
    </row>
    <row r="98" spans="9:9" s="34" customFormat="1">
      <c r="I98" s="102"/>
    </row>
    <row r="99" spans="9:9" s="34" customFormat="1">
      <c r="I99" s="102"/>
    </row>
    <row r="100" spans="9:9" s="34" customFormat="1">
      <c r="I100" s="102"/>
    </row>
    <row r="101" spans="9:9" s="34" customFormat="1">
      <c r="I101" s="102"/>
    </row>
    <row r="102" spans="9:9" s="34" customFormat="1">
      <c r="I102" s="102"/>
    </row>
    <row r="103" spans="9:9" s="34" customFormat="1">
      <c r="I103" s="102"/>
    </row>
    <row r="104" spans="9:9" s="34" customFormat="1">
      <c r="I104" s="102"/>
    </row>
    <row r="105" spans="9:9" s="34" customFormat="1">
      <c r="I105" s="102"/>
    </row>
    <row r="106" spans="9:9" s="34" customFormat="1">
      <c r="I106" s="102"/>
    </row>
    <row r="107" spans="9:9" s="34" customFormat="1">
      <c r="I107" s="102"/>
    </row>
    <row r="108" spans="9:9" s="34" customFormat="1">
      <c r="I108" s="102"/>
    </row>
    <row r="109" spans="9:9" s="34" customFormat="1">
      <c r="I109" s="102"/>
    </row>
    <row r="110" spans="9:9" s="34" customFormat="1">
      <c r="I110" s="102"/>
    </row>
    <row r="111" spans="9:9" s="34" customFormat="1">
      <c r="I111" s="102"/>
    </row>
    <row r="112" spans="9:9" s="34" customFormat="1">
      <c r="I112" s="102"/>
    </row>
    <row r="113" spans="9:9" s="34" customFormat="1">
      <c r="I113" s="102"/>
    </row>
    <row r="114" spans="9:9" s="34" customFormat="1">
      <c r="I114" s="102"/>
    </row>
    <row r="115" spans="9:9" s="34" customFormat="1">
      <c r="I115" s="102"/>
    </row>
    <row r="116" spans="9:9" s="34" customFormat="1">
      <c r="I116" s="102"/>
    </row>
    <row r="117" spans="9:9" s="34" customFormat="1">
      <c r="I117" s="102"/>
    </row>
    <row r="118" spans="9:9" s="34" customFormat="1">
      <c r="I118" s="102"/>
    </row>
    <row r="119" spans="9:9" s="34" customFormat="1">
      <c r="I119" s="102"/>
    </row>
    <row r="120" spans="9:9" s="34" customFormat="1">
      <c r="I120" s="102"/>
    </row>
    <row r="121" spans="9:9" s="34" customFormat="1">
      <c r="I121" s="102"/>
    </row>
    <row r="122" spans="9:9" s="34" customFormat="1">
      <c r="I122" s="102"/>
    </row>
    <row r="123" spans="9:9" s="34" customFormat="1">
      <c r="I123" s="102"/>
    </row>
    <row r="124" spans="9:9" s="34" customFormat="1">
      <c r="I124" s="102"/>
    </row>
    <row r="125" spans="9:9" s="34" customFormat="1">
      <c r="I125" s="102"/>
    </row>
    <row r="126" spans="9:9" s="34" customFormat="1">
      <c r="I126" s="102"/>
    </row>
    <row r="127" spans="9:9" s="34" customFormat="1">
      <c r="I127" s="102"/>
    </row>
    <row r="128" spans="9:9" s="34" customFormat="1">
      <c r="I128" s="102"/>
    </row>
    <row r="129" spans="9:9" s="34" customFormat="1">
      <c r="I129" s="102"/>
    </row>
    <row r="130" spans="9:9" s="34" customFormat="1">
      <c r="I130" s="102"/>
    </row>
    <row r="131" spans="9:9" s="34" customFormat="1">
      <c r="I131" s="102"/>
    </row>
    <row r="132" spans="9:9" s="34" customFormat="1">
      <c r="I132" s="102"/>
    </row>
    <row r="133" spans="9:9" s="34" customFormat="1">
      <c r="I133" s="102"/>
    </row>
    <row r="134" spans="9:9" s="34" customFormat="1">
      <c r="I134" s="102"/>
    </row>
    <row r="135" spans="9:9" s="34" customFormat="1">
      <c r="I135" s="102"/>
    </row>
    <row r="136" spans="9:9" s="34" customFormat="1">
      <c r="I136" s="102"/>
    </row>
    <row r="137" spans="9:9" s="34" customFormat="1">
      <c r="I137" s="102"/>
    </row>
    <row r="138" spans="9:9" s="34" customFormat="1">
      <c r="I138" s="102"/>
    </row>
    <row r="139" spans="9:9" s="34" customFormat="1">
      <c r="I139" s="102"/>
    </row>
    <row r="140" spans="9:9" s="34" customFormat="1">
      <c r="I140" s="102"/>
    </row>
    <row r="141" spans="9:9" s="34" customFormat="1">
      <c r="I141" s="102"/>
    </row>
    <row r="142" spans="9:9" s="34" customFormat="1">
      <c r="I142" s="102"/>
    </row>
    <row r="143" spans="9:9" s="34" customFormat="1">
      <c r="I143" s="102"/>
    </row>
    <row r="144" spans="9:9" s="34" customFormat="1">
      <c r="I144" s="102"/>
    </row>
    <row r="145" spans="9:9" s="34" customFormat="1">
      <c r="I145" s="102"/>
    </row>
    <row r="146" spans="9:9" s="34" customFormat="1">
      <c r="I146" s="102"/>
    </row>
    <row r="147" spans="9:9" s="34" customFormat="1">
      <c r="I147" s="102"/>
    </row>
    <row r="148" spans="9:9" s="34" customFormat="1">
      <c r="I148" s="102"/>
    </row>
    <row r="149" spans="9:9" s="34" customFormat="1">
      <c r="I149" s="102"/>
    </row>
    <row r="150" spans="9:9" s="34" customFormat="1">
      <c r="I150" s="102"/>
    </row>
    <row r="151" spans="9:9" s="34" customFormat="1">
      <c r="I151" s="102"/>
    </row>
    <row r="152" spans="9:9" s="34" customFormat="1">
      <c r="I152" s="102"/>
    </row>
    <row r="153" spans="9:9" s="34" customFormat="1">
      <c r="I153" s="102"/>
    </row>
    <row r="154" spans="9:9" s="34" customFormat="1">
      <c r="I154" s="102"/>
    </row>
    <row r="155" spans="9:9" s="34" customFormat="1">
      <c r="I155" s="102"/>
    </row>
    <row r="156" spans="9:9" s="34" customFormat="1">
      <c r="I156" s="102"/>
    </row>
    <row r="157" spans="9:9" s="34" customFormat="1">
      <c r="I157" s="102"/>
    </row>
    <row r="158" spans="9:9" s="34" customFormat="1">
      <c r="I158" s="102"/>
    </row>
    <row r="159" spans="9:9" s="34" customFormat="1">
      <c r="I159" s="102"/>
    </row>
    <row r="160" spans="9:9" s="34" customFormat="1">
      <c r="I160" s="102"/>
    </row>
    <row r="161" spans="9:9" s="34" customFormat="1">
      <c r="I161" s="102"/>
    </row>
    <row r="162" spans="9:9" s="34" customFormat="1">
      <c r="I162" s="102"/>
    </row>
    <row r="163" spans="9:9" s="34" customFormat="1">
      <c r="I163" s="102"/>
    </row>
    <row r="164" spans="9:9" s="34" customFormat="1">
      <c r="I164" s="102"/>
    </row>
    <row r="165" spans="9:9" s="34" customFormat="1">
      <c r="I165" s="102"/>
    </row>
    <row r="166" spans="9:9" s="34" customFormat="1">
      <c r="I166" s="102"/>
    </row>
    <row r="167" spans="9:9" s="34" customFormat="1">
      <c r="I167" s="102"/>
    </row>
    <row r="168" spans="9:9" s="34" customFormat="1">
      <c r="I168" s="102"/>
    </row>
    <row r="169" spans="9:9" s="34" customFormat="1">
      <c r="I169" s="102"/>
    </row>
    <row r="170" spans="9:9" s="34" customFormat="1">
      <c r="I170" s="102"/>
    </row>
    <row r="171" spans="9:9" s="34" customFormat="1">
      <c r="I171" s="102"/>
    </row>
    <row r="172" spans="9:9" s="34" customFormat="1">
      <c r="I172" s="102"/>
    </row>
    <row r="173" spans="9:9" s="34" customFormat="1">
      <c r="I173" s="102"/>
    </row>
    <row r="174" spans="9:9" s="34" customFormat="1">
      <c r="I174" s="102"/>
    </row>
    <row r="175" spans="9:9" s="34" customFormat="1">
      <c r="I175" s="102"/>
    </row>
    <row r="176" spans="9:9" s="34" customFormat="1">
      <c r="I176" s="102"/>
    </row>
    <row r="177" spans="9:9" s="34" customFormat="1">
      <c r="I177" s="102"/>
    </row>
    <row r="178" spans="9:9" s="34" customFormat="1">
      <c r="I178" s="102"/>
    </row>
    <row r="179" spans="9:9" s="34" customFormat="1">
      <c r="I179" s="102"/>
    </row>
    <row r="180" spans="9:9" s="34" customFormat="1">
      <c r="I180" s="102"/>
    </row>
    <row r="181" spans="9:9" s="34" customFormat="1">
      <c r="I181" s="102"/>
    </row>
    <row r="182" spans="9:9" s="34" customFormat="1">
      <c r="I182" s="102"/>
    </row>
    <row r="183" spans="9:9" s="34" customFormat="1">
      <c r="I183" s="102"/>
    </row>
    <row r="184" spans="9:9" s="34" customFormat="1">
      <c r="I184" s="102"/>
    </row>
    <row r="185" spans="9:9" s="34" customFormat="1">
      <c r="I185" s="102"/>
    </row>
    <row r="186" spans="9:9" s="34" customFormat="1">
      <c r="I186" s="102"/>
    </row>
    <row r="187" spans="9:9" s="34" customFormat="1">
      <c r="I187" s="102"/>
    </row>
    <row r="188" spans="9:9" s="34" customFormat="1">
      <c r="I188" s="102"/>
    </row>
    <row r="189" spans="9:9" s="34" customFormat="1">
      <c r="I189" s="102"/>
    </row>
    <row r="190" spans="9:9" s="34" customFormat="1">
      <c r="I190" s="102"/>
    </row>
    <row r="191" spans="9:9" s="34" customFormat="1">
      <c r="I191" s="102"/>
    </row>
    <row r="192" spans="9:9" s="34" customFormat="1">
      <c r="I192" s="102"/>
    </row>
    <row r="193" spans="9:9" s="34" customFormat="1">
      <c r="I193" s="102"/>
    </row>
    <row r="194" spans="9:9" s="34" customFormat="1">
      <c r="I194" s="102"/>
    </row>
    <row r="195" spans="9:9" s="34" customFormat="1">
      <c r="I195" s="102"/>
    </row>
    <row r="196" spans="9:9" s="34" customFormat="1">
      <c r="I196" s="102"/>
    </row>
    <row r="197" spans="9:9" s="34" customFormat="1">
      <c r="I197" s="102"/>
    </row>
    <row r="198" spans="9:9" s="34" customFormat="1">
      <c r="I198" s="102"/>
    </row>
    <row r="199" spans="9:9" s="34" customFormat="1">
      <c r="I199" s="102"/>
    </row>
    <row r="200" spans="9:9" s="34" customFormat="1">
      <c r="I200" s="102"/>
    </row>
    <row r="201" spans="9:9" s="34" customFormat="1">
      <c r="I201" s="102"/>
    </row>
    <row r="202" spans="9:9" s="34" customFormat="1">
      <c r="I202" s="102"/>
    </row>
    <row r="203" spans="9:9" s="34" customFormat="1">
      <c r="I203" s="102"/>
    </row>
    <row r="204" spans="9:9" s="34" customFormat="1">
      <c r="I204" s="102"/>
    </row>
    <row r="205" spans="9:9" s="34" customFormat="1">
      <c r="I205" s="102"/>
    </row>
    <row r="206" spans="9:9" s="34" customFormat="1">
      <c r="I206" s="102"/>
    </row>
    <row r="207" spans="9:9" s="34" customFormat="1">
      <c r="I207" s="102"/>
    </row>
    <row r="208" spans="9:9" s="34" customFormat="1">
      <c r="I208" s="102"/>
    </row>
    <row r="209" spans="9:9" s="34" customFormat="1">
      <c r="I209" s="102"/>
    </row>
    <row r="210" spans="9:9" s="34" customFormat="1">
      <c r="I210" s="102"/>
    </row>
    <row r="211" spans="9:9" s="34" customFormat="1">
      <c r="I211" s="102"/>
    </row>
    <row r="212" spans="9:9" s="34" customFormat="1">
      <c r="I212" s="102"/>
    </row>
    <row r="213" spans="9:9" s="34" customFormat="1">
      <c r="I213" s="102"/>
    </row>
    <row r="214" spans="9:9" s="34" customFormat="1">
      <c r="I214" s="102"/>
    </row>
    <row r="215" spans="9:9" s="34" customFormat="1">
      <c r="I215" s="102"/>
    </row>
    <row r="216" spans="9:9" s="34" customFormat="1">
      <c r="I216" s="102"/>
    </row>
    <row r="217" spans="9:9" s="34" customFormat="1">
      <c r="I217" s="102"/>
    </row>
    <row r="218" spans="9:9" s="34" customFormat="1">
      <c r="I218" s="102"/>
    </row>
    <row r="219" spans="9:9" s="34" customFormat="1">
      <c r="I219" s="102"/>
    </row>
    <row r="220" spans="9:9" s="34" customFormat="1">
      <c r="I220" s="102"/>
    </row>
    <row r="221" spans="9:9" s="34" customFormat="1">
      <c r="I221" s="102"/>
    </row>
    <row r="222" spans="9:9" s="34" customFormat="1">
      <c r="I222" s="102"/>
    </row>
    <row r="223" spans="9:9" s="34" customFormat="1">
      <c r="I223" s="102"/>
    </row>
    <row r="224" spans="9:9" s="34" customFormat="1">
      <c r="I224" s="102"/>
    </row>
    <row r="225" spans="9:9" s="34" customFormat="1">
      <c r="I225" s="102"/>
    </row>
    <row r="226" spans="9:9" s="34" customFormat="1">
      <c r="I226" s="102"/>
    </row>
    <row r="227" spans="9:9" s="34" customFormat="1">
      <c r="I227" s="102"/>
    </row>
    <row r="228" spans="9:9" s="34" customFormat="1">
      <c r="I228" s="102"/>
    </row>
    <row r="229" spans="9:9" s="34" customFormat="1">
      <c r="I229" s="102"/>
    </row>
    <row r="230" spans="9:9" s="34" customFormat="1">
      <c r="I230" s="102"/>
    </row>
    <row r="231" spans="9:9" s="34" customFormat="1">
      <c r="I231" s="102"/>
    </row>
    <row r="232" spans="9:9" s="34" customFormat="1">
      <c r="I232" s="102"/>
    </row>
    <row r="233" spans="9:9" s="34" customFormat="1">
      <c r="I233" s="102"/>
    </row>
    <row r="234" spans="9:9" s="34" customFormat="1">
      <c r="I234" s="102"/>
    </row>
    <row r="235" spans="9:9" s="34" customFormat="1">
      <c r="I235" s="102"/>
    </row>
    <row r="236" spans="9:9" s="34" customFormat="1">
      <c r="I236" s="102"/>
    </row>
    <row r="237" spans="9:9" s="34" customFormat="1">
      <c r="I237" s="102"/>
    </row>
    <row r="238" spans="9:9" s="34" customFormat="1">
      <c r="I238" s="102"/>
    </row>
    <row r="239" spans="9:9" s="34" customFormat="1">
      <c r="I239" s="102"/>
    </row>
    <row r="240" spans="9:9" s="34" customFormat="1">
      <c r="I240" s="102"/>
    </row>
    <row r="241" spans="9:9" s="34" customFormat="1">
      <c r="I241" s="102"/>
    </row>
    <row r="242" spans="9:9" s="34" customFormat="1">
      <c r="I242" s="102"/>
    </row>
    <row r="243" spans="9:9" s="34" customFormat="1">
      <c r="I243" s="102"/>
    </row>
    <row r="244" spans="9:9" s="34" customFormat="1">
      <c r="I244" s="102"/>
    </row>
    <row r="245" spans="9:9" s="34" customFormat="1">
      <c r="I245" s="102"/>
    </row>
    <row r="246" spans="9:9" s="34" customFormat="1">
      <c r="I246" s="102"/>
    </row>
    <row r="247" spans="9:9" s="34" customFormat="1">
      <c r="I247" s="102"/>
    </row>
    <row r="248" spans="9:9" s="34" customFormat="1">
      <c r="I248" s="102"/>
    </row>
    <row r="249" spans="9:9" s="34" customFormat="1">
      <c r="I249" s="102"/>
    </row>
    <row r="250" spans="9:9" s="34" customFormat="1">
      <c r="I250" s="102"/>
    </row>
    <row r="251" spans="9:9" s="34" customFormat="1">
      <c r="I251" s="102"/>
    </row>
    <row r="252" spans="9:9" s="34" customFormat="1">
      <c r="I252" s="102"/>
    </row>
    <row r="253" spans="9:9" s="34" customFormat="1">
      <c r="I253" s="102"/>
    </row>
    <row r="254" spans="9:9" s="34" customFormat="1">
      <c r="I254" s="102"/>
    </row>
    <row r="255" spans="9:9" s="34" customFormat="1">
      <c r="I255" s="102"/>
    </row>
    <row r="256" spans="9:9" s="34" customFormat="1">
      <c r="I256" s="102"/>
    </row>
    <row r="257" spans="9:9" s="34" customFormat="1">
      <c r="I257" s="102"/>
    </row>
    <row r="258" spans="9:9" s="34" customFormat="1">
      <c r="I258" s="102"/>
    </row>
    <row r="259" spans="9:9" s="34" customFormat="1">
      <c r="I259" s="102"/>
    </row>
    <row r="260" spans="9:9" s="34" customFormat="1">
      <c r="I260" s="102"/>
    </row>
    <row r="261" spans="9:9" s="34" customFormat="1">
      <c r="I261" s="102"/>
    </row>
    <row r="262" spans="9:9" s="34" customFormat="1">
      <c r="I262" s="102"/>
    </row>
    <row r="263" spans="9:9" s="34" customFormat="1">
      <c r="I263" s="102"/>
    </row>
    <row r="264" spans="9:9" s="34" customFormat="1">
      <c r="I264" s="102"/>
    </row>
    <row r="265" spans="9:9" s="34" customFormat="1">
      <c r="I265" s="102"/>
    </row>
    <row r="266" spans="9:9" s="34" customFormat="1">
      <c r="I266" s="102"/>
    </row>
    <row r="267" spans="9:9" s="34" customFormat="1">
      <c r="I267" s="102"/>
    </row>
    <row r="268" spans="9:9" s="34" customFormat="1">
      <c r="I268" s="102"/>
    </row>
    <row r="269" spans="9:9" s="34" customFormat="1">
      <c r="I269" s="102"/>
    </row>
    <row r="270" spans="9:9" s="34" customFormat="1">
      <c r="I270" s="102"/>
    </row>
    <row r="271" spans="9:9" s="34" customFormat="1">
      <c r="I271" s="102"/>
    </row>
    <row r="272" spans="9:9" s="34" customFormat="1">
      <c r="I272" s="102"/>
    </row>
    <row r="273" spans="9:9" s="34" customFormat="1">
      <c r="I273" s="102"/>
    </row>
    <row r="274" spans="9:9" s="34" customFormat="1">
      <c r="I274" s="102"/>
    </row>
    <row r="275" spans="9:9" s="34" customFormat="1">
      <c r="I275" s="102"/>
    </row>
    <row r="276" spans="9:9" s="34" customFormat="1">
      <c r="I276" s="102"/>
    </row>
    <row r="277" spans="9:9" s="34" customFormat="1">
      <c r="I277" s="102"/>
    </row>
    <row r="278" spans="9:9" s="34" customFormat="1">
      <c r="I278" s="102"/>
    </row>
    <row r="279" spans="9:9" s="34" customFormat="1">
      <c r="I279" s="102"/>
    </row>
    <row r="280" spans="9:9" s="34" customFormat="1">
      <c r="I280" s="102"/>
    </row>
    <row r="281" spans="9:9" s="34" customFormat="1">
      <c r="I281" s="102"/>
    </row>
    <row r="282" spans="9:9" s="34" customFormat="1">
      <c r="I282" s="102"/>
    </row>
    <row r="283" spans="9:9" s="34" customFormat="1">
      <c r="I283" s="102"/>
    </row>
    <row r="284" spans="9:9" s="34" customFormat="1">
      <c r="I284" s="102"/>
    </row>
    <row r="285" spans="9:9" s="34" customFormat="1">
      <c r="I285" s="102"/>
    </row>
    <row r="286" spans="9:9" s="34" customFormat="1">
      <c r="I286" s="102"/>
    </row>
    <row r="287" spans="9:9" s="34" customFormat="1">
      <c r="I287" s="102"/>
    </row>
    <row r="288" spans="9:9" s="34" customFormat="1">
      <c r="I288" s="102"/>
    </row>
    <row r="289" spans="9:9" s="34" customFormat="1">
      <c r="I289" s="102"/>
    </row>
    <row r="290" spans="9:9" s="34" customFormat="1">
      <c r="I290" s="102"/>
    </row>
    <row r="291" spans="9:9" s="34" customFormat="1">
      <c r="I291" s="102"/>
    </row>
    <row r="292" spans="9:9" s="34" customFormat="1">
      <c r="I292" s="102"/>
    </row>
    <row r="293" spans="9:9" s="34" customFormat="1">
      <c r="I293" s="102"/>
    </row>
    <row r="294" spans="9:9" s="34" customFormat="1">
      <c r="I294" s="102"/>
    </row>
    <row r="295" spans="9:9" s="34" customFormat="1">
      <c r="I295" s="102"/>
    </row>
    <row r="296" spans="9:9" s="34" customFormat="1">
      <c r="I296" s="102"/>
    </row>
    <row r="297" spans="9:9" s="34" customFormat="1">
      <c r="I297" s="102"/>
    </row>
    <row r="298" spans="9:9" s="34" customFormat="1">
      <c r="I298" s="102"/>
    </row>
    <row r="299" spans="9:9" s="34" customFormat="1">
      <c r="I299" s="102"/>
    </row>
    <row r="300" spans="9:9" s="34" customFormat="1">
      <c r="I300" s="102"/>
    </row>
    <row r="301" spans="9:9" s="34" customFormat="1">
      <c r="I301" s="102"/>
    </row>
    <row r="302" spans="9:9" s="34" customFormat="1">
      <c r="I302" s="102"/>
    </row>
    <row r="303" spans="9:9" s="34" customFormat="1">
      <c r="I303" s="102"/>
    </row>
    <row r="304" spans="9:9" s="34" customFormat="1">
      <c r="I304" s="102"/>
    </row>
    <row r="305" spans="9:9" s="34" customFormat="1">
      <c r="I305" s="102"/>
    </row>
    <row r="306" spans="9:9" s="34" customFormat="1">
      <c r="I306" s="102"/>
    </row>
    <row r="307" spans="9:9" s="34" customFormat="1">
      <c r="I307" s="102"/>
    </row>
    <row r="308" spans="9:9" s="34" customFormat="1">
      <c r="I308" s="102"/>
    </row>
    <row r="309" spans="9:9" s="34" customFormat="1">
      <c r="I309" s="102"/>
    </row>
    <row r="310" spans="9:9" s="34" customFormat="1">
      <c r="I310" s="102"/>
    </row>
    <row r="311" spans="9:9" s="34" customFormat="1"/>
    <row r="312" spans="9:9" s="34" customFormat="1"/>
    <row r="313" spans="9:9" s="34" customFormat="1"/>
    <row r="314" spans="9:9" s="34" customFormat="1"/>
    <row r="315" spans="9:9" s="34" customFormat="1"/>
    <row r="316" spans="9:9" s="34" customFormat="1"/>
    <row r="317" spans="9:9" s="34" customFormat="1"/>
    <row r="318" spans="9:9" s="34" customFormat="1"/>
    <row r="319" spans="9:9" s="34" customFormat="1"/>
    <row r="320" spans="9:9" s="34" customFormat="1"/>
    <row r="321" s="34" customFormat="1"/>
    <row r="322" s="34" customFormat="1"/>
    <row r="323" s="34" customFormat="1"/>
    <row r="324" s="34" customFormat="1"/>
    <row r="325" s="34" customFormat="1"/>
    <row r="326" s="34" customFormat="1"/>
    <row r="327" s="34" customFormat="1"/>
    <row r="328" s="34" customFormat="1"/>
    <row r="329" s="34" customFormat="1"/>
    <row r="330" s="34" customFormat="1"/>
    <row r="331" s="34" customFormat="1"/>
    <row r="332" s="34" customFormat="1"/>
    <row r="333" s="34" customFormat="1"/>
    <row r="334" s="34" customFormat="1"/>
    <row r="335" s="34" customFormat="1"/>
    <row r="336" s="34" customFormat="1"/>
    <row r="337" s="34" customFormat="1"/>
    <row r="338" s="34" customFormat="1"/>
    <row r="339" s="34" customFormat="1"/>
    <row r="340" s="34" customFormat="1"/>
    <row r="341" s="34" customFormat="1"/>
    <row r="342" s="34" customFormat="1"/>
    <row r="343" s="34" customFormat="1"/>
    <row r="344" s="34" customFormat="1"/>
    <row r="345" s="34" customFormat="1"/>
    <row r="346" s="34" customFormat="1"/>
    <row r="347" s="34" customFormat="1"/>
    <row r="348" s="34" customFormat="1"/>
    <row r="349" s="34" customFormat="1"/>
    <row r="350" s="34" customFormat="1"/>
    <row r="351" s="34" customFormat="1"/>
    <row r="352" s="34" customFormat="1"/>
    <row r="353" s="34" customFormat="1"/>
    <row r="354" s="34" customFormat="1"/>
    <row r="355" s="34" customFormat="1"/>
    <row r="356" s="34" customFormat="1"/>
    <row r="357" s="34" customFormat="1"/>
    <row r="358" s="34" customFormat="1"/>
    <row r="359" s="34" customFormat="1"/>
    <row r="360" s="34" customFormat="1"/>
    <row r="361" s="34" customFormat="1"/>
    <row r="362" s="34" customFormat="1"/>
    <row r="363" s="34" customFormat="1"/>
    <row r="364" s="34" customFormat="1"/>
    <row r="365" s="34" customFormat="1"/>
    <row r="366" s="34" customFormat="1"/>
    <row r="367" s="34" customFormat="1"/>
    <row r="368" s="34" customFormat="1"/>
    <row r="369" s="34" customFormat="1"/>
    <row r="370" s="34" customFormat="1"/>
    <row r="371" s="34" customFormat="1"/>
    <row r="372" s="34" customFormat="1"/>
    <row r="373" s="34" customFormat="1"/>
    <row r="374" s="34" customFormat="1"/>
    <row r="375" s="34" customFormat="1"/>
    <row r="376" s="34" customFormat="1"/>
    <row r="377" s="34" customFormat="1"/>
    <row r="378" s="34" customFormat="1"/>
    <row r="379" s="34" customFormat="1"/>
    <row r="380" s="34" customFormat="1"/>
    <row r="381" s="34" customFormat="1"/>
    <row r="382" s="34" customFormat="1"/>
    <row r="383" s="34" customFormat="1"/>
    <row r="384" s="34" customFormat="1"/>
    <row r="385" s="34" customFormat="1"/>
    <row r="386" s="34" customFormat="1"/>
    <row r="387" s="34" customFormat="1"/>
    <row r="388" s="34" customFormat="1"/>
    <row r="389" s="34" customFormat="1"/>
    <row r="390" s="34" customFormat="1"/>
    <row r="391" s="34" customFormat="1"/>
    <row r="392" s="34" customFormat="1"/>
    <row r="393" s="34" customFormat="1"/>
    <row r="394" s="34" customFormat="1"/>
    <row r="395" s="34" customFormat="1"/>
    <row r="396" s="34" customFormat="1"/>
    <row r="397" s="34" customFormat="1"/>
    <row r="398" s="34" customFormat="1"/>
    <row r="399" s="34" customFormat="1"/>
    <row r="400" s="34" customFormat="1"/>
    <row r="401" s="34" customFormat="1"/>
    <row r="402" s="34" customFormat="1"/>
    <row r="403" s="34" customFormat="1"/>
    <row r="404" s="34" customFormat="1"/>
    <row r="405" s="34" customFormat="1"/>
    <row r="406" s="34" customFormat="1"/>
    <row r="407" s="34" customFormat="1"/>
    <row r="408" s="34" customFormat="1"/>
    <row r="409" s="34" customFormat="1"/>
    <row r="410" s="34" customFormat="1"/>
    <row r="411" s="34" customFormat="1"/>
    <row r="412" s="34" customFormat="1"/>
    <row r="413" s="34" customFormat="1"/>
    <row r="414" s="34" customFormat="1"/>
    <row r="415" s="34" customFormat="1"/>
    <row r="416" s="34" customFormat="1"/>
    <row r="417" s="34" customFormat="1"/>
    <row r="418" s="34" customFormat="1"/>
    <row r="419" s="34" customFormat="1"/>
    <row r="420" s="34" customFormat="1"/>
    <row r="421" s="34" customFormat="1"/>
    <row r="422" s="34" customFormat="1"/>
    <row r="423" s="34" customFormat="1"/>
    <row r="424" s="34" customFormat="1"/>
    <row r="425" s="34" customFormat="1"/>
    <row r="426" s="34" customFormat="1"/>
    <row r="427" s="34" customFormat="1"/>
    <row r="428" s="34" customFormat="1"/>
    <row r="429" s="34" customFormat="1"/>
    <row r="430" s="34" customFormat="1"/>
    <row r="431" s="34" customFormat="1"/>
    <row r="432" s="34" customFormat="1"/>
    <row r="433" s="34" customFormat="1"/>
    <row r="434" s="34" customFormat="1"/>
    <row r="435" s="34" customFormat="1"/>
    <row r="436" s="34" customFormat="1"/>
    <row r="437" s="34" customFormat="1"/>
    <row r="438" s="34" customFormat="1"/>
    <row r="439" s="34" customFormat="1"/>
    <row r="440" s="34" customFormat="1"/>
    <row r="441" s="34" customFormat="1"/>
    <row r="442" s="34" customFormat="1"/>
    <row r="443" s="34" customFormat="1"/>
    <row r="444" s="34" customFormat="1"/>
    <row r="445" s="34" customFormat="1"/>
    <row r="446" s="34" customFormat="1"/>
    <row r="447" s="34" customFormat="1"/>
    <row r="448" s="34" customFormat="1"/>
    <row r="449" s="34" customFormat="1"/>
    <row r="450" s="34" customFormat="1"/>
    <row r="451" s="34" customFormat="1"/>
    <row r="452" s="34" customFormat="1"/>
    <row r="453" s="34" customFormat="1"/>
    <row r="454" s="34" customFormat="1"/>
    <row r="455" s="34" customFormat="1"/>
    <row r="456" s="34" customFormat="1"/>
    <row r="457" s="34" customFormat="1"/>
    <row r="458" s="34" customFormat="1"/>
    <row r="459" s="34" customFormat="1"/>
    <row r="460" s="34" customFormat="1"/>
    <row r="461" s="34" customFormat="1"/>
    <row r="462" s="34" customFormat="1"/>
    <row r="463" s="34" customFormat="1"/>
    <row r="464" s="34" customFormat="1"/>
    <row r="465" s="34" customFormat="1"/>
    <row r="466" s="34" customFormat="1"/>
    <row r="467" s="34" customFormat="1"/>
    <row r="468" s="34" customFormat="1"/>
    <row r="469" s="34" customFormat="1"/>
    <row r="470" s="34" customFormat="1"/>
    <row r="471" s="34" customFormat="1"/>
    <row r="472" s="34" customFormat="1"/>
    <row r="473" s="34" customFormat="1"/>
    <row r="474" s="34" customFormat="1"/>
    <row r="475" s="34" customFormat="1"/>
    <row r="476" s="34" customFormat="1"/>
    <row r="477" s="34" customFormat="1"/>
    <row r="478" s="34" customFormat="1"/>
    <row r="479" s="34" customFormat="1"/>
    <row r="480" s="34" customFormat="1"/>
    <row r="481" s="34" customFormat="1"/>
    <row r="482" s="34" customFormat="1"/>
    <row r="483" s="34" customFormat="1"/>
    <row r="484" s="34" customFormat="1"/>
    <row r="485" s="34" customFormat="1"/>
    <row r="486" s="34" customFormat="1"/>
    <row r="487" s="34" customFormat="1"/>
    <row r="488" s="34" customFormat="1"/>
    <row r="489" s="34" customFormat="1"/>
    <row r="490" s="34" customFormat="1"/>
    <row r="491" s="34" customFormat="1"/>
    <row r="492" s="34" customFormat="1"/>
    <row r="493" s="34" customFormat="1"/>
    <row r="494" s="34" customFormat="1"/>
    <row r="495" s="34" customFormat="1"/>
    <row r="496" s="34" customFormat="1"/>
    <row r="497" s="34" customFormat="1"/>
    <row r="498" s="34" customFormat="1"/>
    <row r="499" s="34" customFormat="1"/>
    <row r="500" s="34" customFormat="1"/>
    <row r="501" s="34" customFormat="1"/>
    <row r="502" s="34" customFormat="1"/>
    <row r="503" s="34" customFormat="1"/>
    <row r="504" s="34" customFormat="1"/>
    <row r="505" s="34" customFormat="1"/>
    <row r="506" s="34" customFormat="1"/>
    <row r="507" s="34" customFormat="1"/>
    <row r="508" s="34" customFormat="1"/>
    <row r="509" s="34" customFormat="1"/>
    <row r="510" s="34" customFormat="1"/>
    <row r="511" s="34" customFormat="1"/>
    <row r="512" s="34" customFormat="1"/>
    <row r="513" s="34" customFormat="1"/>
    <row r="514" s="34" customFormat="1"/>
    <row r="515" s="34" customFormat="1"/>
    <row r="516" s="34" customFormat="1"/>
    <row r="517" s="34" customFormat="1"/>
    <row r="518" s="34" customFormat="1"/>
    <row r="519" s="34" customFormat="1"/>
    <row r="520" s="34" customFormat="1"/>
    <row r="521" s="34" customFormat="1"/>
    <row r="522" s="34" customFormat="1"/>
    <row r="523" s="34" customFormat="1"/>
    <row r="524" s="34" customFormat="1"/>
    <row r="525" s="34" customFormat="1"/>
    <row r="526" s="34" customFormat="1"/>
    <row r="527" s="34" customFormat="1"/>
    <row r="528" s="34" customFormat="1"/>
    <row r="529" s="34" customFormat="1"/>
    <row r="530" s="34" customFormat="1"/>
    <row r="531" s="34" customFormat="1"/>
    <row r="532" s="34" customFormat="1"/>
    <row r="533" s="34" customFormat="1"/>
    <row r="534" s="34" customFormat="1"/>
    <row r="535" s="34" customFormat="1"/>
    <row r="536" s="34" customFormat="1"/>
    <row r="537" s="34" customFormat="1"/>
    <row r="538" s="34" customFormat="1"/>
    <row r="539" s="34" customFormat="1"/>
    <row r="540" s="34" customFormat="1"/>
    <row r="541" s="34" customFormat="1"/>
    <row r="542" s="34" customFormat="1"/>
    <row r="543" s="34" customFormat="1"/>
    <row r="544" s="34" customFormat="1"/>
    <row r="545" s="34" customFormat="1"/>
    <row r="546" s="34" customFormat="1"/>
    <row r="547" s="34" customFormat="1"/>
    <row r="548" s="34" customFormat="1"/>
    <row r="549" s="34" customFormat="1"/>
    <row r="550" s="34" customFormat="1"/>
    <row r="551" s="34" customFormat="1"/>
    <row r="552" s="34" customFormat="1"/>
    <row r="553" s="34" customFormat="1"/>
    <row r="554" s="34" customFormat="1"/>
    <row r="555" s="34" customFormat="1"/>
    <row r="556" s="34" customFormat="1"/>
    <row r="557" s="34" customFormat="1"/>
    <row r="558" s="34" customFormat="1"/>
    <row r="559" s="34" customFormat="1"/>
    <row r="560" s="34" customFormat="1"/>
    <row r="561" s="34" customFormat="1"/>
    <row r="562" s="34" customFormat="1"/>
    <row r="563" s="34" customFormat="1"/>
    <row r="564" s="34" customFormat="1"/>
    <row r="565" s="34" customFormat="1"/>
    <row r="566" s="34" customFormat="1"/>
    <row r="567" s="34" customFormat="1"/>
    <row r="568" s="34" customFormat="1"/>
    <row r="569" s="34" customFormat="1"/>
    <row r="570" s="34" customFormat="1"/>
    <row r="571" s="34" customFormat="1"/>
    <row r="572" s="34" customFormat="1"/>
    <row r="573" s="34" customFormat="1"/>
    <row r="574" s="34" customFormat="1"/>
    <row r="575" s="34" customFormat="1"/>
    <row r="576" s="34" customFormat="1"/>
    <row r="577" s="34" customFormat="1"/>
    <row r="578" s="34" customFormat="1"/>
    <row r="579" s="34" customFormat="1"/>
    <row r="580" s="34" customFormat="1"/>
    <row r="581" s="34" customFormat="1"/>
    <row r="582" s="34" customFormat="1"/>
    <row r="583" s="34" customFormat="1"/>
    <row r="584" s="34" customFormat="1"/>
    <row r="585" s="34" customFormat="1"/>
    <row r="586" s="34" customFormat="1"/>
    <row r="587" s="34" customFormat="1"/>
    <row r="588" s="34" customFormat="1"/>
    <row r="589" s="34" customFormat="1"/>
    <row r="590" s="34" customFormat="1"/>
    <row r="591" s="34" customFormat="1"/>
    <row r="592" s="34" customFormat="1"/>
    <row r="593" s="34" customFormat="1"/>
    <row r="594" s="34" customFormat="1"/>
    <row r="595" s="34" customFormat="1"/>
    <row r="596" s="34" customFormat="1"/>
    <row r="597" s="34" customFormat="1"/>
    <row r="598" s="34" customFormat="1"/>
    <row r="599" s="34" customFormat="1"/>
    <row r="600" s="34" customFormat="1"/>
    <row r="601" s="34" customFormat="1"/>
    <row r="602" s="34" customFormat="1"/>
    <row r="603" s="34" customFormat="1"/>
    <row r="604" s="34" customFormat="1"/>
    <row r="605" s="34" customFormat="1"/>
    <row r="606" s="34" customFormat="1"/>
    <row r="607" s="34" customFormat="1"/>
    <row r="608" s="34" customFormat="1"/>
    <row r="609" s="34" customFormat="1"/>
    <row r="610" s="34" customFormat="1"/>
    <row r="611" s="34" customFormat="1"/>
    <row r="612" s="34" customFormat="1"/>
    <row r="613" s="34" customFormat="1"/>
    <row r="614" s="34" customFormat="1"/>
    <row r="615" s="34" customFormat="1"/>
    <row r="616" s="34" customFormat="1"/>
    <row r="617" s="34" customFormat="1"/>
    <row r="618" s="34" customFormat="1"/>
    <row r="619" s="34" customFormat="1"/>
    <row r="620" s="34" customFormat="1"/>
    <row r="621" s="34" customFormat="1"/>
    <row r="622" s="34" customFormat="1"/>
    <row r="623" s="34" customFormat="1"/>
    <row r="624" s="34" customFormat="1"/>
    <row r="625" s="34" customFormat="1"/>
    <row r="626" s="34" customFormat="1"/>
    <row r="627" s="34" customFormat="1"/>
    <row r="628" s="34" customFormat="1"/>
    <row r="629" s="34" customFormat="1"/>
    <row r="630" s="34" customFormat="1"/>
    <row r="631" s="34" customFormat="1"/>
    <row r="632" s="34" customFormat="1"/>
    <row r="633" s="34" customFormat="1"/>
    <row r="634" s="34" customFormat="1"/>
    <row r="635" s="34" customFormat="1"/>
    <row r="636" s="34" customFormat="1"/>
    <row r="637" s="34" customFormat="1"/>
    <row r="638" s="34" customFormat="1"/>
    <row r="639" s="34" customFormat="1"/>
    <row r="640" s="34" customFormat="1"/>
    <row r="641" s="34" customFormat="1"/>
    <row r="642" s="34" customFormat="1"/>
    <row r="643" s="34" customFormat="1"/>
    <row r="644" s="34" customFormat="1"/>
    <row r="645" s="34" customFormat="1"/>
    <row r="646" s="34" customFormat="1"/>
    <row r="647" s="34" customFormat="1"/>
    <row r="648" s="34" customFormat="1"/>
    <row r="649" s="34" customFormat="1"/>
    <row r="650" s="34" customFormat="1"/>
    <row r="651" s="34" customFormat="1"/>
    <row r="652" s="34" customFormat="1"/>
    <row r="653" s="34" customFormat="1"/>
    <row r="654" s="34" customFormat="1"/>
    <row r="655" s="34" customFormat="1"/>
    <row r="656" s="34" customFormat="1"/>
    <row r="657" s="34" customFormat="1"/>
    <row r="658" s="34" customFormat="1"/>
    <row r="659" s="34" customFormat="1"/>
    <row r="660" s="34" customFormat="1"/>
    <row r="661" s="34" customFormat="1"/>
    <row r="662" s="34" customFormat="1"/>
    <row r="663" s="34" customFormat="1"/>
    <row r="664" s="34" customFormat="1"/>
    <row r="665" s="34" customFormat="1"/>
    <row r="666" s="34" customFormat="1"/>
    <row r="667" s="34" customFormat="1"/>
    <row r="668" s="34" customFormat="1"/>
    <row r="669" s="34" customFormat="1"/>
    <row r="670" s="34" customFormat="1"/>
    <row r="671" s="34" customFormat="1"/>
    <row r="672" s="34" customFormat="1"/>
    <row r="673" s="34" customFormat="1"/>
    <row r="674" s="34" customFormat="1"/>
    <row r="675" s="34" customFormat="1"/>
    <row r="676" s="34" customFormat="1"/>
    <row r="677" s="34" customFormat="1"/>
    <row r="678" s="34" customFormat="1"/>
    <row r="679" s="34" customFormat="1"/>
    <row r="680" s="34" customFormat="1"/>
    <row r="681" s="34" customFormat="1"/>
    <row r="682" s="34" customFormat="1"/>
    <row r="683" s="34" customFormat="1"/>
    <row r="684" s="34" customFormat="1"/>
    <row r="685" s="34" customFormat="1"/>
    <row r="686" s="34" customFormat="1"/>
    <row r="687" s="34" customFormat="1"/>
    <row r="688" s="34" customFormat="1"/>
    <row r="689" s="34" customFormat="1"/>
    <row r="690" s="34" customFormat="1"/>
    <row r="691" s="34" customFormat="1"/>
    <row r="692" s="34" customFormat="1"/>
    <row r="693" s="34" customFormat="1"/>
    <row r="694" s="34" customFormat="1"/>
    <row r="695" s="34" customFormat="1"/>
    <row r="696" s="34" customFormat="1"/>
    <row r="697" s="34" customFormat="1"/>
    <row r="698" s="34" customFormat="1"/>
    <row r="699" s="34" customFormat="1"/>
    <row r="700" s="34" customFormat="1"/>
    <row r="701" s="34" customFormat="1"/>
    <row r="702" s="34" customFormat="1"/>
    <row r="703" s="34" customFormat="1"/>
    <row r="704" s="34" customFormat="1"/>
    <row r="705" s="34" customFormat="1"/>
    <row r="706" s="34" customFormat="1"/>
    <row r="707" s="34" customFormat="1"/>
    <row r="708" s="34" customFormat="1"/>
    <row r="709" s="34" customFormat="1"/>
    <row r="710" s="34" customFormat="1"/>
    <row r="711" s="34" customFormat="1"/>
    <row r="712" s="34" customFormat="1"/>
    <row r="713" s="34" customFormat="1"/>
    <row r="714" s="34" customFormat="1"/>
    <row r="715" s="34" customFormat="1"/>
    <row r="716" s="34" customFormat="1"/>
    <row r="717" s="34" customFormat="1"/>
    <row r="718" s="34" customFormat="1"/>
    <row r="719" s="34" customFormat="1"/>
    <row r="720" s="34" customFormat="1"/>
    <row r="721" s="34" customFormat="1"/>
    <row r="722" s="34" customFormat="1"/>
    <row r="723" s="34" customFormat="1"/>
    <row r="724" s="34" customFormat="1"/>
    <row r="725" s="34" customFormat="1"/>
    <row r="726" s="34" customFormat="1"/>
    <row r="727" s="34" customFormat="1"/>
    <row r="728" s="34" customFormat="1"/>
    <row r="729" s="34" customFormat="1"/>
    <row r="730" s="34" customFormat="1"/>
    <row r="731" s="34" customFormat="1"/>
    <row r="732" s="34" customFormat="1"/>
    <row r="733" s="34" customFormat="1"/>
    <row r="734" s="34" customFormat="1"/>
    <row r="735" s="34" customFormat="1"/>
    <row r="736" s="34" customFormat="1"/>
    <row r="737" s="34" customFormat="1"/>
    <row r="738" s="34" customFormat="1"/>
    <row r="739" s="34" customFormat="1"/>
    <row r="740" s="34" customFormat="1"/>
    <row r="741" s="34" customFormat="1"/>
    <row r="742" s="34" customFormat="1"/>
    <row r="743" s="34" customFormat="1"/>
    <row r="744" s="34" customFormat="1"/>
    <row r="745" s="34" customFormat="1"/>
    <row r="746" s="34" customFormat="1"/>
    <row r="747" s="34" customFormat="1"/>
    <row r="748" s="34" customFormat="1"/>
    <row r="749" s="34" customFormat="1"/>
    <row r="750" s="34" customFormat="1"/>
    <row r="751" s="34" customFormat="1"/>
    <row r="752" s="34" customFormat="1"/>
    <row r="753" s="34" customFormat="1"/>
    <row r="754" s="34" customFormat="1"/>
    <row r="755" s="34" customFormat="1"/>
    <row r="756" s="34" customFormat="1"/>
    <row r="757" s="34" customFormat="1"/>
    <row r="758" s="34" customFormat="1"/>
    <row r="759" s="34" customFormat="1"/>
    <row r="760" s="34" customFormat="1"/>
    <row r="761" s="34" customFormat="1"/>
    <row r="762" s="34" customFormat="1"/>
    <row r="763" s="34" customFormat="1"/>
    <row r="764" s="34" customFormat="1"/>
    <row r="765" s="34" customFormat="1"/>
    <row r="766" s="34" customFormat="1"/>
    <row r="767" s="34" customFormat="1"/>
    <row r="768" s="34" customFormat="1"/>
    <row r="769" s="34" customFormat="1"/>
    <row r="770" s="34" customFormat="1"/>
    <row r="771" s="34" customFormat="1"/>
    <row r="772" s="34" customFormat="1"/>
    <row r="773" s="34" customFormat="1"/>
    <row r="774" s="34" customFormat="1"/>
    <row r="775" s="34" customFormat="1"/>
    <row r="776" s="34" customFormat="1"/>
    <row r="777" s="34" customFormat="1"/>
    <row r="778" s="34" customFormat="1"/>
    <row r="779" s="34" customFormat="1"/>
    <row r="780" s="34" customFormat="1"/>
    <row r="781" s="34" customFormat="1"/>
    <row r="782" s="34" customFormat="1"/>
    <row r="783" s="34" customFormat="1"/>
    <row r="784" s="34" customFormat="1"/>
    <row r="785" s="34" customFormat="1"/>
    <row r="786" s="34" customFormat="1"/>
    <row r="787" s="34" customFormat="1"/>
    <row r="788" s="34" customFormat="1"/>
    <row r="789" s="34" customFormat="1"/>
    <row r="790" s="34" customFormat="1"/>
    <row r="791" s="34" customFormat="1"/>
    <row r="792" s="34" customFormat="1"/>
    <row r="793" s="34" customFormat="1"/>
    <row r="794" s="34" customFormat="1"/>
    <row r="795" s="34" customFormat="1"/>
    <row r="796" s="34" customFormat="1"/>
    <row r="797" s="34" customFormat="1"/>
    <row r="798" s="34" customFormat="1"/>
    <row r="799" s="34" customFormat="1"/>
    <row r="800" s="34" customFormat="1"/>
    <row r="801" s="34" customFormat="1"/>
    <row r="802" s="34" customFormat="1"/>
    <row r="803" s="34" customFormat="1"/>
    <row r="804" s="34" customFormat="1"/>
    <row r="805" s="34" customFormat="1"/>
    <row r="806" s="34" customFormat="1"/>
    <row r="807" s="34" customFormat="1"/>
    <row r="808" s="34" customFormat="1"/>
    <row r="809" s="34" customFormat="1"/>
    <row r="810" s="34" customFormat="1"/>
    <row r="811" s="34" customFormat="1"/>
    <row r="812" s="34" customFormat="1"/>
    <row r="813" s="34" customFormat="1"/>
    <row r="814" s="34" customFormat="1"/>
    <row r="815" s="34" customFormat="1"/>
    <row r="816" s="34" customFormat="1"/>
    <row r="817" s="34" customFormat="1"/>
    <row r="818" s="34" customFormat="1"/>
    <row r="819" s="34" customFormat="1"/>
    <row r="820" s="34" customFormat="1"/>
    <row r="821" s="34" customFormat="1"/>
    <row r="822" s="34" customFormat="1"/>
    <row r="823" s="34" customFormat="1"/>
    <row r="824" s="34" customFormat="1"/>
    <row r="825" s="34" customFormat="1"/>
    <row r="826" s="34" customFormat="1"/>
    <row r="827" s="34" customFormat="1"/>
    <row r="828" s="34" customFormat="1"/>
    <row r="829" s="34" customFormat="1"/>
    <row r="830" s="34" customFormat="1"/>
    <row r="831" s="34" customFormat="1"/>
    <row r="832" s="34" customFormat="1"/>
    <row r="833" s="34" customFormat="1"/>
    <row r="834" s="34" customFormat="1"/>
    <row r="835" s="34" customFormat="1"/>
    <row r="836" s="34" customFormat="1"/>
    <row r="837" s="34" customFormat="1"/>
    <row r="838" s="34" customFormat="1"/>
    <row r="839" s="34" customFormat="1"/>
    <row r="840" s="34" customFormat="1"/>
    <row r="841" s="34" customFormat="1"/>
    <row r="842" s="34" customFormat="1"/>
    <row r="843" s="34" customFormat="1"/>
    <row r="844" s="34" customFormat="1"/>
    <row r="845" s="34" customFormat="1"/>
    <row r="846" s="34" customFormat="1"/>
    <row r="847" s="34" customFormat="1"/>
    <row r="848" s="34" customFormat="1"/>
    <row r="849" s="34" customFormat="1"/>
    <row r="850" s="34" customFormat="1"/>
    <row r="851" s="34" customFormat="1"/>
    <row r="852" s="34" customFormat="1"/>
    <row r="853" s="34" customFormat="1"/>
    <row r="854" s="34" customFormat="1"/>
    <row r="855" s="34" customFormat="1"/>
    <row r="856" s="34" customFormat="1"/>
    <row r="857" s="34" customFormat="1"/>
    <row r="858" s="34" customFormat="1"/>
    <row r="859" s="34" customFormat="1"/>
    <row r="860" s="34" customFormat="1"/>
    <row r="861" s="34" customFormat="1"/>
    <row r="862" s="34" customFormat="1"/>
    <row r="863" s="34" customFormat="1"/>
    <row r="864" s="34" customFormat="1"/>
    <row r="865" s="34" customFormat="1"/>
    <row r="866" s="34" customFormat="1"/>
    <row r="867" s="34" customFormat="1"/>
    <row r="868" s="34" customFormat="1"/>
    <row r="869" s="34" customFormat="1"/>
    <row r="870" s="34" customFormat="1"/>
    <row r="871" s="34" customFormat="1"/>
    <row r="872" s="34" customFormat="1"/>
    <row r="873" s="34" customFormat="1"/>
    <row r="874" s="34" customFormat="1"/>
    <row r="875" s="34" customFormat="1"/>
    <row r="876" s="34" customFormat="1"/>
    <row r="877" s="34" customFormat="1"/>
    <row r="878" s="34" customFormat="1"/>
    <row r="879" s="34" customFormat="1"/>
    <row r="880" s="34" customFormat="1"/>
    <row r="881" s="34" customFormat="1"/>
    <row r="882" s="34" customFormat="1"/>
    <row r="883" s="34" customFormat="1"/>
    <row r="884" s="34" customFormat="1"/>
    <row r="885" s="34" customFormat="1"/>
    <row r="886" s="34" customFormat="1"/>
    <row r="887" s="34" customFormat="1"/>
    <row r="888" s="34" customFormat="1"/>
    <row r="889" s="34" customFormat="1"/>
    <row r="890" s="34" customFormat="1"/>
    <row r="891" s="34" customFormat="1"/>
    <row r="892" s="34" customFormat="1"/>
    <row r="893" s="34" customFormat="1"/>
    <row r="894" s="34" customFormat="1"/>
    <row r="895" s="34" customFormat="1"/>
    <row r="896" s="34" customFormat="1"/>
    <row r="897" s="34" customFormat="1"/>
    <row r="898" s="34" customFormat="1"/>
    <row r="899" s="34" customFormat="1"/>
    <row r="900" s="34" customFormat="1"/>
    <row r="901" s="34" customFormat="1"/>
    <row r="902" s="34" customFormat="1"/>
    <row r="903" s="34" customFormat="1"/>
    <row r="904" s="34" customFormat="1"/>
    <row r="905" s="34" customFormat="1"/>
    <row r="906" s="34" customFormat="1"/>
    <row r="907" s="34" customFormat="1"/>
    <row r="908" s="34" customFormat="1"/>
    <row r="909" s="34" customFormat="1"/>
    <row r="910" s="34" customFormat="1"/>
    <row r="911" s="34" customFormat="1"/>
    <row r="912" s="34" customFormat="1"/>
    <row r="913" s="34" customFormat="1"/>
    <row r="914" s="34" customFormat="1"/>
    <row r="915" s="34" customFormat="1"/>
    <row r="916" s="34" customFormat="1"/>
    <row r="917" s="34" customFormat="1"/>
    <row r="918" s="34" customFormat="1"/>
    <row r="919" s="34" customFormat="1"/>
    <row r="920" s="34" customFormat="1"/>
    <row r="921" s="34" customFormat="1"/>
    <row r="922" s="34" customFormat="1"/>
    <row r="923" s="34" customFormat="1"/>
    <row r="924" s="34" customFormat="1"/>
    <row r="925" s="34" customFormat="1"/>
    <row r="926" s="34" customFormat="1"/>
    <row r="927" s="34" customFormat="1"/>
    <row r="928" s="34" customFormat="1"/>
    <row r="929" s="34" customFormat="1"/>
    <row r="930" s="34" customFormat="1"/>
    <row r="931" s="34" customFormat="1"/>
    <row r="932" s="34" customFormat="1"/>
    <row r="933" s="34" customFormat="1"/>
    <row r="934" s="34" customFormat="1"/>
    <row r="935" s="34" customFormat="1"/>
    <row r="936" s="34" customFormat="1"/>
    <row r="937" s="34" customFormat="1"/>
    <row r="938" s="34" customFormat="1"/>
    <row r="939" s="34" customFormat="1"/>
    <row r="940" s="34" customFormat="1"/>
    <row r="941" s="34" customFormat="1"/>
    <row r="942" s="34" customFormat="1"/>
    <row r="943" s="34" customFormat="1"/>
    <row r="944" s="34" customFormat="1"/>
    <row r="945" s="34" customFormat="1"/>
    <row r="946" s="34" customFormat="1"/>
    <row r="947" s="34" customFormat="1"/>
    <row r="948" s="34" customFormat="1"/>
    <row r="949" s="34" customFormat="1"/>
    <row r="950" s="34" customFormat="1"/>
    <row r="951" s="34" customFormat="1"/>
    <row r="952" s="34" customFormat="1"/>
    <row r="953" s="34" customFormat="1"/>
    <row r="954" s="34" customFormat="1"/>
    <row r="955" s="34" customFormat="1"/>
    <row r="956" s="34" customFormat="1"/>
    <row r="957" s="34" customFormat="1"/>
    <row r="958" s="34" customFormat="1"/>
    <row r="959" s="34" customFormat="1"/>
    <row r="960" s="34" customFormat="1"/>
    <row r="961" s="34" customFormat="1"/>
    <row r="962" s="34" customFormat="1"/>
    <row r="963" s="34" customFormat="1"/>
    <row r="964" s="34" customFormat="1"/>
    <row r="965" s="34" customFormat="1"/>
    <row r="966" s="34" customFormat="1"/>
    <row r="967" s="34" customFormat="1"/>
    <row r="968" s="34" customFormat="1"/>
    <row r="969" s="34" customFormat="1"/>
    <row r="970" s="34" customFormat="1"/>
    <row r="971" s="34" customFormat="1"/>
    <row r="972" s="34" customFormat="1"/>
    <row r="973" s="34" customFormat="1"/>
    <row r="974" s="34" customFormat="1"/>
    <row r="975" s="34" customFormat="1"/>
    <row r="976" s="34" customFormat="1"/>
    <row r="977" s="34" customFormat="1"/>
    <row r="978" s="34" customFormat="1"/>
    <row r="979" s="34" customFormat="1"/>
    <row r="980" s="34" customFormat="1"/>
    <row r="981" s="34" customFormat="1"/>
    <row r="982" s="34" customFormat="1"/>
    <row r="983" s="34" customFormat="1"/>
    <row r="984" s="34" customFormat="1"/>
    <row r="985" s="34" customFormat="1"/>
    <row r="986" s="34" customFormat="1"/>
    <row r="987" s="34" customFormat="1"/>
    <row r="988" s="34" customFormat="1"/>
    <row r="989" s="34" customFormat="1"/>
    <row r="990" s="34" customFormat="1"/>
    <row r="991" s="34" customFormat="1"/>
    <row r="992" s="34" customFormat="1"/>
    <row r="993" s="34" customFormat="1"/>
    <row r="994" s="34" customFormat="1"/>
    <row r="995" s="34" customFormat="1"/>
    <row r="996" s="34" customFormat="1"/>
    <row r="997" s="34" customFormat="1"/>
    <row r="998" s="34" customFormat="1"/>
    <row r="999" s="34" customFormat="1"/>
    <row r="1000" s="34" customFormat="1"/>
    <row r="1001" s="34" customFormat="1"/>
    <row r="1002" s="34" customFormat="1"/>
    <row r="1003" s="34" customFormat="1"/>
    <row r="1004" s="34" customFormat="1"/>
    <row r="1005" s="34" customFormat="1"/>
    <row r="1006" s="34" customFormat="1"/>
    <row r="1007" s="34" customFormat="1"/>
    <row r="1008" s="34" customFormat="1"/>
    <row r="1009" s="34" customFormat="1"/>
    <row r="1010" s="34" customFormat="1"/>
    <row r="1011" s="34" customFormat="1"/>
    <row r="1012" s="34" customFormat="1"/>
    <row r="1013" s="34" customFormat="1"/>
    <row r="1014" s="34" customFormat="1"/>
    <row r="1015" s="34" customFormat="1"/>
    <row r="1016" s="34" customFormat="1"/>
    <row r="1017" s="34" customFormat="1"/>
    <row r="1018" s="34" customFormat="1"/>
    <row r="1019" s="34" customFormat="1"/>
    <row r="1020" s="34" customFormat="1"/>
    <row r="1021" s="34" customFormat="1"/>
    <row r="1022" s="34" customFormat="1"/>
    <row r="1023" s="34" customFormat="1"/>
    <row r="1024" s="34" customFormat="1"/>
    <row r="1025" s="34" customFormat="1"/>
    <row r="1026" s="34" customFormat="1"/>
    <row r="1027" s="34" customFormat="1"/>
    <row r="1028" s="34" customFormat="1"/>
    <row r="1029" s="34" customFormat="1"/>
    <row r="1030" s="34" customFormat="1"/>
    <row r="1031" s="34" customFormat="1"/>
    <row r="1032" s="34" customFormat="1"/>
    <row r="1033" s="34" customFormat="1"/>
    <row r="1034" s="34" customFormat="1"/>
    <row r="1035" s="34" customFormat="1"/>
    <row r="1036" s="34" customFormat="1"/>
    <row r="1037" s="34" customFormat="1"/>
    <row r="1038" s="34" customFormat="1"/>
    <row r="1039" s="34" customFormat="1"/>
    <row r="1040" s="34" customFormat="1"/>
    <row r="1041" s="34" customFormat="1"/>
    <row r="1042" s="34" customFormat="1"/>
    <row r="1043" s="34" customFormat="1"/>
    <row r="1044" s="34" customFormat="1"/>
    <row r="1045" s="34" customFormat="1"/>
    <row r="1046" s="34" customFormat="1"/>
    <row r="1047" s="34" customFormat="1"/>
    <row r="1048" s="34" customFormat="1"/>
    <row r="1049" s="34" customFormat="1"/>
    <row r="1050" s="34" customFormat="1"/>
    <row r="1051" s="34" customFormat="1"/>
    <row r="1052" s="34" customFormat="1"/>
    <row r="1053" s="34" customFormat="1"/>
    <row r="1054" s="34" customFormat="1"/>
    <row r="1055" s="34" customFormat="1"/>
    <row r="1056" s="34" customFormat="1"/>
    <row r="1057" s="34" customFormat="1"/>
    <row r="1058" s="34" customFormat="1"/>
    <row r="1059" s="34" customFormat="1"/>
    <row r="1060" s="34" customFormat="1"/>
    <row r="1061" s="34" customFormat="1"/>
    <row r="1062" s="34" customFormat="1"/>
    <row r="1063" s="34" customFormat="1"/>
    <row r="1064" s="34" customFormat="1"/>
    <row r="1065" s="34" customFormat="1"/>
    <row r="1066" s="34" customFormat="1"/>
    <row r="1067" s="34" customFormat="1"/>
    <row r="1068" s="34" customFormat="1"/>
    <row r="1069" s="34" customFormat="1"/>
    <row r="1070" s="34" customFormat="1"/>
    <row r="1071" s="34" customFormat="1"/>
    <row r="1072" s="34" customFormat="1"/>
    <row r="1073" s="34" customFormat="1"/>
    <row r="1074" s="34" customFormat="1"/>
    <row r="1075" s="34" customFormat="1"/>
    <row r="1076" s="34" customFormat="1"/>
    <row r="1077" s="34" customFormat="1"/>
    <row r="1078" s="34" customFormat="1"/>
    <row r="1079" s="34" customFormat="1"/>
    <row r="1080" s="34" customFormat="1"/>
    <row r="1081" s="34" customFormat="1"/>
    <row r="1082" s="34" customFormat="1"/>
    <row r="1083" s="34" customFormat="1"/>
    <row r="1084" s="34" customFormat="1"/>
    <row r="1085" s="34" customFormat="1"/>
    <row r="1086" s="34" customFormat="1"/>
    <row r="1087" s="34" customFormat="1"/>
    <row r="1088" s="34" customFormat="1"/>
    <row r="1089" s="34" customFormat="1"/>
    <row r="1090" s="34" customFormat="1"/>
    <row r="1091" s="34" customFormat="1"/>
    <row r="1092" s="34" customFormat="1"/>
    <row r="1093" s="34" customFormat="1"/>
    <row r="1094" s="34" customFormat="1"/>
    <row r="1095" s="34" customFormat="1"/>
    <row r="1096" s="34" customFormat="1"/>
    <row r="1097" s="34" customFormat="1"/>
    <row r="1098" s="34" customFormat="1"/>
    <row r="1099" s="34" customFormat="1"/>
    <row r="1100" s="34" customFormat="1"/>
    <row r="1101" s="34" customFormat="1"/>
    <row r="1102" s="34" customFormat="1"/>
    <row r="1103" s="34" customFormat="1"/>
    <row r="1104" s="34" customFormat="1"/>
    <row r="1105" s="34" customFormat="1"/>
    <row r="1106" s="34" customFormat="1"/>
    <row r="1107" s="34" customFormat="1"/>
    <row r="1108" s="34" customFormat="1"/>
    <row r="1109" s="34" customFormat="1"/>
    <row r="1110" s="34" customFormat="1"/>
    <row r="1111" s="34" customFormat="1"/>
    <row r="1112" s="34" customFormat="1"/>
    <row r="1113" s="34" customFormat="1"/>
    <row r="1114" s="34" customFormat="1"/>
    <row r="1115" s="34" customFormat="1"/>
    <row r="1116" s="34" customFormat="1"/>
    <row r="1117" s="34" customFormat="1"/>
    <row r="1118" s="34" customFormat="1"/>
    <row r="1119" s="34" customFormat="1"/>
    <row r="1120" s="34" customFormat="1"/>
    <row r="1121" s="34" customFormat="1"/>
    <row r="1122" s="34" customFormat="1"/>
    <row r="1123" s="34" customFormat="1"/>
    <row r="1124" s="34" customFormat="1"/>
    <row r="1125" s="34" customFormat="1"/>
    <row r="1126" s="34" customFormat="1"/>
    <row r="1127" s="34" customFormat="1"/>
    <row r="1128" s="34" customFormat="1"/>
    <row r="1129" s="34" customFormat="1"/>
    <row r="1130" s="34" customFormat="1"/>
    <row r="1131" s="34" customFormat="1"/>
    <row r="1132" s="34" customFormat="1"/>
    <row r="1133" s="34" customFormat="1"/>
    <row r="1134" s="34" customFormat="1"/>
    <row r="1135" s="34" customFormat="1"/>
    <row r="1136" s="34" customFormat="1"/>
    <row r="1137" s="34" customFormat="1"/>
    <row r="1138" s="34" customFormat="1"/>
    <row r="1139" s="34" customFormat="1"/>
    <row r="1140" s="34" customFormat="1"/>
    <row r="1141" s="34" customFormat="1"/>
    <row r="1142" s="34" customFormat="1"/>
    <row r="1143" s="34" customFormat="1"/>
    <row r="1144" s="34" customFormat="1"/>
    <row r="1145" s="34" customFormat="1"/>
    <row r="1146" s="34" customFormat="1"/>
    <row r="1147" s="34" customFormat="1"/>
    <row r="1148" s="34" customFormat="1"/>
    <row r="1149" s="34" customFormat="1"/>
    <row r="1150" s="34" customFormat="1"/>
    <row r="1151" s="34" customFormat="1"/>
    <row r="1152" s="34" customFormat="1"/>
    <row r="1153" s="34" customFormat="1"/>
    <row r="1154" s="34" customFormat="1"/>
    <row r="1155" s="34" customFormat="1"/>
    <row r="1156" s="34" customFormat="1"/>
    <row r="1157" s="34" customFormat="1"/>
    <row r="1158" s="34" customFormat="1"/>
    <row r="1159" s="34" customFormat="1"/>
    <row r="1160" s="34" customFormat="1"/>
    <row r="1161" s="34" customFormat="1"/>
    <row r="1162" s="34" customFormat="1"/>
    <row r="1163" s="34" customFormat="1"/>
    <row r="1164" s="34" customFormat="1"/>
    <row r="1165" s="34" customFormat="1"/>
    <row r="1166" s="34" customFormat="1"/>
    <row r="1167" s="34" customFormat="1"/>
    <row r="1168" s="34" customFormat="1"/>
    <row r="1169" s="34" customFormat="1"/>
    <row r="1170" s="34" customFormat="1"/>
    <row r="1171" s="34" customFormat="1"/>
    <row r="1172" s="34" customFormat="1"/>
    <row r="1173" s="34" customFormat="1"/>
    <row r="1174" s="34" customFormat="1"/>
    <row r="1175" s="34" customFormat="1"/>
    <row r="1176" s="34" customFormat="1"/>
    <row r="1177" s="34" customFormat="1"/>
    <row r="1178" s="34" customFormat="1"/>
    <row r="1179" s="34" customFormat="1"/>
    <row r="1180" s="34" customFormat="1"/>
    <row r="1181" s="34" customFormat="1"/>
    <row r="1182" s="34" customFormat="1"/>
    <row r="1183" s="34" customFormat="1"/>
    <row r="1184" s="34" customFormat="1"/>
    <row r="1185" s="34" customFormat="1"/>
    <row r="1186" s="34" customFormat="1"/>
    <row r="1187" s="34" customFormat="1"/>
    <row r="1188" s="34" customFormat="1"/>
    <row r="1189" s="34" customFormat="1"/>
    <row r="1190" s="34" customFormat="1"/>
    <row r="1191" s="34" customFormat="1"/>
    <row r="1192" s="34" customFormat="1"/>
    <row r="1193" s="34" customFormat="1"/>
    <row r="1194" s="34" customFormat="1"/>
    <row r="1195" s="34" customFormat="1"/>
    <row r="1196" s="34" customFormat="1"/>
    <row r="1197" s="34" customFormat="1"/>
    <row r="1198" s="34" customFormat="1"/>
    <row r="1199" s="34" customFormat="1"/>
    <row r="1200" s="34" customFormat="1"/>
    <row r="1201" s="34" customFormat="1"/>
    <row r="1202" s="34" customFormat="1"/>
    <row r="1203" s="34" customFormat="1"/>
    <row r="1204" s="34" customFormat="1"/>
    <row r="1205" s="34" customFormat="1"/>
    <row r="1206" s="34" customFormat="1"/>
    <row r="1207" s="34" customFormat="1"/>
    <row r="1208" s="34" customFormat="1"/>
    <row r="1209" s="34" customFormat="1"/>
    <row r="1210" s="34" customFormat="1"/>
    <row r="1211" s="34" customFormat="1"/>
    <row r="1212" s="34" customFormat="1"/>
    <row r="1213" s="34" customFormat="1"/>
    <row r="1214" s="34" customFormat="1"/>
    <row r="1215" s="34" customFormat="1"/>
    <row r="1216" s="34" customFormat="1"/>
    <row r="1217" s="34" customFormat="1"/>
    <row r="1218" s="34" customFormat="1"/>
    <row r="1219" s="34" customFormat="1"/>
    <row r="1220" s="34" customFormat="1"/>
    <row r="1221" s="34" customFormat="1"/>
    <row r="1222" s="34" customFormat="1"/>
    <row r="1223" s="34" customFormat="1"/>
    <row r="1224" s="34" customFormat="1"/>
    <row r="1225" s="34" customFormat="1"/>
    <row r="1226" s="34" customFormat="1"/>
    <row r="1227" s="34" customFormat="1"/>
    <row r="1228" s="34" customFormat="1"/>
    <row r="1229" s="34" customFormat="1"/>
    <row r="1230" s="34" customFormat="1"/>
    <row r="1231" s="34" customFormat="1"/>
    <row r="1232" s="34" customFormat="1"/>
    <row r="1233" s="34" customFormat="1"/>
    <row r="1234" s="34" customFormat="1"/>
    <row r="1235" s="34" customFormat="1"/>
    <row r="1236" s="34" customFormat="1"/>
    <row r="1237" s="34" customFormat="1"/>
    <row r="1238" s="34" customFormat="1"/>
    <row r="1239" s="34" customFormat="1"/>
    <row r="1240" s="34" customFormat="1"/>
    <row r="1241" s="34" customFormat="1"/>
    <row r="1242" s="34" customFormat="1"/>
    <row r="1243" s="34" customFormat="1"/>
    <row r="1244" s="34" customFormat="1"/>
    <row r="1245" s="34" customFormat="1"/>
    <row r="1246" s="34" customFormat="1"/>
    <row r="1247" s="34" customFormat="1"/>
    <row r="1248" s="34" customFormat="1"/>
    <row r="1249" s="34" customFormat="1"/>
    <row r="1250" s="34" customFormat="1"/>
    <row r="1251" s="34" customFormat="1"/>
    <row r="1252" s="34" customFormat="1"/>
    <row r="1253" s="34" customFormat="1"/>
    <row r="1254" s="34" customFormat="1"/>
    <row r="1255" s="34" customFormat="1"/>
    <row r="1256" s="34" customFormat="1"/>
    <row r="1257" s="34" customFormat="1"/>
    <row r="1258" s="34" customFormat="1"/>
    <row r="1259" s="34" customFormat="1"/>
    <row r="1260" s="34" customFormat="1"/>
    <row r="1261" s="34" customFormat="1"/>
    <row r="1262" s="34" customFormat="1"/>
    <row r="1263" s="34" customFormat="1"/>
    <row r="1264" s="34" customFormat="1"/>
    <row r="1265" s="34" customFormat="1"/>
    <row r="1266" s="34" customFormat="1"/>
    <row r="1267" s="34" customFormat="1"/>
    <row r="1268" s="34" customFormat="1"/>
    <row r="1269" s="34" customFormat="1"/>
    <row r="1270" s="34" customFormat="1"/>
    <row r="1271" s="34" customFormat="1"/>
    <row r="1272" s="34" customFormat="1"/>
    <row r="1273" s="34" customFormat="1"/>
    <row r="1274" s="34" customFormat="1"/>
    <row r="1275" s="34" customFormat="1"/>
    <row r="1276" s="34" customFormat="1"/>
    <row r="1277" s="34" customFormat="1"/>
    <row r="1278" s="34" customFormat="1"/>
    <row r="1279" s="34" customFormat="1"/>
    <row r="1280" s="34" customFormat="1"/>
    <row r="1281" s="34" customFormat="1"/>
    <row r="1282" s="34" customFormat="1"/>
    <row r="1283" s="34" customFormat="1"/>
    <row r="1284" s="34" customFormat="1"/>
    <row r="1285" s="34" customFormat="1"/>
    <row r="1286" s="34" customFormat="1"/>
    <row r="1287" s="34" customFormat="1"/>
    <row r="1288" s="34" customFormat="1"/>
    <row r="1289" s="34" customFormat="1"/>
    <row r="1290" s="34" customFormat="1"/>
    <row r="1291" s="34" customFormat="1"/>
    <row r="1292" s="34" customFormat="1"/>
    <row r="1293" s="34" customFormat="1"/>
    <row r="1294" s="34" customFormat="1"/>
    <row r="1295" s="34" customFormat="1"/>
    <row r="1296" s="34" customFormat="1"/>
    <row r="1297" s="34" customFormat="1"/>
    <row r="1298" s="34" customFormat="1"/>
    <row r="1299" s="34" customFormat="1"/>
    <row r="1300" s="34" customFormat="1"/>
    <row r="1301" s="34" customFormat="1"/>
    <row r="1302" s="34" customFormat="1"/>
    <row r="1303" s="34" customFormat="1"/>
    <row r="1304" s="34" customFormat="1"/>
    <row r="1305" s="34" customFormat="1"/>
    <row r="1306" s="34" customFormat="1"/>
    <row r="1307" s="34" customFormat="1"/>
    <row r="1308" s="34" customFormat="1"/>
    <row r="1309" s="34" customFormat="1"/>
    <row r="1310" s="34" customFormat="1"/>
    <row r="1311" s="34" customFormat="1"/>
    <row r="1312" s="34" customFormat="1"/>
    <row r="1313" s="34" customFormat="1"/>
    <row r="1314" s="34" customFormat="1"/>
    <row r="1315" s="34" customFormat="1"/>
    <row r="1316" s="34" customFormat="1"/>
    <row r="1317" s="34" customFormat="1"/>
    <row r="1318" s="34" customFormat="1"/>
    <row r="1319" s="34" customFormat="1"/>
    <row r="1320" s="34" customFormat="1"/>
    <row r="1321" s="34" customFormat="1"/>
    <row r="1322" s="34" customFormat="1"/>
    <row r="1323" s="34" customFormat="1"/>
    <row r="1324" s="34" customFormat="1"/>
    <row r="1325" s="34" customFormat="1"/>
    <row r="1326" s="34" customFormat="1"/>
    <row r="1327" s="34" customFormat="1"/>
    <row r="1328" s="34" customFormat="1"/>
    <row r="1329" s="34" customFormat="1"/>
    <row r="1330" s="34" customFormat="1"/>
    <row r="1331" s="34" customFormat="1"/>
    <row r="1332" s="34" customFormat="1"/>
    <row r="1333" s="34" customFormat="1"/>
    <row r="1334" s="34" customFormat="1"/>
    <row r="1335" s="34" customFormat="1"/>
    <row r="1336" s="34" customFormat="1"/>
    <row r="1337" s="34" customFormat="1"/>
    <row r="1338" s="34" customFormat="1"/>
    <row r="1339" s="34" customFormat="1"/>
    <row r="1340" s="34" customFormat="1"/>
    <row r="1341" s="34" customFormat="1"/>
    <row r="1342" s="34" customFormat="1"/>
    <row r="1343" s="34" customFormat="1"/>
    <row r="1344" s="34" customFormat="1"/>
    <row r="1345" s="34" customFormat="1"/>
    <row r="1346" s="34" customFormat="1"/>
    <row r="1347" s="34" customFormat="1"/>
    <row r="1348" s="34" customFormat="1"/>
    <row r="1349" s="34" customFormat="1"/>
    <row r="1350" s="34" customFormat="1"/>
    <row r="1351" s="34" customFormat="1"/>
    <row r="1352" s="34" customFormat="1"/>
    <row r="1353" s="34" customFormat="1"/>
    <row r="1354" s="34" customFormat="1"/>
    <row r="1355" s="34" customFormat="1"/>
    <row r="1356" s="34" customFormat="1"/>
    <row r="1357" s="34" customFormat="1"/>
    <row r="1358" s="34" customFormat="1"/>
    <row r="1359" s="34" customFormat="1"/>
    <row r="1360" s="34" customFormat="1"/>
    <row r="1361" s="34" customFormat="1"/>
    <row r="1362" s="34" customFormat="1"/>
    <row r="1363" s="34" customFormat="1"/>
    <row r="1364" s="34" customFormat="1"/>
    <row r="1365" s="34" customFormat="1"/>
    <row r="1366" s="34" customFormat="1"/>
    <row r="1367" s="34" customFormat="1"/>
    <row r="1368" s="34" customFormat="1"/>
    <row r="1369" s="34" customFormat="1"/>
    <row r="1370" s="34" customFormat="1"/>
    <row r="1371" s="34" customFormat="1"/>
    <row r="1372" s="34" customFormat="1"/>
    <row r="1373" s="34" customFormat="1"/>
    <row r="1374" s="34" customFormat="1"/>
    <row r="1375" s="34" customFormat="1"/>
    <row r="1376" s="34" customFormat="1"/>
    <row r="1377" s="34" customFormat="1"/>
    <row r="1378" s="34" customFormat="1"/>
    <row r="1379" s="34" customFormat="1"/>
    <row r="1380" s="34" customFormat="1"/>
    <row r="1381" s="34" customFormat="1"/>
    <row r="1382" s="34" customFormat="1"/>
    <row r="1383" s="34" customFormat="1"/>
    <row r="1384" s="34" customFormat="1"/>
    <row r="1385" s="34" customFormat="1"/>
    <row r="1386" s="34" customFormat="1"/>
    <row r="1387" s="34" customFormat="1"/>
    <row r="1388" s="34" customFormat="1"/>
    <row r="1389" s="34" customFormat="1"/>
    <row r="1390" s="34" customFormat="1"/>
    <row r="1391" s="34" customFormat="1"/>
    <row r="1392" s="34" customFormat="1"/>
    <row r="1393" s="34" customFormat="1"/>
    <row r="1394" s="34" customFormat="1"/>
    <row r="1395" s="34" customFormat="1"/>
    <row r="1396" s="34" customFormat="1"/>
    <row r="1397" s="34" customFormat="1"/>
    <row r="1398" s="34" customFormat="1"/>
    <row r="1399" s="34" customFormat="1"/>
    <row r="1400" s="34" customFormat="1"/>
    <row r="1401" s="34" customFormat="1"/>
    <row r="1402" s="34" customFormat="1"/>
    <row r="1403" s="34" customFormat="1"/>
    <row r="1404" s="34" customFormat="1"/>
    <row r="1405" s="34" customFormat="1"/>
    <row r="1406" s="34" customFormat="1"/>
    <row r="1407" s="34" customFormat="1"/>
    <row r="1408" s="34" customFormat="1"/>
    <row r="1409" s="34" customFormat="1"/>
    <row r="1410" s="34" customFormat="1"/>
    <row r="1411" s="34" customFormat="1"/>
    <row r="1412" s="34" customFormat="1"/>
    <row r="1413" s="34" customFormat="1"/>
    <row r="1414" s="34" customFormat="1"/>
    <row r="1415" s="34" customFormat="1"/>
    <row r="1416" s="34" customFormat="1"/>
    <row r="1417" s="34" customFormat="1"/>
    <row r="1418" s="34" customFormat="1"/>
    <row r="1419" s="34" customFormat="1"/>
    <row r="1420" s="34" customFormat="1"/>
    <row r="1421" s="34" customFormat="1"/>
    <row r="1422" s="34" customFormat="1"/>
    <row r="1423" s="34" customFormat="1"/>
    <row r="1424" s="34" customFormat="1"/>
    <row r="1425" s="34" customFormat="1"/>
    <row r="1426" s="34" customFormat="1"/>
    <row r="1427" s="34" customFormat="1"/>
    <row r="1428" s="34" customFormat="1"/>
    <row r="1429" s="34" customFormat="1"/>
    <row r="1430" s="34" customFormat="1"/>
    <row r="1431" s="34" customFormat="1"/>
    <row r="1432" s="34" customFormat="1"/>
    <row r="1433" s="34" customFormat="1"/>
    <row r="1434" s="34" customFormat="1"/>
    <row r="1435" s="34" customFormat="1"/>
    <row r="1436" s="34" customFormat="1"/>
    <row r="1437" s="34" customFormat="1"/>
    <row r="1438" s="34" customFormat="1"/>
    <row r="1439" s="34" customFormat="1"/>
    <row r="1440" s="34" customFormat="1"/>
    <row r="1441" s="34" customFormat="1"/>
    <row r="1442" s="34" customFormat="1"/>
    <row r="1443" s="34" customFormat="1"/>
    <row r="1444" s="34" customFormat="1"/>
    <row r="1445" s="34" customFormat="1"/>
    <row r="1446" s="34" customFormat="1"/>
    <row r="1447" s="34" customFormat="1"/>
    <row r="1448" s="34" customFormat="1"/>
    <row r="1449" s="34" customFormat="1"/>
    <row r="1450" s="34" customFormat="1"/>
    <row r="1451" s="34" customFormat="1"/>
    <row r="1452" s="34" customFormat="1"/>
    <row r="1453" s="34" customFormat="1"/>
    <row r="1454" s="34" customFormat="1"/>
    <row r="1455" s="34" customFormat="1"/>
    <row r="1456" s="34" customFormat="1"/>
    <row r="1457" s="34" customFormat="1"/>
    <row r="1458" s="34" customFormat="1"/>
    <row r="1459" s="34" customFormat="1"/>
    <row r="1460" s="34" customFormat="1"/>
    <row r="1461" s="34" customFormat="1"/>
    <row r="1462" s="34" customFormat="1"/>
    <row r="1463" s="34" customFormat="1"/>
    <row r="1464" s="34" customFormat="1"/>
    <row r="1465" s="34" customFormat="1"/>
    <row r="1466" s="34" customFormat="1"/>
    <row r="1467" s="34" customFormat="1"/>
    <row r="1468" s="34" customFormat="1"/>
    <row r="1469" s="34" customFormat="1"/>
    <row r="1470" s="34" customFormat="1"/>
    <row r="1471" s="34" customFormat="1"/>
    <row r="1472" s="34" customFormat="1"/>
    <row r="1473" s="34" customFormat="1"/>
    <row r="1474" s="34" customFormat="1"/>
    <row r="1475" s="34" customFormat="1"/>
    <row r="1476" s="34" customFormat="1"/>
    <row r="1477" s="34" customFormat="1"/>
    <row r="1478" s="34" customFormat="1"/>
    <row r="1479" s="34" customFormat="1"/>
    <row r="1480" s="34" customFormat="1"/>
    <row r="1481" s="34" customFormat="1"/>
    <row r="1482" s="34" customFormat="1"/>
    <row r="1483" s="34" customFormat="1"/>
    <row r="1484" s="34" customFormat="1"/>
    <row r="1485" s="34" customFormat="1"/>
    <row r="1486" s="34" customFormat="1"/>
    <row r="1487" s="34" customFormat="1"/>
    <row r="1488" s="34" customFormat="1"/>
    <row r="1489" s="34" customFormat="1"/>
    <row r="1490" s="34" customFormat="1"/>
    <row r="1491" s="34" customFormat="1"/>
    <row r="1492" s="34" customFormat="1"/>
    <row r="1493" s="34" customFormat="1"/>
    <row r="1494" s="34" customFormat="1"/>
    <row r="1495" s="34" customFormat="1"/>
    <row r="1496" s="34" customFormat="1"/>
    <row r="1497" s="34" customFormat="1"/>
    <row r="1498" s="34" customFormat="1"/>
    <row r="1499" s="34" customFormat="1"/>
    <row r="1500" s="34" customFormat="1"/>
    <row r="1501" s="34" customFormat="1"/>
    <row r="1502" s="34" customFormat="1"/>
    <row r="1503" s="34" customFormat="1"/>
    <row r="1504" s="34" customFormat="1"/>
    <row r="1505" s="34" customFormat="1"/>
    <row r="1506" s="34" customFormat="1"/>
    <row r="1507" s="34" customFormat="1"/>
    <row r="1508" s="34" customFormat="1"/>
    <row r="1509" s="34" customFormat="1"/>
    <row r="1510" s="34" customFormat="1"/>
    <row r="1511" s="34" customFormat="1"/>
    <row r="1512" s="34" customFormat="1"/>
    <row r="1513" s="34" customFormat="1"/>
    <row r="1514" s="34" customFormat="1"/>
    <row r="1515" s="34" customFormat="1"/>
    <row r="1516" s="34" customFormat="1"/>
    <row r="1517" s="34" customFormat="1"/>
    <row r="1518" s="34" customFormat="1"/>
    <row r="1519" s="34" customFormat="1"/>
    <row r="1520" s="34" customFormat="1"/>
    <row r="1521" s="34" customFormat="1"/>
    <row r="1522" s="34" customFormat="1"/>
    <row r="1523" s="34" customFormat="1"/>
    <row r="1524" s="34" customFormat="1"/>
    <row r="1525" s="34" customFormat="1"/>
    <row r="1526" s="34" customFormat="1"/>
    <row r="1527" s="34" customFormat="1"/>
    <row r="1528" s="34" customFormat="1"/>
    <row r="1529" s="34" customFormat="1"/>
    <row r="1530" s="34" customFormat="1"/>
    <row r="1531" s="34" customFormat="1"/>
    <row r="1532" s="34" customFormat="1"/>
    <row r="1533" s="34" customFormat="1"/>
    <row r="1534" s="34" customFormat="1"/>
    <row r="1535" s="34" customFormat="1"/>
    <row r="1536" s="34" customFormat="1"/>
    <row r="1537" s="34" customFormat="1"/>
    <row r="1538" s="34" customFormat="1"/>
    <row r="1539" s="34" customFormat="1"/>
    <row r="1540" s="34" customFormat="1"/>
    <row r="1541" s="34" customFormat="1"/>
    <row r="1542" s="34" customFormat="1"/>
    <row r="1543" s="34" customFormat="1"/>
    <row r="1544" s="34" customFormat="1"/>
    <row r="1545" s="34" customFormat="1"/>
    <row r="1546" s="34" customFormat="1"/>
    <row r="1547" s="34" customFormat="1"/>
    <row r="1548" s="34" customFormat="1"/>
    <row r="1549" s="34" customFormat="1"/>
    <row r="1550" s="34" customFormat="1"/>
    <row r="1551" s="34" customFormat="1"/>
    <row r="1552" s="34" customFormat="1"/>
    <row r="1553" s="34" customFormat="1"/>
    <row r="1554" s="34" customFormat="1"/>
    <row r="1555" s="34" customFormat="1"/>
    <row r="1556" s="34" customFormat="1"/>
    <row r="1557" s="34" customFormat="1"/>
    <row r="1558" s="34" customFormat="1"/>
    <row r="1559" s="34" customFormat="1"/>
    <row r="1560" s="34" customFormat="1"/>
    <row r="1561" s="34" customFormat="1"/>
    <row r="1562" s="34" customFormat="1"/>
    <row r="1563" s="34" customFormat="1"/>
    <row r="1564" s="34" customFormat="1"/>
    <row r="1565" s="34" customFormat="1"/>
    <row r="1566" s="34" customFormat="1"/>
    <row r="1567" s="34" customFormat="1"/>
    <row r="1568" s="34" customFormat="1"/>
    <row r="1569" s="34" customFormat="1"/>
    <row r="1570" s="34" customFormat="1"/>
    <row r="1571" s="34" customFormat="1"/>
    <row r="1572" s="34" customFormat="1"/>
    <row r="1573" s="34" customFormat="1"/>
    <row r="1574" s="34" customFormat="1"/>
    <row r="1575" s="34" customFormat="1"/>
    <row r="1576" s="34" customFormat="1"/>
    <row r="1577" s="34" customFormat="1"/>
    <row r="1578" s="34" customFormat="1"/>
    <row r="1579" s="34" customFormat="1"/>
    <row r="1580" s="34" customFormat="1"/>
    <row r="1581" s="34" customFormat="1"/>
    <row r="1582" s="34" customFormat="1"/>
    <row r="1583" s="34" customFormat="1"/>
    <row r="1584" s="34" customFormat="1"/>
    <row r="1585" s="34" customFormat="1"/>
    <row r="1586" s="34" customFormat="1"/>
    <row r="1587" s="34" customFormat="1"/>
    <row r="1588" s="34" customFormat="1"/>
    <row r="1589" s="34" customFormat="1"/>
    <row r="1590" s="34" customFormat="1"/>
    <row r="1591" s="34" customFormat="1"/>
    <row r="1592" s="34" customFormat="1"/>
    <row r="1593" s="34" customFormat="1"/>
    <row r="1594" s="34" customFormat="1"/>
    <row r="1595" s="34" customFormat="1"/>
    <row r="1596" s="34" customFormat="1"/>
    <row r="1597" s="34" customFormat="1"/>
    <row r="1598" s="34" customFormat="1"/>
    <row r="1599" s="34" customFormat="1"/>
    <row r="1600" s="34" customFormat="1"/>
    <row r="1601" s="34" customFormat="1"/>
    <row r="1602" s="34" customFormat="1"/>
    <row r="1603" s="34" customFormat="1"/>
    <row r="1604" s="34" customFormat="1"/>
    <row r="1605" s="34" customFormat="1"/>
    <row r="1606" s="34" customFormat="1"/>
    <row r="1607" s="34" customFormat="1"/>
    <row r="1608" s="34" customFormat="1"/>
    <row r="1609" s="34" customFormat="1"/>
    <row r="1610" s="34" customFormat="1"/>
    <row r="1611" s="34" customFormat="1"/>
    <row r="1612" s="34" customFormat="1"/>
    <row r="1613" s="34" customFormat="1"/>
    <row r="1614" s="34" customFormat="1"/>
    <row r="1615" s="34" customFormat="1"/>
    <row r="1616" s="34" customFormat="1"/>
    <row r="1617" s="34" customFormat="1"/>
    <row r="1618" s="34" customFormat="1"/>
    <row r="1619" s="34" customFormat="1"/>
    <row r="1620" s="34" customFormat="1"/>
    <row r="1621" s="34" customFormat="1"/>
    <row r="1622" s="34" customFormat="1"/>
    <row r="1623" s="34" customFormat="1"/>
    <row r="1624" s="34" customFormat="1"/>
    <row r="1625" s="34" customFormat="1"/>
    <row r="1626" s="34" customFormat="1"/>
    <row r="1627" s="34" customFormat="1"/>
    <row r="1628" s="34" customFormat="1"/>
    <row r="1629" s="34" customFormat="1"/>
    <row r="1630" s="34" customFormat="1"/>
    <row r="1631" s="34" customFormat="1"/>
    <row r="1632" s="34" customFormat="1"/>
    <row r="1633" s="34" customFormat="1"/>
    <row r="1634" s="34" customFormat="1"/>
    <row r="1635" s="34" customFormat="1"/>
    <row r="1636" s="34" customFormat="1"/>
    <row r="1637" s="34" customFormat="1"/>
    <row r="1638" s="34" customFormat="1"/>
    <row r="1639" s="34" customFormat="1"/>
    <row r="1640" s="34" customFormat="1"/>
    <row r="1641" s="34" customFormat="1"/>
    <row r="1642" s="34" customFormat="1"/>
    <row r="1643" s="34" customFormat="1"/>
    <row r="1644" s="34" customFormat="1"/>
    <row r="1645" s="34" customFormat="1"/>
    <row r="1646" s="34" customFormat="1"/>
    <row r="1647" s="34" customFormat="1"/>
    <row r="1648" s="34" customFormat="1"/>
    <row r="1649" s="34" customFormat="1"/>
    <row r="1650" s="34" customFormat="1"/>
    <row r="1651" s="34" customFormat="1"/>
    <row r="1652" s="34" customFormat="1"/>
    <row r="1653" s="34" customFormat="1"/>
    <row r="1654" s="34" customFormat="1"/>
    <row r="1655" s="34" customFormat="1"/>
    <row r="1656" s="34" customFormat="1"/>
    <row r="1657" s="34" customFormat="1"/>
    <row r="1658" s="34" customFormat="1"/>
    <row r="1659" s="34" customFormat="1"/>
    <row r="1660" s="34" customFormat="1"/>
    <row r="1661" s="34" customFormat="1"/>
    <row r="1662" s="34" customFormat="1"/>
    <row r="1663" s="34" customFormat="1"/>
    <row r="1664" s="34" customFormat="1"/>
    <row r="1665" s="34" customFormat="1"/>
    <row r="1666" s="34" customFormat="1"/>
    <row r="1667" s="34" customFormat="1"/>
    <row r="1668" s="34" customFormat="1"/>
    <row r="1669" s="34" customFormat="1"/>
    <row r="1670" s="34" customFormat="1"/>
    <row r="1671" s="34" customFormat="1"/>
    <row r="1672" s="34" customFormat="1"/>
    <row r="1673" s="34" customFormat="1"/>
    <row r="1674" s="34" customFormat="1"/>
    <row r="1675" s="34" customFormat="1"/>
    <row r="1676" s="34" customFormat="1"/>
    <row r="1677" s="34" customFormat="1"/>
    <row r="1678" s="34" customFormat="1"/>
    <row r="1679" s="34" customFormat="1"/>
    <row r="1680" s="34" customFormat="1"/>
    <row r="1681" s="34" customFormat="1"/>
    <row r="1682" s="34" customFormat="1"/>
    <row r="1683" s="34" customFormat="1"/>
    <row r="1684" s="34" customFormat="1"/>
    <row r="1685" s="34" customFormat="1"/>
    <row r="1686" s="34" customFormat="1"/>
    <row r="1687" s="34" customFormat="1"/>
    <row r="1688" s="34" customFormat="1"/>
    <row r="1689" s="34" customFormat="1"/>
    <row r="1690" s="34" customFormat="1"/>
    <row r="1691" s="34" customFormat="1"/>
    <row r="1692" s="34" customFormat="1"/>
    <row r="1693" s="34" customFormat="1"/>
    <row r="1694" s="34" customFormat="1"/>
    <row r="1695" s="34" customFormat="1"/>
    <row r="1696" s="34" customFormat="1"/>
    <row r="1697" s="34" customFormat="1"/>
    <row r="1698" s="34" customFormat="1"/>
    <row r="1699" s="34" customFormat="1"/>
    <row r="1700" s="34" customFormat="1"/>
    <row r="1701" s="34" customFormat="1"/>
    <row r="1702" s="34" customFormat="1"/>
    <row r="1703" s="34" customFormat="1"/>
    <row r="1704" s="34" customFormat="1"/>
    <row r="1705" s="34" customFormat="1"/>
    <row r="1706" s="34" customFormat="1"/>
    <row r="1707" s="34" customFormat="1"/>
    <row r="1708" s="34" customFormat="1"/>
    <row r="1709" s="34" customFormat="1"/>
    <row r="1710" s="34" customFormat="1"/>
    <row r="1711" s="34" customFormat="1"/>
    <row r="1712" s="34" customFormat="1"/>
    <row r="1713" s="34" customFormat="1"/>
    <row r="1714" s="34" customFormat="1"/>
    <row r="1715" s="34" customFormat="1"/>
    <row r="1716" s="34" customFormat="1"/>
    <row r="1717" s="34" customFormat="1"/>
    <row r="1718" s="34" customFormat="1"/>
    <row r="1719" s="34" customFormat="1"/>
    <row r="1720" s="34" customFormat="1"/>
    <row r="1721" s="34" customFormat="1"/>
    <row r="1722" s="34" customFormat="1"/>
    <row r="1723" s="34" customFormat="1"/>
    <row r="1724" s="34" customFormat="1"/>
    <row r="1725" s="34" customFormat="1"/>
    <row r="1726" s="34" customFormat="1"/>
    <row r="1727" s="34" customFormat="1"/>
    <row r="1728" s="34" customFormat="1"/>
    <row r="1729" s="34" customFormat="1"/>
    <row r="1730" s="34" customFormat="1"/>
    <row r="1731" s="34" customFormat="1"/>
    <row r="1732" s="34" customFormat="1"/>
    <row r="1733" s="34" customFormat="1"/>
    <row r="1734" s="34" customFormat="1"/>
    <row r="1735" s="34" customFormat="1"/>
    <row r="1736" s="34" customFormat="1"/>
    <row r="1737" s="34" customFormat="1"/>
    <row r="1738" s="34" customFormat="1"/>
    <row r="1739" s="34" customFormat="1"/>
    <row r="1740" s="34" customFormat="1"/>
    <row r="1741" s="34" customFormat="1"/>
    <row r="1742" s="34" customFormat="1"/>
    <row r="1743" s="34" customFormat="1"/>
    <row r="1744" s="34" customFormat="1"/>
    <row r="1745" s="34" customFormat="1"/>
    <row r="1746" s="34" customFormat="1"/>
    <row r="1747" s="34" customFormat="1"/>
    <row r="1748" s="34" customFormat="1"/>
    <row r="1749" s="34" customFormat="1"/>
    <row r="1750" s="34" customFormat="1"/>
    <row r="1751" s="34" customFormat="1"/>
    <row r="1752" s="34" customFormat="1"/>
    <row r="1753" s="34" customFormat="1"/>
    <row r="1754" s="34" customFormat="1"/>
    <row r="1755" s="34" customFormat="1"/>
    <row r="1756" s="34" customFormat="1"/>
    <row r="1757" s="34" customFormat="1"/>
    <row r="1758" s="34" customFormat="1"/>
    <row r="1759" s="34" customFormat="1"/>
    <row r="1760" s="34" customFormat="1"/>
    <row r="1761" s="34" customFormat="1"/>
    <row r="1762" s="34" customFormat="1"/>
    <row r="1763" s="34" customFormat="1"/>
    <row r="1764" s="34" customFormat="1"/>
    <row r="1765" s="34" customFormat="1"/>
    <row r="1766" s="34" customFormat="1"/>
    <row r="1767" s="34" customFormat="1"/>
    <row r="1768" s="34" customFormat="1"/>
    <row r="1769" s="34" customFormat="1"/>
    <row r="1770" s="34" customFormat="1"/>
    <row r="1771" s="34" customFormat="1"/>
    <row r="1772" s="34" customFormat="1"/>
    <row r="1773" s="34" customFormat="1"/>
    <row r="1774" s="34" customFormat="1"/>
    <row r="1775" s="34" customFormat="1"/>
    <row r="1776" s="34" customFormat="1"/>
    <row r="1777" s="34" customFormat="1"/>
    <row r="1778" s="34" customFormat="1"/>
    <row r="1779" s="34" customFormat="1"/>
    <row r="1780" s="34" customFormat="1"/>
    <row r="1781" s="34" customFormat="1"/>
    <row r="1782" s="34" customFormat="1"/>
    <row r="1783" s="34" customFormat="1"/>
    <row r="1784" s="34" customFormat="1"/>
    <row r="1785" s="34" customFormat="1"/>
    <row r="1786" s="34" customFormat="1"/>
    <row r="1787" s="34" customFormat="1"/>
    <row r="1788" s="34" customFormat="1"/>
    <row r="1789" s="34" customFormat="1"/>
    <row r="1790" s="34" customFormat="1"/>
    <row r="1791" s="34" customFormat="1"/>
    <row r="1792" s="34" customFormat="1"/>
    <row r="1793" s="34" customFormat="1"/>
    <row r="1794" s="34" customFormat="1"/>
    <row r="1795" s="34" customFormat="1"/>
    <row r="1796" s="34" customFormat="1"/>
    <row r="1797" s="34" customFormat="1"/>
    <row r="1798" s="34" customFormat="1"/>
    <row r="1799" s="34" customFormat="1"/>
    <row r="1800" s="34" customFormat="1"/>
    <row r="1801" s="34" customFormat="1"/>
    <row r="1802" s="34" customFormat="1"/>
    <row r="1803" s="34" customFormat="1"/>
    <row r="1804" s="34" customFormat="1"/>
    <row r="1805" s="34" customFormat="1"/>
    <row r="1806" s="34" customFormat="1"/>
    <row r="1807" s="34" customFormat="1"/>
    <row r="1808" s="34" customFormat="1"/>
    <row r="1809" s="34" customFormat="1"/>
    <row r="1810" s="34" customFormat="1"/>
    <row r="1811" s="34" customFormat="1"/>
    <row r="1812" s="34" customFormat="1"/>
    <row r="1813" s="34" customFormat="1"/>
    <row r="1814" s="34" customFormat="1"/>
    <row r="1815" s="34" customFormat="1"/>
    <row r="1816" s="34" customFormat="1"/>
    <row r="1817" s="34" customFormat="1"/>
    <row r="1818" s="34" customFormat="1"/>
    <row r="1819" s="34" customFormat="1"/>
    <row r="1820" s="34" customFormat="1"/>
    <row r="1821" s="34" customFormat="1"/>
    <row r="1822" s="34" customFormat="1"/>
    <row r="1823" s="34" customFormat="1"/>
    <row r="1824" s="34" customFormat="1"/>
    <row r="1825" s="34" customFormat="1"/>
    <row r="1826" s="34" customFormat="1"/>
    <row r="1827" s="34" customFormat="1"/>
    <row r="1828" s="34" customFormat="1"/>
    <row r="1829" s="34" customFormat="1"/>
    <row r="1830" s="34" customFormat="1"/>
    <row r="1831" s="34" customFormat="1"/>
    <row r="1832" s="34" customFormat="1"/>
    <row r="1833" s="34" customFormat="1"/>
    <row r="1834" s="34" customFormat="1"/>
    <row r="1835" s="34" customFormat="1"/>
    <row r="1836" s="34" customFormat="1"/>
    <row r="1837" s="34" customFormat="1"/>
    <row r="1838" s="34" customFormat="1"/>
    <row r="1839" s="34" customFormat="1"/>
    <row r="1840" s="34" customFormat="1"/>
    <row r="1841" s="34" customFormat="1"/>
    <row r="1842" s="34" customFormat="1"/>
    <row r="1843" s="34" customFormat="1"/>
    <row r="1844" s="34" customFormat="1"/>
    <row r="1845" s="34" customFormat="1"/>
    <row r="1846" s="34" customFormat="1"/>
    <row r="1847" s="34" customFormat="1"/>
    <row r="1848" s="34" customFormat="1"/>
    <row r="1849" s="34" customFormat="1"/>
    <row r="1850" s="34" customFormat="1"/>
    <row r="1851" s="34" customFormat="1"/>
    <row r="1852" s="34" customFormat="1"/>
    <row r="1853" s="34" customFormat="1"/>
    <row r="1854" s="34" customFormat="1"/>
    <row r="1855" s="34" customFormat="1"/>
    <row r="1856" s="34" customFormat="1"/>
    <row r="1857" s="34" customFormat="1"/>
    <row r="1858" s="34" customFormat="1"/>
    <row r="1859" s="34" customFormat="1"/>
    <row r="1860" s="34" customFormat="1"/>
    <row r="1861" s="34" customFormat="1"/>
    <row r="1862" s="34" customFormat="1"/>
    <row r="1863" s="34" customFormat="1"/>
    <row r="1864" s="34" customFormat="1"/>
    <row r="1865" s="34" customFormat="1"/>
    <row r="1866" s="34" customFormat="1"/>
    <row r="1867" s="34" customFormat="1"/>
    <row r="1868" s="34" customFormat="1"/>
    <row r="1869" s="34" customFormat="1"/>
    <row r="1870" s="34" customFormat="1"/>
    <row r="1871" s="34" customFormat="1"/>
    <row r="1872" s="34" customFormat="1"/>
    <row r="1873" s="34" customFormat="1"/>
    <row r="1874" s="34" customFormat="1"/>
    <row r="1875" s="34" customFormat="1"/>
    <row r="1876" s="34" customFormat="1"/>
    <row r="1877" s="34" customFormat="1"/>
    <row r="1878" s="34" customFormat="1"/>
    <row r="1879" s="34" customFormat="1"/>
    <row r="1880" s="34" customFormat="1"/>
    <row r="1881" s="34" customFormat="1"/>
    <row r="1882" s="34" customFormat="1"/>
    <row r="1883" s="34" customFormat="1"/>
    <row r="1884" s="34" customFormat="1"/>
    <row r="1885" s="34" customFormat="1"/>
    <row r="1886" s="34" customFormat="1"/>
    <row r="1887" s="34" customFormat="1"/>
    <row r="1888" s="34" customFormat="1"/>
    <row r="1889" s="34" customFormat="1"/>
    <row r="1890" s="34" customFormat="1"/>
    <row r="1891" s="34" customFormat="1"/>
    <row r="1892" s="34" customFormat="1"/>
    <row r="1893" s="34" customFormat="1"/>
    <row r="1894" s="34" customFormat="1"/>
    <row r="1895" s="34" customFormat="1"/>
    <row r="1896" s="34" customFormat="1"/>
    <row r="1897" s="34" customFormat="1"/>
    <row r="1898" s="34" customFormat="1"/>
    <row r="1899" s="34" customFormat="1"/>
    <row r="1900" s="34" customFormat="1"/>
    <row r="1901" s="34" customFormat="1"/>
    <row r="1902" s="34" customFormat="1"/>
    <row r="1903" s="34" customFormat="1"/>
    <row r="1904" s="34" customFormat="1"/>
    <row r="1905" s="34" customFormat="1"/>
    <row r="1906" s="34" customFormat="1"/>
    <row r="1907" s="34" customFormat="1"/>
    <row r="1908" s="34" customFormat="1"/>
    <row r="1909" s="34" customFormat="1"/>
    <row r="1910" s="34" customFormat="1"/>
    <row r="1911" s="34" customFormat="1"/>
    <row r="1912" s="34" customFormat="1"/>
    <row r="1913" s="34" customFormat="1"/>
    <row r="1914" s="34" customFormat="1"/>
    <row r="1915" s="34" customFormat="1"/>
    <row r="1916" s="34" customFormat="1"/>
    <row r="1917" s="34" customFormat="1"/>
    <row r="1918" s="34" customFormat="1"/>
    <row r="1919" s="34" customFormat="1"/>
    <row r="1920" s="34" customFormat="1"/>
    <row r="1921" s="34" customFormat="1"/>
    <row r="1922" s="34" customFormat="1"/>
    <row r="1923" s="34" customFormat="1"/>
    <row r="1924" s="34" customFormat="1"/>
    <row r="1925" s="34" customFormat="1"/>
    <row r="1926" s="34" customFormat="1"/>
    <row r="1927" s="34" customFormat="1"/>
    <row r="1928" s="34" customFormat="1"/>
    <row r="1929" s="34" customFormat="1"/>
    <row r="1930" s="34" customFormat="1"/>
    <row r="1931" s="34" customFormat="1"/>
    <row r="1932" s="34" customFormat="1"/>
    <row r="1933" s="34" customFormat="1"/>
    <row r="1934" s="34" customFormat="1"/>
    <row r="1935" s="34" customFormat="1"/>
    <row r="1936" s="34" customFormat="1"/>
    <row r="1937" s="34" customFormat="1"/>
    <row r="1938" s="34" customFormat="1"/>
    <row r="1939" s="34" customFormat="1"/>
    <row r="1940" s="34" customFormat="1"/>
    <row r="1941" s="34" customFormat="1"/>
    <row r="1942" s="34" customFormat="1"/>
    <row r="1943" s="34" customFormat="1"/>
    <row r="1944" s="34" customFormat="1"/>
    <row r="1945" s="34" customFormat="1"/>
    <row r="1946" s="34" customFormat="1"/>
    <row r="1947" s="34" customFormat="1"/>
    <row r="1948" s="34" customFormat="1"/>
    <row r="1949" s="34" customFormat="1"/>
    <row r="1950" s="34" customFormat="1"/>
    <row r="1951" s="34" customFormat="1"/>
    <row r="1952" s="34" customFormat="1"/>
    <row r="1953" s="34" customFormat="1"/>
    <row r="1954" s="34" customFormat="1"/>
    <row r="1955" s="34" customFormat="1"/>
    <row r="1956" s="34" customFormat="1"/>
    <row r="1957" s="34" customFormat="1"/>
    <row r="1958" s="34" customFormat="1"/>
    <row r="1959" s="34" customFormat="1"/>
    <row r="1960" s="34" customFormat="1"/>
    <row r="1961" s="34" customFormat="1"/>
    <row r="1962" s="34" customFormat="1"/>
    <row r="1963" s="34" customFormat="1"/>
    <row r="1964" s="34" customFormat="1"/>
    <row r="1965" s="34" customFormat="1"/>
    <row r="1966" s="34" customFormat="1"/>
    <row r="1967" s="34" customFormat="1"/>
    <row r="1968" s="34" customFormat="1"/>
    <row r="1969" s="34" customFormat="1"/>
    <row r="1970" s="34" customFormat="1"/>
    <row r="1971" s="34" customFormat="1"/>
    <row r="1972" s="34" customFormat="1"/>
    <row r="1973" s="34" customFormat="1"/>
    <row r="1974" s="34" customFormat="1"/>
    <row r="1975" s="34" customFormat="1"/>
    <row r="1976" s="34" customFormat="1"/>
    <row r="1977" s="34" customFormat="1"/>
    <row r="1978" s="34" customFormat="1"/>
    <row r="1979" s="34" customFormat="1"/>
    <row r="1980" s="34" customFormat="1"/>
    <row r="1981" s="34" customFormat="1"/>
    <row r="1982" s="34" customFormat="1"/>
    <row r="1983" s="34" customFormat="1"/>
    <row r="1984" s="34" customFormat="1"/>
    <row r="1985" s="34" customFormat="1"/>
    <row r="1986" s="34" customFormat="1"/>
    <row r="1987" s="34" customFormat="1"/>
    <row r="1988" s="34" customFormat="1"/>
    <row r="1989" s="34" customFormat="1"/>
    <row r="1990" s="34" customFormat="1"/>
    <row r="1991" s="34" customFormat="1"/>
    <row r="1992" s="34" customFormat="1"/>
    <row r="1993" s="34" customFormat="1"/>
    <row r="1994" s="34" customFormat="1"/>
    <row r="1995" s="34" customFormat="1"/>
    <row r="1996" s="34" customFormat="1"/>
    <row r="1997" s="34" customFormat="1"/>
    <row r="1998" s="34" customFormat="1"/>
    <row r="1999" s="34" customFormat="1"/>
    <row r="2000" s="34" customFormat="1"/>
    <row r="2001" s="34" customFormat="1"/>
    <row r="2002" s="34" customFormat="1"/>
    <row r="2003" s="34" customFormat="1"/>
    <row r="2004" s="34" customFormat="1"/>
    <row r="2005" s="34" customFormat="1"/>
    <row r="2006" s="34" customFormat="1"/>
    <row r="2007" s="34" customFormat="1"/>
    <row r="2008" s="34" customFormat="1"/>
    <row r="2009" s="34" customFormat="1"/>
    <row r="2010" s="34" customFormat="1"/>
    <row r="2011" s="34" customFormat="1"/>
    <row r="2012" s="34" customFormat="1"/>
    <row r="2013" s="34" customFormat="1"/>
    <row r="2014" s="34" customFormat="1"/>
    <row r="2015" s="34" customFormat="1"/>
    <row r="2016" s="34" customFormat="1"/>
    <row r="2017" s="34" customFormat="1"/>
    <row r="2018" s="34" customFormat="1"/>
    <row r="2019" s="34" customFormat="1"/>
    <row r="2020" s="34" customFormat="1"/>
    <row r="2021" s="34" customFormat="1"/>
    <row r="2022" s="34" customFormat="1"/>
    <row r="2023" s="34" customFormat="1"/>
    <row r="2024" s="34" customFormat="1"/>
    <row r="2025" s="34" customFormat="1"/>
    <row r="2026" s="34" customFormat="1"/>
    <row r="2027" s="34" customFormat="1"/>
    <row r="2028" s="34" customFormat="1"/>
    <row r="2029" s="34" customFormat="1"/>
    <row r="2030" s="34" customFormat="1"/>
    <row r="2031" s="34" customFormat="1"/>
    <row r="2032" s="34" customFormat="1"/>
    <row r="2033" s="34" customFormat="1"/>
    <row r="2034" s="34" customFormat="1"/>
    <row r="2035" s="34" customFormat="1"/>
    <row r="2036" s="34" customFormat="1"/>
    <row r="2037" s="34" customFormat="1"/>
    <row r="2038" s="34" customFormat="1"/>
    <row r="2039" s="34" customFormat="1"/>
    <row r="2040" s="34" customFormat="1"/>
    <row r="2041" s="34" customFormat="1"/>
    <row r="2042" s="34" customFormat="1"/>
    <row r="2043" s="34" customFormat="1"/>
    <row r="2044" s="34" customFormat="1"/>
    <row r="2045" s="34" customFormat="1"/>
    <row r="2046" s="34" customFormat="1"/>
    <row r="2047" s="34" customFormat="1"/>
    <row r="2048" s="34" customFormat="1"/>
    <row r="2049" s="34" customFormat="1"/>
    <row r="2050" s="34" customFormat="1"/>
    <row r="2051" s="34" customFormat="1"/>
    <row r="2052" s="34" customFormat="1"/>
    <row r="2053" s="34" customFormat="1"/>
    <row r="2054" s="34" customFormat="1"/>
    <row r="2055" s="34" customFormat="1"/>
    <row r="2056" s="34" customFormat="1"/>
    <row r="2057" s="34" customFormat="1"/>
    <row r="2058" s="34" customFormat="1"/>
    <row r="2059" s="34" customFormat="1"/>
    <row r="2060" s="34" customFormat="1"/>
    <row r="2061" s="34" customFormat="1"/>
    <row r="2062" s="34" customFormat="1"/>
    <row r="2063" s="34" customFormat="1"/>
    <row r="2064" s="34" customFormat="1"/>
    <row r="2065" s="34" customFormat="1"/>
    <row r="2066" s="34" customFormat="1"/>
    <row r="2067" s="34" customFormat="1"/>
    <row r="2068" s="34" customFormat="1"/>
    <row r="2069" s="34" customFormat="1"/>
    <row r="2070" s="34" customFormat="1"/>
    <row r="2071" s="34" customFormat="1"/>
    <row r="2072" s="34" customFormat="1"/>
    <row r="2073" s="34" customFormat="1"/>
    <row r="2074" s="34" customFormat="1"/>
    <row r="2075" s="34" customFormat="1"/>
    <row r="2076" s="34" customFormat="1"/>
    <row r="2077" s="34" customFormat="1"/>
    <row r="2078" s="34" customFormat="1"/>
    <row r="2079" s="34" customFormat="1"/>
    <row r="2080" s="34" customFormat="1"/>
    <row r="2081" s="34" customFormat="1"/>
    <row r="2082" s="34" customFormat="1"/>
    <row r="2083" s="34" customFormat="1"/>
    <row r="2084" s="34" customFormat="1"/>
    <row r="2085" s="34" customFormat="1"/>
    <row r="2086" s="34" customFormat="1"/>
    <row r="2087" s="34" customFormat="1"/>
    <row r="2088" s="34" customFormat="1"/>
    <row r="2089" s="34" customFormat="1"/>
    <row r="2090" s="34" customFormat="1"/>
    <row r="2091" s="34" customFormat="1"/>
    <row r="2092" s="34" customFormat="1"/>
    <row r="2093" s="34" customFormat="1"/>
    <row r="2094" s="34" customFormat="1"/>
    <row r="2095" s="34" customFormat="1"/>
    <row r="2096" s="34" customFormat="1"/>
    <row r="2097" s="34" customFormat="1"/>
    <row r="2098" s="34" customFormat="1"/>
    <row r="2099" s="34" customFormat="1"/>
    <row r="2100" s="34" customFormat="1"/>
    <row r="2101" s="34" customFormat="1"/>
    <row r="2102" s="34" customFormat="1"/>
    <row r="2103" s="34" customFormat="1"/>
    <row r="2104" s="34" customFormat="1"/>
    <row r="2105" s="34" customFormat="1"/>
    <row r="2106" s="34" customFormat="1"/>
    <row r="2107" s="34" customFormat="1"/>
    <row r="2108" s="34" customFormat="1"/>
    <row r="2109" s="34" customFormat="1"/>
    <row r="2110" s="34" customFormat="1"/>
    <row r="2111" s="34" customFormat="1"/>
    <row r="2112" s="34" customFormat="1"/>
    <row r="2113" s="34" customFormat="1"/>
    <row r="2114" s="34" customFormat="1"/>
    <row r="2115" s="34" customFormat="1"/>
    <row r="2116" s="34" customFormat="1"/>
    <row r="2117" s="34" customFormat="1"/>
    <row r="2118" s="34" customFormat="1"/>
    <row r="2119" s="34" customFormat="1"/>
    <row r="2120" s="34" customFormat="1"/>
    <row r="2121" s="34" customFormat="1"/>
    <row r="2122" s="34" customFormat="1"/>
    <row r="2123" s="34" customFormat="1"/>
    <row r="2124" s="34" customFormat="1"/>
    <row r="2125" s="34" customFormat="1"/>
    <row r="2126" s="34" customFormat="1"/>
    <row r="2127" s="34" customFormat="1"/>
    <row r="2128" s="34" customFormat="1"/>
    <row r="2129" s="34" customFormat="1"/>
    <row r="2130" s="34" customFormat="1"/>
    <row r="2131" s="34" customFormat="1"/>
    <row r="2132" s="34" customFormat="1"/>
    <row r="2133" s="34" customFormat="1"/>
    <row r="2134" s="34" customFormat="1"/>
    <row r="2135" s="34" customFormat="1"/>
    <row r="2136" s="34" customFormat="1"/>
    <row r="2137" s="34" customFormat="1"/>
    <row r="2138" s="34" customFormat="1"/>
    <row r="2139" s="34" customFormat="1"/>
    <row r="2140" s="34" customFormat="1"/>
    <row r="2141" s="34" customFormat="1"/>
    <row r="2142" s="34" customFormat="1"/>
    <row r="2143" s="34" customFormat="1"/>
    <row r="2144" s="34" customFormat="1"/>
    <row r="2145" s="34" customFormat="1"/>
    <row r="2146" s="34" customFormat="1"/>
    <row r="2147" s="34" customFormat="1"/>
    <row r="2148" s="34" customFormat="1"/>
    <row r="2149" s="34" customFormat="1"/>
    <row r="2150" s="34" customFormat="1"/>
    <row r="2151" s="34" customFormat="1"/>
    <row r="2152" s="34" customFormat="1"/>
    <row r="2153" s="34" customFormat="1"/>
    <row r="2154" s="34" customFormat="1"/>
    <row r="2155" s="34" customFormat="1"/>
    <row r="2156" s="34" customFormat="1"/>
    <row r="2157" s="34" customFormat="1"/>
    <row r="2158" s="34" customFormat="1"/>
    <row r="2159" s="34" customFormat="1"/>
    <row r="2160" s="34" customFormat="1"/>
    <row r="2161" s="34" customFormat="1"/>
    <row r="2162" s="34" customFormat="1"/>
    <row r="2163" s="34" customFormat="1"/>
    <row r="2164" s="34" customFormat="1"/>
    <row r="2165" s="34" customFormat="1"/>
    <row r="2166" s="34" customFormat="1"/>
    <row r="2167" s="34" customFormat="1"/>
    <row r="2168" s="34" customFormat="1"/>
    <row r="2169" s="34" customFormat="1"/>
    <row r="2170" s="34" customFormat="1"/>
    <row r="2171" s="34" customFormat="1"/>
    <row r="2172" s="34" customFormat="1"/>
    <row r="2173" s="34" customFormat="1"/>
    <row r="2174" s="34" customFormat="1"/>
    <row r="2175" s="34" customFormat="1"/>
    <row r="2176" s="34" customFormat="1"/>
    <row r="2177" s="34" customFormat="1"/>
    <row r="2178" s="34" customFormat="1"/>
    <row r="2179" s="34" customFormat="1"/>
    <row r="2180" s="34" customFormat="1"/>
    <row r="2181" s="34" customFormat="1"/>
    <row r="2182" s="34" customFormat="1"/>
    <row r="2183" s="34" customFormat="1"/>
    <row r="2184" s="34" customFormat="1"/>
    <row r="2185" s="34" customFormat="1"/>
    <row r="2186" s="34" customFormat="1"/>
    <row r="2187" s="34" customFormat="1"/>
    <row r="2188" s="34" customFormat="1"/>
    <row r="2189" s="34" customFormat="1"/>
    <row r="2190" s="34" customFormat="1"/>
    <row r="2191" s="34" customFormat="1"/>
    <row r="2192" s="34" customFormat="1"/>
    <row r="2193" s="34" customFormat="1"/>
    <row r="2194" s="34" customFormat="1"/>
    <row r="2195" s="34" customFormat="1"/>
    <row r="2196" s="34" customFormat="1"/>
    <row r="2197" s="34" customFormat="1"/>
    <row r="2198" s="34" customFormat="1"/>
    <row r="2199" s="34" customFormat="1"/>
    <row r="2200" s="34" customFormat="1"/>
    <row r="2201" s="34" customFormat="1"/>
    <row r="2202" s="34" customFormat="1"/>
    <row r="2203" s="34" customFormat="1"/>
    <row r="2204" s="34" customFormat="1"/>
    <row r="2205" s="34" customFormat="1"/>
    <row r="2206" s="34" customFormat="1"/>
    <row r="2207" s="34" customFormat="1"/>
    <row r="2208" s="34" customFormat="1"/>
    <row r="2209" s="34" customFormat="1"/>
    <row r="2210" s="34" customFormat="1"/>
    <row r="2211" s="34" customFormat="1"/>
    <row r="2212" s="34" customFormat="1"/>
    <row r="2213" s="34" customFormat="1"/>
    <row r="2214" s="34" customFormat="1"/>
    <row r="2215" s="34" customFormat="1"/>
    <row r="2216" s="34" customFormat="1"/>
    <row r="2217" s="34" customFormat="1"/>
    <row r="2218" s="34" customFormat="1"/>
    <row r="2219" s="34" customFormat="1"/>
    <row r="2220" s="34" customFormat="1"/>
    <row r="2221" s="34" customFormat="1"/>
    <row r="2222" s="34" customFormat="1"/>
    <row r="2223" s="34" customFormat="1"/>
    <row r="2224" s="34" customFormat="1"/>
    <row r="2225" s="34" customFormat="1"/>
    <row r="2226" s="34" customFormat="1"/>
    <row r="2227" s="34" customFormat="1"/>
    <row r="2228" s="34" customFormat="1"/>
    <row r="2229" s="34" customFormat="1"/>
    <row r="2230" s="34" customFormat="1"/>
    <row r="2231" s="34" customFormat="1"/>
    <row r="2232" s="34" customFormat="1"/>
    <row r="2233" s="34" customFormat="1"/>
    <row r="2234" s="34" customFormat="1"/>
    <row r="2235" s="34" customFormat="1"/>
    <row r="2236" s="34" customFormat="1"/>
    <row r="2237" s="34" customFormat="1"/>
    <row r="2238" s="34" customFormat="1"/>
    <row r="2239" s="34" customFormat="1"/>
    <row r="2240" s="34" customFormat="1"/>
    <row r="2241" s="34" customFormat="1"/>
    <row r="2242" s="34" customFormat="1"/>
    <row r="2243" s="34" customFormat="1"/>
    <row r="2244" s="34" customFormat="1"/>
    <row r="2245" s="34" customFormat="1"/>
    <row r="2246" s="34" customFormat="1"/>
    <row r="2247" s="34" customFormat="1"/>
    <row r="2248" s="34" customFormat="1"/>
    <row r="2249" s="34" customFormat="1"/>
    <row r="2250" s="34" customFormat="1"/>
  </sheetData>
  <sheetProtection password="8B10" sheet="1" objects="1" scenarios="1"/>
  <phoneticPr fontId="3" type="noConversion"/>
  <pageMargins left="0.70866141732283472" right="0.70866141732283472" top="1.0236220472440944" bottom="1.0236220472440944" header="0.39370078740157483" footer="0.39370078740157483"/>
  <pageSetup paperSize="9" scale="72" orientation="landscape" r:id="rId1"/>
  <headerFooter alignWithMargins="0">
    <oddFooter>&amp;L&amp;"Frutiger 57Cn,Standard"&amp;8
Santander Consumer Bank AG
Santander-Platz 1
41061 Mönchengladbach
Tel.: +49 180 / 5556 - 499
Fax.: +49 180 / 5556 - 498</oddFooter>
  </headerFooter>
  <rowBreaks count="1" manualBreakCount="1">
    <brk id="52" max="11" man="1"/>
  </rowBreaks>
  <colBreaks count="1" manualBreakCount="1">
    <brk id="1" max="46"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250"/>
  <sheetViews>
    <sheetView view="pageBreakPreview" zoomScale="70" zoomScaleNormal="100" zoomScaleSheetLayoutView="70" workbookViewId="0">
      <selection activeCell="B3" sqref="B3"/>
    </sheetView>
  </sheetViews>
  <sheetFormatPr defaultRowHeight="12.75"/>
  <cols>
    <col min="1" max="1" width="1.28515625" style="31" customWidth="1"/>
    <col min="2" max="2" width="26" style="31" customWidth="1"/>
    <col min="3" max="3" width="14.85546875" style="31" bestFit="1" customWidth="1"/>
    <col min="4" max="4" width="18.7109375" style="31" customWidth="1"/>
    <col min="5" max="5" width="18.5703125" style="31" customWidth="1"/>
    <col min="6" max="6" width="19.5703125" style="31" customWidth="1"/>
    <col min="7" max="8" width="19" style="31" customWidth="1"/>
    <col min="9" max="9" width="9.28515625" style="31" customWidth="1"/>
    <col min="10" max="10" width="15.42578125" style="31" customWidth="1"/>
    <col min="11" max="11" width="1.28515625" style="31" customWidth="1"/>
    <col min="12" max="12" width="3.140625" style="31" customWidth="1"/>
    <col min="13" max="13" width="18.7109375" style="34" customWidth="1"/>
    <col min="14" max="14" width="18.5703125" style="34" customWidth="1"/>
    <col min="15" max="15" width="19.5703125" style="34" customWidth="1"/>
    <col min="16" max="17" width="19" style="34" customWidth="1"/>
    <col min="18" max="256" width="11.42578125" style="31" customWidth="1"/>
    <col min="257" max="16384" width="9.140625" style="31"/>
  </cols>
  <sheetData>
    <row r="1" spans="1:17" ht="6" customHeight="1">
      <c r="A1" s="35"/>
      <c r="B1" s="36"/>
      <c r="C1" s="36"/>
      <c r="D1" s="36"/>
      <c r="E1" s="36"/>
      <c r="F1" s="36"/>
      <c r="G1" s="36"/>
      <c r="H1" s="36"/>
      <c r="I1" s="36"/>
      <c r="J1" s="36"/>
      <c r="K1" s="37"/>
    </row>
    <row r="2" spans="1:17" s="27" customFormat="1" ht="18">
      <c r="A2" s="5"/>
      <c r="B2" s="7" t="str">
        <f>'Cover Sheet'!B2</f>
        <v>SC Germany Auto 10-1</v>
      </c>
      <c r="C2" s="7"/>
      <c r="D2" s="108" t="s">
        <v>54</v>
      </c>
      <c r="E2" s="109"/>
      <c r="F2" s="110">
        <f>'Cover Sheet'!F2</f>
        <v>41191</v>
      </c>
      <c r="G2" s="109"/>
      <c r="H2" s="109"/>
      <c r="I2" s="109"/>
      <c r="J2" s="111"/>
      <c r="K2" s="88"/>
      <c r="M2" s="28"/>
      <c r="N2" s="34"/>
      <c r="O2" s="372"/>
      <c r="P2" s="34"/>
      <c r="Q2" s="34"/>
    </row>
    <row r="3" spans="1:17" s="27" customFormat="1" ht="18">
      <c r="A3" s="5"/>
      <c r="B3" s="7" t="str">
        <f>'Cover Sheet'!B3</f>
        <v>Monthly Investor Report</v>
      </c>
      <c r="C3" s="7"/>
      <c r="D3" s="112" t="s">
        <v>4</v>
      </c>
      <c r="E3" s="113"/>
      <c r="F3" s="114">
        <f>'Cover Sheet'!F3</f>
        <v>41197</v>
      </c>
      <c r="G3" s="113"/>
      <c r="H3" s="113"/>
      <c r="I3" s="113"/>
      <c r="J3" s="115"/>
      <c r="K3" s="90"/>
      <c r="M3" s="28"/>
      <c r="N3" s="34"/>
      <c r="O3" s="372"/>
      <c r="P3" s="34"/>
      <c r="Q3" s="34"/>
    </row>
    <row r="4" spans="1:17" s="27" customFormat="1">
      <c r="A4" s="5"/>
      <c r="B4" s="42"/>
      <c r="C4" s="12"/>
      <c r="D4" s="112" t="s">
        <v>5</v>
      </c>
      <c r="E4" s="113"/>
      <c r="F4" s="122">
        <f>'Cover Sheet'!F4</f>
        <v>27</v>
      </c>
      <c r="G4" s="113"/>
      <c r="H4" s="117"/>
      <c r="I4" s="113"/>
      <c r="J4" s="118"/>
      <c r="K4" s="88"/>
      <c r="M4" s="28"/>
      <c r="N4" s="34"/>
      <c r="O4" s="45"/>
      <c r="P4" s="34"/>
      <c r="Q4" s="28"/>
    </row>
    <row r="5" spans="1:17" s="27" customFormat="1" ht="18">
      <c r="A5" s="5"/>
      <c r="B5" s="105" t="s">
        <v>389</v>
      </c>
      <c r="C5" s="14"/>
      <c r="D5" s="112" t="s">
        <v>3</v>
      </c>
      <c r="E5" s="113"/>
      <c r="F5" s="123">
        <f>'Cover Sheet'!F5</f>
        <v>41197</v>
      </c>
      <c r="G5" s="113"/>
      <c r="H5" s="117"/>
      <c r="I5" s="113"/>
      <c r="J5" s="118"/>
      <c r="K5" s="90"/>
      <c r="M5" s="28"/>
      <c r="N5" s="34"/>
      <c r="O5" s="373"/>
      <c r="P5" s="34"/>
      <c r="Q5" s="28"/>
    </row>
    <row r="6" spans="1:17" s="27" customFormat="1" ht="15" customHeight="1">
      <c r="A6" s="5"/>
      <c r="B6" s="43"/>
      <c r="C6" s="89"/>
      <c r="D6" s="552" t="str">
        <f>'Cover Sheet'!D6</f>
        <v>Interest Period</v>
      </c>
      <c r="E6" s="114" t="s">
        <v>38</v>
      </c>
      <c r="F6" s="114">
        <f>'Cover Sheet'!F6</f>
        <v>41164</v>
      </c>
      <c r="G6" s="116" t="s">
        <v>6</v>
      </c>
      <c r="H6" s="114">
        <f>'Cover Sheet'!H6</f>
        <v>41197</v>
      </c>
      <c r="I6" s="116" t="s">
        <v>18</v>
      </c>
      <c r="J6" s="542" t="str">
        <f>'Cover Sheet'!J6</f>
        <v>33 days</v>
      </c>
      <c r="K6" s="90"/>
      <c r="M6" s="28"/>
      <c r="N6" s="45"/>
      <c r="O6" s="372"/>
      <c r="P6" s="45"/>
      <c r="Q6" s="372"/>
    </row>
    <row r="7" spans="1:17" s="27" customFormat="1">
      <c r="A7" s="5"/>
      <c r="B7" s="4"/>
      <c r="C7" s="4"/>
      <c r="D7" s="553" t="str">
        <f>'Cover Sheet'!D7</f>
        <v>Collection Period</v>
      </c>
      <c r="E7" s="121" t="s">
        <v>38</v>
      </c>
      <c r="F7" s="121" t="str">
        <f>'Cover Sheet'!F7</f>
        <v>01.09.2012</v>
      </c>
      <c r="G7" s="120" t="s">
        <v>6</v>
      </c>
      <c r="H7" s="121">
        <f>'Cover Sheet'!H7</f>
        <v>41182</v>
      </c>
      <c r="I7" s="543"/>
      <c r="J7" s="544"/>
      <c r="K7" s="90"/>
      <c r="M7" s="28"/>
      <c r="N7" s="34"/>
      <c r="O7" s="374"/>
      <c r="P7" s="45"/>
      <c r="Q7" s="372"/>
    </row>
    <row r="8" spans="1:17" s="27" customFormat="1">
      <c r="A8" s="5"/>
      <c r="B8" s="4"/>
      <c r="C8" s="4"/>
      <c r="D8" s="4"/>
      <c r="E8" s="9"/>
      <c r="F8" s="15"/>
      <c r="G8" s="9"/>
      <c r="H8" s="4"/>
      <c r="I8" s="16"/>
      <c r="J8" s="4"/>
      <c r="K8" s="90"/>
      <c r="M8" s="34"/>
      <c r="N8" s="44"/>
      <c r="O8" s="45"/>
      <c r="P8" s="44"/>
      <c r="Q8" s="34"/>
    </row>
    <row r="9" spans="1:17" s="27" customFormat="1">
      <c r="A9" s="5"/>
      <c r="K9" s="8"/>
      <c r="M9" s="34"/>
      <c r="N9" s="34"/>
      <c r="O9" s="34"/>
      <c r="P9" s="34"/>
      <c r="Q9" s="34"/>
    </row>
    <row r="10" spans="1:17" s="27" customFormat="1">
      <c r="A10" s="5"/>
      <c r="B10" s="4"/>
      <c r="C10" s="4"/>
      <c r="D10" s="4"/>
      <c r="E10" s="4"/>
      <c r="F10" s="18"/>
      <c r="G10" s="4"/>
      <c r="H10" s="4"/>
      <c r="I10" s="34"/>
      <c r="J10" s="34"/>
      <c r="K10" s="8"/>
      <c r="M10" s="34"/>
      <c r="N10" s="34"/>
      <c r="O10" s="102"/>
      <c r="P10" s="34"/>
      <c r="Q10" s="34"/>
    </row>
    <row r="11" spans="1:17" s="27" customFormat="1" ht="18">
      <c r="A11" s="5"/>
      <c r="B11" s="125"/>
      <c r="C11" s="4"/>
      <c r="D11" s="4"/>
      <c r="E11" s="4"/>
      <c r="F11" s="34"/>
      <c r="G11" s="100"/>
      <c r="H11" s="100"/>
      <c r="I11" s="34"/>
      <c r="K11" s="8"/>
      <c r="M11" s="47"/>
      <c r="N11" s="34"/>
      <c r="O11" s="34"/>
      <c r="P11" s="137"/>
      <c r="Q11" s="137"/>
    </row>
    <row r="12" spans="1:17" s="27" customFormat="1" ht="13.5" thickBot="1">
      <c r="A12" s="5"/>
      <c r="B12" s="4"/>
      <c r="C12" s="4"/>
      <c r="D12" s="34"/>
      <c r="E12" s="34"/>
      <c r="F12" s="34"/>
      <c r="G12" s="137"/>
      <c r="H12" s="137"/>
      <c r="I12" s="34"/>
      <c r="K12" s="8"/>
      <c r="M12" s="34"/>
      <c r="N12" s="34"/>
      <c r="O12" s="34"/>
      <c r="P12" s="137"/>
      <c r="Q12" s="137"/>
    </row>
    <row r="13" spans="1:17" s="27" customFormat="1" ht="45.75" customHeight="1" thickBot="1">
      <c r="A13" s="5"/>
      <c r="B13" s="138"/>
      <c r="C13" s="138"/>
      <c r="D13" s="284" t="s">
        <v>74</v>
      </c>
      <c r="E13" s="285" t="s">
        <v>91</v>
      </c>
      <c r="F13" s="270" t="s">
        <v>70</v>
      </c>
      <c r="G13" s="270" t="s">
        <v>71</v>
      </c>
      <c r="H13" s="271" t="s">
        <v>72</v>
      </c>
      <c r="I13" s="102"/>
      <c r="K13" s="8"/>
      <c r="M13" s="382"/>
      <c r="N13" s="383"/>
      <c r="O13" s="327"/>
      <c r="P13" s="327"/>
      <c r="Q13" s="328"/>
    </row>
    <row r="14" spans="1:17">
      <c r="A14" s="40"/>
      <c r="B14" s="139"/>
      <c r="C14" s="140"/>
      <c r="D14" s="159" t="s">
        <v>104</v>
      </c>
      <c r="E14" s="160">
        <v>16939937.510000002</v>
      </c>
      <c r="F14" s="339">
        <v>7.7865604814995021E-2</v>
      </c>
      <c r="G14" s="793">
        <v>3341</v>
      </c>
      <c r="H14" s="338">
        <v>7.9334172345831455E-2</v>
      </c>
      <c r="I14" s="102"/>
      <c r="K14" s="41"/>
      <c r="M14" s="148"/>
      <c r="N14" s="175"/>
      <c r="O14" s="384"/>
      <c r="P14" s="385"/>
      <c r="Q14" s="386"/>
    </row>
    <row r="15" spans="1:17">
      <c r="A15" s="40"/>
      <c r="B15" s="139"/>
      <c r="C15" s="140"/>
      <c r="D15" s="159" t="s">
        <v>105</v>
      </c>
      <c r="E15" s="160">
        <v>19855346.739999987</v>
      </c>
      <c r="F15" s="339">
        <v>9.1266486774751882E-2</v>
      </c>
      <c r="G15" s="793">
        <v>3789</v>
      </c>
      <c r="H15" s="338">
        <v>8.9972217605015073E-2</v>
      </c>
      <c r="I15" s="102"/>
      <c r="K15" s="41"/>
      <c r="M15" s="148"/>
      <c r="N15" s="175"/>
      <c r="O15" s="384"/>
      <c r="P15" s="385"/>
      <c r="Q15" s="386"/>
    </row>
    <row r="16" spans="1:17">
      <c r="A16" s="40"/>
      <c r="B16" s="139"/>
      <c r="C16" s="140"/>
      <c r="D16" s="159" t="s">
        <v>106</v>
      </c>
      <c r="E16" s="160">
        <v>5662739.4700000091</v>
      </c>
      <c r="F16" s="339">
        <v>2.6029177113611145E-2</v>
      </c>
      <c r="G16" s="793">
        <v>1144</v>
      </c>
      <c r="H16" s="338">
        <v>2.7165008429701043E-2</v>
      </c>
      <c r="I16" s="102"/>
      <c r="K16" s="41"/>
      <c r="M16" s="148"/>
      <c r="N16" s="175"/>
      <c r="O16" s="384"/>
      <c r="P16" s="385"/>
      <c r="Q16" s="386"/>
    </row>
    <row r="17" spans="1:17">
      <c r="A17" s="40"/>
      <c r="B17" s="139"/>
      <c r="C17" s="140"/>
      <c r="D17" s="159" t="s">
        <v>107</v>
      </c>
      <c r="E17" s="160">
        <v>14540375.420000026</v>
      </c>
      <c r="F17" s="339">
        <v>6.6835850229496452E-2</v>
      </c>
      <c r="G17" s="793">
        <v>2847</v>
      </c>
      <c r="H17" s="338">
        <v>6.7603827796642368E-2</v>
      </c>
      <c r="I17" s="102"/>
      <c r="K17" s="41"/>
      <c r="M17" s="148"/>
      <c r="N17" s="175"/>
      <c r="O17" s="384"/>
      <c r="P17" s="385"/>
      <c r="Q17" s="386"/>
    </row>
    <row r="18" spans="1:17">
      <c r="A18" s="40"/>
      <c r="B18" s="139"/>
      <c r="C18" s="140"/>
      <c r="D18" s="159" t="s">
        <v>108</v>
      </c>
      <c r="E18" s="160">
        <v>1250942.6400000004</v>
      </c>
      <c r="F18" s="339">
        <v>5.7500451341668847E-3</v>
      </c>
      <c r="G18" s="793">
        <v>266</v>
      </c>
      <c r="H18" s="338">
        <v>6.316339372640277E-3</v>
      </c>
      <c r="I18" s="102"/>
      <c r="K18" s="41"/>
      <c r="M18" s="148"/>
      <c r="N18" s="175"/>
      <c r="O18" s="384"/>
      <c r="P18" s="385"/>
      <c r="Q18" s="386"/>
    </row>
    <row r="19" spans="1:17">
      <c r="A19" s="40"/>
      <c r="B19" s="139"/>
      <c r="C19" s="140"/>
      <c r="D19" s="159" t="s">
        <v>109</v>
      </c>
      <c r="E19" s="160">
        <v>3106904.0200000014</v>
      </c>
      <c r="F19" s="339">
        <v>1.4281101124288589E-2</v>
      </c>
      <c r="G19" s="793">
        <v>625</v>
      </c>
      <c r="H19" s="338">
        <v>1.4841022962030727E-2</v>
      </c>
      <c r="I19" s="102"/>
      <c r="K19" s="41"/>
      <c r="M19" s="148"/>
      <c r="N19" s="175"/>
      <c r="O19" s="384"/>
      <c r="P19" s="385"/>
      <c r="Q19" s="386"/>
    </row>
    <row r="20" spans="1:17">
      <c r="A20" s="40"/>
      <c r="B20" s="139"/>
      <c r="C20" s="140"/>
      <c r="D20" s="159" t="s">
        <v>110</v>
      </c>
      <c r="E20" s="160">
        <v>13518248.189999996</v>
      </c>
      <c r="F20" s="339">
        <v>6.213757109388305E-2</v>
      </c>
      <c r="G20" s="793">
        <v>2451</v>
      </c>
      <c r="H20" s="338">
        <v>5.82005556478997E-2</v>
      </c>
      <c r="I20" s="102"/>
      <c r="K20" s="41"/>
      <c r="M20" s="148"/>
      <c r="N20" s="175"/>
      <c r="O20" s="384"/>
      <c r="P20" s="385"/>
      <c r="Q20" s="386"/>
    </row>
    <row r="21" spans="1:17">
      <c r="A21" s="40"/>
      <c r="B21" s="139"/>
      <c r="C21" s="140"/>
      <c r="D21" s="159" t="s">
        <v>111</v>
      </c>
      <c r="E21" s="160">
        <v>10872019.209999999</v>
      </c>
      <c r="F21" s="339">
        <v>4.9973994936354058E-2</v>
      </c>
      <c r="G21" s="793">
        <v>2189</v>
      </c>
      <c r="H21" s="338">
        <v>5.1979198822216417E-2</v>
      </c>
      <c r="I21" s="102"/>
      <c r="K21" s="41"/>
      <c r="M21" s="148"/>
      <c r="N21" s="175"/>
      <c r="O21" s="384"/>
      <c r="P21" s="385"/>
      <c r="Q21" s="386"/>
    </row>
    <row r="22" spans="1:17">
      <c r="A22" s="40"/>
      <c r="B22" s="139"/>
      <c r="C22" s="140"/>
      <c r="D22" s="159" t="s">
        <v>112</v>
      </c>
      <c r="E22" s="160">
        <v>22271359.459999952</v>
      </c>
      <c r="F22" s="339">
        <v>0.10237185782895233</v>
      </c>
      <c r="G22" s="793">
        <v>4188</v>
      </c>
      <c r="H22" s="338">
        <v>9.9446726663975499E-2</v>
      </c>
      <c r="I22" s="102"/>
      <c r="K22" s="41"/>
      <c r="M22" s="148"/>
      <c r="N22" s="175"/>
      <c r="O22" s="384"/>
      <c r="P22" s="385"/>
      <c r="Q22" s="386"/>
    </row>
    <row r="23" spans="1:17" ht="12.75" customHeight="1">
      <c r="A23" s="40"/>
      <c r="B23" s="139"/>
      <c r="C23" s="140"/>
      <c r="D23" s="159" t="s">
        <v>113</v>
      </c>
      <c r="E23" s="160">
        <v>38669899.069999948</v>
      </c>
      <c r="F23" s="339">
        <v>0.17774888941844502</v>
      </c>
      <c r="G23" s="793">
        <v>7654</v>
      </c>
      <c r="H23" s="338">
        <v>0.18174910360221308</v>
      </c>
      <c r="I23" s="102"/>
      <c r="K23" s="41"/>
      <c r="M23" s="148"/>
      <c r="N23" s="175"/>
      <c r="O23" s="384"/>
      <c r="P23" s="385"/>
      <c r="Q23" s="386"/>
    </row>
    <row r="24" spans="1:17">
      <c r="A24" s="40"/>
      <c r="B24" s="139"/>
      <c r="C24" s="140"/>
      <c r="D24" s="159" t="s">
        <v>114</v>
      </c>
      <c r="E24" s="160">
        <v>9083024.4800000153</v>
      </c>
      <c r="F24" s="339">
        <v>4.1750755825816901E-2</v>
      </c>
      <c r="G24" s="793">
        <v>1716</v>
      </c>
      <c r="H24" s="338">
        <v>4.0747512644551565E-2</v>
      </c>
      <c r="I24" s="102"/>
      <c r="K24" s="41"/>
      <c r="M24" s="148"/>
      <c r="N24" s="175"/>
      <c r="O24" s="384"/>
      <c r="P24" s="385"/>
      <c r="Q24" s="386"/>
    </row>
    <row r="25" spans="1:17">
      <c r="A25" s="40"/>
      <c r="B25" s="139"/>
      <c r="C25" s="140"/>
      <c r="D25" s="159" t="s">
        <v>115</v>
      </c>
      <c r="E25" s="160">
        <v>2615645.7400000002</v>
      </c>
      <c r="F25" s="339">
        <v>1.202299816080403E-2</v>
      </c>
      <c r="G25" s="793">
        <v>483</v>
      </c>
      <c r="H25" s="338">
        <v>1.1469142545057346E-2</v>
      </c>
      <c r="I25" s="102"/>
      <c r="K25" s="41"/>
      <c r="M25" s="148"/>
      <c r="N25" s="175"/>
      <c r="O25" s="384"/>
      <c r="P25" s="385"/>
      <c r="Q25" s="386"/>
    </row>
    <row r="26" spans="1:17">
      <c r="A26" s="40"/>
      <c r="B26" s="139"/>
      <c r="C26" s="140"/>
      <c r="D26" s="159" t="s">
        <v>116</v>
      </c>
      <c r="E26" s="160">
        <v>16721153.409999987</v>
      </c>
      <c r="F26" s="339">
        <v>7.6859948432830144E-2</v>
      </c>
      <c r="G26" s="793">
        <v>3381</v>
      </c>
      <c r="H26" s="338">
        <v>8.0283997815401423E-2</v>
      </c>
      <c r="I26" s="102"/>
      <c r="K26" s="41"/>
      <c r="M26" s="148"/>
      <c r="N26" s="175"/>
      <c r="O26" s="384"/>
      <c r="P26" s="385"/>
      <c r="Q26" s="386"/>
    </row>
    <row r="27" spans="1:17">
      <c r="A27" s="40"/>
      <c r="B27" s="139"/>
      <c r="C27" s="140"/>
      <c r="D27" s="159" t="s">
        <v>117</v>
      </c>
      <c r="E27" s="160">
        <v>17194284.040000021</v>
      </c>
      <c r="F27" s="339">
        <v>7.9034726388162307E-2</v>
      </c>
      <c r="G27" s="793">
        <v>3257</v>
      </c>
      <c r="H27" s="338">
        <v>7.7339538859734519E-2</v>
      </c>
      <c r="I27" s="102"/>
      <c r="K27" s="41"/>
      <c r="M27" s="148"/>
      <c r="N27" s="175"/>
      <c r="O27" s="384"/>
      <c r="P27" s="385"/>
      <c r="Q27" s="386"/>
    </row>
    <row r="28" spans="1:17">
      <c r="A28" s="40"/>
      <c r="B28" s="139"/>
      <c r="C28" s="140"/>
      <c r="D28" s="159" t="s">
        <v>118</v>
      </c>
      <c r="E28" s="160">
        <v>8588431.5699999873</v>
      </c>
      <c r="F28" s="339">
        <v>3.9477325002850387E-2</v>
      </c>
      <c r="G28" s="793">
        <v>1743</v>
      </c>
      <c r="H28" s="338">
        <v>4.1388644836511293E-2</v>
      </c>
      <c r="I28" s="102"/>
      <c r="K28" s="41"/>
      <c r="M28" s="148"/>
      <c r="N28" s="175"/>
      <c r="O28" s="384"/>
      <c r="P28" s="385"/>
      <c r="Q28" s="386"/>
    </row>
    <row r="29" spans="1:17">
      <c r="A29" s="40"/>
      <c r="B29" s="139"/>
      <c r="C29" s="140"/>
      <c r="D29" s="159" t="s">
        <v>119</v>
      </c>
      <c r="E29" s="160">
        <v>15708240.319999985</v>
      </c>
      <c r="F29" s="339">
        <v>7.2204022734679477E-2</v>
      </c>
      <c r="G29" s="793">
        <v>2854</v>
      </c>
      <c r="H29" s="338">
        <v>6.7770047253817106E-2</v>
      </c>
      <c r="I29" s="102"/>
      <c r="J29" s="102"/>
      <c r="K29" s="41"/>
      <c r="M29" s="148"/>
      <c r="N29" s="175"/>
      <c r="O29" s="384"/>
      <c r="P29" s="385"/>
      <c r="Q29" s="386"/>
    </row>
    <row r="30" spans="1:17" ht="13.5" thickBot="1">
      <c r="A30" s="40"/>
      <c r="B30" s="139"/>
      <c r="C30" s="140"/>
      <c r="D30" s="451" t="s">
        <v>92</v>
      </c>
      <c r="E30" s="452">
        <v>954982.77999785542</v>
      </c>
      <c r="F30" s="474">
        <v>4.3896449859122492E-3</v>
      </c>
      <c r="G30" s="794">
        <v>185</v>
      </c>
      <c r="H30" s="475">
        <v>4.392942796761095E-3</v>
      </c>
      <c r="I30" s="102"/>
      <c r="J30" s="102"/>
      <c r="K30" s="41"/>
      <c r="M30" s="148"/>
      <c r="N30" s="175"/>
      <c r="O30" s="384"/>
      <c r="P30" s="385"/>
      <c r="Q30" s="386"/>
    </row>
    <row r="31" spans="1:17" ht="14.25" thickTop="1" thickBot="1">
      <c r="A31" s="40"/>
      <c r="B31" s="139"/>
      <c r="C31" s="140"/>
      <c r="D31" s="278" t="s">
        <v>40</v>
      </c>
      <c r="E31" s="279">
        <v>217553534.06999779</v>
      </c>
      <c r="F31" s="500">
        <f>SUM(F14:F30)</f>
        <v>1</v>
      </c>
      <c r="G31" s="296">
        <v>42113</v>
      </c>
      <c r="H31" s="501">
        <f>SUM(H14:H30)</f>
        <v>0.99999999999999989</v>
      </c>
      <c r="I31" s="102"/>
      <c r="J31" s="102"/>
      <c r="K31" s="41"/>
      <c r="M31" s="378"/>
      <c r="N31" s="379"/>
      <c r="O31" s="334"/>
      <c r="P31" s="340"/>
      <c r="Q31" s="334"/>
    </row>
    <row r="32" spans="1:17">
      <c r="A32" s="40"/>
      <c r="B32" s="139"/>
      <c r="C32" s="140"/>
      <c r="D32" s="148"/>
      <c r="E32" s="174"/>
      <c r="F32" s="175"/>
      <c r="G32" s="176"/>
      <c r="H32" s="148"/>
      <c r="I32" s="102"/>
      <c r="J32" s="102"/>
      <c r="K32" s="41"/>
      <c r="M32" s="148"/>
      <c r="N32" s="174"/>
      <c r="O32" s="175"/>
      <c r="P32" s="176"/>
      <c r="Q32" s="148"/>
    </row>
    <row r="33" spans="1:17">
      <c r="A33" s="40"/>
      <c r="B33" s="139"/>
      <c r="C33" s="140"/>
      <c r="D33" s="148"/>
      <c r="E33" s="174"/>
      <c r="F33" s="175"/>
      <c r="G33" s="146"/>
      <c r="H33" s="148"/>
      <c r="I33" s="102"/>
      <c r="J33" s="102"/>
      <c r="K33" s="41"/>
      <c r="M33" s="148"/>
      <c r="N33" s="174"/>
      <c r="O33" s="175"/>
      <c r="P33" s="176"/>
      <c r="Q33" s="148"/>
    </row>
    <row r="34" spans="1:17">
      <c r="A34" s="40"/>
      <c r="B34" s="139"/>
      <c r="C34" s="140"/>
      <c r="D34" s="148"/>
      <c r="E34" s="174"/>
      <c r="F34" s="175"/>
      <c r="G34" s="176"/>
      <c r="H34" s="148"/>
      <c r="I34" s="102"/>
      <c r="J34" s="102"/>
      <c r="K34" s="41"/>
      <c r="M34" s="148"/>
      <c r="N34" s="174"/>
      <c r="O34" s="175"/>
      <c r="P34" s="176"/>
      <c r="Q34" s="148"/>
    </row>
    <row r="35" spans="1:17">
      <c r="A35" s="40"/>
      <c r="B35" s="139"/>
      <c r="C35" s="140"/>
      <c r="D35" s="148"/>
      <c r="E35" s="174"/>
      <c r="F35" s="175"/>
      <c r="G35" s="176"/>
      <c r="H35" s="148"/>
      <c r="I35" s="102"/>
      <c r="J35" s="102"/>
      <c r="K35" s="41"/>
      <c r="M35" s="148"/>
      <c r="N35" s="174"/>
      <c r="O35" s="175"/>
      <c r="P35" s="176"/>
      <c r="Q35" s="148"/>
    </row>
    <row r="36" spans="1:17">
      <c r="A36" s="40"/>
      <c r="B36" s="139"/>
      <c r="C36" s="140"/>
      <c r="D36" s="148"/>
      <c r="E36" s="174"/>
      <c r="F36" s="175"/>
      <c r="G36" s="176"/>
      <c r="H36" s="148"/>
      <c r="I36" s="102"/>
      <c r="J36" s="102"/>
      <c r="K36" s="41"/>
      <c r="M36" s="148"/>
      <c r="N36" s="174"/>
      <c r="O36" s="175"/>
      <c r="P36" s="176"/>
      <c r="Q36" s="148"/>
    </row>
    <row r="37" spans="1:17">
      <c r="A37" s="40"/>
      <c r="B37" s="139"/>
      <c r="C37" s="140"/>
      <c r="D37" s="148"/>
      <c r="E37" s="175"/>
      <c r="F37" s="175"/>
      <c r="G37" s="176"/>
      <c r="H37" s="148"/>
      <c r="I37" s="102"/>
      <c r="J37" s="102"/>
      <c r="K37" s="41"/>
      <c r="M37" s="148"/>
      <c r="N37" s="174"/>
      <c r="O37" s="175"/>
      <c r="P37" s="176"/>
      <c r="Q37" s="148"/>
    </row>
    <row r="38" spans="1:17">
      <c r="A38" s="40"/>
      <c r="B38" s="139"/>
      <c r="C38" s="140"/>
      <c r="D38" s="148"/>
      <c r="E38" s="175"/>
      <c r="F38" s="175"/>
      <c r="G38" s="176"/>
      <c r="H38" s="148"/>
      <c r="I38" s="102"/>
      <c r="J38" s="102"/>
      <c r="K38" s="41"/>
      <c r="M38" s="148"/>
      <c r="N38" s="174"/>
      <c r="O38" s="175"/>
      <c r="P38" s="176"/>
      <c r="Q38" s="148"/>
    </row>
    <row r="39" spans="1:17">
      <c r="A39" s="40"/>
      <c r="B39" s="139"/>
      <c r="C39" s="140"/>
      <c r="D39" s="148"/>
      <c r="E39" s="795"/>
      <c r="F39" s="175"/>
      <c r="G39" s="176"/>
      <c r="H39" s="148"/>
      <c r="I39" s="102"/>
      <c r="J39" s="102"/>
      <c r="K39" s="41"/>
      <c r="M39" s="148"/>
      <c r="N39" s="174"/>
      <c r="O39" s="175"/>
      <c r="P39" s="176"/>
      <c r="Q39" s="148"/>
    </row>
    <row r="40" spans="1:17">
      <c r="A40" s="40"/>
      <c r="B40" s="139"/>
      <c r="C40" s="140"/>
      <c r="D40" s="148"/>
      <c r="E40" s="795"/>
      <c r="F40" s="175"/>
      <c r="G40" s="176"/>
      <c r="H40" s="148"/>
      <c r="I40" s="102"/>
      <c r="J40" s="102"/>
      <c r="K40" s="41"/>
      <c r="M40" s="148"/>
      <c r="N40" s="174"/>
      <c r="O40" s="175"/>
      <c r="P40" s="176"/>
      <c r="Q40" s="148"/>
    </row>
    <row r="41" spans="1:17">
      <c r="A41" s="40"/>
      <c r="B41" s="139"/>
      <c r="C41" s="140"/>
      <c r="D41" s="148"/>
      <c r="E41" s="174"/>
      <c r="F41" s="175"/>
      <c r="G41" s="176"/>
      <c r="H41" s="148"/>
      <c r="I41" s="102"/>
      <c r="J41" s="102"/>
      <c r="K41" s="41"/>
      <c r="M41" s="148"/>
      <c r="N41" s="174"/>
      <c r="O41" s="175"/>
      <c r="P41" s="176"/>
      <c r="Q41" s="148"/>
    </row>
    <row r="42" spans="1:17">
      <c r="A42" s="40"/>
      <c r="B42" s="139"/>
      <c r="C42" s="140"/>
      <c r="D42" s="148"/>
      <c r="E42" s="174"/>
      <c r="F42" s="175"/>
      <c r="G42" s="176"/>
      <c r="H42" s="148"/>
      <c r="I42" s="102"/>
      <c r="J42" s="102"/>
      <c r="K42" s="41"/>
      <c r="M42" s="148"/>
      <c r="N42" s="174"/>
      <c r="O42" s="175"/>
      <c r="P42" s="176"/>
      <c r="Q42" s="148"/>
    </row>
    <row r="43" spans="1:17">
      <c r="A43" s="40"/>
      <c r="B43" s="139"/>
      <c r="C43" s="140"/>
      <c r="D43" s="148"/>
      <c r="E43" s="174"/>
      <c r="F43" s="175"/>
      <c r="G43" s="176"/>
      <c r="H43" s="148"/>
      <c r="I43" s="102"/>
      <c r="J43" s="102"/>
      <c r="K43" s="41"/>
      <c r="M43" s="148"/>
      <c r="N43" s="174"/>
      <c r="O43" s="175"/>
      <c r="P43" s="176"/>
      <c r="Q43" s="148"/>
    </row>
    <row r="44" spans="1:17">
      <c r="A44" s="40"/>
      <c r="B44" s="139"/>
      <c r="C44" s="140"/>
      <c r="D44" s="148"/>
      <c r="E44" s="174"/>
      <c r="F44" s="175"/>
      <c r="G44" s="176"/>
      <c r="H44" s="148"/>
      <c r="I44" s="102"/>
      <c r="J44" s="102"/>
      <c r="K44" s="41"/>
      <c r="M44" s="148"/>
      <c r="N44" s="174"/>
      <c r="O44" s="175"/>
      <c r="P44" s="176"/>
      <c r="Q44" s="148"/>
    </row>
    <row r="45" spans="1:17">
      <c r="A45" s="40"/>
      <c r="B45" s="139"/>
      <c r="C45" s="140"/>
      <c r="D45" s="148"/>
      <c r="E45" s="174"/>
      <c r="F45" s="175"/>
      <c r="G45" s="176"/>
      <c r="H45" s="148"/>
      <c r="I45" s="102"/>
      <c r="J45" s="102"/>
      <c r="K45" s="41"/>
      <c r="M45" s="148"/>
      <c r="N45" s="174"/>
      <c r="O45" s="175"/>
      <c r="P45" s="176"/>
      <c r="Q45" s="148"/>
    </row>
    <row r="46" spans="1:17">
      <c r="A46" s="40"/>
      <c r="B46" s="139"/>
      <c r="C46" s="140"/>
      <c r="D46" s="148"/>
      <c r="E46" s="174"/>
      <c r="F46" s="175"/>
      <c r="G46" s="176"/>
      <c r="H46" s="148"/>
      <c r="I46" s="102"/>
      <c r="J46" s="102"/>
      <c r="K46" s="41"/>
      <c r="M46" s="148"/>
      <c r="N46" s="174"/>
      <c r="O46" s="175"/>
      <c r="P46" s="176"/>
      <c r="Q46" s="148"/>
    </row>
    <row r="47" spans="1:17">
      <c r="A47" s="60"/>
      <c r="B47" s="167"/>
      <c r="C47" s="168"/>
      <c r="D47" s="169"/>
      <c r="E47" s="170"/>
      <c r="F47" s="171"/>
      <c r="G47" s="172"/>
      <c r="H47" s="171"/>
      <c r="I47" s="126"/>
      <c r="J47" s="61"/>
      <c r="K47" s="79"/>
      <c r="M47" s="156"/>
      <c r="N47" s="157"/>
      <c r="O47" s="141"/>
      <c r="P47" s="158"/>
      <c r="Q47" s="141"/>
    </row>
    <row r="48" spans="1:17">
      <c r="A48" s="36"/>
      <c r="B48" s="139"/>
      <c r="C48" s="140"/>
      <c r="D48" s="156"/>
      <c r="E48" s="157"/>
      <c r="F48" s="141"/>
      <c r="G48" s="158"/>
      <c r="H48" s="141"/>
      <c r="I48" s="102"/>
      <c r="J48" s="34"/>
      <c r="K48" s="34"/>
      <c r="L48" s="34"/>
      <c r="M48" s="156"/>
      <c r="N48" s="157"/>
      <c r="O48" s="141"/>
      <c r="P48" s="158"/>
      <c r="Q48" s="141"/>
    </row>
    <row r="49" spans="2:17" s="34" customFormat="1">
      <c r="B49" s="139"/>
      <c r="C49" s="140"/>
      <c r="D49" s="156"/>
      <c r="E49" s="157"/>
      <c r="F49" s="141"/>
      <c r="G49" s="158"/>
      <c r="H49" s="141"/>
      <c r="I49" s="102"/>
      <c r="M49" s="156"/>
      <c r="N49" s="157"/>
      <c r="O49" s="141"/>
      <c r="P49" s="158"/>
      <c r="Q49" s="141"/>
    </row>
    <row r="50" spans="2:17" s="34" customFormat="1">
      <c r="B50" s="139"/>
      <c r="C50" s="140"/>
      <c r="D50" s="156"/>
      <c r="E50" s="157"/>
      <c r="F50" s="141"/>
      <c r="G50" s="158"/>
      <c r="H50" s="141"/>
      <c r="I50" s="102"/>
      <c r="M50" s="156"/>
      <c r="N50" s="157"/>
      <c r="O50" s="141"/>
      <c r="P50" s="158"/>
      <c r="Q50" s="141"/>
    </row>
    <row r="51" spans="2:17" s="4" customFormat="1" ht="15" customHeight="1">
      <c r="B51" s="139"/>
      <c r="C51" s="140"/>
      <c r="D51" s="156"/>
      <c r="E51" s="157"/>
      <c r="F51" s="141"/>
      <c r="G51" s="158"/>
      <c r="H51" s="141"/>
      <c r="I51" s="18"/>
      <c r="M51" s="156"/>
      <c r="N51" s="157"/>
      <c r="O51" s="141"/>
      <c r="P51" s="158"/>
      <c r="Q51" s="141"/>
    </row>
    <row r="52" spans="2:17" s="4" customFormat="1">
      <c r="B52" s="139"/>
      <c r="C52" s="140"/>
      <c r="D52" s="156"/>
      <c r="E52" s="157"/>
      <c r="F52" s="141"/>
      <c r="G52" s="158"/>
      <c r="H52" s="141"/>
      <c r="I52" s="18"/>
      <c r="M52" s="156"/>
      <c r="N52" s="157"/>
      <c r="O52" s="141"/>
      <c r="P52" s="158"/>
      <c r="Q52" s="141"/>
    </row>
    <row r="53" spans="2:17" s="34" customFormat="1">
      <c r="B53" s="139"/>
      <c r="C53" s="140"/>
      <c r="D53" s="156"/>
      <c r="E53" s="157"/>
      <c r="F53" s="141"/>
      <c r="G53" s="158"/>
      <c r="H53" s="141"/>
      <c r="I53" s="102"/>
      <c r="M53" s="156"/>
      <c r="N53" s="157"/>
      <c r="O53" s="141"/>
      <c r="P53" s="158"/>
      <c r="Q53" s="141"/>
    </row>
    <row r="54" spans="2:17" s="34" customFormat="1">
      <c r="B54" s="139"/>
      <c r="C54" s="140"/>
      <c r="D54" s="156"/>
      <c r="E54" s="157"/>
      <c r="F54" s="141"/>
      <c r="G54" s="158"/>
      <c r="H54" s="141"/>
      <c r="I54" s="102"/>
      <c r="M54" s="156"/>
      <c r="N54" s="157"/>
      <c r="O54" s="141"/>
      <c r="P54" s="158"/>
      <c r="Q54" s="141"/>
    </row>
    <row r="55" spans="2:17" s="34" customFormat="1">
      <c r="B55" s="139"/>
      <c r="C55" s="140"/>
      <c r="D55" s="156"/>
      <c r="E55" s="157"/>
      <c r="F55" s="141"/>
      <c r="G55" s="158"/>
      <c r="H55" s="141"/>
      <c r="I55" s="102"/>
      <c r="M55" s="156"/>
      <c r="N55" s="157"/>
      <c r="O55" s="141"/>
      <c r="P55" s="158"/>
      <c r="Q55" s="141"/>
    </row>
    <row r="56" spans="2:17" s="34" customFormat="1">
      <c r="B56" s="139"/>
      <c r="C56" s="140"/>
      <c r="D56" s="156"/>
      <c r="E56" s="157"/>
      <c r="F56" s="141"/>
      <c r="G56" s="158"/>
      <c r="H56" s="141"/>
      <c r="I56" s="102"/>
      <c r="M56" s="156"/>
      <c r="N56" s="157"/>
      <c r="O56" s="141"/>
      <c r="P56" s="158"/>
      <c r="Q56" s="141"/>
    </row>
    <row r="57" spans="2:17" s="34" customFormat="1">
      <c r="B57" s="139"/>
      <c r="C57" s="140"/>
      <c r="D57" s="156"/>
      <c r="E57" s="157"/>
      <c r="F57" s="141"/>
      <c r="G57" s="158"/>
      <c r="H57" s="141"/>
      <c r="I57" s="102"/>
      <c r="M57" s="156"/>
      <c r="N57" s="157"/>
      <c r="O57" s="141"/>
      <c r="P57" s="158"/>
      <c r="Q57" s="141"/>
    </row>
    <row r="58" spans="2:17" s="34" customFormat="1">
      <c r="B58" s="139"/>
      <c r="C58" s="140"/>
      <c r="D58" s="156"/>
      <c r="E58" s="157"/>
      <c r="F58" s="141"/>
      <c r="G58" s="158"/>
      <c r="H58" s="141"/>
      <c r="I58" s="102"/>
      <c r="M58" s="156"/>
      <c r="N58" s="157"/>
      <c r="O58" s="141"/>
      <c r="P58" s="158"/>
      <c r="Q58" s="141"/>
    </row>
    <row r="59" spans="2:17" s="34" customFormat="1">
      <c r="B59" s="139"/>
      <c r="C59" s="140"/>
      <c r="D59" s="156"/>
      <c r="E59" s="157"/>
      <c r="F59" s="141"/>
      <c r="G59" s="158"/>
      <c r="H59" s="141"/>
      <c r="I59" s="102"/>
      <c r="M59" s="156"/>
      <c r="N59" s="157"/>
      <c r="O59" s="141"/>
      <c r="P59" s="158"/>
      <c r="Q59" s="141"/>
    </row>
    <row r="60" spans="2:17" s="34" customFormat="1">
      <c r="B60" s="139"/>
      <c r="C60" s="140"/>
      <c r="D60" s="156"/>
      <c r="E60" s="157"/>
      <c r="F60" s="141"/>
      <c r="G60" s="158"/>
      <c r="H60" s="141"/>
      <c r="I60" s="102"/>
      <c r="M60" s="156"/>
      <c r="N60" s="157"/>
      <c r="O60" s="141"/>
      <c r="P60" s="158"/>
      <c r="Q60" s="141"/>
    </row>
    <row r="61" spans="2:17" s="34" customFormat="1">
      <c r="B61" s="139"/>
      <c r="C61" s="140"/>
      <c r="D61" s="156"/>
      <c r="E61" s="157"/>
      <c r="F61" s="141"/>
      <c r="G61" s="158"/>
      <c r="H61" s="141"/>
      <c r="I61" s="102"/>
      <c r="M61" s="156"/>
      <c r="N61" s="157"/>
      <c r="O61" s="141"/>
      <c r="P61" s="158"/>
      <c r="Q61" s="141"/>
    </row>
    <row r="62" spans="2:17" s="34" customFormat="1">
      <c r="B62" s="139"/>
      <c r="C62" s="140"/>
      <c r="D62" s="156"/>
      <c r="E62" s="157"/>
      <c r="F62" s="141"/>
      <c r="G62" s="158"/>
      <c r="H62" s="141"/>
      <c r="I62" s="102"/>
      <c r="M62" s="156"/>
      <c r="N62" s="157"/>
      <c r="O62" s="141"/>
      <c r="P62" s="158"/>
      <c r="Q62" s="141"/>
    </row>
    <row r="63" spans="2:17" s="34" customFormat="1">
      <c r="B63" s="139"/>
      <c r="C63" s="140"/>
      <c r="D63" s="156"/>
      <c r="E63" s="157"/>
      <c r="F63" s="141"/>
      <c r="G63" s="158"/>
      <c r="H63" s="141"/>
      <c r="I63" s="102"/>
      <c r="M63" s="156"/>
      <c r="N63" s="157"/>
      <c r="O63" s="141"/>
      <c r="P63" s="158"/>
      <c r="Q63" s="141"/>
    </row>
    <row r="64" spans="2:17" s="34" customFormat="1">
      <c r="B64" s="139"/>
      <c r="C64" s="140"/>
      <c r="D64" s="156"/>
      <c r="E64" s="157"/>
      <c r="F64" s="141"/>
      <c r="G64" s="158"/>
      <c r="H64" s="141"/>
      <c r="I64" s="102"/>
      <c r="M64" s="156"/>
      <c r="N64" s="157"/>
      <c r="O64" s="141"/>
      <c r="P64" s="158"/>
      <c r="Q64" s="141"/>
    </row>
    <row r="65" spans="2:17" s="34" customFormat="1">
      <c r="B65" s="139"/>
      <c r="C65" s="140"/>
      <c r="D65" s="156"/>
      <c r="E65" s="157"/>
      <c r="F65" s="141"/>
      <c r="G65" s="158"/>
      <c r="H65" s="141"/>
      <c r="I65" s="102"/>
      <c r="M65" s="156"/>
      <c r="N65" s="157"/>
      <c r="O65" s="141"/>
      <c r="P65" s="158"/>
      <c r="Q65" s="141"/>
    </row>
    <row r="66" spans="2:17" s="34" customFormat="1">
      <c r="B66" s="139"/>
      <c r="C66" s="140"/>
      <c r="D66" s="156"/>
      <c r="E66" s="157"/>
      <c r="F66" s="141"/>
      <c r="G66" s="158"/>
      <c r="H66" s="141"/>
      <c r="I66" s="102"/>
      <c r="M66" s="156"/>
      <c r="N66" s="157"/>
      <c r="O66" s="141"/>
      <c r="P66" s="158"/>
      <c r="Q66" s="141"/>
    </row>
    <row r="67" spans="2:17" s="34" customFormat="1">
      <c r="B67" s="139"/>
      <c r="C67" s="140"/>
      <c r="D67" s="156"/>
      <c r="E67" s="157"/>
      <c r="F67" s="141"/>
      <c r="G67" s="158"/>
      <c r="H67" s="141"/>
      <c r="I67" s="102"/>
      <c r="M67" s="156"/>
      <c r="N67" s="157"/>
      <c r="O67" s="141"/>
      <c r="P67" s="158"/>
      <c r="Q67" s="141"/>
    </row>
    <row r="68" spans="2:17" s="34" customFormat="1">
      <c r="B68" s="139"/>
      <c r="C68" s="140"/>
      <c r="D68" s="156"/>
      <c r="E68" s="157"/>
      <c r="F68" s="141"/>
      <c r="G68" s="158"/>
      <c r="H68" s="141"/>
      <c r="I68" s="102"/>
      <c r="M68" s="156"/>
      <c r="N68" s="157"/>
      <c r="O68" s="141"/>
      <c r="P68" s="158"/>
      <c r="Q68" s="141"/>
    </row>
    <row r="69" spans="2:17" s="34" customFormat="1">
      <c r="B69" s="139"/>
      <c r="C69" s="140"/>
      <c r="D69" s="156"/>
      <c r="E69" s="157"/>
      <c r="F69" s="141"/>
      <c r="G69" s="158"/>
      <c r="H69" s="141"/>
      <c r="I69" s="102"/>
      <c r="M69" s="156"/>
      <c r="N69" s="157"/>
      <c r="O69" s="141"/>
      <c r="P69" s="158"/>
      <c r="Q69" s="141"/>
    </row>
    <row r="70" spans="2:17" s="34" customFormat="1">
      <c r="B70" s="139"/>
      <c r="C70" s="140"/>
      <c r="D70" s="156"/>
      <c r="E70" s="157"/>
      <c r="F70" s="141"/>
      <c r="G70" s="158"/>
      <c r="H70" s="141"/>
      <c r="I70" s="102"/>
      <c r="M70" s="156"/>
      <c r="N70" s="157"/>
      <c r="O70" s="141"/>
      <c r="P70" s="158"/>
      <c r="Q70" s="141"/>
    </row>
    <row r="71" spans="2:17" s="34" customFormat="1">
      <c r="B71" s="139"/>
      <c r="C71" s="140"/>
      <c r="D71" s="156"/>
      <c r="E71" s="157"/>
      <c r="F71" s="141"/>
      <c r="G71" s="158"/>
      <c r="H71" s="141"/>
      <c r="I71" s="102"/>
      <c r="M71" s="156"/>
      <c r="N71" s="157"/>
      <c r="O71" s="141"/>
      <c r="P71" s="158"/>
      <c r="Q71" s="141"/>
    </row>
    <row r="72" spans="2:17" s="34" customFormat="1">
      <c r="B72" s="139"/>
      <c r="C72" s="140"/>
      <c r="D72" s="156"/>
      <c r="E72" s="157"/>
      <c r="F72" s="141"/>
      <c r="G72" s="158"/>
      <c r="H72" s="141"/>
      <c r="I72" s="102"/>
      <c r="M72" s="156"/>
      <c r="N72" s="157"/>
      <c r="O72" s="141"/>
      <c r="P72" s="158"/>
      <c r="Q72" s="141"/>
    </row>
    <row r="73" spans="2:17" s="34" customFormat="1">
      <c r="B73" s="139"/>
      <c r="C73" s="140"/>
      <c r="D73" s="156"/>
      <c r="E73" s="157"/>
      <c r="F73" s="141"/>
      <c r="G73" s="158"/>
      <c r="H73" s="141"/>
      <c r="I73" s="102"/>
      <c r="M73" s="156"/>
      <c r="N73" s="157"/>
      <c r="O73" s="141"/>
      <c r="P73" s="158"/>
      <c r="Q73" s="141"/>
    </row>
    <row r="74" spans="2:17" s="34" customFormat="1">
      <c r="B74" s="139"/>
      <c r="C74" s="140"/>
      <c r="D74" s="156"/>
      <c r="E74" s="157"/>
      <c r="F74" s="141"/>
      <c r="G74" s="158"/>
      <c r="H74" s="141"/>
      <c r="I74" s="102"/>
      <c r="M74" s="156"/>
      <c r="N74" s="157"/>
      <c r="O74" s="141"/>
      <c r="P74" s="158"/>
      <c r="Q74" s="141"/>
    </row>
    <row r="75" spans="2:17" s="34" customFormat="1">
      <c r="B75" s="139"/>
      <c r="C75" s="140"/>
      <c r="D75" s="156"/>
      <c r="E75" s="157"/>
      <c r="F75" s="141"/>
      <c r="G75" s="158"/>
      <c r="H75" s="141"/>
      <c r="I75" s="102"/>
      <c r="M75" s="156"/>
      <c r="N75" s="157"/>
      <c r="O75" s="141"/>
      <c r="P75" s="158"/>
      <c r="Q75" s="141"/>
    </row>
    <row r="76" spans="2:17" s="34" customFormat="1">
      <c r="B76" s="139"/>
      <c r="C76" s="140"/>
      <c r="D76" s="156"/>
      <c r="E76" s="157"/>
      <c r="F76" s="141"/>
      <c r="G76" s="158"/>
      <c r="H76" s="141"/>
      <c r="I76" s="102"/>
      <c r="M76" s="156"/>
      <c r="N76" s="157"/>
      <c r="O76" s="141"/>
      <c r="P76" s="158"/>
      <c r="Q76" s="141"/>
    </row>
    <row r="77" spans="2:17" s="34" customFormat="1">
      <c r="B77" s="139"/>
      <c r="C77" s="140"/>
      <c r="D77" s="156"/>
      <c r="E77" s="157"/>
      <c r="F77" s="141"/>
      <c r="G77" s="158"/>
      <c r="H77" s="141"/>
      <c r="I77" s="102"/>
      <c r="M77" s="156"/>
      <c r="N77" s="157"/>
      <c r="O77" s="141"/>
      <c r="P77" s="158"/>
      <c r="Q77" s="141"/>
    </row>
    <row r="78" spans="2:17" s="34" customFormat="1">
      <c r="B78" s="139"/>
      <c r="C78" s="140"/>
      <c r="D78" s="156"/>
      <c r="E78" s="157"/>
      <c r="F78" s="141"/>
      <c r="G78" s="158"/>
      <c r="H78" s="141"/>
      <c r="I78" s="102"/>
      <c r="M78" s="156"/>
      <c r="N78" s="157"/>
      <c r="O78" s="141"/>
      <c r="P78" s="158"/>
      <c r="Q78" s="141"/>
    </row>
    <row r="79" spans="2:17" s="34" customFormat="1">
      <c r="B79" s="139"/>
      <c r="C79" s="140"/>
      <c r="D79" s="156"/>
      <c r="E79" s="157"/>
      <c r="F79" s="141"/>
      <c r="G79" s="158"/>
      <c r="H79" s="141"/>
      <c r="I79" s="102"/>
      <c r="M79" s="156"/>
      <c r="N79" s="157"/>
      <c r="O79" s="141"/>
      <c r="P79" s="158"/>
      <c r="Q79" s="141"/>
    </row>
    <row r="80" spans="2:17" s="34" customFormat="1">
      <c r="B80" s="139"/>
      <c r="C80" s="140"/>
      <c r="D80" s="156"/>
      <c r="E80" s="157"/>
      <c r="F80" s="141"/>
      <c r="G80" s="158"/>
      <c r="H80" s="141"/>
      <c r="I80" s="102"/>
      <c r="M80" s="156"/>
      <c r="N80" s="157"/>
      <c r="O80" s="141"/>
      <c r="P80" s="158"/>
      <c r="Q80" s="141"/>
    </row>
    <row r="81" spans="2:17" s="34" customFormat="1">
      <c r="B81" s="139"/>
      <c r="C81" s="140"/>
      <c r="D81" s="142"/>
      <c r="E81" s="134"/>
      <c r="F81" s="143"/>
      <c r="G81" s="144"/>
      <c r="H81" s="143"/>
      <c r="I81" s="102"/>
      <c r="M81" s="142"/>
      <c r="N81" s="134"/>
      <c r="O81" s="143"/>
      <c r="P81" s="144"/>
      <c r="Q81" s="143"/>
    </row>
    <row r="82" spans="2:17" s="34" customFormat="1">
      <c r="B82" s="139"/>
      <c r="C82" s="140"/>
      <c r="D82" s="142"/>
      <c r="E82" s="142"/>
      <c r="F82" s="142"/>
      <c r="G82" s="142"/>
      <c r="H82" s="142"/>
      <c r="I82" s="102"/>
      <c r="M82" s="142"/>
      <c r="N82" s="142"/>
      <c r="O82" s="142"/>
      <c r="P82" s="142"/>
      <c r="Q82" s="142"/>
    </row>
    <row r="83" spans="2:17" s="34" customFormat="1">
      <c r="B83" s="139"/>
      <c r="C83" s="140"/>
      <c r="D83" s="142"/>
      <c r="E83" s="142"/>
      <c r="F83" s="142"/>
      <c r="G83" s="142"/>
      <c r="H83" s="142"/>
      <c r="I83" s="102"/>
      <c r="M83" s="142"/>
      <c r="N83" s="142"/>
      <c r="O83" s="142"/>
      <c r="P83" s="142"/>
      <c r="Q83" s="142"/>
    </row>
    <row r="84" spans="2:17" s="34" customFormat="1">
      <c r="B84" s="139"/>
      <c r="C84" s="140"/>
      <c r="D84" s="145"/>
      <c r="E84" s="146"/>
      <c r="F84" s="142"/>
      <c r="G84" s="142"/>
      <c r="H84" s="142"/>
      <c r="I84" s="102"/>
      <c r="M84" s="145"/>
      <c r="N84" s="146"/>
      <c r="O84" s="142"/>
      <c r="P84" s="142"/>
      <c r="Q84" s="142"/>
    </row>
    <row r="85" spans="2:17" s="34" customFormat="1">
      <c r="B85" s="139"/>
      <c r="C85" s="140"/>
      <c r="D85" s="134"/>
      <c r="E85" s="146"/>
      <c r="F85" s="142"/>
      <c r="G85" s="142"/>
      <c r="H85" s="142"/>
      <c r="I85" s="102"/>
      <c r="M85" s="134"/>
      <c r="N85" s="146"/>
      <c r="O85" s="142"/>
      <c r="P85" s="142"/>
      <c r="Q85" s="142"/>
    </row>
    <row r="86" spans="2:17" s="34" customFormat="1">
      <c r="B86" s="139"/>
      <c r="C86" s="140"/>
      <c r="D86" s="142"/>
      <c r="E86" s="146"/>
      <c r="F86" s="142"/>
      <c r="G86" s="142"/>
      <c r="H86" s="142"/>
      <c r="I86" s="102"/>
      <c r="M86" s="142"/>
      <c r="N86" s="146"/>
      <c r="O86" s="142"/>
      <c r="P86" s="142"/>
      <c r="Q86" s="142"/>
    </row>
    <row r="87" spans="2:17" s="34" customFormat="1" ht="14.25">
      <c r="B87" s="142"/>
      <c r="C87" s="134"/>
      <c r="D87" s="150"/>
      <c r="E87" s="150"/>
      <c r="F87" s="150"/>
      <c r="G87" s="150"/>
      <c r="H87" s="150"/>
      <c r="I87" s="102"/>
      <c r="M87" s="150"/>
      <c r="N87" s="150"/>
      <c r="O87" s="150"/>
      <c r="P87" s="150"/>
      <c r="Q87" s="150"/>
    </row>
    <row r="88" spans="2:17" s="34" customFormat="1" ht="14.25">
      <c r="B88" s="173"/>
      <c r="C88" s="173"/>
      <c r="D88" s="150"/>
      <c r="E88" s="150"/>
      <c r="F88" s="150"/>
      <c r="G88" s="150"/>
      <c r="H88" s="150"/>
      <c r="I88" s="102"/>
      <c r="M88" s="150"/>
      <c r="N88" s="150"/>
      <c r="O88" s="150"/>
      <c r="P88" s="150"/>
      <c r="Q88" s="150"/>
    </row>
    <row r="89" spans="2:17" s="34" customFormat="1" ht="14.25">
      <c r="B89" s="173"/>
      <c r="C89" s="173"/>
      <c r="D89" s="151"/>
      <c r="E89" s="152"/>
      <c r="F89" s="150"/>
      <c r="G89" s="150"/>
      <c r="H89" s="150"/>
      <c r="I89" s="102"/>
      <c r="M89" s="151"/>
      <c r="N89" s="152"/>
      <c r="O89" s="150"/>
      <c r="P89" s="150"/>
      <c r="Q89" s="150"/>
    </row>
    <row r="90" spans="2:17" s="34" customFormat="1" ht="14.25">
      <c r="B90" s="145"/>
      <c r="C90" s="146"/>
      <c r="D90" s="153"/>
      <c r="E90" s="152"/>
      <c r="F90" s="150"/>
      <c r="G90" s="150"/>
      <c r="H90" s="150"/>
      <c r="I90" s="102"/>
      <c r="M90" s="153"/>
      <c r="N90" s="152"/>
      <c r="O90" s="150"/>
      <c r="P90" s="150"/>
      <c r="Q90" s="150"/>
    </row>
    <row r="91" spans="2:17" s="34" customFormat="1" ht="14.25">
      <c r="B91" s="147"/>
      <c r="C91" s="146"/>
      <c r="D91" s="150"/>
      <c r="E91" s="152"/>
      <c r="F91" s="150"/>
      <c r="G91" s="150"/>
      <c r="H91" s="150"/>
      <c r="I91" s="102"/>
      <c r="M91" s="150"/>
      <c r="N91" s="152"/>
      <c r="O91" s="150"/>
      <c r="P91" s="150"/>
      <c r="Q91" s="150"/>
    </row>
    <row r="92" spans="2:17" s="34" customFormat="1">
      <c r="B92" s="148"/>
      <c r="C92" s="146"/>
      <c r="D92" s="148"/>
      <c r="E92" s="148"/>
      <c r="F92" s="148"/>
      <c r="I92" s="102"/>
      <c r="M92" s="148"/>
      <c r="N92" s="148"/>
      <c r="O92" s="148"/>
    </row>
    <row r="93" spans="2:17" s="34" customFormat="1">
      <c r="I93" s="102"/>
    </row>
    <row r="94" spans="2:17" s="34" customFormat="1">
      <c r="I94" s="102"/>
    </row>
    <row r="95" spans="2:17" s="34" customFormat="1">
      <c r="I95" s="102"/>
    </row>
    <row r="96" spans="2:17" s="34" customFormat="1">
      <c r="I96" s="102"/>
    </row>
    <row r="97" spans="9:9" s="34" customFormat="1">
      <c r="I97" s="102"/>
    </row>
    <row r="98" spans="9:9" s="34" customFormat="1">
      <c r="I98" s="102"/>
    </row>
    <row r="99" spans="9:9" s="34" customFormat="1">
      <c r="I99" s="102"/>
    </row>
    <row r="100" spans="9:9" s="34" customFormat="1">
      <c r="I100" s="102"/>
    </row>
    <row r="101" spans="9:9" s="34" customFormat="1">
      <c r="I101" s="102"/>
    </row>
    <row r="102" spans="9:9" s="34" customFormat="1">
      <c r="I102" s="102"/>
    </row>
    <row r="103" spans="9:9" s="34" customFormat="1">
      <c r="I103" s="102"/>
    </row>
    <row r="104" spans="9:9" s="34" customFormat="1">
      <c r="I104" s="102"/>
    </row>
    <row r="105" spans="9:9" s="34" customFormat="1">
      <c r="I105" s="102"/>
    </row>
    <row r="106" spans="9:9" s="34" customFormat="1">
      <c r="I106" s="102"/>
    </row>
    <row r="107" spans="9:9" s="34" customFormat="1">
      <c r="I107" s="102"/>
    </row>
    <row r="108" spans="9:9" s="34" customFormat="1">
      <c r="I108" s="102"/>
    </row>
    <row r="109" spans="9:9" s="34" customFormat="1">
      <c r="I109" s="102"/>
    </row>
    <row r="110" spans="9:9" s="34" customFormat="1">
      <c r="I110" s="102"/>
    </row>
    <row r="111" spans="9:9" s="34" customFormat="1">
      <c r="I111" s="102"/>
    </row>
    <row r="112" spans="9:9" s="34" customFormat="1">
      <c r="I112" s="102"/>
    </row>
    <row r="113" spans="9:9" s="34" customFormat="1">
      <c r="I113" s="102"/>
    </row>
    <row r="114" spans="9:9" s="34" customFormat="1">
      <c r="I114" s="102"/>
    </row>
    <row r="115" spans="9:9" s="34" customFormat="1">
      <c r="I115" s="102"/>
    </row>
    <row r="116" spans="9:9" s="34" customFormat="1">
      <c r="I116" s="102"/>
    </row>
    <row r="117" spans="9:9" s="34" customFormat="1">
      <c r="I117" s="102"/>
    </row>
    <row r="118" spans="9:9" s="34" customFormat="1">
      <c r="I118" s="102"/>
    </row>
    <row r="119" spans="9:9" s="34" customFormat="1">
      <c r="I119" s="102"/>
    </row>
    <row r="120" spans="9:9" s="34" customFormat="1">
      <c r="I120" s="102"/>
    </row>
    <row r="121" spans="9:9" s="34" customFormat="1">
      <c r="I121" s="102"/>
    </row>
    <row r="122" spans="9:9" s="34" customFormat="1">
      <c r="I122" s="102"/>
    </row>
    <row r="123" spans="9:9" s="34" customFormat="1">
      <c r="I123" s="102"/>
    </row>
    <row r="124" spans="9:9" s="34" customFormat="1">
      <c r="I124" s="102"/>
    </row>
    <row r="125" spans="9:9" s="34" customFormat="1">
      <c r="I125" s="102"/>
    </row>
    <row r="126" spans="9:9" s="34" customFormat="1">
      <c r="I126" s="102"/>
    </row>
    <row r="127" spans="9:9" s="34" customFormat="1">
      <c r="I127" s="102"/>
    </row>
    <row r="128" spans="9:9" s="34" customFormat="1">
      <c r="I128" s="102"/>
    </row>
    <row r="129" spans="9:9" s="34" customFormat="1">
      <c r="I129" s="102"/>
    </row>
    <row r="130" spans="9:9" s="34" customFormat="1">
      <c r="I130" s="102"/>
    </row>
    <row r="131" spans="9:9" s="34" customFormat="1">
      <c r="I131" s="102"/>
    </row>
    <row r="132" spans="9:9" s="34" customFormat="1">
      <c r="I132" s="102"/>
    </row>
    <row r="133" spans="9:9" s="34" customFormat="1">
      <c r="I133" s="102"/>
    </row>
    <row r="134" spans="9:9" s="34" customFormat="1">
      <c r="I134" s="102"/>
    </row>
    <row r="135" spans="9:9" s="34" customFormat="1">
      <c r="I135" s="102"/>
    </row>
    <row r="136" spans="9:9" s="34" customFormat="1">
      <c r="I136" s="102"/>
    </row>
    <row r="137" spans="9:9" s="34" customFormat="1">
      <c r="I137" s="102"/>
    </row>
    <row r="138" spans="9:9" s="34" customFormat="1">
      <c r="I138" s="102"/>
    </row>
    <row r="139" spans="9:9" s="34" customFormat="1">
      <c r="I139" s="102"/>
    </row>
    <row r="140" spans="9:9" s="34" customFormat="1">
      <c r="I140" s="102"/>
    </row>
    <row r="141" spans="9:9" s="34" customFormat="1">
      <c r="I141" s="102"/>
    </row>
    <row r="142" spans="9:9" s="34" customFormat="1">
      <c r="I142" s="102"/>
    </row>
    <row r="143" spans="9:9" s="34" customFormat="1">
      <c r="I143" s="102"/>
    </row>
    <row r="144" spans="9:9" s="34" customFormat="1">
      <c r="I144" s="102"/>
    </row>
    <row r="145" spans="9:9" s="34" customFormat="1">
      <c r="I145" s="102"/>
    </row>
    <row r="146" spans="9:9" s="34" customFormat="1">
      <c r="I146" s="102"/>
    </row>
    <row r="147" spans="9:9" s="34" customFormat="1">
      <c r="I147" s="102"/>
    </row>
    <row r="148" spans="9:9" s="34" customFormat="1">
      <c r="I148" s="102"/>
    </row>
    <row r="149" spans="9:9" s="34" customFormat="1">
      <c r="I149" s="102"/>
    </row>
    <row r="150" spans="9:9" s="34" customFormat="1">
      <c r="I150" s="102"/>
    </row>
    <row r="151" spans="9:9" s="34" customFormat="1">
      <c r="I151" s="102"/>
    </row>
    <row r="152" spans="9:9" s="34" customFormat="1">
      <c r="I152" s="102"/>
    </row>
    <row r="153" spans="9:9" s="34" customFormat="1">
      <c r="I153" s="102"/>
    </row>
    <row r="154" spans="9:9" s="34" customFormat="1">
      <c r="I154" s="102"/>
    </row>
    <row r="155" spans="9:9" s="34" customFormat="1">
      <c r="I155" s="102"/>
    </row>
    <row r="156" spans="9:9" s="34" customFormat="1">
      <c r="I156" s="102"/>
    </row>
    <row r="157" spans="9:9" s="34" customFormat="1">
      <c r="I157" s="102"/>
    </row>
    <row r="158" spans="9:9" s="34" customFormat="1">
      <c r="I158" s="102"/>
    </row>
    <row r="159" spans="9:9" s="34" customFormat="1">
      <c r="I159" s="102"/>
    </row>
    <row r="160" spans="9:9" s="34" customFormat="1">
      <c r="I160" s="102"/>
    </row>
    <row r="161" spans="9:9" s="34" customFormat="1">
      <c r="I161" s="102"/>
    </row>
    <row r="162" spans="9:9" s="34" customFormat="1">
      <c r="I162" s="102"/>
    </row>
    <row r="163" spans="9:9" s="34" customFormat="1">
      <c r="I163" s="102"/>
    </row>
    <row r="164" spans="9:9" s="34" customFormat="1">
      <c r="I164" s="102"/>
    </row>
    <row r="165" spans="9:9" s="34" customFormat="1">
      <c r="I165" s="102"/>
    </row>
    <row r="166" spans="9:9" s="34" customFormat="1">
      <c r="I166" s="102"/>
    </row>
    <row r="167" spans="9:9" s="34" customFormat="1">
      <c r="I167" s="102"/>
    </row>
    <row r="168" spans="9:9" s="34" customFormat="1">
      <c r="I168" s="102"/>
    </row>
    <row r="169" spans="9:9" s="34" customFormat="1">
      <c r="I169" s="102"/>
    </row>
    <row r="170" spans="9:9" s="34" customFormat="1">
      <c r="I170" s="102"/>
    </row>
    <row r="171" spans="9:9" s="34" customFormat="1">
      <c r="I171" s="102"/>
    </row>
    <row r="172" spans="9:9" s="34" customFormat="1">
      <c r="I172" s="102"/>
    </row>
    <row r="173" spans="9:9" s="34" customFormat="1">
      <c r="I173" s="102"/>
    </row>
    <row r="174" spans="9:9" s="34" customFormat="1">
      <c r="I174" s="102"/>
    </row>
    <row r="175" spans="9:9" s="34" customFormat="1">
      <c r="I175" s="102"/>
    </row>
    <row r="176" spans="9:9" s="34" customFormat="1">
      <c r="I176" s="102"/>
    </row>
    <row r="177" spans="9:9" s="34" customFormat="1">
      <c r="I177" s="102"/>
    </row>
    <row r="178" spans="9:9" s="34" customFormat="1">
      <c r="I178" s="102"/>
    </row>
    <row r="179" spans="9:9" s="34" customFormat="1">
      <c r="I179" s="102"/>
    </row>
    <row r="180" spans="9:9" s="34" customFormat="1">
      <c r="I180" s="102"/>
    </row>
    <row r="181" spans="9:9" s="34" customFormat="1">
      <c r="I181" s="102"/>
    </row>
    <row r="182" spans="9:9" s="34" customFormat="1">
      <c r="I182" s="102"/>
    </row>
    <row r="183" spans="9:9" s="34" customFormat="1">
      <c r="I183" s="102"/>
    </row>
    <row r="184" spans="9:9" s="34" customFormat="1">
      <c r="I184" s="102"/>
    </row>
    <row r="185" spans="9:9" s="34" customFormat="1">
      <c r="I185" s="102"/>
    </row>
    <row r="186" spans="9:9" s="34" customFormat="1">
      <c r="I186" s="102"/>
    </row>
    <row r="187" spans="9:9" s="34" customFormat="1">
      <c r="I187" s="102"/>
    </row>
    <row r="188" spans="9:9" s="34" customFormat="1">
      <c r="I188" s="102"/>
    </row>
    <row r="189" spans="9:9" s="34" customFormat="1">
      <c r="I189" s="102"/>
    </row>
    <row r="190" spans="9:9" s="34" customFormat="1">
      <c r="I190" s="102"/>
    </row>
    <row r="191" spans="9:9" s="34" customFormat="1">
      <c r="I191" s="102"/>
    </row>
    <row r="192" spans="9:9" s="34" customFormat="1">
      <c r="I192" s="102"/>
    </row>
    <row r="193" spans="9:9" s="34" customFormat="1">
      <c r="I193" s="102"/>
    </row>
    <row r="194" spans="9:9" s="34" customFormat="1">
      <c r="I194" s="102"/>
    </row>
    <row r="195" spans="9:9" s="34" customFormat="1">
      <c r="I195" s="102"/>
    </row>
    <row r="196" spans="9:9" s="34" customFormat="1">
      <c r="I196" s="102"/>
    </row>
    <row r="197" spans="9:9" s="34" customFormat="1">
      <c r="I197" s="102"/>
    </row>
    <row r="198" spans="9:9" s="34" customFormat="1">
      <c r="I198" s="102"/>
    </row>
    <row r="199" spans="9:9" s="34" customFormat="1">
      <c r="I199" s="102"/>
    </row>
    <row r="200" spans="9:9" s="34" customFormat="1">
      <c r="I200" s="102"/>
    </row>
    <row r="201" spans="9:9" s="34" customFormat="1">
      <c r="I201" s="102"/>
    </row>
    <row r="202" spans="9:9" s="34" customFormat="1">
      <c r="I202" s="102"/>
    </row>
    <row r="203" spans="9:9" s="34" customFormat="1">
      <c r="I203" s="102"/>
    </row>
    <row r="204" spans="9:9" s="34" customFormat="1">
      <c r="I204" s="102"/>
    </row>
    <row r="205" spans="9:9" s="34" customFormat="1">
      <c r="I205" s="102"/>
    </row>
    <row r="206" spans="9:9" s="34" customFormat="1">
      <c r="I206" s="102"/>
    </row>
    <row r="207" spans="9:9" s="34" customFormat="1">
      <c r="I207" s="102"/>
    </row>
    <row r="208" spans="9:9" s="34" customFormat="1">
      <c r="I208" s="102"/>
    </row>
    <row r="209" spans="9:9" s="34" customFormat="1">
      <c r="I209" s="102"/>
    </row>
    <row r="210" spans="9:9" s="34" customFormat="1">
      <c r="I210" s="102"/>
    </row>
    <row r="211" spans="9:9" s="34" customFormat="1">
      <c r="I211" s="102"/>
    </row>
    <row r="212" spans="9:9" s="34" customFormat="1">
      <c r="I212" s="102"/>
    </row>
    <row r="213" spans="9:9" s="34" customFormat="1">
      <c r="I213" s="102"/>
    </row>
    <row r="214" spans="9:9" s="34" customFormat="1">
      <c r="I214" s="102"/>
    </row>
    <row r="215" spans="9:9" s="34" customFormat="1">
      <c r="I215" s="102"/>
    </row>
    <row r="216" spans="9:9" s="34" customFormat="1">
      <c r="I216" s="102"/>
    </row>
    <row r="217" spans="9:9" s="34" customFormat="1">
      <c r="I217" s="102"/>
    </row>
    <row r="218" spans="9:9" s="34" customFormat="1">
      <c r="I218" s="102"/>
    </row>
    <row r="219" spans="9:9" s="34" customFormat="1">
      <c r="I219" s="102"/>
    </row>
    <row r="220" spans="9:9" s="34" customFormat="1">
      <c r="I220" s="102"/>
    </row>
    <row r="221" spans="9:9" s="34" customFormat="1">
      <c r="I221" s="102"/>
    </row>
    <row r="222" spans="9:9" s="34" customFormat="1">
      <c r="I222" s="102"/>
    </row>
    <row r="223" spans="9:9" s="34" customFormat="1">
      <c r="I223" s="102"/>
    </row>
    <row r="224" spans="9:9" s="34" customFormat="1">
      <c r="I224" s="102"/>
    </row>
    <row r="225" spans="9:9" s="34" customFormat="1">
      <c r="I225" s="102"/>
    </row>
    <row r="226" spans="9:9" s="34" customFormat="1">
      <c r="I226" s="102"/>
    </row>
    <row r="227" spans="9:9" s="34" customFormat="1">
      <c r="I227" s="102"/>
    </row>
    <row r="228" spans="9:9" s="34" customFormat="1">
      <c r="I228" s="102"/>
    </row>
    <row r="229" spans="9:9" s="34" customFormat="1">
      <c r="I229" s="102"/>
    </row>
    <row r="230" spans="9:9" s="34" customFormat="1">
      <c r="I230" s="102"/>
    </row>
    <row r="231" spans="9:9" s="34" customFormat="1">
      <c r="I231" s="102"/>
    </row>
    <row r="232" spans="9:9" s="34" customFormat="1">
      <c r="I232" s="102"/>
    </row>
    <row r="233" spans="9:9" s="34" customFormat="1">
      <c r="I233" s="102"/>
    </row>
    <row r="234" spans="9:9" s="34" customFormat="1">
      <c r="I234" s="102"/>
    </row>
    <row r="235" spans="9:9" s="34" customFormat="1">
      <c r="I235" s="102"/>
    </row>
    <row r="236" spans="9:9" s="34" customFormat="1">
      <c r="I236" s="102"/>
    </row>
    <row r="237" spans="9:9" s="34" customFormat="1">
      <c r="I237" s="102"/>
    </row>
    <row r="238" spans="9:9" s="34" customFormat="1">
      <c r="I238" s="102"/>
    </row>
    <row r="239" spans="9:9" s="34" customFormat="1">
      <c r="I239" s="102"/>
    </row>
    <row r="240" spans="9:9" s="34" customFormat="1">
      <c r="I240" s="102"/>
    </row>
    <row r="241" spans="9:9" s="34" customFormat="1">
      <c r="I241" s="102"/>
    </row>
    <row r="242" spans="9:9" s="34" customFormat="1">
      <c r="I242" s="102"/>
    </row>
    <row r="243" spans="9:9" s="34" customFormat="1">
      <c r="I243" s="102"/>
    </row>
    <row r="244" spans="9:9" s="34" customFormat="1">
      <c r="I244" s="102"/>
    </row>
    <row r="245" spans="9:9" s="34" customFormat="1">
      <c r="I245" s="102"/>
    </row>
    <row r="246" spans="9:9" s="34" customFormat="1">
      <c r="I246" s="102"/>
    </row>
    <row r="247" spans="9:9" s="34" customFormat="1">
      <c r="I247" s="102"/>
    </row>
    <row r="248" spans="9:9" s="34" customFormat="1">
      <c r="I248" s="102"/>
    </row>
    <row r="249" spans="9:9" s="34" customFormat="1">
      <c r="I249" s="102"/>
    </row>
    <row r="250" spans="9:9" s="34" customFormat="1">
      <c r="I250" s="102"/>
    </row>
    <row r="251" spans="9:9" s="34" customFormat="1">
      <c r="I251" s="102"/>
    </row>
    <row r="252" spans="9:9" s="34" customFormat="1">
      <c r="I252" s="102"/>
    </row>
    <row r="253" spans="9:9" s="34" customFormat="1">
      <c r="I253" s="102"/>
    </row>
    <row r="254" spans="9:9" s="34" customFormat="1">
      <c r="I254" s="102"/>
    </row>
    <row r="255" spans="9:9" s="34" customFormat="1">
      <c r="I255" s="102"/>
    </row>
    <row r="256" spans="9:9" s="34" customFormat="1">
      <c r="I256" s="102"/>
    </row>
    <row r="257" spans="9:9" s="34" customFormat="1">
      <c r="I257" s="102"/>
    </row>
    <row r="258" spans="9:9" s="34" customFormat="1">
      <c r="I258" s="102"/>
    </row>
    <row r="259" spans="9:9" s="34" customFormat="1">
      <c r="I259" s="102"/>
    </row>
    <row r="260" spans="9:9" s="34" customFormat="1">
      <c r="I260" s="102"/>
    </row>
    <row r="261" spans="9:9" s="34" customFormat="1">
      <c r="I261" s="102"/>
    </row>
    <row r="262" spans="9:9" s="34" customFormat="1">
      <c r="I262" s="102"/>
    </row>
    <row r="263" spans="9:9" s="34" customFormat="1">
      <c r="I263" s="102"/>
    </row>
    <row r="264" spans="9:9" s="34" customFormat="1">
      <c r="I264" s="102"/>
    </row>
    <row r="265" spans="9:9" s="34" customFormat="1">
      <c r="I265" s="102"/>
    </row>
    <row r="266" spans="9:9" s="34" customFormat="1">
      <c r="I266" s="102"/>
    </row>
    <row r="267" spans="9:9" s="34" customFormat="1">
      <c r="I267" s="102"/>
    </row>
    <row r="268" spans="9:9" s="34" customFormat="1">
      <c r="I268" s="102"/>
    </row>
    <row r="269" spans="9:9" s="34" customFormat="1">
      <c r="I269" s="102"/>
    </row>
    <row r="270" spans="9:9" s="34" customFormat="1">
      <c r="I270" s="102"/>
    </row>
    <row r="271" spans="9:9" s="34" customFormat="1">
      <c r="I271" s="102"/>
    </row>
    <row r="272" spans="9:9" s="34" customFormat="1">
      <c r="I272" s="102"/>
    </row>
    <row r="273" spans="9:9" s="34" customFormat="1">
      <c r="I273" s="102"/>
    </row>
    <row r="274" spans="9:9" s="34" customFormat="1">
      <c r="I274" s="102"/>
    </row>
    <row r="275" spans="9:9" s="34" customFormat="1">
      <c r="I275" s="102"/>
    </row>
    <row r="276" spans="9:9" s="34" customFormat="1">
      <c r="I276" s="102"/>
    </row>
    <row r="277" spans="9:9" s="34" customFormat="1">
      <c r="I277" s="102"/>
    </row>
    <row r="278" spans="9:9" s="34" customFormat="1">
      <c r="I278" s="102"/>
    </row>
    <row r="279" spans="9:9" s="34" customFormat="1">
      <c r="I279" s="102"/>
    </row>
    <row r="280" spans="9:9" s="34" customFormat="1">
      <c r="I280" s="102"/>
    </row>
    <row r="281" spans="9:9" s="34" customFormat="1">
      <c r="I281" s="102"/>
    </row>
    <row r="282" spans="9:9" s="34" customFormat="1">
      <c r="I282" s="102"/>
    </row>
    <row r="283" spans="9:9" s="34" customFormat="1">
      <c r="I283" s="102"/>
    </row>
    <row r="284" spans="9:9" s="34" customFormat="1">
      <c r="I284" s="102"/>
    </row>
    <row r="285" spans="9:9" s="34" customFormat="1">
      <c r="I285" s="102"/>
    </row>
    <row r="286" spans="9:9" s="34" customFormat="1">
      <c r="I286" s="102"/>
    </row>
    <row r="287" spans="9:9" s="34" customFormat="1">
      <c r="I287" s="102"/>
    </row>
    <row r="288" spans="9:9" s="34" customFormat="1">
      <c r="I288" s="102"/>
    </row>
    <row r="289" spans="9:9" s="34" customFormat="1">
      <c r="I289" s="102"/>
    </row>
    <row r="290" spans="9:9" s="34" customFormat="1">
      <c r="I290" s="102"/>
    </row>
    <row r="291" spans="9:9" s="34" customFormat="1">
      <c r="I291" s="102"/>
    </row>
    <row r="292" spans="9:9" s="34" customFormat="1">
      <c r="I292" s="102"/>
    </row>
    <row r="293" spans="9:9" s="34" customFormat="1">
      <c r="I293" s="102"/>
    </row>
    <row r="294" spans="9:9" s="34" customFormat="1">
      <c r="I294" s="102"/>
    </row>
    <row r="295" spans="9:9" s="34" customFormat="1">
      <c r="I295" s="102"/>
    </row>
    <row r="296" spans="9:9" s="34" customFormat="1">
      <c r="I296" s="102"/>
    </row>
    <row r="297" spans="9:9" s="34" customFormat="1">
      <c r="I297" s="102"/>
    </row>
    <row r="298" spans="9:9" s="34" customFormat="1">
      <c r="I298" s="102"/>
    </row>
    <row r="299" spans="9:9" s="34" customFormat="1">
      <c r="I299" s="102"/>
    </row>
    <row r="300" spans="9:9" s="34" customFormat="1">
      <c r="I300" s="102"/>
    </row>
    <row r="301" spans="9:9" s="34" customFormat="1">
      <c r="I301" s="102"/>
    </row>
    <row r="302" spans="9:9" s="34" customFormat="1">
      <c r="I302" s="102"/>
    </row>
    <row r="303" spans="9:9" s="34" customFormat="1">
      <c r="I303" s="102"/>
    </row>
    <row r="304" spans="9:9" s="34" customFormat="1">
      <c r="I304" s="102"/>
    </row>
    <row r="305" spans="9:9" s="34" customFormat="1">
      <c r="I305" s="102"/>
    </row>
    <row r="306" spans="9:9" s="34" customFormat="1">
      <c r="I306" s="102"/>
    </row>
    <row r="307" spans="9:9" s="34" customFormat="1">
      <c r="I307" s="102"/>
    </row>
    <row r="308" spans="9:9" s="34" customFormat="1">
      <c r="I308" s="102"/>
    </row>
    <row r="309" spans="9:9" s="34" customFormat="1">
      <c r="I309" s="102"/>
    </row>
    <row r="310" spans="9:9" s="34" customFormat="1">
      <c r="I310" s="102"/>
    </row>
    <row r="311" spans="9:9" s="34" customFormat="1"/>
    <row r="312" spans="9:9" s="34" customFormat="1"/>
    <row r="313" spans="9:9" s="34" customFormat="1"/>
    <row r="314" spans="9:9" s="34" customFormat="1"/>
    <row r="315" spans="9:9" s="34" customFormat="1"/>
    <row r="316" spans="9:9" s="34" customFormat="1"/>
    <row r="317" spans="9:9" s="34" customFormat="1"/>
    <row r="318" spans="9:9" s="34" customFormat="1"/>
    <row r="319" spans="9:9" s="34" customFormat="1"/>
    <row r="320" spans="9:9" s="34" customFormat="1"/>
    <row r="321" s="34" customFormat="1"/>
    <row r="322" s="34" customFormat="1"/>
    <row r="323" s="34" customFormat="1"/>
    <row r="324" s="34" customFormat="1"/>
    <row r="325" s="34" customFormat="1"/>
    <row r="326" s="34" customFormat="1"/>
    <row r="327" s="34" customFormat="1"/>
    <row r="328" s="34" customFormat="1"/>
    <row r="329" s="34" customFormat="1"/>
    <row r="330" s="34" customFormat="1"/>
    <row r="331" s="34" customFormat="1"/>
    <row r="332" s="34" customFormat="1"/>
    <row r="333" s="34" customFormat="1"/>
    <row r="334" s="34" customFormat="1"/>
    <row r="335" s="34" customFormat="1"/>
    <row r="336" s="34" customFormat="1"/>
    <row r="337" s="34" customFormat="1"/>
    <row r="338" s="34" customFormat="1"/>
    <row r="339" s="34" customFormat="1"/>
    <row r="340" s="34" customFormat="1"/>
    <row r="341" s="34" customFormat="1"/>
    <row r="342" s="34" customFormat="1"/>
    <row r="343" s="34" customFormat="1"/>
    <row r="344" s="34" customFormat="1"/>
    <row r="345" s="34" customFormat="1"/>
    <row r="346" s="34" customFormat="1"/>
    <row r="347" s="34" customFormat="1"/>
    <row r="348" s="34" customFormat="1"/>
    <row r="349" s="34" customFormat="1"/>
    <row r="350" s="34" customFormat="1"/>
    <row r="351" s="34" customFormat="1"/>
    <row r="352" s="34" customFormat="1"/>
    <row r="353" s="34" customFormat="1"/>
    <row r="354" s="34" customFormat="1"/>
    <row r="355" s="34" customFormat="1"/>
    <row r="356" s="34" customFormat="1"/>
    <row r="357" s="34" customFormat="1"/>
    <row r="358" s="34" customFormat="1"/>
    <row r="359" s="34" customFormat="1"/>
    <row r="360" s="34" customFormat="1"/>
    <row r="361" s="34" customFormat="1"/>
    <row r="362" s="34" customFormat="1"/>
    <row r="363" s="34" customFormat="1"/>
    <row r="364" s="34" customFormat="1"/>
    <row r="365" s="34" customFormat="1"/>
    <row r="366" s="34" customFormat="1"/>
    <row r="367" s="34" customFormat="1"/>
    <row r="368" s="34" customFormat="1"/>
    <row r="369" s="34" customFormat="1"/>
    <row r="370" s="34" customFormat="1"/>
    <row r="371" s="34" customFormat="1"/>
    <row r="372" s="34" customFormat="1"/>
    <row r="373" s="34" customFormat="1"/>
    <row r="374" s="34" customFormat="1"/>
    <row r="375" s="34" customFormat="1"/>
    <row r="376" s="34" customFormat="1"/>
    <row r="377" s="34" customFormat="1"/>
    <row r="378" s="34" customFormat="1"/>
    <row r="379" s="34" customFormat="1"/>
    <row r="380" s="34" customFormat="1"/>
    <row r="381" s="34" customFormat="1"/>
    <row r="382" s="34" customFormat="1"/>
    <row r="383" s="34" customFormat="1"/>
    <row r="384" s="34" customFormat="1"/>
    <row r="385" s="34" customFormat="1"/>
    <row r="386" s="34" customFormat="1"/>
    <row r="387" s="34" customFormat="1"/>
    <row r="388" s="34" customFormat="1"/>
    <row r="389" s="34" customFormat="1"/>
    <row r="390" s="34" customFormat="1"/>
    <row r="391" s="34" customFormat="1"/>
    <row r="392" s="34" customFormat="1"/>
    <row r="393" s="34" customFormat="1"/>
    <row r="394" s="34" customFormat="1"/>
    <row r="395" s="34" customFormat="1"/>
    <row r="396" s="34" customFormat="1"/>
    <row r="397" s="34" customFormat="1"/>
    <row r="398" s="34" customFormat="1"/>
    <row r="399" s="34" customFormat="1"/>
    <row r="400" s="34" customFormat="1"/>
    <row r="401" s="34" customFormat="1"/>
    <row r="402" s="34" customFormat="1"/>
    <row r="403" s="34" customFormat="1"/>
    <row r="404" s="34" customFormat="1"/>
    <row r="405" s="34" customFormat="1"/>
    <row r="406" s="34" customFormat="1"/>
    <row r="407" s="34" customFormat="1"/>
    <row r="408" s="34" customFormat="1"/>
    <row r="409" s="34" customFormat="1"/>
    <row r="410" s="34" customFormat="1"/>
    <row r="411" s="34" customFormat="1"/>
    <row r="412" s="34" customFormat="1"/>
    <row r="413" s="34" customFormat="1"/>
    <row r="414" s="34" customFormat="1"/>
    <row r="415" s="34" customFormat="1"/>
    <row r="416" s="34" customFormat="1"/>
    <row r="417" s="34" customFormat="1"/>
    <row r="418" s="34" customFormat="1"/>
    <row r="419" s="34" customFormat="1"/>
    <row r="420" s="34" customFormat="1"/>
    <row r="421" s="34" customFormat="1"/>
    <row r="422" s="34" customFormat="1"/>
    <row r="423" s="34" customFormat="1"/>
    <row r="424" s="34" customFormat="1"/>
    <row r="425" s="34" customFormat="1"/>
    <row r="426" s="34" customFormat="1"/>
    <row r="427" s="34" customFormat="1"/>
    <row r="428" s="34" customFormat="1"/>
    <row r="429" s="34" customFormat="1"/>
    <row r="430" s="34" customFormat="1"/>
    <row r="431" s="34" customFormat="1"/>
    <row r="432" s="34" customFormat="1"/>
    <row r="433" s="34" customFormat="1"/>
    <row r="434" s="34" customFormat="1"/>
    <row r="435" s="34" customFormat="1"/>
    <row r="436" s="34" customFormat="1"/>
    <row r="437" s="34" customFormat="1"/>
    <row r="438" s="34" customFormat="1"/>
    <row r="439" s="34" customFormat="1"/>
    <row r="440" s="34" customFormat="1"/>
    <row r="441" s="34" customFormat="1"/>
    <row r="442" s="34" customFormat="1"/>
    <row r="443" s="34" customFormat="1"/>
    <row r="444" s="34" customFormat="1"/>
    <row r="445" s="34" customFormat="1"/>
    <row r="446" s="34" customFormat="1"/>
    <row r="447" s="34" customFormat="1"/>
    <row r="448" s="34" customFormat="1"/>
    <row r="449" s="34" customFormat="1"/>
    <row r="450" s="34" customFormat="1"/>
    <row r="451" s="34" customFormat="1"/>
    <row r="452" s="34" customFormat="1"/>
    <row r="453" s="34" customFormat="1"/>
    <row r="454" s="34" customFormat="1"/>
    <row r="455" s="34" customFormat="1"/>
    <row r="456" s="34" customFormat="1"/>
    <row r="457" s="34" customFormat="1"/>
    <row r="458" s="34" customFormat="1"/>
    <row r="459" s="34" customFormat="1"/>
    <row r="460" s="34" customFormat="1"/>
    <row r="461" s="34" customFormat="1"/>
    <row r="462" s="34" customFormat="1"/>
    <row r="463" s="34" customFormat="1"/>
    <row r="464" s="34" customFormat="1"/>
    <row r="465" s="34" customFormat="1"/>
    <row r="466" s="34" customFormat="1"/>
    <row r="467" s="34" customFormat="1"/>
    <row r="468" s="34" customFormat="1"/>
    <row r="469" s="34" customFormat="1"/>
    <row r="470" s="34" customFormat="1"/>
    <row r="471" s="34" customFormat="1"/>
    <row r="472" s="34" customFormat="1"/>
    <row r="473" s="34" customFormat="1"/>
    <row r="474" s="34" customFormat="1"/>
    <row r="475" s="34" customFormat="1"/>
    <row r="476" s="34" customFormat="1"/>
    <row r="477" s="34" customFormat="1"/>
    <row r="478" s="34" customFormat="1"/>
    <row r="479" s="34" customFormat="1"/>
    <row r="480" s="34" customFormat="1"/>
    <row r="481" s="34" customFormat="1"/>
    <row r="482" s="34" customFormat="1"/>
    <row r="483" s="34" customFormat="1"/>
    <row r="484" s="34" customFormat="1"/>
    <row r="485" s="34" customFormat="1"/>
    <row r="486" s="34" customFormat="1"/>
    <row r="487" s="34" customFormat="1"/>
    <row r="488" s="34" customFormat="1"/>
    <row r="489" s="34" customFormat="1"/>
    <row r="490" s="34" customFormat="1"/>
    <row r="491" s="34" customFormat="1"/>
    <row r="492" s="34" customFormat="1"/>
    <row r="493" s="34" customFormat="1"/>
    <row r="494" s="34" customFormat="1"/>
    <row r="495" s="34" customFormat="1"/>
    <row r="496" s="34" customFormat="1"/>
    <row r="497" s="34" customFormat="1"/>
    <row r="498" s="34" customFormat="1"/>
    <row r="499" s="34" customFormat="1"/>
    <row r="500" s="34" customFormat="1"/>
    <row r="501" s="34" customFormat="1"/>
    <row r="502" s="34" customFormat="1"/>
    <row r="503" s="34" customFormat="1"/>
    <row r="504" s="34" customFormat="1"/>
    <row r="505" s="34" customFormat="1"/>
    <row r="506" s="34" customFormat="1"/>
    <row r="507" s="34" customFormat="1"/>
    <row r="508" s="34" customFormat="1"/>
    <row r="509" s="34" customFormat="1"/>
    <row r="510" s="34" customFormat="1"/>
    <row r="511" s="34" customFormat="1"/>
    <row r="512" s="34" customFormat="1"/>
    <row r="513" s="34" customFormat="1"/>
    <row r="514" s="34" customFormat="1"/>
    <row r="515" s="34" customFormat="1"/>
    <row r="516" s="34" customFormat="1"/>
    <row r="517" s="34" customFormat="1"/>
    <row r="518" s="34" customFormat="1"/>
    <row r="519" s="34" customFormat="1"/>
    <row r="520" s="34" customFormat="1"/>
    <row r="521" s="34" customFormat="1"/>
    <row r="522" s="34" customFormat="1"/>
    <row r="523" s="34" customFormat="1"/>
    <row r="524" s="34" customFormat="1"/>
    <row r="525" s="34" customFormat="1"/>
    <row r="526" s="34" customFormat="1"/>
    <row r="527" s="34" customFormat="1"/>
    <row r="528" s="34" customFormat="1"/>
    <row r="529" s="34" customFormat="1"/>
    <row r="530" s="34" customFormat="1"/>
    <row r="531" s="34" customFormat="1"/>
    <row r="532" s="34" customFormat="1"/>
    <row r="533" s="34" customFormat="1"/>
    <row r="534" s="34" customFormat="1"/>
    <row r="535" s="34" customFormat="1"/>
    <row r="536" s="34" customFormat="1"/>
    <row r="537" s="34" customFormat="1"/>
    <row r="538" s="34" customFormat="1"/>
    <row r="539" s="34" customFormat="1"/>
    <row r="540" s="34" customFormat="1"/>
    <row r="541" s="34" customFormat="1"/>
    <row r="542" s="34" customFormat="1"/>
    <row r="543" s="34" customFormat="1"/>
    <row r="544" s="34" customFormat="1"/>
    <row r="545" s="34" customFormat="1"/>
    <row r="546" s="34" customFormat="1"/>
    <row r="547" s="34" customFormat="1"/>
    <row r="548" s="34" customFormat="1"/>
    <row r="549" s="34" customFormat="1"/>
    <row r="550" s="34" customFormat="1"/>
    <row r="551" s="34" customFormat="1"/>
    <row r="552" s="34" customFormat="1"/>
    <row r="553" s="34" customFormat="1"/>
    <row r="554" s="34" customFormat="1"/>
    <row r="555" s="34" customFormat="1"/>
    <row r="556" s="34" customFormat="1"/>
    <row r="557" s="34" customFormat="1"/>
    <row r="558" s="34" customFormat="1"/>
    <row r="559" s="34" customFormat="1"/>
    <row r="560" s="34" customFormat="1"/>
    <row r="561" s="34" customFormat="1"/>
    <row r="562" s="34" customFormat="1"/>
    <row r="563" s="34" customFormat="1"/>
    <row r="564" s="34" customFormat="1"/>
    <row r="565" s="34" customFormat="1"/>
    <row r="566" s="34" customFormat="1"/>
    <row r="567" s="34" customFormat="1"/>
    <row r="568" s="34" customFormat="1"/>
    <row r="569" s="34" customFormat="1"/>
    <row r="570" s="34" customFormat="1"/>
    <row r="571" s="34" customFormat="1"/>
    <row r="572" s="34" customFormat="1"/>
    <row r="573" s="34" customFormat="1"/>
    <row r="574" s="34" customFormat="1"/>
    <row r="575" s="34" customFormat="1"/>
    <row r="576" s="34" customFormat="1"/>
    <row r="577" s="34" customFormat="1"/>
    <row r="578" s="34" customFormat="1"/>
    <row r="579" s="34" customFormat="1"/>
    <row r="580" s="34" customFormat="1"/>
    <row r="581" s="34" customFormat="1"/>
    <row r="582" s="34" customFormat="1"/>
    <row r="583" s="34" customFormat="1"/>
    <row r="584" s="34" customFormat="1"/>
    <row r="585" s="34" customFormat="1"/>
    <row r="586" s="34" customFormat="1"/>
    <row r="587" s="34" customFormat="1"/>
    <row r="588" s="34" customFormat="1"/>
    <row r="589" s="34" customFormat="1"/>
    <row r="590" s="34" customFormat="1"/>
    <row r="591" s="34" customFormat="1"/>
    <row r="592" s="34" customFormat="1"/>
    <row r="593" s="34" customFormat="1"/>
    <row r="594" s="34" customFormat="1"/>
    <row r="595" s="34" customFormat="1"/>
    <row r="596" s="34" customFormat="1"/>
    <row r="597" s="34" customFormat="1"/>
    <row r="598" s="34" customFormat="1"/>
    <row r="599" s="34" customFormat="1"/>
    <row r="600" s="34" customFormat="1"/>
    <row r="601" s="34" customFormat="1"/>
    <row r="602" s="34" customFormat="1"/>
    <row r="603" s="34" customFormat="1"/>
    <row r="604" s="34" customFormat="1"/>
    <row r="605" s="34" customFormat="1"/>
    <row r="606" s="34" customFormat="1"/>
    <row r="607" s="34" customFormat="1"/>
    <row r="608" s="34" customFormat="1"/>
    <row r="609" s="34" customFormat="1"/>
    <row r="610" s="34" customFormat="1"/>
    <row r="611" s="34" customFormat="1"/>
    <row r="612" s="34" customFormat="1"/>
    <row r="613" s="34" customFormat="1"/>
    <row r="614" s="34" customFormat="1"/>
    <row r="615" s="34" customFormat="1"/>
    <row r="616" s="34" customFormat="1"/>
    <row r="617" s="34" customFormat="1"/>
    <row r="618" s="34" customFormat="1"/>
    <row r="619" s="34" customFormat="1"/>
    <row r="620" s="34" customFormat="1"/>
    <row r="621" s="34" customFormat="1"/>
    <row r="622" s="34" customFormat="1"/>
    <row r="623" s="34" customFormat="1"/>
    <row r="624" s="34" customFormat="1"/>
    <row r="625" s="34" customFormat="1"/>
    <row r="626" s="34" customFormat="1"/>
    <row r="627" s="34" customFormat="1"/>
    <row r="628" s="34" customFormat="1"/>
    <row r="629" s="34" customFormat="1"/>
    <row r="630" s="34" customFormat="1"/>
    <row r="631" s="34" customFormat="1"/>
    <row r="632" s="34" customFormat="1"/>
    <row r="633" s="34" customFormat="1"/>
    <row r="634" s="34" customFormat="1"/>
    <row r="635" s="34" customFormat="1"/>
    <row r="636" s="34" customFormat="1"/>
    <row r="637" s="34" customFormat="1"/>
    <row r="638" s="34" customFormat="1"/>
    <row r="639" s="34" customFormat="1"/>
    <row r="640" s="34" customFormat="1"/>
    <row r="641" s="34" customFormat="1"/>
    <row r="642" s="34" customFormat="1"/>
    <row r="643" s="34" customFormat="1"/>
    <row r="644" s="34" customFormat="1"/>
    <row r="645" s="34" customFormat="1"/>
    <row r="646" s="34" customFormat="1"/>
    <row r="647" s="34" customFormat="1"/>
    <row r="648" s="34" customFormat="1"/>
    <row r="649" s="34" customFormat="1"/>
    <row r="650" s="34" customFormat="1"/>
    <row r="651" s="34" customFormat="1"/>
    <row r="652" s="34" customFormat="1"/>
    <row r="653" s="34" customFormat="1"/>
    <row r="654" s="34" customFormat="1"/>
    <row r="655" s="34" customFormat="1"/>
    <row r="656" s="34" customFormat="1"/>
    <row r="657" s="34" customFormat="1"/>
    <row r="658" s="34" customFormat="1"/>
    <row r="659" s="34" customFormat="1"/>
    <row r="660" s="34" customFormat="1"/>
    <row r="661" s="34" customFormat="1"/>
    <row r="662" s="34" customFormat="1"/>
    <row r="663" s="34" customFormat="1"/>
    <row r="664" s="34" customFormat="1"/>
    <row r="665" s="34" customFormat="1"/>
    <row r="666" s="34" customFormat="1"/>
    <row r="667" s="34" customFormat="1"/>
    <row r="668" s="34" customFormat="1"/>
    <row r="669" s="34" customFormat="1"/>
    <row r="670" s="34" customFormat="1"/>
    <row r="671" s="34" customFormat="1"/>
    <row r="672" s="34" customFormat="1"/>
    <row r="673" s="34" customFormat="1"/>
    <row r="674" s="34" customFormat="1"/>
    <row r="675" s="34" customFormat="1"/>
    <row r="676" s="34" customFormat="1"/>
    <row r="677" s="34" customFormat="1"/>
    <row r="678" s="34" customFormat="1"/>
    <row r="679" s="34" customFormat="1"/>
    <row r="680" s="34" customFormat="1"/>
    <row r="681" s="34" customFormat="1"/>
    <row r="682" s="34" customFormat="1"/>
    <row r="683" s="34" customFormat="1"/>
    <row r="684" s="34" customFormat="1"/>
    <row r="685" s="34" customFormat="1"/>
    <row r="686" s="34" customFormat="1"/>
    <row r="687" s="34" customFormat="1"/>
    <row r="688" s="34" customFormat="1"/>
    <row r="689" s="34" customFormat="1"/>
    <row r="690" s="34" customFormat="1"/>
    <row r="691" s="34" customFormat="1"/>
    <row r="692" s="34" customFormat="1"/>
    <row r="693" s="34" customFormat="1"/>
    <row r="694" s="34" customFormat="1"/>
    <row r="695" s="34" customFormat="1"/>
    <row r="696" s="34" customFormat="1"/>
    <row r="697" s="34" customFormat="1"/>
    <row r="698" s="34" customFormat="1"/>
    <row r="699" s="34" customFormat="1"/>
    <row r="700" s="34" customFormat="1"/>
    <row r="701" s="34" customFormat="1"/>
    <row r="702" s="34" customFormat="1"/>
    <row r="703" s="34" customFormat="1"/>
    <row r="704" s="34" customFormat="1"/>
    <row r="705" s="34" customFormat="1"/>
    <row r="706" s="34" customFormat="1"/>
    <row r="707" s="34" customFormat="1"/>
    <row r="708" s="34" customFormat="1"/>
    <row r="709" s="34" customFormat="1"/>
    <row r="710" s="34" customFormat="1"/>
    <row r="711" s="34" customFormat="1"/>
    <row r="712" s="34" customFormat="1"/>
    <row r="713" s="34" customFormat="1"/>
    <row r="714" s="34" customFormat="1"/>
    <row r="715" s="34" customFormat="1"/>
    <row r="716" s="34" customFormat="1"/>
    <row r="717" s="34" customFormat="1"/>
    <row r="718" s="34" customFormat="1"/>
    <row r="719" s="34" customFormat="1"/>
    <row r="720" s="34" customFormat="1"/>
    <row r="721" s="34" customFormat="1"/>
    <row r="722" s="34" customFormat="1"/>
    <row r="723" s="34" customFormat="1"/>
    <row r="724" s="34" customFormat="1"/>
    <row r="725" s="34" customFormat="1"/>
    <row r="726" s="34" customFormat="1"/>
    <row r="727" s="34" customFormat="1"/>
    <row r="728" s="34" customFormat="1"/>
    <row r="729" s="34" customFormat="1"/>
    <row r="730" s="34" customFormat="1"/>
    <row r="731" s="34" customFormat="1"/>
    <row r="732" s="34" customFormat="1"/>
    <row r="733" s="34" customFormat="1"/>
    <row r="734" s="34" customFormat="1"/>
    <row r="735" s="34" customFormat="1"/>
    <row r="736" s="34" customFormat="1"/>
    <row r="737" s="34" customFormat="1"/>
    <row r="738" s="34" customFormat="1"/>
    <row r="739" s="34" customFormat="1"/>
    <row r="740" s="34" customFormat="1"/>
    <row r="741" s="34" customFormat="1"/>
    <row r="742" s="34" customFormat="1"/>
    <row r="743" s="34" customFormat="1"/>
    <row r="744" s="34" customFormat="1"/>
    <row r="745" s="34" customFormat="1"/>
    <row r="746" s="34" customFormat="1"/>
    <row r="747" s="34" customFormat="1"/>
    <row r="748" s="34" customFormat="1"/>
    <row r="749" s="34" customFormat="1"/>
    <row r="750" s="34" customFormat="1"/>
    <row r="751" s="34" customFormat="1"/>
    <row r="752" s="34" customFormat="1"/>
    <row r="753" s="34" customFormat="1"/>
    <row r="754" s="34" customFormat="1"/>
    <row r="755" s="34" customFormat="1"/>
    <row r="756" s="34" customFormat="1"/>
    <row r="757" s="34" customFormat="1"/>
    <row r="758" s="34" customFormat="1"/>
    <row r="759" s="34" customFormat="1"/>
    <row r="760" s="34" customFormat="1"/>
    <row r="761" s="34" customFormat="1"/>
    <row r="762" s="34" customFormat="1"/>
    <row r="763" s="34" customFormat="1"/>
    <row r="764" s="34" customFormat="1"/>
    <row r="765" s="34" customFormat="1"/>
    <row r="766" s="34" customFormat="1"/>
    <row r="767" s="34" customFormat="1"/>
    <row r="768" s="34" customFormat="1"/>
    <row r="769" s="34" customFormat="1"/>
    <row r="770" s="34" customFormat="1"/>
    <row r="771" s="34" customFormat="1"/>
    <row r="772" s="34" customFormat="1"/>
    <row r="773" s="34" customFormat="1"/>
    <row r="774" s="34" customFormat="1"/>
    <row r="775" s="34" customFormat="1"/>
    <row r="776" s="34" customFormat="1"/>
    <row r="777" s="34" customFormat="1"/>
    <row r="778" s="34" customFormat="1"/>
    <row r="779" s="34" customFormat="1"/>
    <row r="780" s="34" customFormat="1"/>
    <row r="781" s="34" customFormat="1"/>
    <row r="782" s="34" customFormat="1"/>
    <row r="783" s="34" customFormat="1"/>
    <row r="784" s="34" customFormat="1"/>
    <row r="785" s="34" customFormat="1"/>
    <row r="786" s="34" customFormat="1"/>
    <row r="787" s="34" customFormat="1"/>
    <row r="788" s="34" customFormat="1"/>
    <row r="789" s="34" customFormat="1"/>
    <row r="790" s="34" customFormat="1"/>
    <row r="791" s="34" customFormat="1"/>
    <row r="792" s="34" customFormat="1"/>
    <row r="793" s="34" customFormat="1"/>
    <row r="794" s="34" customFormat="1"/>
    <row r="795" s="34" customFormat="1"/>
    <row r="796" s="34" customFormat="1"/>
    <row r="797" s="34" customFormat="1"/>
    <row r="798" s="34" customFormat="1"/>
    <row r="799" s="34" customFormat="1"/>
    <row r="800" s="34" customFormat="1"/>
    <row r="801" s="34" customFormat="1"/>
    <row r="802" s="34" customFormat="1"/>
    <row r="803" s="34" customFormat="1"/>
    <row r="804" s="34" customFormat="1"/>
    <row r="805" s="34" customFormat="1"/>
    <row r="806" s="34" customFormat="1"/>
    <row r="807" s="34" customFormat="1"/>
    <row r="808" s="34" customFormat="1"/>
    <row r="809" s="34" customFormat="1"/>
    <row r="810" s="34" customFormat="1"/>
    <row r="811" s="34" customFormat="1"/>
    <row r="812" s="34" customFormat="1"/>
    <row r="813" s="34" customFormat="1"/>
    <row r="814" s="34" customFormat="1"/>
    <row r="815" s="34" customFormat="1"/>
    <row r="816" s="34" customFormat="1"/>
    <row r="817" s="34" customFormat="1"/>
    <row r="818" s="34" customFormat="1"/>
    <row r="819" s="34" customFormat="1"/>
    <row r="820" s="34" customFormat="1"/>
    <row r="821" s="34" customFormat="1"/>
    <row r="822" s="34" customFormat="1"/>
    <row r="823" s="34" customFormat="1"/>
    <row r="824" s="34" customFormat="1"/>
    <row r="825" s="34" customFormat="1"/>
    <row r="826" s="34" customFormat="1"/>
    <row r="827" s="34" customFormat="1"/>
    <row r="828" s="34" customFormat="1"/>
    <row r="829" s="34" customFormat="1"/>
    <row r="830" s="34" customFormat="1"/>
    <row r="831" s="34" customFormat="1"/>
    <row r="832" s="34" customFormat="1"/>
    <row r="833" s="34" customFormat="1"/>
    <row r="834" s="34" customFormat="1"/>
    <row r="835" s="34" customFormat="1"/>
    <row r="836" s="34" customFormat="1"/>
    <row r="837" s="34" customFormat="1"/>
    <row r="838" s="34" customFormat="1"/>
    <row r="839" s="34" customFormat="1"/>
    <row r="840" s="34" customFormat="1"/>
    <row r="841" s="34" customFormat="1"/>
    <row r="842" s="34" customFormat="1"/>
    <row r="843" s="34" customFormat="1"/>
    <row r="844" s="34" customFormat="1"/>
    <row r="845" s="34" customFormat="1"/>
    <row r="846" s="34" customFormat="1"/>
    <row r="847" s="34" customFormat="1"/>
    <row r="848" s="34" customFormat="1"/>
    <row r="849" s="34" customFormat="1"/>
    <row r="850" s="34" customFormat="1"/>
    <row r="851" s="34" customFormat="1"/>
    <row r="852" s="34" customFormat="1"/>
    <row r="853" s="34" customFormat="1"/>
    <row r="854" s="34" customFormat="1"/>
    <row r="855" s="34" customFormat="1"/>
    <row r="856" s="34" customFormat="1"/>
    <row r="857" s="34" customFormat="1"/>
    <row r="858" s="34" customFormat="1"/>
    <row r="859" s="34" customFormat="1"/>
    <row r="860" s="34" customFormat="1"/>
    <row r="861" s="34" customFormat="1"/>
    <row r="862" s="34" customFormat="1"/>
    <row r="863" s="34" customFormat="1"/>
    <row r="864" s="34" customFormat="1"/>
    <row r="865" s="34" customFormat="1"/>
    <row r="866" s="34" customFormat="1"/>
    <row r="867" s="34" customFormat="1"/>
    <row r="868" s="34" customFormat="1"/>
    <row r="869" s="34" customFormat="1"/>
    <row r="870" s="34" customFormat="1"/>
    <row r="871" s="34" customFormat="1"/>
    <row r="872" s="34" customFormat="1"/>
    <row r="873" s="34" customFormat="1"/>
    <row r="874" s="34" customFormat="1"/>
    <row r="875" s="34" customFormat="1"/>
    <row r="876" s="34" customFormat="1"/>
    <row r="877" s="34" customFormat="1"/>
    <row r="878" s="34" customFormat="1"/>
    <row r="879" s="34" customFormat="1"/>
    <row r="880" s="34" customFormat="1"/>
    <row r="881" s="34" customFormat="1"/>
    <row r="882" s="34" customFormat="1"/>
    <row r="883" s="34" customFormat="1"/>
    <row r="884" s="34" customFormat="1"/>
    <row r="885" s="34" customFormat="1"/>
    <row r="886" s="34" customFormat="1"/>
    <row r="887" s="34" customFormat="1"/>
    <row r="888" s="34" customFormat="1"/>
    <row r="889" s="34" customFormat="1"/>
    <row r="890" s="34" customFormat="1"/>
    <row r="891" s="34" customFormat="1"/>
    <row r="892" s="34" customFormat="1"/>
    <row r="893" s="34" customFormat="1"/>
    <row r="894" s="34" customFormat="1"/>
    <row r="895" s="34" customFormat="1"/>
    <row r="896" s="34" customFormat="1"/>
    <row r="897" s="34" customFormat="1"/>
    <row r="898" s="34" customFormat="1"/>
    <row r="899" s="34" customFormat="1"/>
    <row r="900" s="34" customFormat="1"/>
    <row r="901" s="34" customFormat="1"/>
    <row r="902" s="34" customFormat="1"/>
    <row r="903" s="34" customFormat="1"/>
    <row r="904" s="34" customFormat="1"/>
    <row r="905" s="34" customFormat="1"/>
    <row r="906" s="34" customFormat="1"/>
    <row r="907" s="34" customFormat="1"/>
    <row r="908" s="34" customFormat="1"/>
    <row r="909" s="34" customFormat="1"/>
    <row r="910" s="34" customFormat="1"/>
    <row r="911" s="34" customFormat="1"/>
    <row r="912" s="34" customFormat="1"/>
    <row r="913" s="34" customFormat="1"/>
    <row r="914" s="34" customFormat="1"/>
    <row r="915" s="34" customFormat="1"/>
    <row r="916" s="34" customFormat="1"/>
    <row r="917" s="34" customFormat="1"/>
    <row r="918" s="34" customFormat="1"/>
    <row r="919" s="34" customFormat="1"/>
    <row r="920" s="34" customFormat="1"/>
    <row r="921" s="34" customFormat="1"/>
    <row r="922" s="34" customFormat="1"/>
    <row r="923" s="34" customFormat="1"/>
    <row r="924" s="34" customFormat="1"/>
    <row r="925" s="34" customFormat="1"/>
    <row r="926" s="34" customFormat="1"/>
    <row r="927" s="34" customFormat="1"/>
    <row r="928" s="34" customFormat="1"/>
    <row r="929" s="34" customFormat="1"/>
    <row r="930" s="34" customFormat="1"/>
    <row r="931" s="34" customFormat="1"/>
    <row r="932" s="34" customFormat="1"/>
    <row r="933" s="34" customFormat="1"/>
    <row r="934" s="34" customFormat="1"/>
    <row r="935" s="34" customFormat="1"/>
    <row r="936" s="34" customFormat="1"/>
    <row r="937" s="34" customFormat="1"/>
    <row r="938" s="34" customFormat="1"/>
    <row r="939" s="34" customFormat="1"/>
    <row r="940" s="34" customFormat="1"/>
    <row r="941" s="34" customFormat="1"/>
    <row r="942" s="34" customFormat="1"/>
    <row r="943" s="34" customFormat="1"/>
    <row r="944" s="34" customFormat="1"/>
    <row r="945" s="34" customFormat="1"/>
    <row r="946" s="34" customFormat="1"/>
    <row r="947" s="34" customFormat="1"/>
    <row r="948" s="34" customFormat="1"/>
    <row r="949" s="34" customFormat="1"/>
    <row r="950" s="34" customFormat="1"/>
    <row r="951" s="34" customFormat="1"/>
    <row r="952" s="34" customFormat="1"/>
    <row r="953" s="34" customFormat="1"/>
    <row r="954" s="34" customFormat="1"/>
    <row r="955" s="34" customFormat="1"/>
    <row r="956" s="34" customFormat="1"/>
    <row r="957" s="34" customFormat="1"/>
    <row r="958" s="34" customFormat="1"/>
    <row r="959" s="34" customFormat="1"/>
    <row r="960" s="34" customFormat="1"/>
    <row r="961" s="34" customFormat="1"/>
    <row r="962" s="34" customFormat="1"/>
    <row r="963" s="34" customFormat="1"/>
    <row r="964" s="34" customFormat="1"/>
    <row r="965" s="34" customFormat="1"/>
    <row r="966" s="34" customFormat="1"/>
    <row r="967" s="34" customFormat="1"/>
    <row r="968" s="34" customFormat="1"/>
    <row r="969" s="34" customFormat="1"/>
    <row r="970" s="34" customFormat="1"/>
    <row r="971" s="34" customFormat="1"/>
    <row r="972" s="34" customFormat="1"/>
    <row r="973" s="34" customFormat="1"/>
    <row r="974" s="34" customFormat="1"/>
    <row r="975" s="34" customFormat="1"/>
    <row r="976" s="34" customFormat="1"/>
    <row r="977" s="34" customFormat="1"/>
    <row r="978" s="34" customFormat="1"/>
    <row r="979" s="34" customFormat="1"/>
    <row r="980" s="34" customFormat="1"/>
    <row r="981" s="34" customFormat="1"/>
    <row r="982" s="34" customFormat="1"/>
    <row r="983" s="34" customFormat="1"/>
    <row r="984" s="34" customFormat="1"/>
    <row r="985" s="34" customFormat="1"/>
    <row r="986" s="34" customFormat="1"/>
    <row r="987" s="34" customFormat="1"/>
    <row r="988" s="34" customFormat="1"/>
    <row r="989" s="34" customFormat="1"/>
    <row r="990" s="34" customFormat="1"/>
    <row r="991" s="34" customFormat="1"/>
    <row r="992" s="34" customFormat="1"/>
    <row r="993" s="34" customFormat="1"/>
    <row r="994" s="34" customFormat="1"/>
    <row r="995" s="34" customFormat="1"/>
    <row r="996" s="34" customFormat="1"/>
    <row r="997" s="34" customFormat="1"/>
    <row r="998" s="34" customFormat="1"/>
    <row r="999" s="34" customFormat="1"/>
    <row r="1000" s="34" customFormat="1"/>
    <row r="1001" s="34" customFormat="1"/>
    <row r="1002" s="34" customFormat="1"/>
    <row r="1003" s="34" customFormat="1"/>
    <row r="1004" s="34" customFormat="1"/>
    <row r="1005" s="34" customFormat="1"/>
    <row r="1006" s="34" customFormat="1"/>
    <row r="1007" s="34" customFormat="1"/>
    <row r="1008" s="34" customFormat="1"/>
    <row r="1009" s="34" customFormat="1"/>
    <row r="1010" s="34" customFormat="1"/>
    <row r="1011" s="34" customFormat="1"/>
    <row r="1012" s="34" customFormat="1"/>
    <row r="1013" s="34" customFormat="1"/>
    <row r="1014" s="34" customFormat="1"/>
    <row r="1015" s="34" customFormat="1"/>
    <row r="1016" s="34" customFormat="1"/>
    <row r="1017" s="34" customFormat="1"/>
    <row r="1018" s="34" customFormat="1"/>
    <row r="1019" s="34" customFormat="1"/>
    <row r="1020" s="34" customFormat="1"/>
    <row r="1021" s="34" customFormat="1"/>
    <row r="1022" s="34" customFormat="1"/>
    <row r="1023" s="34" customFormat="1"/>
    <row r="1024" s="34" customFormat="1"/>
    <row r="1025" s="34" customFormat="1"/>
    <row r="1026" s="34" customFormat="1"/>
    <row r="1027" s="34" customFormat="1"/>
    <row r="1028" s="34" customFormat="1"/>
    <row r="1029" s="34" customFormat="1"/>
    <row r="1030" s="34" customFormat="1"/>
    <row r="1031" s="34" customFormat="1"/>
    <row r="1032" s="34" customFormat="1"/>
    <row r="1033" s="34" customFormat="1"/>
    <row r="1034" s="34" customFormat="1"/>
    <row r="1035" s="34" customFormat="1"/>
    <row r="1036" s="34" customFormat="1"/>
    <row r="1037" s="34" customFormat="1"/>
    <row r="1038" s="34" customFormat="1"/>
    <row r="1039" s="34" customFormat="1"/>
    <row r="1040" s="34" customFormat="1"/>
    <row r="1041" s="34" customFormat="1"/>
    <row r="1042" s="34" customFormat="1"/>
    <row r="1043" s="34" customFormat="1"/>
    <row r="1044" s="34" customFormat="1"/>
    <row r="1045" s="34" customFormat="1"/>
    <row r="1046" s="34" customFormat="1"/>
    <row r="1047" s="34" customFormat="1"/>
    <row r="1048" s="34" customFormat="1"/>
    <row r="1049" s="34" customFormat="1"/>
    <row r="1050" s="34" customFormat="1"/>
    <row r="1051" s="34" customFormat="1"/>
    <row r="1052" s="34" customFormat="1"/>
    <row r="1053" s="34" customFormat="1"/>
    <row r="1054" s="34" customFormat="1"/>
    <row r="1055" s="34" customFormat="1"/>
    <row r="1056" s="34" customFormat="1"/>
    <row r="1057" s="34" customFormat="1"/>
    <row r="1058" s="34" customFormat="1"/>
    <row r="1059" s="34" customFormat="1"/>
    <row r="1060" s="34" customFormat="1"/>
    <row r="1061" s="34" customFormat="1"/>
    <row r="1062" s="34" customFormat="1"/>
    <row r="1063" s="34" customFormat="1"/>
    <row r="1064" s="34" customFormat="1"/>
    <row r="1065" s="34" customFormat="1"/>
    <row r="1066" s="34" customFormat="1"/>
    <row r="1067" s="34" customFormat="1"/>
    <row r="1068" s="34" customFormat="1"/>
    <row r="1069" s="34" customFormat="1"/>
    <row r="1070" s="34" customFormat="1"/>
    <row r="1071" s="34" customFormat="1"/>
    <row r="1072" s="34" customFormat="1"/>
    <row r="1073" s="34" customFormat="1"/>
    <row r="1074" s="34" customFormat="1"/>
    <row r="1075" s="34" customFormat="1"/>
    <row r="1076" s="34" customFormat="1"/>
    <row r="1077" s="34" customFormat="1"/>
    <row r="1078" s="34" customFormat="1"/>
    <row r="1079" s="34" customFormat="1"/>
    <row r="1080" s="34" customFormat="1"/>
    <row r="1081" s="34" customFormat="1"/>
    <row r="1082" s="34" customFormat="1"/>
    <row r="1083" s="34" customFormat="1"/>
    <row r="1084" s="34" customFormat="1"/>
    <row r="1085" s="34" customFormat="1"/>
    <row r="1086" s="34" customFormat="1"/>
    <row r="1087" s="34" customFormat="1"/>
    <row r="1088" s="34" customFormat="1"/>
    <row r="1089" s="34" customFormat="1"/>
    <row r="1090" s="34" customFormat="1"/>
    <row r="1091" s="34" customFormat="1"/>
    <row r="1092" s="34" customFormat="1"/>
    <row r="1093" s="34" customFormat="1"/>
    <row r="1094" s="34" customFormat="1"/>
    <row r="1095" s="34" customFormat="1"/>
    <row r="1096" s="34" customFormat="1"/>
    <row r="1097" s="34" customFormat="1"/>
    <row r="1098" s="34" customFormat="1"/>
    <row r="1099" s="34" customFormat="1"/>
    <row r="1100" s="34" customFormat="1"/>
    <row r="1101" s="34" customFormat="1"/>
    <row r="1102" s="34" customFormat="1"/>
    <row r="1103" s="34" customFormat="1"/>
    <row r="1104" s="34" customFormat="1"/>
    <row r="1105" s="34" customFormat="1"/>
    <row r="1106" s="34" customFormat="1"/>
    <row r="1107" s="34" customFormat="1"/>
    <row r="1108" s="34" customFormat="1"/>
    <row r="1109" s="34" customFormat="1"/>
    <row r="1110" s="34" customFormat="1"/>
    <row r="1111" s="34" customFormat="1"/>
    <row r="1112" s="34" customFormat="1"/>
    <row r="1113" s="34" customFormat="1"/>
    <row r="1114" s="34" customFormat="1"/>
    <row r="1115" s="34" customFormat="1"/>
    <row r="1116" s="34" customFormat="1"/>
    <row r="1117" s="34" customFormat="1"/>
    <row r="1118" s="34" customFormat="1"/>
    <row r="1119" s="34" customFormat="1"/>
    <row r="1120" s="34" customFormat="1"/>
    <row r="1121" s="34" customFormat="1"/>
    <row r="1122" s="34" customFormat="1"/>
    <row r="1123" s="34" customFormat="1"/>
    <row r="1124" s="34" customFormat="1"/>
    <row r="1125" s="34" customFormat="1"/>
    <row r="1126" s="34" customFormat="1"/>
    <row r="1127" s="34" customFormat="1"/>
    <row r="1128" s="34" customFormat="1"/>
    <row r="1129" s="34" customFormat="1"/>
    <row r="1130" s="34" customFormat="1"/>
    <row r="1131" s="34" customFormat="1"/>
    <row r="1132" s="34" customFormat="1"/>
    <row r="1133" s="34" customFormat="1"/>
    <row r="1134" s="34" customFormat="1"/>
    <row r="1135" s="34" customFormat="1"/>
    <row r="1136" s="34" customFormat="1"/>
    <row r="1137" s="34" customFormat="1"/>
    <row r="1138" s="34" customFormat="1"/>
    <row r="1139" s="34" customFormat="1"/>
    <row r="1140" s="34" customFormat="1"/>
    <row r="1141" s="34" customFormat="1"/>
    <row r="1142" s="34" customFormat="1"/>
    <row r="1143" s="34" customFormat="1"/>
    <row r="1144" s="34" customFormat="1"/>
    <row r="1145" s="34" customFormat="1"/>
    <row r="1146" s="34" customFormat="1"/>
    <row r="1147" s="34" customFormat="1"/>
    <row r="1148" s="34" customFormat="1"/>
    <row r="1149" s="34" customFormat="1"/>
    <row r="1150" s="34" customFormat="1"/>
    <row r="1151" s="34" customFormat="1"/>
    <row r="1152" s="34" customFormat="1"/>
    <row r="1153" s="34" customFormat="1"/>
    <row r="1154" s="34" customFormat="1"/>
    <row r="1155" s="34" customFormat="1"/>
    <row r="1156" s="34" customFormat="1"/>
    <row r="1157" s="34" customFormat="1"/>
    <row r="1158" s="34" customFormat="1"/>
    <row r="1159" s="34" customFormat="1"/>
    <row r="1160" s="34" customFormat="1"/>
    <row r="1161" s="34" customFormat="1"/>
    <row r="1162" s="34" customFormat="1"/>
    <row r="1163" s="34" customFormat="1"/>
    <row r="1164" s="34" customFormat="1"/>
    <row r="1165" s="34" customFormat="1"/>
    <row r="1166" s="34" customFormat="1"/>
    <row r="1167" s="34" customFormat="1"/>
    <row r="1168" s="34" customFormat="1"/>
    <row r="1169" s="34" customFormat="1"/>
    <row r="1170" s="34" customFormat="1"/>
    <row r="1171" s="34" customFormat="1"/>
    <row r="1172" s="34" customFormat="1"/>
    <row r="1173" s="34" customFormat="1"/>
    <row r="1174" s="34" customFormat="1"/>
    <row r="1175" s="34" customFormat="1"/>
    <row r="1176" s="34" customFormat="1"/>
    <row r="1177" s="34" customFormat="1"/>
    <row r="1178" s="34" customFormat="1"/>
    <row r="1179" s="34" customFormat="1"/>
    <row r="1180" s="34" customFormat="1"/>
    <row r="1181" s="34" customFormat="1"/>
    <row r="1182" s="34" customFormat="1"/>
    <row r="1183" s="34" customFormat="1"/>
    <row r="1184" s="34" customFormat="1"/>
    <row r="1185" s="34" customFormat="1"/>
    <row r="1186" s="34" customFormat="1"/>
    <row r="1187" s="34" customFormat="1"/>
    <row r="1188" s="34" customFormat="1"/>
    <row r="1189" s="34" customFormat="1"/>
    <row r="1190" s="34" customFormat="1"/>
    <row r="1191" s="34" customFormat="1"/>
    <row r="1192" s="34" customFormat="1"/>
    <row r="1193" s="34" customFormat="1"/>
    <row r="1194" s="34" customFormat="1"/>
    <row r="1195" s="34" customFormat="1"/>
    <row r="1196" s="34" customFormat="1"/>
    <row r="1197" s="34" customFormat="1"/>
    <row r="1198" s="34" customFormat="1"/>
    <row r="1199" s="34" customFormat="1"/>
    <row r="1200" s="34" customFormat="1"/>
    <row r="1201" s="34" customFormat="1"/>
    <row r="1202" s="34" customFormat="1"/>
    <row r="1203" s="34" customFormat="1"/>
    <row r="1204" s="34" customFormat="1"/>
    <row r="1205" s="34" customFormat="1"/>
    <row r="1206" s="34" customFormat="1"/>
    <row r="1207" s="34" customFormat="1"/>
    <row r="1208" s="34" customFormat="1"/>
    <row r="1209" s="34" customFormat="1"/>
    <row r="1210" s="34" customFormat="1"/>
    <row r="1211" s="34" customFormat="1"/>
    <row r="1212" s="34" customFormat="1"/>
    <row r="1213" s="34" customFormat="1"/>
    <row r="1214" s="34" customFormat="1"/>
    <row r="1215" s="34" customFormat="1"/>
    <row r="1216" s="34" customFormat="1"/>
    <row r="1217" s="34" customFormat="1"/>
    <row r="1218" s="34" customFormat="1"/>
    <row r="1219" s="34" customFormat="1"/>
    <row r="1220" s="34" customFormat="1"/>
    <row r="1221" s="34" customFormat="1"/>
    <row r="1222" s="34" customFormat="1"/>
    <row r="1223" s="34" customFormat="1"/>
    <row r="1224" s="34" customFormat="1"/>
    <row r="1225" s="34" customFormat="1"/>
    <row r="1226" s="34" customFormat="1"/>
    <row r="1227" s="34" customFormat="1"/>
    <row r="1228" s="34" customFormat="1"/>
    <row r="1229" s="34" customFormat="1"/>
    <row r="1230" s="34" customFormat="1"/>
    <row r="1231" s="34" customFormat="1"/>
    <row r="1232" s="34" customFormat="1"/>
    <row r="1233" s="34" customFormat="1"/>
    <row r="1234" s="34" customFormat="1"/>
    <row r="1235" s="34" customFormat="1"/>
    <row r="1236" s="34" customFormat="1"/>
    <row r="1237" s="34" customFormat="1"/>
    <row r="1238" s="34" customFormat="1"/>
    <row r="1239" s="34" customFormat="1"/>
    <row r="1240" s="34" customFormat="1"/>
    <row r="1241" s="34" customFormat="1"/>
    <row r="1242" s="34" customFormat="1"/>
    <row r="1243" s="34" customFormat="1"/>
    <row r="1244" s="34" customFormat="1"/>
    <row r="1245" s="34" customFormat="1"/>
    <row r="1246" s="34" customFormat="1"/>
    <row r="1247" s="34" customFormat="1"/>
    <row r="1248" s="34" customFormat="1"/>
    <row r="1249" s="34" customFormat="1"/>
    <row r="1250" s="34" customFormat="1"/>
    <row r="1251" s="34" customFormat="1"/>
    <row r="1252" s="34" customFormat="1"/>
    <row r="1253" s="34" customFormat="1"/>
    <row r="1254" s="34" customFormat="1"/>
    <row r="1255" s="34" customFormat="1"/>
    <row r="1256" s="34" customFormat="1"/>
    <row r="1257" s="34" customFormat="1"/>
    <row r="1258" s="34" customFormat="1"/>
    <row r="1259" s="34" customFormat="1"/>
    <row r="1260" s="34" customFormat="1"/>
    <row r="1261" s="34" customFormat="1"/>
    <row r="1262" s="34" customFormat="1"/>
    <row r="1263" s="34" customFormat="1"/>
    <row r="1264" s="34" customFormat="1"/>
    <row r="1265" s="34" customFormat="1"/>
    <row r="1266" s="34" customFormat="1"/>
    <row r="1267" s="34" customFormat="1"/>
    <row r="1268" s="34" customFormat="1"/>
    <row r="1269" s="34" customFormat="1"/>
    <row r="1270" s="34" customFormat="1"/>
    <row r="1271" s="34" customFormat="1"/>
    <row r="1272" s="34" customFormat="1"/>
    <row r="1273" s="34" customFormat="1"/>
    <row r="1274" s="34" customFormat="1"/>
    <row r="1275" s="34" customFormat="1"/>
    <row r="1276" s="34" customFormat="1"/>
    <row r="1277" s="34" customFormat="1"/>
    <row r="1278" s="34" customFormat="1"/>
    <row r="1279" s="34" customFormat="1"/>
    <row r="1280" s="34" customFormat="1"/>
    <row r="1281" s="34" customFormat="1"/>
    <row r="1282" s="34" customFormat="1"/>
    <row r="1283" s="34" customFormat="1"/>
    <row r="1284" s="34" customFormat="1"/>
    <row r="1285" s="34" customFormat="1"/>
    <row r="1286" s="34" customFormat="1"/>
    <row r="1287" s="34" customFormat="1"/>
    <row r="1288" s="34" customFormat="1"/>
    <row r="1289" s="34" customFormat="1"/>
    <row r="1290" s="34" customFormat="1"/>
    <row r="1291" s="34" customFormat="1"/>
    <row r="1292" s="34" customFormat="1"/>
    <row r="1293" s="34" customFormat="1"/>
    <row r="1294" s="34" customFormat="1"/>
    <row r="1295" s="34" customFormat="1"/>
    <row r="1296" s="34" customFormat="1"/>
    <row r="1297" s="34" customFormat="1"/>
    <row r="1298" s="34" customFormat="1"/>
    <row r="1299" s="34" customFormat="1"/>
    <row r="1300" s="34" customFormat="1"/>
    <row r="1301" s="34" customFormat="1"/>
    <row r="1302" s="34" customFormat="1"/>
    <row r="1303" s="34" customFormat="1"/>
    <row r="1304" s="34" customFormat="1"/>
    <row r="1305" s="34" customFormat="1"/>
    <row r="1306" s="34" customFormat="1"/>
    <row r="1307" s="34" customFormat="1"/>
    <row r="1308" s="34" customFormat="1"/>
    <row r="1309" s="34" customFormat="1"/>
    <row r="1310" s="34" customFormat="1"/>
    <row r="1311" s="34" customFormat="1"/>
    <row r="1312" s="34" customFormat="1"/>
    <row r="1313" s="34" customFormat="1"/>
    <row r="1314" s="34" customFormat="1"/>
    <row r="1315" s="34" customFormat="1"/>
    <row r="1316" s="34" customFormat="1"/>
    <row r="1317" s="34" customFormat="1"/>
    <row r="1318" s="34" customFormat="1"/>
    <row r="1319" s="34" customFormat="1"/>
    <row r="1320" s="34" customFormat="1"/>
    <row r="1321" s="34" customFormat="1"/>
    <row r="1322" s="34" customFormat="1"/>
    <row r="1323" s="34" customFormat="1"/>
    <row r="1324" s="34" customFormat="1"/>
    <row r="1325" s="34" customFormat="1"/>
    <row r="1326" s="34" customFormat="1"/>
    <row r="1327" s="34" customFormat="1"/>
    <row r="1328" s="34" customFormat="1"/>
    <row r="1329" s="34" customFormat="1"/>
    <row r="1330" s="34" customFormat="1"/>
    <row r="1331" s="34" customFormat="1"/>
    <row r="1332" s="34" customFormat="1"/>
    <row r="1333" s="34" customFormat="1"/>
    <row r="1334" s="34" customFormat="1"/>
    <row r="1335" s="34" customFormat="1"/>
    <row r="1336" s="34" customFormat="1"/>
    <row r="1337" s="34" customFormat="1"/>
    <row r="1338" s="34" customFormat="1"/>
    <row r="1339" s="34" customFormat="1"/>
    <row r="1340" s="34" customFormat="1"/>
    <row r="1341" s="34" customFormat="1"/>
    <row r="1342" s="34" customFormat="1"/>
    <row r="1343" s="34" customFormat="1"/>
    <row r="1344" s="34" customFormat="1"/>
    <row r="1345" s="34" customFormat="1"/>
    <row r="1346" s="34" customFormat="1"/>
    <row r="1347" s="34" customFormat="1"/>
    <row r="1348" s="34" customFormat="1"/>
    <row r="1349" s="34" customFormat="1"/>
    <row r="1350" s="34" customFormat="1"/>
    <row r="1351" s="34" customFormat="1"/>
    <row r="1352" s="34" customFormat="1"/>
    <row r="1353" s="34" customFormat="1"/>
    <row r="1354" s="34" customFormat="1"/>
    <row r="1355" s="34" customFormat="1"/>
    <row r="1356" s="34" customFormat="1"/>
    <row r="1357" s="34" customFormat="1"/>
    <row r="1358" s="34" customFormat="1"/>
    <row r="1359" s="34" customFormat="1"/>
    <row r="1360" s="34" customFormat="1"/>
    <row r="1361" s="34" customFormat="1"/>
    <row r="1362" s="34" customFormat="1"/>
    <row r="1363" s="34" customFormat="1"/>
    <row r="1364" s="34" customFormat="1"/>
    <row r="1365" s="34" customFormat="1"/>
    <row r="1366" s="34" customFormat="1"/>
    <row r="1367" s="34" customFormat="1"/>
    <row r="1368" s="34" customFormat="1"/>
    <row r="1369" s="34" customFormat="1"/>
    <row r="1370" s="34" customFormat="1"/>
    <row r="1371" s="34" customFormat="1"/>
    <row r="1372" s="34" customFormat="1"/>
    <row r="1373" s="34" customFormat="1"/>
    <row r="1374" s="34" customFormat="1"/>
    <row r="1375" s="34" customFormat="1"/>
    <row r="1376" s="34" customFormat="1"/>
    <row r="1377" s="34" customFormat="1"/>
    <row r="1378" s="34" customFormat="1"/>
    <row r="1379" s="34" customFormat="1"/>
    <row r="1380" s="34" customFormat="1"/>
    <row r="1381" s="34" customFormat="1"/>
    <row r="1382" s="34" customFormat="1"/>
    <row r="1383" s="34" customFormat="1"/>
    <row r="1384" s="34" customFormat="1"/>
    <row r="1385" s="34" customFormat="1"/>
    <row r="1386" s="34" customFormat="1"/>
    <row r="1387" s="34" customFormat="1"/>
    <row r="1388" s="34" customFormat="1"/>
    <row r="1389" s="34" customFormat="1"/>
    <row r="1390" s="34" customFormat="1"/>
    <row r="1391" s="34" customFormat="1"/>
    <row r="1392" s="34" customFormat="1"/>
    <row r="1393" s="34" customFormat="1"/>
    <row r="1394" s="34" customFormat="1"/>
    <row r="1395" s="34" customFormat="1"/>
    <row r="1396" s="34" customFormat="1"/>
    <row r="1397" s="34" customFormat="1"/>
    <row r="1398" s="34" customFormat="1"/>
    <row r="1399" s="34" customFormat="1"/>
    <row r="1400" s="34" customFormat="1"/>
    <row r="1401" s="34" customFormat="1"/>
    <row r="1402" s="34" customFormat="1"/>
    <row r="1403" s="34" customFormat="1"/>
    <row r="1404" s="34" customFormat="1"/>
    <row r="1405" s="34" customFormat="1"/>
    <row r="1406" s="34" customFormat="1"/>
    <row r="1407" s="34" customFormat="1"/>
    <row r="1408" s="34" customFormat="1"/>
    <row r="1409" s="34" customFormat="1"/>
    <row r="1410" s="34" customFormat="1"/>
    <row r="1411" s="34" customFormat="1"/>
    <row r="1412" s="34" customFormat="1"/>
    <row r="1413" s="34" customFormat="1"/>
    <row r="1414" s="34" customFormat="1"/>
    <row r="1415" s="34" customFormat="1"/>
    <row r="1416" s="34" customFormat="1"/>
    <row r="1417" s="34" customFormat="1"/>
    <row r="1418" s="34" customFormat="1"/>
    <row r="1419" s="34" customFormat="1"/>
    <row r="1420" s="34" customFormat="1"/>
    <row r="1421" s="34" customFormat="1"/>
    <row r="1422" s="34" customFormat="1"/>
    <row r="1423" s="34" customFormat="1"/>
    <row r="1424" s="34" customFormat="1"/>
    <row r="1425" s="34" customFormat="1"/>
    <row r="1426" s="34" customFormat="1"/>
    <row r="1427" s="34" customFormat="1"/>
    <row r="1428" s="34" customFormat="1"/>
    <row r="1429" s="34" customFormat="1"/>
    <row r="1430" s="34" customFormat="1"/>
    <row r="1431" s="34" customFormat="1"/>
    <row r="1432" s="34" customFormat="1"/>
    <row r="1433" s="34" customFormat="1"/>
    <row r="1434" s="34" customFormat="1"/>
    <row r="1435" s="34" customFormat="1"/>
    <row r="1436" s="34" customFormat="1"/>
    <row r="1437" s="34" customFormat="1"/>
    <row r="1438" s="34" customFormat="1"/>
    <row r="1439" s="34" customFormat="1"/>
    <row r="1440" s="34" customFormat="1"/>
    <row r="1441" s="34" customFormat="1"/>
    <row r="1442" s="34" customFormat="1"/>
    <row r="1443" s="34" customFormat="1"/>
    <row r="1444" s="34" customFormat="1"/>
    <row r="1445" s="34" customFormat="1"/>
    <row r="1446" s="34" customFormat="1"/>
    <row r="1447" s="34" customFormat="1"/>
    <row r="1448" s="34" customFormat="1"/>
    <row r="1449" s="34" customFormat="1"/>
    <row r="1450" s="34" customFormat="1"/>
    <row r="1451" s="34" customFormat="1"/>
    <row r="1452" s="34" customFormat="1"/>
    <row r="1453" s="34" customFormat="1"/>
    <row r="1454" s="34" customFormat="1"/>
    <row r="1455" s="34" customFormat="1"/>
    <row r="1456" s="34" customFormat="1"/>
    <row r="1457" s="34" customFormat="1"/>
    <row r="1458" s="34" customFormat="1"/>
    <row r="1459" s="34" customFormat="1"/>
    <row r="1460" s="34" customFormat="1"/>
    <row r="1461" s="34" customFormat="1"/>
    <row r="1462" s="34" customFormat="1"/>
    <row r="1463" s="34" customFormat="1"/>
    <row r="1464" s="34" customFormat="1"/>
    <row r="1465" s="34" customFormat="1"/>
    <row r="1466" s="34" customFormat="1"/>
    <row r="1467" s="34" customFormat="1"/>
    <row r="1468" s="34" customFormat="1"/>
    <row r="1469" s="34" customFormat="1"/>
    <row r="1470" s="34" customFormat="1"/>
    <row r="1471" s="34" customFormat="1"/>
    <row r="1472" s="34" customFormat="1"/>
    <row r="1473" s="34" customFormat="1"/>
    <row r="1474" s="34" customFormat="1"/>
    <row r="1475" s="34" customFormat="1"/>
    <row r="1476" s="34" customFormat="1"/>
    <row r="1477" s="34" customFormat="1"/>
    <row r="1478" s="34" customFormat="1"/>
    <row r="1479" s="34" customFormat="1"/>
    <row r="1480" s="34" customFormat="1"/>
    <row r="1481" s="34" customFormat="1"/>
    <row r="1482" s="34" customFormat="1"/>
    <row r="1483" s="34" customFormat="1"/>
    <row r="1484" s="34" customFormat="1"/>
    <row r="1485" s="34" customFormat="1"/>
    <row r="1486" s="34" customFormat="1"/>
    <row r="1487" s="34" customFormat="1"/>
    <row r="1488" s="34" customFormat="1"/>
    <row r="1489" s="34" customFormat="1"/>
    <row r="1490" s="34" customFormat="1"/>
    <row r="1491" s="34" customFormat="1"/>
    <row r="1492" s="34" customFormat="1"/>
    <row r="1493" s="34" customFormat="1"/>
    <row r="1494" s="34" customFormat="1"/>
    <row r="1495" s="34" customFormat="1"/>
    <row r="1496" s="34" customFormat="1"/>
    <row r="1497" s="34" customFormat="1"/>
    <row r="1498" s="34" customFormat="1"/>
    <row r="1499" s="34" customFormat="1"/>
    <row r="1500" s="34" customFormat="1"/>
    <row r="1501" s="34" customFormat="1"/>
    <row r="1502" s="34" customFormat="1"/>
    <row r="1503" s="34" customFormat="1"/>
    <row r="1504" s="34" customFormat="1"/>
    <row r="1505" s="34" customFormat="1"/>
    <row r="1506" s="34" customFormat="1"/>
    <row r="1507" s="34" customFormat="1"/>
    <row r="1508" s="34" customFormat="1"/>
    <row r="1509" s="34" customFormat="1"/>
    <row r="1510" s="34" customFormat="1"/>
    <row r="1511" s="34" customFormat="1"/>
    <row r="1512" s="34" customFormat="1"/>
    <row r="1513" s="34" customFormat="1"/>
    <row r="1514" s="34" customFormat="1"/>
    <row r="1515" s="34" customFormat="1"/>
    <row r="1516" s="34" customFormat="1"/>
    <row r="1517" s="34" customFormat="1"/>
    <row r="1518" s="34" customFormat="1"/>
    <row r="1519" s="34" customFormat="1"/>
    <row r="1520" s="34" customFormat="1"/>
    <row r="1521" s="34" customFormat="1"/>
    <row r="1522" s="34" customFormat="1"/>
    <row r="1523" s="34" customFormat="1"/>
    <row r="1524" s="34" customFormat="1"/>
    <row r="1525" s="34" customFormat="1"/>
    <row r="1526" s="34" customFormat="1"/>
    <row r="1527" s="34" customFormat="1"/>
    <row r="1528" s="34" customFormat="1"/>
    <row r="1529" s="34" customFormat="1"/>
    <row r="1530" s="34" customFormat="1"/>
    <row r="1531" s="34" customFormat="1"/>
    <row r="1532" s="34" customFormat="1"/>
    <row r="1533" s="34" customFormat="1"/>
    <row r="1534" s="34" customFormat="1"/>
    <row r="1535" s="34" customFormat="1"/>
    <row r="1536" s="34" customFormat="1"/>
    <row r="1537" s="34" customFormat="1"/>
    <row r="1538" s="34" customFormat="1"/>
    <row r="1539" s="34" customFormat="1"/>
    <row r="1540" s="34" customFormat="1"/>
    <row r="1541" s="34" customFormat="1"/>
    <row r="1542" s="34" customFormat="1"/>
    <row r="1543" s="34" customFormat="1"/>
    <row r="1544" s="34" customFormat="1"/>
    <row r="1545" s="34" customFormat="1"/>
    <row r="1546" s="34" customFormat="1"/>
    <row r="1547" s="34" customFormat="1"/>
    <row r="1548" s="34" customFormat="1"/>
    <row r="1549" s="34" customFormat="1"/>
    <row r="1550" s="34" customFormat="1"/>
    <row r="1551" s="34" customFormat="1"/>
    <row r="1552" s="34" customFormat="1"/>
    <row r="1553" s="34" customFormat="1"/>
    <row r="1554" s="34" customFormat="1"/>
    <row r="1555" s="34" customFormat="1"/>
    <row r="1556" s="34" customFormat="1"/>
    <row r="1557" s="34" customFormat="1"/>
    <row r="1558" s="34" customFormat="1"/>
    <row r="1559" s="34" customFormat="1"/>
    <row r="1560" s="34" customFormat="1"/>
    <row r="1561" s="34" customFormat="1"/>
    <row r="1562" s="34" customFormat="1"/>
    <row r="1563" s="34" customFormat="1"/>
    <row r="1564" s="34" customFormat="1"/>
    <row r="1565" s="34" customFormat="1"/>
    <row r="1566" s="34" customFormat="1"/>
    <row r="1567" s="34" customFormat="1"/>
    <row r="1568" s="34" customFormat="1"/>
    <row r="1569" s="34" customFormat="1"/>
    <row r="1570" s="34" customFormat="1"/>
    <row r="1571" s="34" customFormat="1"/>
    <row r="1572" s="34" customFormat="1"/>
    <row r="1573" s="34" customFormat="1"/>
    <row r="1574" s="34" customFormat="1"/>
    <row r="1575" s="34" customFormat="1"/>
    <row r="1576" s="34" customFormat="1"/>
    <row r="1577" s="34" customFormat="1"/>
    <row r="1578" s="34" customFormat="1"/>
    <row r="1579" s="34" customFormat="1"/>
    <row r="1580" s="34" customFormat="1"/>
    <row r="1581" s="34" customFormat="1"/>
    <row r="1582" s="34" customFormat="1"/>
    <row r="1583" s="34" customFormat="1"/>
    <row r="1584" s="34" customFormat="1"/>
    <row r="1585" s="34" customFormat="1"/>
    <row r="1586" s="34" customFormat="1"/>
    <row r="1587" s="34" customFormat="1"/>
    <row r="1588" s="34" customFormat="1"/>
    <row r="1589" s="34" customFormat="1"/>
    <row r="1590" s="34" customFormat="1"/>
    <row r="1591" s="34" customFormat="1"/>
    <row r="1592" s="34" customFormat="1"/>
    <row r="1593" s="34" customFormat="1"/>
    <row r="1594" s="34" customFormat="1"/>
    <row r="1595" s="34" customFormat="1"/>
    <row r="1596" s="34" customFormat="1"/>
    <row r="1597" s="34" customFormat="1"/>
    <row r="1598" s="34" customFormat="1"/>
    <row r="1599" s="34" customFormat="1"/>
    <row r="1600" s="34" customFormat="1"/>
    <row r="1601" s="34" customFormat="1"/>
    <row r="1602" s="34" customFormat="1"/>
    <row r="1603" s="34" customFormat="1"/>
    <row r="1604" s="34" customFormat="1"/>
    <row r="1605" s="34" customFormat="1"/>
    <row r="1606" s="34" customFormat="1"/>
    <row r="1607" s="34" customFormat="1"/>
    <row r="1608" s="34" customFormat="1"/>
    <row r="1609" s="34" customFormat="1"/>
    <row r="1610" s="34" customFormat="1"/>
    <row r="1611" s="34" customFormat="1"/>
    <row r="1612" s="34" customFormat="1"/>
    <row r="1613" s="34" customFormat="1"/>
    <row r="1614" s="34" customFormat="1"/>
    <row r="1615" s="34" customFormat="1"/>
    <row r="1616" s="34" customFormat="1"/>
    <row r="1617" s="34" customFormat="1"/>
    <row r="1618" s="34" customFormat="1"/>
    <row r="1619" s="34" customFormat="1"/>
    <row r="1620" s="34" customFormat="1"/>
    <row r="1621" s="34" customFormat="1"/>
    <row r="1622" s="34" customFormat="1"/>
    <row r="1623" s="34" customFormat="1"/>
    <row r="1624" s="34" customFormat="1"/>
    <row r="1625" s="34" customFormat="1"/>
    <row r="1626" s="34" customFormat="1"/>
    <row r="1627" s="34" customFormat="1"/>
    <row r="1628" s="34" customFormat="1"/>
    <row r="1629" s="34" customFormat="1"/>
    <row r="1630" s="34" customFormat="1"/>
    <row r="1631" s="34" customFormat="1"/>
    <row r="1632" s="34" customFormat="1"/>
    <row r="1633" s="34" customFormat="1"/>
    <row r="1634" s="34" customFormat="1"/>
    <row r="1635" s="34" customFormat="1"/>
    <row r="1636" s="34" customFormat="1"/>
    <row r="1637" s="34" customFormat="1"/>
    <row r="1638" s="34" customFormat="1"/>
    <row r="1639" s="34" customFormat="1"/>
    <row r="1640" s="34" customFormat="1"/>
    <row r="1641" s="34" customFormat="1"/>
    <row r="1642" s="34" customFormat="1"/>
    <row r="1643" s="34" customFormat="1"/>
    <row r="1644" s="34" customFormat="1"/>
    <row r="1645" s="34" customFormat="1"/>
    <row r="1646" s="34" customFormat="1"/>
    <row r="1647" s="34" customFormat="1"/>
    <row r="1648" s="34" customFormat="1"/>
    <row r="1649" s="34" customFormat="1"/>
    <row r="1650" s="34" customFormat="1"/>
    <row r="1651" s="34" customFormat="1"/>
    <row r="1652" s="34" customFormat="1"/>
    <row r="1653" s="34" customFormat="1"/>
    <row r="1654" s="34" customFormat="1"/>
    <row r="1655" s="34" customFormat="1"/>
    <row r="1656" s="34" customFormat="1"/>
    <row r="1657" s="34" customFormat="1"/>
    <row r="1658" s="34" customFormat="1"/>
    <row r="1659" s="34" customFormat="1"/>
    <row r="1660" s="34" customFormat="1"/>
    <row r="1661" s="34" customFormat="1"/>
    <row r="1662" s="34" customFormat="1"/>
    <row r="1663" s="34" customFormat="1"/>
    <row r="1664" s="34" customFormat="1"/>
    <row r="1665" s="34" customFormat="1"/>
    <row r="1666" s="34" customFormat="1"/>
    <row r="1667" s="34" customFormat="1"/>
    <row r="1668" s="34" customFormat="1"/>
    <row r="1669" s="34" customFormat="1"/>
    <row r="1670" s="34" customFormat="1"/>
    <row r="1671" s="34" customFormat="1"/>
    <row r="1672" s="34" customFormat="1"/>
    <row r="1673" s="34" customFormat="1"/>
    <row r="1674" s="34" customFormat="1"/>
    <row r="1675" s="34" customFormat="1"/>
    <row r="1676" s="34" customFormat="1"/>
    <row r="1677" s="34" customFormat="1"/>
    <row r="1678" s="34" customFormat="1"/>
    <row r="1679" s="34" customFormat="1"/>
    <row r="1680" s="34" customFormat="1"/>
    <row r="1681" s="34" customFormat="1"/>
    <row r="1682" s="34" customFormat="1"/>
    <row r="1683" s="34" customFormat="1"/>
    <row r="1684" s="34" customFormat="1"/>
    <row r="1685" s="34" customFormat="1"/>
    <row r="1686" s="34" customFormat="1"/>
    <row r="1687" s="34" customFormat="1"/>
    <row r="1688" s="34" customFormat="1"/>
    <row r="1689" s="34" customFormat="1"/>
    <row r="1690" s="34" customFormat="1"/>
    <row r="1691" s="34" customFormat="1"/>
    <row r="1692" s="34" customFormat="1"/>
    <row r="1693" s="34" customFormat="1"/>
    <row r="1694" s="34" customFormat="1"/>
    <row r="1695" s="34" customFormat="1"/>
    <row r="1696" s="34" customFormat="1"/>
    <row r="1697" s="34" customFormat="1"/>
    <row r="1698" s="34" customFormat="1"/>
    <row r="1699" s="34" customFormat="1"/>
    <row r="1700" s="34" customFormat="1"/>
    <row r="1701" s="34" customFormat="1"/>
    <row r="1702" s="34" customFormat="1"/>
    <row r="1703" s="34" customFormat="1"/>
    <row r="1704" s="34" customFormat="1"/>
    <row r="1705" s="34" customFormat="1"/>
    <row r="1706" s="34" customFormat="1"/>
    <row r="1707" s="34" customFormat="1"/>
    <row r="1708" s="34" customFormat="1"/>
    <row r="1709" s="34" customFormat="1"/>
    <row r="1710" s="34" customFormat="1"/>
    <row r="1711" s="34" customFormat="1"/>
    <row r="1712" s="34" customFormat="1"/>
    <row r="1713" s="34" customFormat="1"/>
    <row r="1714" s="34" customFormat="1"/>
    <row r="1715" s="34" customFormat="1"/>
    <row r="1716" s="34" customFormat="1"/>
    <row r="1717" s="34" customFormat="1"/>
    <row r="1718" s="34" customFormat="1"/>
    <row r="1719" s="34" customFormat="1"/>
    <row r="1720" s="34" customFormat="1"/>
    <row r="1721" s="34" customFormat="1"/>
    <row r="1722" s="34" customFormat="1"/>
    <row r="1723" s="34" customFormat="1"/>
    <row r="1724" s="34" customFormat="1"/>
    <row r="1725" s="34" customFormat="1"/>
    <row r="1726" s="34" customFormat="1"/>
    <row r="1727" s="34" customFormat="1"/>
    <row r="1728" s="34" customFormat="1"/>
    <row r="1729" s="34" customFormat="1"/>
    <row r="1730" s="34" customFormat="1"/>
    <row r="1731" s="34" customFormat="1"/>
    <row r="1732" s="34" customFormat="1"/>
    <row r="1733" s="34" customFormat="1"/>
    <row r="1734" s="34" customFormat="1"/>
    <row r="1735" s="34" customFormat="1"/>
    <row r="1736" s="34" customFormat="1"/>
    <row r="1737" s="34" customFormat="1"/>
    <row r="1738" s="34" customFormat="1"/>
    <row r="1739" s="34" customFormat="1"/>
    <row r="1740" s="34" customFormat="1"/>
    <row r="1741" s="34" customFormat="1"/>
    <row r="1742" s="34" customFormat="1"/>
    <row r="1743" s="34" customFormat="1"/>
    <row r="1744" s="34" customFormat="1"/>
    <row r="1745" s="34" customFormat="1"/>
    <row r="1746" s="34" customFormat="1"/>
    <row r="1747" s="34" customFormat="1"/>
    <row r="1748" s="34" customFormat="1"/>
    <row r="1749" s="34" customFormat="1"/>
    <row r="1750" s="34" customFormat="1"/>
    <row r="1751" s="34" customFormat="1"/>
    <row r="1752" s="34" customFormat="1"/>
    <row r="1753" s="34" customFormat="1"/>
    <row r="1754" s="34" customFormat="1"/>
    <row r="1755" s="34" customFormat="1"/>
    <row r="1756" s="34" customFormat="1"/>
    <row r="1757" s="34" customFormat="1"/>
    <row r="1758" s="34" customFormat="1"/>
    <row r="1759" s="34" customFormat="1"/>
    <row r="1760" s="34" customFormat="1"/>
    <row r="1761" s="34" customFormat="1"/>
    <row r="1762" s="34" customFormat="1"/>
    <row r="1763" s="34" customFormat="1"/>
    <row r="1764" s="34" customFormat="1"/>
    <row r="1765" s="34" customFormat="1"/>
    <row r="1766" s="34" customFormat="1"/>
    <row r="1767" s="34" customFormat="1"/>
    <row r="1768" s="34" customFormat="1"/>
    <row r="1769" s="34" customFormat="1"/>
    <row r="1770" s="34" customFormat="1"/>
    <row r="1771" s="34" customFormat="1"/>
    <row r="1772" s="34" customFormat="1"/>
    <row r="1773" s="34" customFormat="1"/>
    <row r="1774" s="34" customFormat="1"/>
    <row r="1775" s="34" customFormat="1"/>
    <row r="1776" s="34" customFormat="1"/>
    <row r="1777" s="34" customFormat="1"/>
    <row r="1778" s="34" customFormat="1"/>
    <row r="1779" s="34" customFormat="1"/>
    <row r="1780" s="34" customFormat="1"/>
    <row r="1781" s="34" customFormat="1"/>
    <row r="1782" s="34" customFormat="1"/>
    <row r="1783" s="34" customFormat="1"/>
    <row r="1784" s="34" customFormat="1"/>
    <row r="1785" s="34" customFormat="1"/>
    <row r="1786" s="34" customFormat="1"/>
    <row r="1787" s="34" customFormat="1"/>
    <row r="1788" s="34" customFormat="1"/>
    <row r="1789" s="34" customFormat="1"/>
    <row r="1790" s="34" customFormat="1"/>
    <row r="1791" s="34" customFormat="1"/>
    <row r="1792" s="34" customFormat="1"/>
    <row r="1793" s="34" customFormat="1"/>
    <row r="1794" s="34" customFormat="1"/>
    <row r="1795" s="34" customFormat="1"/>
    <row r="1796" s="34" customFormat="1"/>
    <row r="1797" s="34" customFormat="1"/>
    <row r="1798" s="34" customFormat="1"/>
    <row r="1799" s="34" customFormat="1"/>
    <row r="1800" s="34" customFormat="1"/>
    <row r="1801" s="34" customFormat="1"/>
    <row r="1802" s="34" customFormat="1"/>
    <row r="1803" s="34" customFormat="1"/>
    <row r="1804" s="34" customFormat="1"/>
    <row r="1805" s="34" customFormat="1"/>
    <row r="1806" s="34" customFormat="1"/>
    <row r="1807" s="34" customFormat="1"/>
    <row r="1808" s="34" customFormat="1"/>
    <row r="1809" s="34" customFormat="1"/>
    <row r="1810" s="34" customFormat="1"/>
    <row r="1811" s="34" customFormat="1"/>
    <row r="1812" s="34" customFormat="1"/>
    <row r="1813" s="34" customFormat="1"/>
    <row r="1814" s="34" customFormat="1"/>
    <row r="1815" s="34" customFormat="1"/>
    <row r="1816" s="34" customFormat="1"/>
    <row r="1817" s="34" customFormat="1"/>
    <row r="1818" s="34" customFormat="1"/>
    <row r="1819" s="34" customFormat="1"/>
    <row r="1820" s="34" customFormat="1"/>
    <row r="1821" s="34" customFormat="1"/>
    <row r="1822" s="34" customFormat="1"/>
    <row r="1823" s="34" customFormat="1"/>
    <row r="1824" s="34" customFormat="1"/>
    <row r="1825" s="34" customFormat="1"/>
    <row r="1826" s="34" customFormat="1"/>
    <row r="1827" s="34" customFormat="1"/>
    <row r="1828" s="34" customFormat="1"/>
    <row r="1829" s="34" customFormat="1"/>
    <row r="1830" s="34" customFormat="1"/>
    <row r="1831" s="34" customFormat="1"/>
    <row r="1832" s="34" customFormat="1"/>
    <row r="1833" s="34" customFormat="1"/>
    <row r="1834" s="34" customFormat="1"/>
    <row r="1835" s="34" customFormat="1"/>
    <row r="1836" s="34" customFormat="1"/>
    <row r="1837" s="34" customFormat="1"/>
    <row r="1838" s="34" customFormat="1"/>
    <row r="1839" s="34" customFormat="1"/>
    <row r="1840" s="34" customFormat="1"/>
    <row r="1841" s="34" customFormat="1"/>
    <row r="1842" s="34" customFormat="1"/>
    <row r="1843" s="34" customFormat="1"/>
    <row r="1844" s="34" customFormat="1"/>
    <row r="1845" s="34" customFormat="1"/>
    <row r="1846" s="34" customFormat="1"/>
    <row r="1847" s="34" customFormat="1"/>
    <row r="1848" s="34" customFormat="1"/>
    <row r="1849" s="34" customFormat="1"/>
    <row r="1850" s="34" customFormat="1"/>
    <row r="1851" s="34" customFormat="1"/>
    <row r="1852" s="34" customFormat="1"/>
    <row r="1853" s="34" customFormat="1"/>
    <row r="1854" s="34" customFormat="1"/>
    <row r="1855" s="34" customFormat="1"/>
    <row r="1856" s="34" customFormat="1"/>
    <row r="1857" s="34" customFormat="1"/>
    <row r="1858" s="34" customFormat="1"/>
    <row r="1859" s="34" customFormat="1"/>
    <row r="1860" s="34" customFormat="1"/>
    <row r="1861" s="34" customFormat="1"/>
    <row r="1862" s="34" customFormat="1"/>
    <row r="1863" s="34" customFormat="1"/>
    <row r="1864" s="34" customFormat="1"/>
    <row r="1865" s="34" customFormat="1"/>
    <row r="1866" s="34" customFormat="1"/>
    <row r="1867" s="34" customFormat="1"/>
    <row r="1868" s="34" customFormat="1"/>
    <row r="1869" s="34" customFormat="1"/>
    <row r="1870" s="34" customFormat="1"/>
    <row r="1871" s="34" customFormat="1"/>
    <row r="1872" s="34" customFormat="1"/>
    <row r="1873" s="34" customFormat="1"/>
    <row r="1874" s="34" customFormat="1"/>
    <row r="1875" s="34" customFormat="1"/>
    <row r="1876" s="34" customFormat="1"/>
    <row r="1877" s="34" customFormat="1"/>
    <row r="1878" s="34" customFormat="1"/>
    <row r="1879" s="34" customFormat="1"/>
    <row r="1880" s="34" customFormat="1"/>
    <row r="1881" s="34" customFormat="1"/>
    <row r="1882" s="34" customFormat="1"/>
    <row r="1883" s="34" customFormat="1"/>
    <row r="1884" s="34" customFormat="1"/>
    <row r="1885" s="34" customFormat="1"/>
    <row r="1886" s="34" customFormat="1"/>
    <row r="1887" s="34" customFormat="1"/>
    <row r="1888" s="34" customFormat="1"/>
    <row r="1889" s="34" customFormat="1"/>
    <row r="1890" s="34" customFormat="1"/>
    <row r="1891" s="34" customFormat="1"/>
    <row r="1892" s="34" customFormat="1"/>
    <row r="1893" s="34" customFormat="1"/>
    <row r="1894" s="34" customFormat="1"/>
    <row r="1895" s="34" customFormat="1"/>
    <row r="1896" s="34" customFormat="1"/>
    <row r="1897" s="34" customFormat="1"/>
    <row r="1898" s="34" customFormat="1"/>
    <row r="1899" s="34" customFormat="1"/>
    <row r="1900" s="34" customFormat="1"/>
    <row r="1901" s="34" customFormat="1"/>
    <row r="1902" s="34" customFormat="1"/>
    <row r="1903" s="34" customFormat="1"/>
    <row r="1904" s="34" customFormat="1"/>
    <row r="1905" s="34" customFormat="1"/>
    <row r="1906" s="34" customFormat="1"/>
    <row r="1907" s="34" customFormat="1"/>
    <row r="1908" s="34" customFormat="1"/>
    <row r="1909" s="34" customFormat="1"/>
    <row r="1910" s="34" customFormat="1"/>
    <row r="1911" s="34" customFormat="1"/>
    <row r="1912" s="34" customFormat="1"/>
    <row r="1913" s="34" customFormat="1"/>
    <row r="1914" s="34" customFormat="1"/>
    <row r="1915" s="34" customFormat="1"/>
    <row r="1916" s="34" customFormat="1"/>
    <row r="1917" s="34" customFormat="1"/>
    <row r="1918" s="34" customFormat="1"/>
    <row r="1919" s="34" customFormat="1"/>
    <row r="1920" s="34" customFormat="1"/>
    <row r="1921" s="34" customFormat="1"/>
    <row r="1922" s="34" customFormat="1"/>
    <row r="1923" s="34" customFormat="1"/>
    <row r="1924" s="34" customFormat="1"/>
    <row r="1925" s="34" customFormat="1"/>
    <row r="1926" s="34" customFormat="1"/>
    <row r="1927" s="34" customFormat="1"/>
    <row r="1928" s="34" customFormat="1"/>
    <row r="1929" s="34" customFormat="1"/>
    <row r="1930" s="34" customFormat="1"/>
    <row r="1931" s="34" customFormat="1"/>
    <row r="1932" s="34" customFormat="1"/>
    <row r="1933" s="34" customFormat="1"/>
    <row r="1934" s="34" customFormat="1"/>
    <row r="1935" s="34" customFormat="1"/>
    <row r="1936" s="34" customFormat="1"/>
    <row r="1937" s="34" customFormat="1"/>
    <row r="1938" s="34" customFormat="1"/>
    <row r="1939" s="34" customFormat="1"/>
    <row r="1940" s="34" customFormat="1"/>
    <row r="1941" s="34" customFormat="1"/>
    <row r="1942" s="34" customFormat="1"/>
    <row r="1943" s="34" customFormat="1"/>
    <row r="1944" s="34" customFormat="1"/>
    <row r="1945" s="34" customFormat="1"/>
    <row r="1946" s="34" customFormat="1"/>
    <row r="1947" s="34" customFormat="1"/>
    <row r="1948" s="34" customFormat="1"/>
    <row r="1949" s="34" customFormat="1"/>
    <row r="1950" s="34" customFormat="1"/>
    <row r="1951" s="34" customFormat="1"/>
    <row r="1952" s="34" customFormat="1"/>
    <row r="1953" s="34" customFormat="1"/>
    <row r="1954" s="34" customFormat="1"/>
    <row r="1955" s="34" customFormat="1"/>
    <row r="1956" s="34" customFormat="1"/>
    <row r="1957" s="34" customFormat="1"/>
    <row r="1958" s="34" customFormat="1"/>
    <row r="1959" s="34" customFormat="1"/>
    <row r="1960" s="34" customFormat="1"/>
    <row r="1961" s="34" customFormat="1"/>
    <row r="1962" s="34" customFormat="1"/>
    <row r="1963" s="34" customFormat="1"/>
    <row r="1964" s="34" customFormat="1"/>
    <row r="1965" s="34" customFormat="1"/>
    <row r="1966" s="34" customFormat="1"/>
    <row r="1967" s="34" customFormat="1"/>
    <row r="1968" s="34" customFormat="1"/>
    <row r="1969" s="34" customFormat="1"/>
    <row r="1970" s="34" customFormat="1"/>
    <row r="1971" s="34" customFormat="1"/>
    <row r="1972" s="34" customFormat="1"/>
    <row r="1973" s="34" customFormat="1"/>
    <row r="1974" s="34" customFormat="1"/>
    <row r="1975" s="34" customFormat="1"/>
    <row r="1976" s="34" customFormat="1"/>
    <row r="1977" s="34" customFormat="1"/>
    <row r="1978" s="34" customFormat="1"/>
    <row r="1979" s="34" customFormat="1"/>
    <row r="1980" s="34" customFormat="1"/>
    <row r="1981" s="34" customFormat="1"/>
    <row r="1982" s="34" customFormat="1"/>
    <row r="1983" s="34" customFormat="1"/>
    <row r="1984" s="34" customFormat="1"/>
    <row r="1985" s="34" customFormat="1"/>
    <row r="1986" s="34" customFormat="1"/>
    <row r="1987" s="34" customFormat="1"/>
    <row r="1988" s="34" customFormat="1"/>
    <row r="1989" s="34" customFormat="1"/>
    <row r="1990" s="34" customFormat="1"/>
    <row r="1991" s="34" customFormat="1"/>
    <row r="1992" s="34" customFormat="1"/>
    <row r="1993" s="34" customFormat="1"/>
    <row r="1994" s="34" customFormat="1"/>
    <row r="1995" s="34" customFormat="1"/>
    <row r="1996" s="34" customFormat="1"/>
    <row r="1997" s="34" customFormat="1"/>
    <row r="1998" s="34" customFormat="1"/>
    <row r="1999" s="34" customFormat="1"/>
    <row r="2000" s="34" customFormat="1"/>
    <row r="2001" s="34" customFormat="1"/>
    <row r="2002" s="34" customFormat="1"/>
    <row r="2003" s="34" customFormat="1"/>
    <row r="2004" s="34" customFormat="1"/>
    <row r="2005" s="34" customFormat="1"/>
    <row r="2006" s="34" customFormat="1"/>
    <row r="2007" s="34" customFormat="1"/>
    <row r="2008" s="34" customFormat="1"/>
    <row r="2009" s="34" customFormat="1"/>
    <row r="2010" s="34" customFormat="1"/>
    <row r="2011" s="34" customFormat="1"/>
    <row r="2012" s="34" customFormat="1"/>
    <row r="2013" s="34" customFormat="1"/>
    <row r="2014" s="34" customFormat="1"/>
    <row r="2015" s="34" customFormat="1"/>
    <row r="2016" s="34" customFormat="1"/>
    <row r="2017" s="34" customFormat="1"/>
    <row r="2018" s="34" customFormat="1"/>
    <row r="2019" s="34" customFormat="1"/>
    <row r="2020" s="34" customFormat="1"/>
    <row r="2021" s="34" customFormat="1"/>
    <row r="2022" s="34" customFormat="1"/>
    <row r="2023" s="34" customFormat="1"/>
    <row r="2024" s="34" customFormat="1"/>
    <row r="2025" s="34" customFormat="1"/>
    <row r="2026" s="34" customFormat="1"/>
    <row r="2027" s="34" customFormat="1"/>
    <row r="2028" s="34" customFormat="1"/>
    <row r="2029" s="34" customFormat="1"/>
    <row r="2030" s="34" customFormat="1"/>
    <row r="2031" s="34" customFormat="1"/>
    <row r="2032" s="34" customFormat="1"/>
    <row r="2033" s="34" customFormat="1"/>
    <row r="2034" s="34" customFormat="1"/>
    <row r="2035" s="34" customFormat="1"/>
    <row r="2036" s="34" customFormat="1"/>
    <row r="2037" s="34" customFormat="1"/>
    <row r="2038" s="34" customFormat="1"/>
    <row r="2039" s="34" customFormat="1"/>
    <row r="2040" s="34" customFormat="1"/>
    <row r="2041" s="34" customFormat="1"/>
    <row r="2042" s="34" customFormat="1"/>
    <row r="2043" s="34" customFormat="1"/>
    <row r="2044" s="34" customFormat="1"/>
    <row r="2045" s="34" customFormat="1"/>
    <row r="2046" s="34" customFormat="1"/>
    <row r="2047" s="34" customFormat="1"/>
    <row r="2048" s="34" customFormat="1"/>
    <row r="2049" s="34" customFormat="1"/>
    <row r="2050" s="34" customFormat="1"/>
    <row r="2051" s="34" customFormat="1"/>
    <row r="2052" s="34" customFormat="1"/>
    <row r="2053" s="34" customFormat="1"/>
    <row r="2054" s="34" customFormat="1"/>
    <row r="2055" s="34" customFormat="1"/>
    <row r="2056" s="34" customFormat="1"/>
    <row r="2057" s="34" customFormat="1"/>
    <row r="2058" s="34" customFormat="1"/>
    <row r="2059" s="34" customFormat="1"/>
    <row r="2060" s="34" customFormat="1"/>
    <row r="2061" s="34" customFormat="1"/>
    <row r="2062" s="34" customFormat="1"/>
    <row r="2063" s="34" customFormat="1"/>
    <row r="2064" s="34" customFormat="1"/>
    <row r="2065" s="34" customFormat="1"/>
    <row r="2066" s="34" customFormat="1"/>
    <row r="2067" s="34" customFormat="1"/>
    <row r="2068" s="34" customFormat="1"/>
    <row r="2069" s="34" customFormat="1"/>
    <row r="2070" s="34" customFormat="1"/>
    <row r="2071" s="34" customFormat="1"/>
    <row r="2072" s="34" customFormat="1"/>
    <row r="2073" s="34" customFormat="1"/>
    <row r="2074" s="34" customFormat="1"/>
    <row r="2075" s="34" customFormat="1"/>
    <row r="2076" s="34" customFormat="1"/>
    <row r="2077" s="34" customFormat="1"/>
    <row r="2078" s="34" customFormat="1"/>
    <row r="2079" s="34" customFormat="1"/>
    <row r="2080" s="34" customFormat="1"/>
    <row r="2081" s="34" customFormat="1"/>
    <row r="2082" s="34" customFormat="1"/>
    <row r="2083" s="34" customFormat="1"/>
    <row r="2084" s="34" customFormat="1"/>
    <row r="2085" s="34" customFormat="1"/>
    <row r="2086" s="34" customFormat="1"/>
    <row r="2087" s="34" customFormat="1"/>
    <row r="2088" s="34" customFormat="1"/>
    <row r="2089" s="34" customFormat="1"/>
    <row r="2090" s="34" customFormat="1"/>
    <row r="2091" s="34" customFormat="1"/>
    <row r="2092" s="34" customFormat="1"/>
    <row r="2093" s="34" customFormat="1"/>
    <row r="2094" s="34" customFormat="1"/>
    <row r="2095" s="34" customFormat="1"/>
    <row r="2096" s="34" customFormat="1"/>
    <row r="2097" s="34" customFormat="1"/>
    <row r="2098" s="34" customFormat="1"/>
    <row r="2099" s="34" customFormat="1"/>
    <row r="2100" s="34" customFormat="1"/>
    <row r="2101" s="34" customFormat="1"/>
    <row r="2102" s="34" customFormat="1"/>
    <row r="2103" s="34" customFormat="1"/>
    <row r="2104" s="34" customFormat="1"/>
    <row r="2105" s="34" customFormat="1"/>
    <row r="2106" s="34" customFormat="1"/>
    <row r="2107" s="34" customFormat="1"/>
    <row r="2108" s="34" customFormat="1"/>
    <row r="2109" s="34" customFormat="1"/>
    <row r="2110" s="34" customFormat="1"/>
    <row r="2111" s="34" customFormat="1"/>
    <row r="2112" s="34" customFormat="1"/>
    <row r="2113" s="34" customFormat="1"/>
    <row r="2114" s="34" customFormat="1"/>
    <row r="2115" s="34" customFormat="1"/>
    <row r="2116" s="34" customFormat="1"/>
    <row r="2117" s="34" customFormat="1"/>
    <row r="2118" s="34" customFormat="1"/>
    <row r="2119" s="34" customFormat="1"/>
    <row r="2120" s="34" customFormat="1"/>
    <row r="2121" s="34" customFormat="1"/>
    <row r="2122" s="34" customFormat="1"/>
    <row r="2123" s="34" customFormat="1"/>
    <row r="2124" s="34" customFormat="1"/>
    <row r="2125" s="34" customFormat="1"/>
    <row r="2126" s="34" customFormat="1"/>
    <row r="2127" s="34" customFormat="1"/>
    <row r="2128" s="34" customFormat="1"/>
    <row r="2129" s="34" customFormat="1"/>
    <row r="2130" s="34" customFormat="1"/>
    <row r="2131" s="34" customFormat="1"/>
    <row r="2132" s="34" customFormat="1"/>
    <row r="2133" s="34" customFormat="1"/>
    <row r="2134" s="34" customFormat="1"/>
    <row r="2135" s="34" customFormat="1"/>
    <row r="2136" s="34" customFormat="1"/>
    <row r="2137" s="34" customFormat="1"/>
    <row r="2138" s="34" customFormat="1"/>
    <row r="2139" s="34" customFormat="1"/>
    <row r="2140" s="34" customFormat="1"/>
    <row r="2141" s="34" customFormat="1"/>
    <row r="2142" s="34" customFormat="1"/>
    <row r="2143" s="34" customFormat="1"/>
    <row r="2144" s="34" customFormat="1"/>
    <row r="2145" s="34" customFormat="1"/>
    <row r="2146" s="34" customFormat="1"/>
    <row r="2147" s="34" customFormat="1"/>
    <row r="2148" s="34" customFormat="1"/>
    <row r="2149" s="34" customFormat="1"/>
    <row r="2150" s="34" customFormat="1"/>
    <row r="2151" s="34" customFormat="1"/>
    <row r="2152" s="34" customFormat="1"/>
    <row r="2153" s="34" customFormat="1"/>
    <row r="2154" s="34" customFormat="1"/>
    <row r="2155" s="34" customFormat="1"/>
    <row r="2156" s="34" customFormat="1"/>
    <row r="2157" s="34" customFormat="1"/>
    <row r="2158" s="34" customFormat="1"/>
    <row r="2159" s="34" customFormat="1"/>
    <row r="2160" s="34" customFormat="1"/>
    <row r="2161" s="34" customFormat="1"/>
    <row r="2162" s="34" customFormat="1"/>
    <row r="2163" s="34" customFormat="1"/>
    <row r="2164" s="34" customFormat="1"/>
    <row r="2165" s="34" customFormat="1"/>
    <row r="2166" s="34" customFormat="1"/>
    <row r="2167" s="34" customFormat="1"/>
    <row r="2168" s="34" customFormat="1"/>
    <row r="2169" s="34" customFormat="1"/>
    <row r="2170" s="34" customFormat="1"/>
    <row r="2171" s="34" customFormat="1"/>
    <row r="2172" s="34" customFormat="1"/>
    <row r="2173" s="34" customFormat="1"/>
    <row r="2174" s="34" customFormat="1"/>
    <row r="2175" s="34" customFormat="1"/>
    <row r="2176" s="34" customFormat="1"/>
    <row r="2177" s="34" customFormat="1"/>
    <row r="2178" s="34" customFormat="1"/>
    <row r="2179" s="34" customFormat="1"/>
    <row r="2180" s="34" customFormat="1"/>
    <row r="2181" s="34" customFormat="1"/>
    <row r="2182" s="34" customFormat="1"/>
    <row r="2183" s="34" customFormat="1"/>
    <row r="2184" s="34" customFormat="1"/>
    <row r="2185" s="34" customFormat="1"/>
    <row r="2186" s="34" customFormat="1"/>
    <row r="2187" s="34" customFormat="1"/>
    <row r="2188" s="34" customFormat="1"/>
    <row r="2189" s="34" customFormat="1"/>
    <row r="2190" s="34" customFormat="1"/>
    <row r="2191" s="34" customFormat="1"/>
    <row r="2192" s="34" customFormat="1"/>
    <row r="2193" s="34" customFormat="1"/>
    <row r="2194" s="34" customFormat="1"/>
    <row r="2195" s="34" customFormat="1"/>
    <row r="2196" s="34" customFormat="1"/>
    <row r="2197" s="34" customFormat="1"/>
    <row r="2198" s="34" customFormat="1"/>
    <row r="2199" s="34" customFormat="1"/>
    <row r="2200" s="34" customFormat="1"/>
    <row r="2201" s="34" customFormat="1"/>
    <row r="2202" s="34" customFormat="1"/>
    <row r="2203" s="34" customFormat="1"/>
    <row r="2204" s="34" customFormat="1"/>
    <row r="2205" s="34" customFormat="1"/>
    <row r="2206" s="34" customFormat="1"/>
    <row r="2207" s="34" customFormat="1"/>
    <row r="2208" s="34" customFormat="1"/>
    <row r="2209" s="34" customFormat="1"/>
    <row r="2210" s="34" customFormat="1"/>
    <row r="2211" s="34" customFormat="1"/>
    <row r="2212" s="34" customFormat="1"/>
    <row r="2213" s="34" customFormat="1"/>
    <row r="2214" s="34" customFormat="1"/>
    <row r="2215" s="34" customFormat="1"/>
    <row r="2216" s="34" customFormat="1"/>
    <row r="2217" s="34" customFormat="1"/>
    <row r="2218" s="34" customFormat="1"/>
    <row r="2219" s="34" customFormat="1"/>
    <row r="2220" s="34" customFormat="1"/>
    <row r="2221" s="34" customFormat="1"/>
    <row r="2222" s="34" customFormat="1"/>
    <row r="2223" s="34" customFormat="1"/>
    <row r="2224" s="34" customFormat="1"/>
    <row r="2225" s="34" customFormat="1"/>
    <row r="2226" s="34" customFormat="1"/>
    <row r="2227" s="34" customFormat="1"/>
    <row r="2228" s="34" customFormat="1"/>
    <row r="2229" s="34" customFormat="1"/>
    <row r="2230" s="34" customFormat="1"/>
    <row r="2231" s="34" customFormat="1"/>
    <row r="2232" s="34" customFormat="1"/>
    <row r="2233" s="34" customFormat="1"/>
    <row r="2234" s="34" customFormat="1"/>
    <row r="2235" s="34" customFormat="1"/>
    <row r="2236" s="34" customFormat="1"/>
    <row r="2237" s="34" customFormat="1"/>
    <row r="2238" s="34" customFormat="1"/>
    <row r="2239" s="34" customFormat="1"/>
    <row r="2240" s="34" customFormat="1"/>
    <row r="2241" s="34" customFormat="1"/>
    <row r="2242" s="34" customFormat="1"/>
    <row r="2243" s="34" customFormat="1"/>
    <row r="2244" s="34" customFormat="1"/>
    <row r="2245" s="34" customFormat="1"/>
    <row r="2246" s="34" customFormat="1"/>
    <row r="2247" s="34" customFormat="1"/>
    <row r="2248" s="34" customFormat="1"/>
    <row r="2249" s="34" customFormat="1"/>
    <row r="2250" s="34" customFormat="1"/>
  </sheetData>
  <sheetProtection password="8B10" sheet="1" objects="1" scenarios="1"/>
  <phoneticPr fontId="3" type="noConversion"/>
  <pageMargins left="0.70866141732283472" right="0.70866141732283472" top="1.0236220472440944" bottom="1.0236220472440944" header="0.39370078740157483" footer="0.39370078740157483"/>
  <pageSetup paperSize="9" scale="70" orientation="landscape" r:id="rId1"/>
  <headerFooter alignWithMargins="0">
    <oddFooter>&amp;L&amp;"Frutiger 57Cn,Standard"&amp;8
Santander Consumer Bank AG
Santander-Platz 1
41061 Mönchengladbach
Tel.: +49 180 / 5556 - 499
Fax.: +49 180 / 5556 - 498</oddFooter>
  </headerFooter>
  <rowBreaks count="1" manualBreakCount="1">
    <brk id="52" max="11" man="1"/>
  </rowBreaks>
  <colBreaks count="1" manualBreakCount="1">
    <brk id="1" max="46" man="1"/>
  </col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M260"/>
  <sheetViews>
    <sheetView view="pageBreakPreview" zoomScale="75" zoomScaleNormal="100" workbookViewId="0">
      <selection activeCell="B3" sqref="B3"/>
    </sheetView>
  </sheetViews>
  <sheetFormatPr defaultRowHeight="12.75"/>
  <cols>
    <col min="1" max="1" width="1.28515625" style="31" customWidth="1"/>
    <col min="2" max="2" width="26" style="31" customWidth="1"/>
    <col min="3" max="3" width="24.28515625" style="31" customWidth="1"/>
    <col min="4" max="5" width="18.7109375" style="31" customWidth="1"/>
    <col min="6" max="6" width="20.7109375" style="31" customWidth="1"/>
    <col min="7" max="7" width="20.5703125" style="31" customWidth="1"/>
    <col min="8" max="8" width="19" style="31" customWidth="1"/>
    <col min="9" max="9" width="15.5703125" style="31" customWidth="1"/>
    <col min="10" max="10" width="25.5703125" style="31" customWidth="1"/>
    <col min="11" max="11" width="1.28515625" style="31" customWidth="1"/>
    <col min="12" max="12" width="4.28515625" style="31" customWidth="1"/>
    <col min="13" max="256" width="11.42578125" style="31" customWidth="1"/>
    <col min="257" max="16384" width="9.140625" style="31"/>
  </cols>
  <sheetData>
    <row r="1" spans="1:13" ht="6" customHeight="1">
      <c r="A1" s="35"/>
      <c r="B1" s="36"/>
      <c r="C1" s="36"/>
      <c r="D1" s="36"/>
      <c r="E1" s="36"/>
      <c r="F1" s="36"/>
      <c r="G1" s="36"/>
      <c r="H1" s="36"/>
      <c r="I1" s="36"/>
      <c r="J1" s="36"/>
      <c r="K1" s="37"/>
    </row>
    <row r="2" spans="1:13" s="27" customFormat="1" ht="18">
      <c r="A2" s="5"/>
      <c r="B2" s="7" t="str">
        <f>'Cover Sheet'!B2</f>
        <v>SC Germany Auto 10-1</v>
      </c>
      <c r="C2" s="7"/>
      <c r="D2" s="108" t="s">
        <v>54</v>
      </c>
      <c r="E2" s="109"/>
      <c r="F2" s="110">
        <f>'Cover Sheet'!F2</f>
        <v>41191</v>
      </c>
      <c r="G2" s="109"/>
      <c r="H2" s="109"/>
      <c r="I2" s="109"/>
      <c r="J2" s="111"/>
      <c r="K2" s="88"/>
    </row>
    <row r="3" spans="1:13" s="27" customFormat="1" ht="18">
      <c r="A3" s="5"/>
      <c r="B3" s="7" t="str">
        <f>'Cover Sheet'!B3</f>
        <v>Monthly Investor Report</v>
      </c>
      <c r="C3" s="7"/>
      <c r="D3" s="112" t="s">
        <v>4</v>
      </c>
      <c r="E3" s="113"/>
      <c r="F3" s="114">
        <f>'Cover Sheet'!F3</f>
        <v>41197</v>
      </c>
      <c r="G3" s="113"/>
      <c r="H3" s="113"/>
      <c r="I3" s="113"/>
      <c r="J3" s="115"/>
      <c r="K3" s="90"/>
    </row>
    <row r="4" spans="1:13" s="27" customFormat="1">
      <c r="A4" s="5"/>
      <c r="B4" s="42"/>
      <c r="C4" s="12"/>
      <c r="D4" s="112" t="s">
        <v>5</v>
      </c>
      <c r="E4" s="113"/>
      <c r="F4" s="122">
        <f>'Cover Sheet'!F4</f>
        <v>27</v>
      </c>
      <c r="G4" s="113"/>
      <c r="H4" s="117"/>
      <c r="I4" s="113"/>
      <c r="J4" s="118"/>
      <c r="K4" s="88"/>
    </row>
    <row r="5" spans="1:13" s="27" customFormat="1" ht="18">
      <c r="A5" s="5"/>
      <c r="B5" s="105" t="s">
        <v>390</v>
      </c>
      <c r="C5" s="14"/>
      <c r="D5" s="112" t="s">
        <v>3</v>
      </c>
      <c r="E5" s="113"/>
      <c r="F5" s="123">
        <f>'Cover Sheet'!F5</f>
        <v>41197</v>
      </c>
      <c r="G5" s="113"/>
      <c r="H5" s="117"/>
      <c r="I5" s="113"/>
      <c r="J5" s="118"/>
      <c r="K5" s="90"/>
    </row>
    <row r="6" spans="1:13" s="27" customFormat="1" ht="15" customHeight="1">
      <c r="A6" s="5"/>
      <c r="B6" s="43"/>
      <c r="C6" s="89"/>
      <c r="D6" s="552" t="str">
        <f>'Cover Sheet'!D6</f>
        <v>Interest Period</v>
      </c>
      <c r="E6" s="114" t="s">
        <v>38</v>
      </c>
      <c r="F6" s="114">
        <f>'Cover Sheet'!F6</f>
        <v>41164</v>
      </c>
      <c r="G6" s="116" t="s">
        <v>6</v>
      </c>
      <c r="H6" s="114">
        <f>'Cover Sheet'!H6</f>
        <v>41197</v>
      </c>
      <c r="I6" s="116" t="s">
        <v>18</v>
      </c>
      <c r="J6" s="542" t="str">
        <f>'Cover Sheet'!J6</f>
        <v>33 days</v>
      </c>
      <c r="K6" s="90"/>
      <c r="M6" s="30"/>
    </row>
    <row r="7" spans="1:13" s="27" customFormat="1">
      <c r="A7" s="5"/>
      <c r="B7" s="4"/>
      <c r="C7" s="4"/>
      <c r="D7" s="553" t="str">
        <f>'Cover Sheet'!D7</f>
        <v>Collection Period</v>
      </c>
      <c r="E7" s="121" t="s">
        <v>38</v>
      </c>
      <c r="F7" s="121" t="str">
        <f>'Cover Sheet'!F7</f>
        <v>01.09.2012</v>
      </c>
      <c r="G7" s="120" t="s">
        <v>6</v>
      </c>
      <c r="H7" s="121">
        <f>'Cover Sheet'!H7</f>
        <v>41182</v>
      </c>
      <c r="I7" s="543"/>
      <c r="J7" s="544"/>
      <c r="K7" s="90"/>
    </row>
    <row r="8" spans="1:13" s="27" customFormat="1">
      <c r="A8" s="5"/>
      <c r="B8" s="4"/>
      <c r="C8" s="4"/>
      <c r="D8" s="4"/>
      <c r="E8" s="9"/>
      <c r="F8" s="15"/>
      <c r="G8" s="9"/>
      <c r="H8" s="4"/>
      <c r="I8" s="16"/>
      <c r="J8" s="4"/>
      <c r="K8" s="90"/>
    </row>
    <row r="9" spans="1:13" s="27" customFormat="1">
      <c r="A9" s="5"/>
      <c r="B9" s="4"/>
      <c r="C9" s="4"/>
      <c r="D9" s="4"/>
      <c r="E9" s="4"/>
      <c r="F9" s="4"/>
      <c r="G9" s="4"/>
      <c r="H9" s="4"/>
      <c r="I9" s="4"/>
      <c r="J9" s="4"/>
      <c r="K9" s="8"/>
      <c r="M9" s="32"/>
    </row>
    <row r="10" spans="1:13" s="27" customFormat="1">
      <c r="A10" s="5"/>
      <c r="B10" s="4"/>
      <c r="C10" s="4"/>
      <c r="D10" s="34"/>
      <c r="E10" s="34"/>
      <c r="F10" s="102"/>
      <c r="G10" s="34"/>
      <c r="H10" s="34"/>
      <c r="I10" s="34"/>
      <c r="J10" s="34"/>
      <c r="K10" s="8"/>
    </row>
    <row r="11" spans="1:13" s="27" customFormat="1" ht="18">
      <c r="A11" s="5"/>
      <c r="B11" s="125"/>
      <c r="C11" s="4"/>
      <c r="D11" s="34"/>
      <c r="E11" s="34"/>
      <c r="F11" s="34"/>
      <c r="G11" s="137"/>
      <c r="H11" s="137"/>
      <c r="I11" s="34"/>
      <c r="J11" s="4"/>
      <c r="K11" s="8"/>
      <c r="M11" s="101"/>
    </row>
    <row r="12" spans="1:13" s="27" customFormat="1">
      <c r="A12" s="5"/>
      <c r="B12" s="4"/>
      <c r="C12" s="4"/>
      <c r="D12" s="34"/>
      <c r="E12" s="34"/>
      <c r="F12" s="34"/>
      <c r="G12" s="137"/>
      <c r="H12" s="137"/>
      <c r="I12" s="34"/>
      <c r="J12" s="4"/>
      <c r="K12" s="8"/>
      <c r="M12" s="101"/>
    </row>
    <row r="13" spans="1:13" s="27" customFormat="1" ht="45" customHeight="1">
      <c r="A13" s="5"/>
      <c r="B13" s="127"/>
      <c r="C13" s="34"/>
      <c r="D13" s="375"/>
      <c r="E13" s="328"/>
      <c r="F13" s="327"/>
      <c r="G13" s="328"/>
      <c r="H13" s="328"/>
      <c r="I13" s="102"/>
      <c r="J13" s="4"/>
      <c r="K13" s="8"/>
      <c r="M13" s="101"/>
    </row>
    <row r="14" spans="1:13" s="27" customFormat="1">
      <c r="A14" s="5"/>
      <c r="B14" s="138"/>
      <c r="C14" s="138"/>
      <c r="D14" s="156"/>
      <c r="E14" s="157"/>
      <c r="F14" s="141"/>
      <c r="G14" s="158"/>
      <c r="H14" s="141"/>
      <c r="I14" s="102"/>
      <c r="J14" s="4"/>
      <c r="K14" s="8"/>
      <c r="M14" s="101"/>
    </row>
    <row r="15" spans="1:13">
      <c r="A15" s="40"/>
      <c r="B15" s="139"/>
      <c r="C15" s="140"/>
      <c r="D15" s="156"/>
      <c r="E15" s="157"/>
      <c r="F15" s="141"/>
      <c r="G15" s="158"/>
      <c r="H15" s="141"/>
      <c r="I15" s="102"/>
      <c r="J15" s="34"/>
      <c r="K15" s="41"/>
      <c r="M15" s="101"/>
    </row>
    <row r="16" spans="1:13">
      <c r="A16" s="40"/>
      <c r="B16" s="139"/>
      <c r="C16" s="140"/>
      <c r="D16" s="156"/>
      <c r="E16" s="157"/>
      <c r="F16" s="141"/>
      <c r="G16" s="158"/>
      <c r="H16" s="141"/>
      <c r="I16" s="102"/>
      <c r="J16" s="34"/>
      <c r="K16" s="41"/>
      <c r="M16" s="101"/>
    </row>
    <row r="17" spans="1:13">
      <c r="A17" s="40"/>
      <c r="B17" s="139"/>
      <c r="C17" s="140"/>
      <c r="D17" s="156"/>
      <c r="E17" s="157"/>
      <c r="F17" s="141"/>
      <c r="G17" s="158"/>
      <c r="H17" s="141"/>
      <c r="I17" s="102"/>
      <c r="J17" s="34"/>
      <c r="K17" s="41"/>
      <c r="M17" s="101"/>
    </row>
    <row r="18" spans="1:13">
      <c r="A18" s="40"/>
      <c r="B18" s="139"/>
      <c r="C18" s="140"/>
      <c r="D18" s="156"/>
      <c r="E18" s="157"/>
      <c r="F18" s="141"/>
      <c r="G18" s="158"/>
      <c r="H18" s="141"/>
      <c r="I18" s="102"/>
      <c r="J18" s="34"/>
      <c r="K18" s="41"/>
      <c r="M18" s="101"/>
    </row>
    <row r="19" spans="1:13">
      <c r="A19" s="40"/>
      <c r="B19" s="139"/>
      <c r="C19" s="140"/>
      <c r="D19" s="156"/>
      <c r="E19" s="157"/>
      <c r="F19" s="141"/>
      <c r="G19" s="158"/>
      <c r="H19" s="141"/>
      <c r="I19" s="102"/>
      <c r="J19" s="34"/>
      <c r="K19" s="41"/>
      <c r="M19" s="101"/>
    </row>
    <row r="20" spans="1:13">
      <c r="A20" s="40"/>
      <c r="B20" s="139"/>
      <c r="C20" s="140"/>
      <c r="D20" s="156"/>
      <c r="E20" s="157"/>
      <c r="F20" s="141"/>
      <c r="G20" s="158"/>
      <c r="H20" s="141"/>
      <c r="I20" s="102"/>
      <c r="J20" s="34"/>
      <c r="K20" s="41"/>
      <c r="M20" s="101"/>
    </row>
    <row r="21" spans="1:13">
      <c r="A21" s="40"/>
      <c r="B21" s="139"/>
      <c r="C21" s="140"/>
      <c r="D21" s="156"/>
      <c r="E21" s="157"/>
      <c r="F21" s="141"/>
      <c r="G21" s="158"/>
      <c r="H21" s="141"/>
      <c r="I21" s="102"/>
      <c r="J21" s="34"/>
      <c r="K21" s="41"/>
      <c r="M21" s="101"/>
    </row>
    <row r="22" spans="1:13">
      <c r="A22" s="40"/>
      <c r="B22" s="139"/>
      <c r="C22" s="140"/>
      <c r="D22" s="156"/>
      <c r="E22" s="157"/>
      <c r="F22" s="141"/>
      <c r="G22" s="158"/>
      <c r="H22" s="141"/>
      <c r="I22" s="102"/>
      <c r="J22" s="34"/>
      <c r="K22" s="41"/>
      <c r="M22" s="101"/>
    </row>
    <row r="23" spans="1:13">
      <c r="A23" s="40"/>
      <c r="B23" s="139"/>
      <c r="C23" s="140"/>
      <c r="D23" s="156"/>
      <c r="E23" s="157"/>
      <c r="F23" s="141"/>
      <c r="G23" s="158"/>
      <c r="H23" s="141"/>
      <c r="I23" s="102"/>
      <c r="J23" s="34"/>
      <c r="K23" s="41"/>
      <c r="M23" s="101"/>
    </row>
    <row r="24" spans="1:13">
      <c r="A24" s="40"/>
      <c r="B24" s="139"/>
      <c r="C24" s="140"/>
      <c r="D24" s="156"/>
      <c r="E24" s="157"/>
      <c r="F24" s="141"/>
      <c r="G24" s="158"/>
      <c r="H24" s="141"/>
      <c r="I24" s="102"/>
      <c r="J24" s="34"/>
      <c r="K24" s="41"/>
      <c r="M24" s="101"/>
    </row>
    <row r="25" spans="1:13">
      <c r="A25" s="40"/>
      <c r="B25" s="139"/>
      <c r="C25" s="140"/>
      <c r="D25" s="156"/>
      <c r="E25" s="157"/>
      <c r="F25" s="141"/>
      <c r="G25" s="158"/>
      <c r="H25" s="141"/>
      <c r="I25" s="102"/>
      <c r="J25" s="34"/>
      <c r="K25" s="41"/>
      <c r="M25" s="101"/>
    </row>
    <row r="26" spans="1:13">
      <c r="A26" s="40"/>
      <c r="B26" s="139"/>
      <c r="C26" s="140"/>
      <c r="D26" s="156"/>
      <c r="E26" s="157"/>
      <c r="F26" s="141"/>
      <c r="G26" s="158"/>
      <c r="H26" s="141"/>
      <c r="I26" s="102"/>
      <c r="J26" s="34"/>
      <c r="K26" s="41"/>
      <c r="M26" s="101"/>
    </row>
    <row r="27" spans="1:13">
      <c r="A27" s="40"/>
      <c r="B27" s="139"/>
      <c r="C27" s="140"/>
      <c r="D27" s="156"/>
      <c r="E27" s="157"/>
      <c r="F27" s="141"/>
      <c r="G27" s="158"/>
      <c r="H27" s="141"/>
      <c r="I27" s="102"/>
      <c r="J27" s="34"/>
      <c r="K27" s="41"/>
      <c r="M27" s="101"/>
    </row>
    <row r="28" spans="1:13">
      <c r="A28" s="40"/>
      <c r="B28" s="139"/>
      <c r="C28" s="140"/>
      <c r="D28" s="156"/>
      <c r="E28" s="157"/>
      <c r="F28" s="141"/>
      <c r="G28" s="158"/>
      <c r="H28" s="141"/>
      <c r="I28" s="102"/>
      <c r="J28" s="34"/>
      <c r="K28" s="41"/>
      <c r="M28" s="101"/>
    </row>
    <row r="29" spans="1:13">
      <c r="A29" s="40"/>
      <c r="B29" s="139"/>
      <c r="C29" s="140"/>
      <c r="D29" s="156"/>
      <c r="E29" s="157"/>
      <c r="F29" s="141"/>
      <c r="G29" s="158"/>
      <c r="H29" s="141"/>
      <c r="I29" s="102"/>
      <c r="J29" s="34"/>
      <c r="K29" s="41"/>
      <c r="M29" s="101"/>
    </row>
    <row r="30" spans="1:13">
      <c r="A30" s="40"/>
      <c r="B30" s="139"/>
      <c r="C30" s="140"/>
      <c r="D30" s="156"/>
      <c r="E30" s="157"/>
      <c r="F30" s="141"/>
      <c r="G30" s="158"/>
      <c r="H30" s="141"/>
      <c r="I30" s="102"/>
      <c r="J30" s="102"/>
      <c r="K30" s="41"/>
      <c r="M30" s="101"/>
    </row>
    <row r="31" spans="1:13">
      <c r="A31" s="40"/>
      <c r="B31" s="139"/>
      <c r="C31" s="140"/>
      <c r="D31" s="156"/>
      <c r="E31" s="157"/>
      <c r="F31" s="141"/>
      <c r="G31" s="158"/>
      <c r="H31" s="141"/>
      <c r="I31" s="102"/>
      <c r="J31" s="102"/>
      <c r="K31" s="41"/>
    </row>
    <row r="32" spans="1:13">
      <c r="A32" s="40"/>
      <c r="B32" s="139"/>
      <c r="C32" s="140"/>
      <c r="D32" s="156"/>
      <c r="E32" s="157"/>
      <c r="F32" s="141"/>
      <c r="G32" s="158"/>
      <c r="H32" s="141"/>
      <c r="I32" s="102"/>
      <c r="J32" s="102"/>
      <c r="K32" s="41"/>
    </row>
    <row r="33" spans="1:11">
      <c r="A33" s="40"/>
      <c r="B33" s="139"/>
      <c r="C33" s="140"/>
      <c r="D33" s="156"/>
      <c r="E33" s="157"/>
      <c r="F33" s="141"/>
      <c r="G33" s="158"/>
      <c r="H33" s="141"/>
      <c r="I33" s="102"/>
      <c r="J33" s="102"/>
      <c r="K33" s="41"/>
    </row>
    <row r="34" spans="1:11">
      <c r="A34" s="40"/>
      <c r="B34" s="139"/>
      <c r="C34" s="140"/>
      <c r="D34" s="156"/>
      <c r="E34" s="157"/>
      <c r="F34" s="141"/>
      <c r="G34" s="158"/>
      <c r="H34" s="141"/>
      <c r="I34" s="102"/>
      <c r="J34" s="102"/>
      <c r="K34" s="41"/>
    </row>
    <row r="35" spans="1:11">
      <c r="A35" s="40"/>
      <c r="B35" s="139"/>
      <c r="C35" s="140"/>
      <c r="D35" s="156"/>
      <c r="E35" s="157"/>
      <c r="F35" s="141"/>
      <c r="G35" s="158"/>
      <c r="H35" s="141"/>
      <c r="I35" s="102"/>
      <c r="J35" s="102"/>
      <c r="K35" s="41"/>
    </row>
    <row r="36" spans="1:11">
      <c r="A36" s="40"/>
      <c r="B36" s="139"/>
      <c r="C36" s="140"/>
      <c r="D36" s="156"/>
      <c r="E36" s="157"/>
      <c r="F36" s="141"/>
      <c r="G36" s="158"/>
      <c r="H36" s="141"/>
      <c r="I36" s="102"/>
      <c r="J36" s="102"/>
      <c r="K36" s="41"/>
    </row>
    <row r="37" spans="1:11">
      <c r="A37" s="40"/>
      <c r="B37" s="139"/>
      <c r="C37" s="140"/>
      <c r="D37" s="156"/>
      <c r="E37" s="157"/>
      <c r="F37" s="141"/>
      <c r="G37" s="158"/>
      <c r="H37" s="141"/>
      <c r="I37" s="102"/>
      <c r="J37" s="102"/>
      <c r="K37" s="41"/>
    </row>
    <row r="38" spans="1:11">
      <c r="A38" s="40"/>
      <c r="B38" s="139"/>
      <c r="C38" s="140"/>
      <c r="D38" s="156"/>
      <c r="E38" s="157"/>
      <c r="F38" s="141"/>
      <c r="G38" s="158"/>
      <c r="H38" s="141"/>
      <c r="I38" s="102"/>
      <c r="J38" s="102"/>
      <c r="K38" s="41"/>
    </row>
    <row r="39" spans="1:11">
      <c r="A39" s="40"/>
      <c r="B39" s="139"/>
      <c r="C39" s="140"/>
      <c r="D39" s="156"/>
      <c r="E39" s="157"/>
      <c r="F39" s="141"/>
      <c r="G39" s="158"/>
      <c r="H39" s="141"/>
      <c r="I39" s="102"/>
      <c r="J39" s="102"/>
      <c r="K39" s="41"/>
    </row>
    <row r="40" spans="1:11">
      <c r="A40" s="40"/>
      <c r="B40" s="139"/>
      <c r="C40" s="140"/>
      <c r="D40" s="156"/>
      <c r="E40" s="157"/>
      <c r="F40" s="141"/>
      <c r="G40" s="158"/>
      <c r="H40" s="141"/>
      <c r="I40" s="102"/>
      <c r="J40" s="34"/>
      <c r="K40" s="41"/>
    </row>
    <row r="41" spans="1:11">
      <c r="A41" s="40"/>
      <c r="B41" s="139"/>
      <c r="C41" s="140"/>
      <c r="D41" s="156"/>
      <c r="E41" s="157"/>
      <c r="F41" s="141"/>
      <c r="G41" s="158"/>
      <c r="H41" s="141"/>
      <c r="I41" s="102"/>
      <c r="J41" s="34"/>
      <c r="K41" s="41"/>
    </row>
    <row r="42" spans="1:11">
      <c r="A42" s="40"/>
      <c r="B42" s="139"/>
      <c r="C42" s="140"/>
      <c r="D42" s="156"/>
      <c r="E42" s="157"/>
      <c r="F42" s="141"/>
      <c r="G42" s="158"/>
      <c r="H42" s="141"/>
      <c r="I42" s="102"/>
      <c r="J42" s="34"/>
      <c r="K42" s="41"/>
    </row>
    <row r="43" spans="1:11">
      <c r="A43" s="40"/>
      <c r="B43" s="139"/>
      <c r="C43" s="140"/>
      <c r="D43" s="156"/>
      <c r="E43" s="157"/>
      <c r="F43" s="141"/>
      <c r="G43" s="158"/>
      <c r="H43" s="141"/>
      <c r="I43" s="102"/>
      <c r="J43" s="34"/>
      <c r="K43" s="41"/>
    </row>
    <row r="44" spans="1:11">
      <c r="A44" s="40"/>
      <c r="B44" s="139"/>
      <c r="C44" s="140"/>
      <c r="D44" s="156"/>
      <c r="E44" s="157"/>
      <c r="F44" s="141"/>
      <c r="G44" s="158"/>
      <c r="H44" s="141"/>
      <c r="I44" s="102"/>
      <c r="J44" s="34"/>
      <c r="K44" s="41"/>
    </row>
    <row r="45" spans="1:11" s="27" customFormat="1" ht="12.75" customHeight="1">
      <c r="A45" s="5"/>
      <c r="B45" s="139"/>
      <c r="C45" s="140"/>
      <c r="D45" s="156"/>
      <c r="E45" s="157"/>
      <c r="F45" s="141"/>
      <c r="G45" s="158"/>
      <c r="H45" s="141"/>
      <c r="I45" s="102"/>
      <c r="J45" s="4"/>
      <c r="K45" s="8"/>
    </row>
    <row r="46" spans="1:11" s="27" customFormat="1">
      <c r="A46" s="5"/>
      <c r="B46" s="139"/>
      <c r="C46" s="140"/>
      <c r="D46" s="156"/>
      <c r="E46" s="157"/>
      <c r="F46" s="141"/>
      <c r="G46" s="158"/>
      <c r="H46" s="141"/>
      <c r="I46" s="102"/>
      <c r="J46" s="4"/>
      <c r="K46" s="8"/>
    </row>
    <row r="47" spans="1:11">
      <c r="A47" s="60"/>
      <c r="B47" s="61"/>
      <c r="C47" s="61"/>
      <c r="D47" s="61"/>
      <c r="E47" s="61"/>
      <c r="F47" s="61"/>
      <c r="G47" s="61"/>
      <c r="H47" s="61"/>
      <c r="I47" s="126"/>
      <c r="J47" s="61"/>
      <c r="K47" s="79"/>
    </row>
    <row r="48" spans="1:11">
      <c r="I48" s="124"/>
    </row>
    <row r="49" spans="9:9">
      <c r="I49" s="124"/>
    </row>
    <row r="50" spans="9:9">
      <c r="I50" s="124"/>
    </row>
    <row r="51" spans="9:9">
      <c r="I51" s="124"/>
    </row>
    <row r="52" spans="9:9">
      <c r="I52" s="124"/>
    </row>
    <row r="53" spans="9:9">
      <c r="I53" s="124"/>
    </row>
    <row r="54" spans="9:9">
      <c r="I54" s="124"/>
    </row>
    <row r="55" spans="9:9">
      <c r="I55" s="124"/>
    </row>
    <row r="56" spans="9:9">
      <c r="I56" s="124"/>
    </row>
    <row r="57" spans="9:9">
      <c r="I57" s="124"/>
    </row>
    <row r="58" spans="9:9">
      <c r="I58" s="124"/>
    </row>
    <row r="59" spans="9:9">
      <c r="I59" s="124"/>
    </row>
    <row r="60" spans="9:9">
      <c r="I60" s="124"/>
    </row>
    <row r="61" spans="9:9">
      <c r="I61" s="124"/>
    </row>
    <row r="62" spans="9:9">
      <c r="I62" s="124"/>
    </row>
    <row r="63" spans="9:9">
      <c r="I63" s="124"/>
    </row>
    <row r="64" spans="9:9">
      <c r="I64" s="124"/>
    </row>
    <row r="65" spans="9:9">
      <c r="I65" s="124"/>
    </row>
    <row r="66" spans="9:9">
      <c r="I66" s="124"/>
    </row>
    <row r="67" spans="9:9">
      <c r="I67" s="124"/>
    </row>
    <row r="68" spans="9:9">
      <c r="I68" s="124"/>
    </row>
    <row r="69" spans="9:9">
      <c r="I69" s="124"/>
    </row>
    <row r="70" spans="9:9">
      <c r="I70" s="124"/>
    </row>
    <row r="71" spans="9:9">
      <c r="I71" s="124"/>
    </row>
    <row r="72" spans="9:9">
      <c r="I72" s="124"/>
    </row>
    <row r="73" spans="9:9">
      <c r="I73" s="124"/>
    </row>
    <row r="74" spans="9:9">
      <c r="I74" s="124"/>
    </row>
    <row r="75" spans="9:9">
      <c r="I75" s="124"/>
    </row>
    <row r="76" spans="9:9">
      <c r="I76" s="124"/>
    </row>
    <row r="77" spans="9:9">
      <c r="I77" s="124"/>
    </row>
    <row r="78" spans="9:9">
      <c r="I78" s="124"/>
    </row>
    <row r="79" spans="9:9">
      <c r="I79" s="124"/>
    </row>
    <row r="80" spans="9:9">
      <c r="I80" s="124"/>
    </row>
    <row r="81" spans="9:9">
      <c r="I81" s="124"/>
    </row>
    <row r="82" spans="9:9">
      <c r="I82" s="124"/>
    </row>
    <row r="83" spans="9:9">
      <c r="I83" s="124"/>
    </row>
    <row r="84" spans="9:9">
      <c r="I84" s="124"/>
    </row>
    <row r="85" spans="9:9">
      <c r="I85" s="124"/>
    </row>
    <row r="86" spans="9:9">
      <c r="I86" s="124"/>
    </row>
    <row r="87" spans="9:9">
      <c r="I87" s="124"/>
    </row>
    <row r="88" spans="9:9">
      <c r="I88" s="124"/>
    </row>
    <row r="89" spans="9:9">
      <c r="I89" s="124"/>
    </row>
    <row r="90" spans="9:9">
      <c r="I90" s="124"/>
    </row>
    <row r="91" spans="9:9">
      <c r="I91" s="124"/>
    </row>
    <row r="92" spans="9:9">
      <c r="I92" s="124"/>
    </row>
    <row r="93" spans="9:9">
      <c r="I93" s="124"/>
    </row>
    <row r="94" spans="9:9">
      <c r="I94" s="124"/>
    </row>
    <row r="95" spans="9:9">
      <c r="I95" s="124"/>
    </row>
    <row r="96" spans="9:9">
      <c r="I96" s="124"/>
    </row>
    <row r="97" spans="9:9">
      <c r="I97" s="124"/>
    </row>
    <row r="98" spans="9:9">
      <c r="I98" s="124"/>
    </row>
    <row r="99" spans="9:9">
      <c r="I99" s="124"/>
    </row>
    <row r="100" spans="9:9">
      <c r="I100" s="124"/>
    </row>
    <row r="101" spans="9:9">
      <c r="I101" s="124"/>
    </row>
    <row r="102" spans="9:9">
      <c r="I102" s="124"/>
    </row>
    <row r="103" spans="9:9">
      <c r="I103" s="124"/>
    </row>
    <row r="104" spans="9:9">
      <c r="I104" s="124"/>
    </row>
    <row r="105" spans="9:9">
      <c r="I105" s="124"/>
    </row>
    <row r="106" spans="9:9">
      <c r="I106" s="124"/>
    </row>
    <row r="107" spans="9:9">
      <c r="I107" s="124"/>
    </row>
    <row r="108" spans="9:9">
      <c r="I108" s="124"/>
    </row>
    <row r="109" spans="9:9">
      <c r="I109" s="124"/>
    </row>
    <row r="110" spans="9:9">
      <c r="I110" s="124"/>
    </row>
    <row r="111" spans="9:9">
      <c r="I111" s="124"/>
    </row>
    <row r="112" spans="9:9">
      <c r="I112" s="124"/>
    </row>
    <row r="113" spans="9:9">
      <c r="I113" s="124"/>
    </row>
    <row r="114" spans="9:9">
      <c r="I114" s="124"/>
    </row>
    <row r="115" spans="9:9">
      <c r="I115" s="124"/>
    </row>
    <row r="116" spans="9:9">
      <c r="I116" s="124"/>
    </row>
    <row r="117" spans="9:9">
      <c r="I117" s="124"/>
    </row>
    <row r="118" spans="9:9">
      <c r="I118" s="124"/>
    </row>
    <row r="119" spans="9:9">
      <c r="I119" s="124"/>
    </row>
    <row r="120" spans="9:9">
      <c r="I120" s="124"/>
    </row>
    <row r="121" spans="9:9">
      <c r="I121" s="124"/>
    </row>
    <row r="122" spans="9:9">
      <c r="I122" s="124"/>
    </row>
    <row r="123" spans="9:9">
      <c r="I123" s="124"/>
    </row>
    <row r="124" spans="9:9">
      <c r="I124" s="124"/>
    </row>
    <row r="125" spans="9:9">
      <c r="I125" s="124"/>
    </row>
    <row r="126" spans="9:9">
      <c r="I126" s="124"/>
    </row>
    <row r="127" spans="9:9">
      <c r="I127" s="124"/>
    </row>
    <row r="128" spans="9:9">
      <c r="I128" s="124"/>
    </row>
    <row r="129" spans="9:9">
      <c r="I129" s="124"/>
    </row>
    <row r="130" spans="9:9">
      <c r="I130" s="124"/>
    </row>
    <row r="131" spans="9:9">
      <c r="I131" s="124"/>
    </row>
    <row r="132" spans="9:9">
      <c r="I132" s="124"/>
    </row>
    <row r="133" spans="9:9">
      <c r="I133" s="124"/>
    </row>
    <row r="134" spans="9:9">
      <c r="I134" s="124"/>
    </row>
    <row r="135" spans="9:9">
      <c r="I135" s="124"/>
    </row>
    <row r="136" spans="9:9">
      <c r="I136" s="124"/>
    </row>
    <row r="137" spans="9:9">
      <c r="I137" s="124"/>
    </row>
    <row r="138" spans="9:9">
      <c r="I138" s="124"/>
    </row>
    <row r="139" spans="9:9">
      <c r="I139" s="124"/>
    </row>
    <row r="140" spans="9:9">
      <c r="I140" s="124"/>
    </row>
    <row r="141" spans="9:9">
      <c r="I141" s="124"/>
    </row>
    <row r="142" spans="9:9">
      <c r="I142" s="124"/>
    </row>
    <row r="143" spans="9:9">
      <c r="I143" s="124"/>
    </row>
    <row r="144" spans="9:9">
      <c r="I144" s="124"/>
    </row>
    <row r="145" spans="9:9">
      <c r="I145" s="124"/>
    </row>
    <row r="146" spans="9:9">
      <c r="I146" s="124"/>
    </row>
    <row r="147" spans="9:9">
      <c r="I147" s="124"/>
    </row>
    <row r="148" spans="9:9">
      <c r="I148" s="124"/>
    </row>
    <row r="149" spans="9:9">
      <c r="I149" s="124"/>
    </row>
    <row r="150" spans="9:9">
      <c r="I150" s="124"/>
    </row>
    <row r="151" spans="9:9">
      <c r="I151" s="124"/>
    </row>
    <row r="152" spans="9:9">
      <c r="I152" s="124"/>
    </row>
    <row r="153" spans="9:9">
      <c r="I153" s="124"/>
    </row>
    <row r="154" spans="9:9">
      <c r="I154" s="124"/>
    </row>
    <row r="155" spans="9:9">
      <c r="I155" s="124"/>
    </row>
    <row r="156" spans="9:9">
      <c r="I156" s="124"/>
    </row>
    <row r="157" spans="9:9">
      <c r="I157" s="124"/>
    </row>
    <row r="158" spans="9:9">
      <c r="I158" s="124"/>
    </row>
    <row r="159" spans="9:9">
      <c r="I159" s="124"/>
    </row>
    <row r="160" spans="9:9">
      <c r="I160" s="124"/>
    </row>
    <row r="161" spans="9:9">
      <c r="I161" s="124"/>
    </row>
    <row r="162" spans="9:9">
      <c r="I162" s="124"/>
    </row>
    <row r="163" spans="9:9">
      <c r="I163" s="124"/>
    </row>
    <row r="164" spans="9:9">
      <c r="I164" s="124"/>
    </row>
    <row r="165" spans="9:9">
      <c r="I165" s="124"/>
    </row>
    <row r="166" spans="9:9">
      <c r="I166" s="124"/>
    </row>
    <row r="167" spans="9:9">
      <c r="I167" s="124"/>
    </row>
    <row r="168" spans="9:9">
      <c r="I168" s="124"/>
    </row>
    <row r="169" spans="9:9">
      <c r="I169" s="124"/>
    </row>
    <row r="170" spans="9:9">
      <c r="I170" s="124"/>
    </row>
    <row r="171" spans="9:9">
      <c r="I171" s="124"/>
    </row>
    <row r="172" spans="9:9">
      <c r="I172" s="124"/>
    </row>
    <row r="173" spans="9:9">
      <c r="I173" s="124"/>
    </row>
    <row r="174" spans="9:9">
      <c r="I174" s="124"/>
    </row>
    <row r="175" spans="9:9">
      <c r="I175" s="124"/>
    </row>
    <row r="176" spans="9:9">
      <c r="I176" s="124"/>
    </row>
    <row r="177" spans="9:9">
      <c r="I177" s="124"/>
    </row>
    <row r="178" spans="9:9">
      <c r="I178" s="124"/>
    </row>
    <row r="179" spans="9:9">
      <c r="I179" s="124"/>
    </row>
    <row r="180" spans="9:9">
      <c r="I180" s="124"/>
    </row>
    <row r="181" spans="9:9">
      <c r="I181" s="124"/>
    </row>
    <row r="182" spans="9:9">
      <c r="I182" s="124"/>
    </row>
    <row r="183" spans="9:9">
      <c r="I183" s="124"/>
    </row>
    <row r="184" spans="9:9">
      <c r="I184" s="124"/>
    </row>
    <row r="185" spans="9:9">
      <c r="I185" s="124"/>
    </row>
    <row r="186" spans="9:9">
      <c r="I186" s="124"/>
    </row>
    <row r="187" spans="9:9">
      <c r="I187" s="124"/>
    </row>
    <row r="188" spans="9:9">
      <c r="I188" s="124"/>
    </row>
    <row r="189" spans="9:9">
      <c r="I189" s="124"/>
    </row>
    <row r="190" spans="9:9">
      <c r="I190" s="124"/>
    </row>
    <row r="191" spans="9:9">
      <c r="I191" s="124"/>
    </row>
    <row r="192" spans="9:9">
      <c r="I192" s="124"/>
    </row>
    <row r="193" spans="9:9">
      <c r="I193" s="124"/>
    </row>
    <row r="194" spans="9:9">
      <c r="I194" s="124"/>
    </row>
    <row r="195" spans="9:9">
      <c r="I195" s="124"/>
    </row>
    <row r="196" spans="9:9">
      <c r="I196" s="124"/>
    </row>
    <row r="197" spans="9:9">
      <c r="I197" s="124"/>
    </row>
    <row r="198" spans="9:9">
      <c r="I198" s="124"/>
    </row>
    <row r="199" spans="9:9">
      <c r="I199" s="124"/>
    </row>
    <row r="200" spans="9:9">
      <c r="I200" s="124"/>
    </row>
    <row r="201" spans="9:9">
      <c r="I201" s="124"/>
    </row>
    <row r="202" spans="9:9">
      <c r="I202" s="124"/>
    </row>
    <row r="203" spans="9:9">
      <c r="I203" s="124"/>
    </row>
    <row r="204" spans="9:9">
      <c r="I204" s="124"/>
    </row>
    <row r="205" spans="9:9">
      <c r="I205" s="124"/>
    </row>
    <row r="206" spans="9:9">
      <c r="I206" s="124"/>
    </row>
    <row r="207" spans="9:9">
      <c r="I207" s="124"/>
    </row>
    <row r="208" spans="9:9">
      <c r="I208" s="124"/>
    </row>
    <row r="209" spans="9:9">
      <c r="I209" s="124"/>
    </row>
    <row r="210" spans="9:9">
      <c r="I210" s="124"/>
    </row>
    <row r="211" spans="9:9">
      <c r="I211" s="124"/>
    </row>
    <row r="212" spans="9:9">
      <c r="I212" s="124"/>
    </row>
    <row r="213" spans="9:9">
      <c r="I213" s="124"/>
    </row>
    <row r="214" spans="9:9">
      <c r="I214" s="124"/>
    </row>
    <row r="215" spans="9:9">
      <c r="I215" s="124"/>
    </row>
    <row r="216" spans="9:9">
      <c r="I216" s="124"/>
    </row>
    <row r="217" spans="9:9">
      <c r="I217" s="124"/>
    </row>
    <row r="218" spans="9:9">
      <c r="I218" s="124"/>
    </row>
    <row r="219" spans="9:9">
      <c r="I219" s="124"/>
    </row>
    <row r="220" spans="9:9">
      <c r="I220" s="124"/>
    </row>
    <row r="221" spans="9:9">
      <c r="I221" s="124"/>
    </row>
    <row r="222" spans="9:9">
      <c r="I222" s="124"/>
    </row>
    <row r="223" spans="9:9">
      <c r="I223" s="124"/>
    </row>
    <row r="224" spans="9:9">
      <c r="I224" s="124"/>
    </row>
    <row r="225" spans="9:9">
      <c r="I225" s="124"/>
    </row>
    <row r="226" spans="9:9">
      <c r="I226" s="124"/>
    </row>
    <row r="227" spans="9:9">
      <c r="I227" s="124"/>
    </row>
    <row r="228" spans="9:9">
      <c r="I228" s="124"/>
    </row>
    <row r="229" spans="9:9">
      <c r="I229" s="124"/>
    </row>
    <row r="230" spans="9:9">
      <c r="I230" s="124"/>
    </row>
    <row r="231" spans="9:9">
      <c r="I231" s="124"/>
    </row>
    <row r="232" spans="9:9">
      <c r="I232" s="124"/>
    </row>
    <row r="233" spans="9:9">
      <c r="I233" s="124"/>
    </row>
    <row r="234" spans="9:9">
      <c r="I234" s="124"/>
    </row>
    <row r="235" spans="9:9">
      <c r="I235" s="124"/>
    </row>
    <row r="236" spans="9:9">
      <c r="I236" s="124"/>
    </row>
    <row r="237" spans="9:9">
      <c r="I237" s="124"/>
    </row>
    <row r="238" spans="9:9">
      <c r="I238" s="124"/>
    </row>
    <row r="239" spans="9:9">
      <c r="I239" s="124"/>
    </row>
    <row r="240" spans="9:9">
      <c r="I240" s="124"/>
    </row>
    <row r="241" spans="9:9">
      <c r="I241" s="124"/>
    </row>
    <row r="242" spans="9:9">
      <c r="I242" s="124"/>
    </row>
    <row r="243" spans="9:9">
      <c r="I243" s="124"/>
    </row>
    <row r="244" spans="9:9">
      <c r="I244" s="124"/>
    </row>
    <row r="245" spans="9:9">
      <c r="I245" s="124"/>
    </row>
    <row r="246" spans="9:9">
      <c r="I246" s="124"/>
    </row>
    <row r="247" spans="9:9">
      <c r="I247" s="124"/>
    </row>
    <row r="248" spans="9:9">
      <c r="I248" s="124"/>
    </row>
    <row r="249" spans="9:9">
      <c r="I249" s="124"/>
    </row>
    <row r="250" spans="9:9">
      <c r="I250" s="124"/>
    </row>
    <row r="251" spans="9:9">
      <c r="I251" s="124"/>
    </row>
    <row r="252" spans="9:9">
      <c r="I252" s="124"/>
    </row>
    <row r="253" spans="9:9">
      <c r="I253" s="124"/>
    </row>
    <row r="254" spans="9:9">
      <c r="I254" s="124"/>
    </row>
    <row r="255" spans="9:9">
      <c r="I255" s="124"/>
    </row>
    <row r="256" spans="9:9">
      <c r="I256" s="124"/>
    </row>
    <row r="257" spans="9:9">
      <c r="I257" s="124"/>
    </row>
    <row r="258" spans="9:9">
      <c r="I258" s="124"/>
    </row>
    <row r="259" spans="9:9">
      <c r="I259" s="124"/>
    </row>
    <row r="260" spans="9:9">
      <c r="I260" s="124"/>
    </row>
  </sheetData>
  <sheetProtection password="8B10" sheet="1" objects="1" scenarios="1"/>
  <phoneticPr fontId="3" type="noConversion"/>
  <pageMargins left="0.70866141732283472" right="0.70866141732283472" top="1.0236220472440944" bottom="1.0236220472440944" header="0.39370078740157483" footer="0.39370078740157483"/>
  <pageSetup paperSize="9" scale="69" orientation="landscape" r:id="rId1"/>
  <headerFooter alignWithMargins="0">
    <oddFooter>&amp;L&amp;"Frutiger 57Cn,Standard"&amp;8
Santander Consumer Bank AG
Santander-Platz 1
41061 Mönchengladbach
Tel.: +49 180 / 5556 - 499
Fax.: +49 180 / 5556 - 498</oddFooter>
  </headerFooter>
  <colBreaks count="1" manualBreakCount="1">
    <brk id="1" max="95" man="1"/>
  </col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Q2245"/>
  <sheetViews>
    <sheetView view="pageBreakPreview" zoomScale="75" zoomScaleNormal="100" workbookViewId="0">
      <selection activeCell="B3" sqref="B3"/>
    </sheetView>
  </sheetViews>
  <sheetFormatPr defaultRowHeight="12.75"/>
  <cols>
    <col min="1" max="1" width="1.28515625" style="31" customWidth="1"/>
    <col min="2" max="2" width="26" style="31" customWidth="1"/>
    <col min="3" max="3" width="14.85546875" style="31" bestFit="1" customWidth="1"/>
    <col min="4" max="4" width="18.7109375" style="31" customWidth="1"/>
    <col min="5" max="5" width="18.5703125" style="31" customWidth="1"/>
    <col min="6" max="6" width="19.5703125" style="31" customWidth="1"/>
    <col min="7" max="8" width="19" style="31" customWidth="1"/>
    <col min="9" max="9" width="9.28515625" style="31" customWidth="1"/>
    <col min="10" max="10" width="15.42578125" style="31" customWidth="1"/>
    <col min="11" max="11" width="1.28515625" style="31" customWidth="1"/>
    <col min="12" max="12" width="3.140625" style="31" customWidth="1"/>
    <col min="13" max="13" width="18.7109375" style="34" customWidth="1"/>
    <col min="14" max="14" width="18.5703125" style="34" customWidth="1"/>
    <col min="15" max="15" width="19.5703125" style="34" customWidth="1"/>
    <col min="16" max="17" width="19" style="34" customWidth="1"/>
    <col min="18" max="256" width="11.42578125" style="31" customWidth="1"/>
    <col min="257" max="16384" width="9.140625" style="31"/>
  </cols>
  <sheetData>
    <row r="1" spans="1:17" ht="6" customHeight="1">
      <c r="A1" s="35"/>
      <c r="B1" s="36"/>
      <c r="C1" s="36"/>
      <c r="D1" s="36"/>
      <c r="E1" s="36"/>
      <c r="F1" s="36"/>
      <c r="G1" s="36"/>
      <c r="H1" s="36"/>
      <c r="I1" s="36"/>
      <c r="J1" s="36"/>
      <c r="K1" s="37"/>
    </row>
    <row r="2" spans="1:17" s="27" customFormat="1" ht="18">
      <c r="A2" s="5"/>
      <c r="B2" s="7" t="str">
        <f>'Cover Sheet'!B2</f>
        <v>SC Germany Auto 10-1</v>
      </c>
      <c r="C2" s="7"/>
      <c r="D2" s="108" t="s">
        <v>54</v>
      </c>
      <c r="E2" s="109"/>
      <c r="F2" s="110">
        <f>'Cover Sheet'!F2</f>
        <v>41191</v>
      </c>
      <c r="G2" s="109"/>
      <c r="H2" s="109"/>
      <c r="I2" s="109"/>
      <c r="J2" s="111"/>
      <c r="K2" s="88"/>
      <c r="M2" s="28"/>
      <c r="N2" s="34"/>
      <c r="O2" s="372"/>
      <c r="P2" s="34"/>
      <c r="Q2" s="34"/>
    </row>
    <row r="3" spans="1:17" s="27" customFormat="1" ht="18">
      <c r="A3" s="5"/>
      <c r="B3" s="7" t="str">
        <f>'Cover Sheet'!B3</f>
        <v>Monthly Investor Report</v>
      </c>
      <c r="C3" s="7"/>
      <c r="D3" s="112" t="s">
        <v>4</v>
      </c>
      <c r="E3" s="113"/>
      <c r="F3" s="114">
        <f>'Cover Sheet'!F3</f>
        <v>41197</v>
      </c>
      <c r="G3" s="113"/>
      <c r="H3" s="113"/>
      <c r="I3" s="113"/>
      <c r="J3" s="115"/>
      <c r="K3" s="90"/>
      <c r="M3" s="28"/>
      <c r="N3" s="34"/>
      <c r="O3" s="372"/>
      <c r="P3" s="34"/>
      <c r="Q3" s="34"/>
    </row>
    <row r="4" spans="1:17" s="27" customFormat="1">
      <c r="A4" s="5"/>
      <c r="B4" s="42"/>
      <c r="C4" s="12"/>
      <c r="D4" s="112" t="s">
        <v>5</v>
      </c>
      <c r="E4" s="113"/>
      <c r="F4" s="122">
        <f>'Cover Sheet'!F4</f>
        <v>27</v>
      </c>
      <c r="G4" s="113"/>
      <c r="H4" s="117"/>
      <c r="I4" s="113"/>
      <c r="J4" s="118"/>
      <c r="K4" s="88"/>
      <c r="M4" s="28"/>
      <c r="N4" s="34"/>
      <c r="O4" s="45"/>
      <c r="P4" s="34"/>
      <c r="Q4" s="28"/>
    </row>
    <row r="5" spans="1:17" s="27" customFormat="1" ht="18">
      <c r="A5" s="5"/>
      <c r="B5" s="105" t="s">
        <v>391</v>
      </c>
      <c r="C5" s="14"/>
      <c r="D5" s="112" t="s">
        <v>3</v>
      </c>
      <c r="E5" s="113"/>
      <c r="F5" s="123">
        <f>'Cover Sheet'!F5</f>
        <v>41197</v>
      </c>
      <c r="G5" s="113"/>
      <c r="H5" s="117"/>
      <c r="I5" s="113"/>
      <c r="J5" s="118"/>
      <c r="K5" s="90"/>
      <c r="M5" s="28"/>
      <c r="N5" s="34"/>
      <c r="O5" s="373"/>
      <c r="P5" s="34"/>
      <c r="Q5" s="28"/>
    </row>
    <row r="6" spans="1:17" s="27" customFormat="1" ht="15" customHeight="1">
      <c r="A6" s="5"/>
      <c r="B6" s="43"/>
      <c r="C6" s="89"/>
      <c r="D6" s="552" t="str">
        <f>'Cover Sheet'!D6</f>
        <v>Interest Period</v>
      </c>
      <c r="E6" s="114" t="s">
        <v>38</v>
      </c>
      <c r="F6" s="114">
        <f>'Cover Sheet'!F6</f>
        <v>41164</v>
      </c>
      <c r="G6" s="116" t="s">
        <v>6</v>
      </c>
      <c r="H6" s="114">
        <f>'Cover Sheet'!H6</f>
        <v>41197</v>
      </c>
      <c r="I6" s="116" t="s">
        <v>18</v>
      </c>
      <c r="J6" s="542" t="str">
        <f>'Cover Sheet'!J6</f>
        <v>33 days</v>
      </c>
      <c r="K6" s="90"/>
      <c r="M6" s="28"/>
      <c r="N6" s="45"/>
      <c r="O6" s="372"/>
      <c r="P6" s="45"/>
      <c r="Q6" s="372"/>
    </row>
    <row r="7" spans="1:17" s="27" customFormat="1">
      <c r="A7" s="5"/>
      <c r="B7" s="4"/>
      <c r="C7" s="4"/>
      <c r="D7" s="553" t="str">
        <f>'Cover Sheet'!D7</f>
        <v>Collection Period</v>
      </c>
      <c r="E7" s="121" t="s">
        <v>38</v>
      </c>
      <c r="F7" s="121" t="str">
        <f>'Cover Sheet'!F7</f>
        <v>01.09.2012</v>
      </c>
      <c r="G7" s="120" t="s">
        <v>6</v>
      </c>
      <c r="H7" s="121">
        <f>'Cover Sheet'!H7</f>
        <v>41182</v>
      </c>
      <c r="I7" s="543"/>
      <c r="J7" s="544"/>
      <c r="K7" s="90"/>
      <c r="M7" s="28"/>
      <c r="N7" s="34"/>
      <c r="O7" s="374"/>
      <c r="P7" s="45"/>
      <c r="Q7" s="372"/>
    </row>
    <row r="8" spans="1:17" s="27" customFormat="1">
      <c r="A8" s="5"/>
      <c r="B8" s="4"/>
      <c r="C8" s="4"/>
      <c r="D8" s="4"/>
      <c r="E8" s="9"/>
      <c r="F8" s="15"/>
      <c r="G8" s="9"/>
      <c r="H8" s="4"/>
      <c r="I8" s="16"/>
      <c r="J8" s="4"/>
      <c r="K8" s="90"/>
      <c r="M8" s="34"/>
      <c r="N8" s="44"/>
      <c r="O8" s="45"/>
      <c r="P8" s="44"/>
      <c r="Q8" s="34"/>
    </row>
    <row r="9" spans="1:17" s="27" customFormat="1">
      <c r="A9" s="5"/>
      <c r="K9" s="8"/>
      <c r="M9" s="34"/>
      <c r="N9" s="34"/>
      <c r="O9" s="34"/>
      <c r="P9" s="34"/>
      <c r="Q9" s="34"/>
    </row>
    <row r="10" spans="1:17" s="27" customFormat="1">
      <c r="A10" s="5"/>
      <c r="B10" s="4"/>
      <c r="C10" s="4"/>
      <c r="D10" s="4"/>
      <c r="E10" s="4"/>
      <c r="F10" s="18"/>
      <c r="G10" s="4"/>
      <c r="H10" s="4"/>
      <c r="I10" s="34"/>
      <c r="J10" s="34"/>
      <c r="K10" s="8"/>
      <c r="M10" s="34"/>
      <c r="N10" s="34"/>
      <c r="O10" s="102"/>
      <c r="P10" s="34"/>
      <c r="Q10" s="34"/>
    </row>
    <row r="11" spans="1:17" s="27" customFormat="1" ht="18">
      <c r="A11" s="5"/>
      <c r="B11" s="125"/>
      <c r="C11" s="4"/>
      <c r="D11" s="4"/>
      <c r="E11" s="4"/>
      <c r="F11" s="34"/>
      <c r="G11" s="100"/>
      <c r="H11" s="100"/>
      <c r="I11" s="34"/>
      <c r="K11" s="8"/>
      <c r="M11" s="47"/>
      <c r="N11" s="34"/>
      <c r="O11" s="34"/>
      <c r="P11" s="137"/>
      <c r="Q11" s="137"/>
    </row>
    <row r="12" spans="1:17" s="27" customFormat="1" ht="13.5" thickBot="1">
      <c r="A12" s="5"/>
      <c r="B12" s="4"/>
      <c r="C12" s="4"/>
      <c r="D12" s="34"/>
      <c r="E12" s="34"/>
      <c r="F12" s="34"/>
      <c r="G12" s="137"/>
      <c r="H12" s="137"/>
      <c r="I12" s="34"/>
      <c r="K12" s="8"/>
      <c r="M12" s="34"/>
      <c r="N12" s="34"/>
      <c r="O12" s="34"/>
      <c r="P12" s="137"/>
      <c r="Q12" s="137"/>
    </row>
    <row r="13" spans="1:17" s="27" customFormat="1" ht="28.5">
      <c r="A13" s="5"/>
      <c r="B13" s="138"/>
      <c r="C13" s="138"/>
      <c r="D13" s="286" t="s">
        <v>458</v>
      </c>
      <c r="E13" s="287" t="s">
        <v>91</v>
      </c>
      <c r="F13" s="288" t="s">
        <v>70</v>
      </c>
      <c r="G13" s="289" t="s">
        <v>71</v>
      </c>
      <c r="H13" s="290" t="s">
        <v>72</v>
      </c>
      <c r="I13" s="102"/>
      <c r="K13" s="8"/>
      <c r="M13" s="317"/>
      <c r="N13" s="329"/>
      <c r="O13" s="327"/>
      <c r="P13" s="328"/>
      <c r="Q13" s="328"/>
    </row>
    <row r="14" spans="1:17">
      <c r="A14" s="40"/>
      <c r="B14" s="139"/>
      <c r="C14" s="140"/>
      <c r="D14" s="185" t="s">
        <v>569</v>
      </c>
      <c r="E14" s="186">
        <v>87339759.090000167</v>
      </c>
      <c r="F14" s="194">
        <v>0.40146329712988538</v>
      </c>
      <c r="G14" s="187">
        <v>17116</v>
      </c>
      <c r="H14" s="188">
        <v>0.40643031842898869</v>
      </c>
      <c r="I14" s="102"/>
      <c r="K14" s="41"/>
      <c r="M14" s="200"/>
      <c r="N14" s="201"/>
      <c r="O14" s="387"/>
      <c r="P14" s="388"/>
      <c r="Q14" s="202"/>
    </row>
    <row r="15" spans="1:17" ht="13.5" thickBot="1">
      <c r="A15" s="40"/>
      <c r="B15" s="139"/>
      <c r="C15" s="140"/>
      <c r="D15" s="189" t="s">
        <v>570</v>
      </c>
      <c r="E15" s="190">
        <v>130213774.98000017</v>
      </c>
      <c r="F15" s="471">
        <v>0.59853670287012628</v>
      </c>
      <c r="G15" s="191">
        <v>24997</v>
      </c>
      <c r="H15" s="192">
        <v>0.59356968157101131</v>
      </c>
      <c r="I15" s="102"/>
      <c r="K15" s="41"/>
      <c r="M15" s="200"/>
      <c r="N15" s="201"/>
      <c r="O15" s="387"/>
      <c r="P15" s="388"/>
      <c r="Q15" s="202"/>
    </row>
    <row r="16" spans="1:17" ht="14.25" thickTop="1" thickBot="1">
      <c r="A16" s="40"/>
      <c r="B16" s="139"/>
      <c r="C16" s="140"/>
      <c r="D16" s="291" t="s">
        <v>40</v>
      </c>
      <c r="E16" s="292">
        <f>SUM(E14:E15)</f>
        <v>217553534.07000035</v>
      </c>
      <c r="F16" s="295">
        <f>SUM(F14:F15)</f>
        <v>1.0000000000000115</v>
      </c>
      <c r="G16" s="293">
        <f>SUM(G14:G15)</f>
        <v>42113</v>
      </c>
      <c r="H16" s="294">
        <f>SUM(H14:H15)</f>
        <v>1</v>
      </c>
      <c r="I16" s="102"/>
      <c r="K16" s="41"/>
      <c r="M16" s="360"/>
      <c r="N16" s="361"/>
      <c r="O16" s="389"/>
      <c r="P16" s="390"/>
      <c r="Q16" s="362"/>
    </row>
    <row r="17" spans="1:17">
      <c r="A17" s="40"/>
      <c r="B17" s="139"/>
      <c r="C17" s="140"/>
      <c r="D17" s="132"/>
      <c r="E17" s="132"/>
      <c r="F17" s="132"/>
      <c r="G17" s="132"/>
      <c r="H17" s="132"/>
      <c r="I17" s="102"/>
      <c r="K17" s="41"/>
      <c r="M17" s="148"/>
      <c r="N17" s="148"/>
      <c r="O17" s="148"/>
      <c r="P17" s="148"/>
      <c r="Q17" s="148"/>
    </row>
    <row r="18" spans="1:17">
      <c r="A18" s="40"/>
      <c r="B18" s="139"/>
      <c r="C18" s="140"/>
      <c r="D18" s="132"/>
      <c r="E18" s="146"/>
      <c r="F18" s="132"/>
      <c r="G18" s="193"/>
      <c r="H18" s="132"/>
      <c r="I18" s="102"/>
      <c r="K18" s="41"/>
      <c r="M18" s="148"/>
      <c r="N18" s="146"/>
      <c r="O18" s="148"/>
      <c r="P18" s="391"/>
      <c r="Q18" s="148"/>
    </row>
    <row r="19" spans="1:17">
      <c r="A19" s="40"/>
      <c r="B19" s="139"/>
      <c r="C19" s="140"/>
      <c r="D19" s="132"/>
      <c r="E19" s="132"/>
      <c r="F19" s="132"/>
      <c r="G19" s="132"/>
      <c r="H19" s="132"/>
      <c r="I19" s="102"/>
      <c r="K19" s="41"/>
      <c r="M19" s="148"/>
      <c r="N19" s="148"/>
      <c r="O19" s="148"/>
      <c r="P19" s="148"/>
      <c r="Q19" s="148"/>
    </row>
    <row r="20" spans="1:17" ht="13.5" thickBot="1">
      <c r="A20" s="40"/>
      <c r="B20" s="139"/>
      <c r="C20" s="140"/>
      <c r="D20" s="132"/>
      <c r="E20" s="132"/>
      <c r="F20" s="132"/>
      <c r="G20" s="132"/>
      <c r="H20" s="132"/>
      <c r="I20" s="102"/>
      <c r="K20" s="41"/>
      <c r="M20" s="148"/>
      <c r="N20" s="148"/>
      <c r="O20" s="148"/>
      <c r="P20" s="148"/>
      <c r="Q20" s="148"/>
    </row>
    <row r="21" spans="1:17" ht="28.5">
      <c r="A21" s="40"/>
      <c r="B21" s="139"/>
      <c r="C21" s="140"/>
      <c r="D21" s="286" t="s">
        <v>75</v>
      </c>
      <c r="E21" s="287" t="s">
        <v>91</v>
      </c>
      <c r="F21" s="288" t="s">
        <v>70</v>
      </c>
      <c r="G21" s="289" t="s">
        <v>71</v>
      </c>
      <c r="H21" s="290" t="s">
        <v>72</v>
      </c>
      <c r="I21" s="102"/>
      <c r="K21" s="41"/>
      <c r="M21" s="317"/>
      <c r="N21" s="329"/>
      <c r="O21" s="327"/>
      <c r="P21" s="328"/>
      <c r="Q21" s="328"/>
    </row>
    <row r="22" spans="1:17">
      <c r="A22" s="40"/>
      <c r="B22" s="139"/>
      <c r="C22" s="140"/>
      <c r="D22" s="185" t="s">
        <v>571</v>
      </c>
      <c r="E22" s="186">
        <v>213187020.67999777</v>
      </c>
      <c r="F22" s="194">
        <v>0.97992901651234454</v>
      </c>
      <c r="G22" s="187">
        <v>40462</v>
      </c>
      <c r="H22" s="188">
        <v>0.96079595374349969</v>
      </c>
      <c r="I22" s="102"/>
      <c r="K22" s="41"/>
      <c r="M22" s="200"/>
      <c r="N22" s="201"/>
      <c r="O22" s="202"/>
      <c r="P22" s="388"/>
      <c r="Q22" s="202"/>
    </row>
    <row r="23" spans="1:17" ht="12.75" customHeight="1">
      <c r="A23" s="40"/>
      <c r="B23" s="139"/>
      <c r="C23" s="140"/>
      <c r="D23" s="185" t="s">
        <v>572</v>
      </c>
      <c r="E23" s="186">
        <v>3550506.74</v>
      </c>
      <c r="F23" s="194">
        <v>1.6320151980880375E-2</v>
      </c>
      <c r="G23" s="187">
        <v>1566</v>
      </c>
      <c r="H23" s="188">
        <v>3.7185667133664189E-2</v>
      </c>
      <c r="I23" s="102"/>
      <c r="K23" s="41"/>
      <c r="M23" s="200"/>
      <c r="N23" s="201"/>
      <c r="O23" s="202"/>
      <c r="P23" s="388"/>
      <c r="Q23" s="202"/>
    </row>
    <row r="24" spans="1:17" ht="13.5" thickBot="1">
      <c r="A24" s="40"/>
      <c r="B24" s="139"/>
      <c r="C24" s="140"/>
      <c r="D24" s="195" t="s">
        <v>573</v>
      </c>
      <c r="E24" s="196">
        <v>816006.65000000037</v>
      </c>
      <c r="F24" s="197">
        <v>3.7508315067750196E-3</v>
      </c>
      <c r="G24" s="198">
        <v>85</v>
      </c>
      <c r="H24" s="199">
        <v>2.018379122836179E-3</v>
      </c>
      <c r="I24" s="102"/>
      <c r="K24" s="41"/>
      <c r="M24" s="200"/>
      <c r="N24" s="201"/>
      <c r="O24" s="202"/>
      <c r="P24" s="203"/>
      <c r="Q24" s="202"/>
    </row>
    <row r="25" spans="1:17" ht="14.25" thickTop="1" thickBot="1">
      <c r="A25" s="40"/>
      <c r="B25" s="139"/>
      <c r="C25" s="140"/>
      <c r="D25" s="291" t="s">
        <v>40</v>
      </c>
      <c r="E25" s="292">
        <f>SUM(E22:E24)</f>
        <v>217553534.06999779</v>
      </c>
      <c r="F25" s="295">
        <f>SUM(F22:F24)</f>
        <v>0.99999999999999989</v>
      </c>
      <c r="G25" s="293">
        <f>SUM(G22:G24)</f>
        <v>42113</v>
      </c>
      <c r="H25" s="294">
        <f>SUM(H22:H24)</f>
        <v>1</v>
      </c>
      <c r="I25" s="102"/>
      <c r="K25" s="41"/>
      <c r="M25" s="360"/>
      <c r="N25" s="361"/>
      <c r="O25" s="362"/>
      <c r="P25" s="390"/>
      <c r="Q25" s="362"/>
    </row>
    <row r="26" spans="1:17">
      <c r="A26" s="40"/>
      <c r="B26" s="139"/>
      <c r="C26" s="140"/>
      <c r="D26" s="184"/>
      <c r="E26" s="178"/>
      <c r="F26" s="179"/>
      <c r="G26" s="180"/>
      <c r="H26" s="179"/>
      <c r="I26" s="102"/>
      <c r="K26" s="41"/>
      <c r="M26" s="184"/>
      <c r="N26" s="178"/>
      <c r="O26" s="179"/>
      <c r="P26" s="180"/>
      <c r="Q26" s="179"/>
    </row>
    <row r="27" spans="1:17">
      <c r="A27" s="40"/>
      <c r="B27" s="139"/>
      <c r="C27" s="140"/>
      <c r="D27" s="184"/>
      <c r="E27" s="178"/>
      <c r="F27" s="179"/>
      <c r="G27" s="180"/>
      <c r="H27" s="179"/>
      <c r="I27" s="102"/>
      <c r="K27" s="41"/>
      <c r="M27" s="184"/>
      <c r="N27" s="178"/>
      <c r="O27" s="179"/>
      <c r="P27" s="180"/>
      <c r="Q27" s="179"/>
    </row>
    <row r="28" spans="1:17">
      <c r="A28" s="40"/>
      <c r="B28" s="139"/>
      <c r="C28" s="140"/>
      <c r="D28" s="184"/>
      <c r="E28" s="178"/>
      <c r="F28" s="179"/>
      <c r="G28" s="180"/>
      <c r="H28" s="179"/>
      <c r="I28" s="102"/>
      <c r="K28" s="41"/>
      <c r="M28" s="184"/>
      <c r="N28" s="178"/>
      <c r="O28" s="179"/>
      <c r="P28" s="180"/>
      <c r="Q28" s="179"/>
    </row>
    <row r="29" spans="1:17">
      <c r="A29" s="40"/>
      <c r="B29" s="139"/>
      <c r="C29" s="140"/>
      <c r="D29" s="184"/>
      <c r="E29" s="178"/>
      <c r="F29" s="179"/>
      <c r="G29" s="180"/>
      <c r="H29" s="179"/>
      <c r="I29" s="102"/>
      <c r="K29" s="41"/>
      <c r="M29" s="184"/>
      <c r="N29" s="178"/>
      <c r="O29" s="179"/>
      <c r="P29" s="180"/>
      <c r="Q29" s="179"/>
    </row>
    <row r="30" spans="1:17">
      <c r="A30" s="40"/>
      <c r="B30" s="139"/>
      <c r="C30" s="140"/>
      <c r="D30" s="184"/>
      <c r="E30" s="178"/>
      <c r="F30" s="179"/>
      <c r="G30" s="180"/>
      <c r="H30" s="179"/>
      <c r="I30" s="102"/>
      <c r="K30" s="41"/>
      <c r="M30" s="184"/>
      <c r="N30" s="178"/>
      <c r="O30" s="179"/>
      <c r="P30" s="180"/>
      <c r="Q30" s="179"/>
    </row>
    <row r="31" spans="1:17">
      <c r="A31" s="40"/>
      <c r="B31" s="139"/>
      <c r="C31" s="140"/>
      <c r="D31" s="184"/>
      <c r="E31" s="178"/>
      <c r="F31" s="179"/>
      <c r="G31" s="180"/>
      <c r="H31" s="179"/>
      <c r="I31" s="102"/>
      <c r="K31" s="41"/>
      <c r="M31" s="184"/>
      <c r="N31" s="178"/>
      <c r="O31" s="179"/>
      <c r="P31" s="180"/>
      <c r="Q31" s="179"/>
    </row>
    <row r="32" spans="1:17">
      <c r="A32" s="40"/>
      <c r="B32" s="139"/>
      <c r="C32" s="140"/>
      <c r="D32" s="184"/>
      <c r="E32" s="178"/>
      <c r="F32" s="179"/>
      <c r="G32" s="180"/>
      <c r="H32" s="179"/>
      <c r="I32" s="102"/>
      <c r="K32" s="41"/>
      <c r="M32" s="184"/>
      <c r="N32" s="178"/>
      <c r="O32" s="179"/>
      <c r="P32" s="180"/>
      <c r="Q32" s="179"/>
    </row>
    <row r="33" spans="1:17">
      <c r="A33" s="40"/>
      <c r="B33" s="139"/>
      <c r="C33" s="140"/>
      <c r="D33" s="184"/>
      <c r="E33" s="178"/>
      <c r="F33" s="179"/>
      <c r="G33" s="180"/>
      <c r="H33" s="179"/>
      <c r="I33" s="102"/>
      <c r="K33" s="41"/>
      <c r="M33" s="184"/>
      <c r="N33" s="178"/>
      <c r="O33" s="179"/>
      <c r="P33" s="180"/>
      <c r="Q33" s="179"/>
    </row>
    <row r="34" spans="1:17">
      <c r="A34" s="40"/>
      <c r="B34" s="139"/>
      <c r="C34" s="140"/>
      <c r="D34" s="184"/>
      <c r="E34" s="178"/>
      <c r="F34" s="179"/>
      <c r="G34" s="180"/>
      <c r="H34" s="179"/>
      <c r="I34" s="102"/>
      <c r="K34" s="41"/>
      <c r="M34" s="184"/>
      <c r="N34" s="178"/>
      <c r="O34" s="179"/>
      <c r="P34" s="180"/>
      <c r="Q34" s="179"/>
    </row>
    <row r="35" spans="1:17">
      <c r="A35" s="40"/>
      <c r="B35" s="139"/>
      <c r="C35" s="140"/>
      <c r="D35" s="184"/>
      <c r="E35" s="178"/>
      <c r="F35" s="179"/>
      <c r="G35" s="180"/>
      <c r="H35" s="179"/>
      <c r="I35" s="102"/>
      <c r="K35" s="41"/>
      <c r="M35" s="184"/>
      <c r="N35" s="178"/>
      <c r="O35" s="179"/>
      <c r="P35" s="180"/>
      <c r="Q35" s="179"/>
    </row>
    <row r="36" spans="1:17">
      <c r="A36" s="40"/>
      <c r="B36" s="139"/>
      <c r="C36" s="140"/>
      <c r="D36" s="184"/>
      <c r="E36" s="178"/>
      <c r="F36" s="179"/>
      <c r="G36" s="180"/>
      <c r="H36" s="179"/>
      <c r="I36" s="102"/>
      <c r="K36" s="41"/>
      <c r="M36" s="184"/>
      <c r="N36" s="178"/>
      <c r="O36" s="179"/>
      <c r="P36" s="180"/>
      <c r="Q36" s="179"/>
    </row>
    <row r="37" spans="1:17">
      <c r="A37" s="40"/>
      <c r="B37" s="139"/>
      <c r="C37" s="140"/>
      <c r="D37" s="184"/>
      <c r="E37" s="178"/>
      <c r="F37" s="179"/>
      <c r="G37" s="180"/>
      <c r="H37" s="179"/>
      <c r="I37" s="102"/>
      <c r="K37" s="41"/>
      <c r="M37" s="184"/>
      <c r="N37" s="178"/>
      <c r="O37" s="179"/>
      <c r="P37" s="180"/>
      <c r="Q37" s="179"/>
    </row>
    <row r="38" spans="1:17">
      <c r="A38" s="40"/>
      <c r="B38" s="139"/>
      <c r="C38" s="140"/>
      <c r="D38" s="184"/>
      <c r="E38" s="178"/>
      <c r="F38" s="179"/>
      <c r="G38" s="180"/>
      <c r="H38" s="179"/>
      <c r="I38" s="102"/>
      <c r="K38" s="41"/>
      <c r="M38" s="184"/>
      <c r="N38" s="178"/>
      <c r="O38" s="179"/>
      <c r="P38" s="180"/>
      <c r="Q38" s="179"/>
    </row>
    <row r="39" spans="1:17">
      <c r="A39" s="40"/>
      <c r="B39" s="139"/>
      <c r="C39" s="140"/>
      <c r="D39" s="184"/>
      <c r="E39" s="178"/>
      <c r="F39" s="179"/>
      <c r="G39" s="180"/>
      <c r="H39" s="179"/>
      <c r="I39" s="102"/>
      <c r="K39" s="41"/>
      <c r="M39" s="184"/>
      <c r="N39" s="178"/>
      <c r="O39" s="179"/>
      <c r="P39" s="180"/>
      <c r="Q39" s="179"/>
    </row>
    <row r="40" spans="1:17">
      <c r="A40" s="40"/>
      <c r="B40" s="139"/>
      <c r="C40" s="140"/>
      <c r="D40" s="184"/>
      <c r="E40" s="178"/>
      <c r="F40" s="179"/>
      <c r="G40" s="180"/>
      <c r="H40" s="179"/>
      <c r="I40" s="102"/>
      <c r="K40" s="41"/>
      <c r="M40" s="184"/>
      <c r="N40" s="178"/>
      <c r="O40" s="179"/>
      <c r="P40" s="180"/>
      <c r="Q40" s="179"/>
    </row>
    <row r="41" spans="1:17">
      <c r="A41" s="40"/>
      <c r="B41" s="139"/>
      <c r="C41" s="140"/>
      <c r="D41" s="184"/>
      <c r="E41" s="178"/>
      <c r="F41" s="179"/>
      <c r="G41" s="180"/>
      <c r="H41" s="179"/>
      <c r="I41" s="102"/>
      <c r="K41" s="41"/>
      <c r="M41" s="184"/>
      <c r="N41" s="178"/>
      <c r="O41" s="179"/>
      <c r="P41" s="180"/>
      <c r="Q41" s="179"/>
    </row>
    <row r="42" spans="1:17">
      <c r="A42" s="60"/>
      <c r="B42" s="167"/>
      <c r="C42" s="168"/>
      <c r="D42" s="169"/>
      <c r="E42" s="170"/>
      <c r="F42" s="171"/>
      <c r="G42" s="172"/>
      <c r="H42" s="171"/>
      <c r="I42" s="126"/>
      <c r="J42" s="61"/>
      <c r="K42" s="79"/>
      <c r="M42" s="156"/>
      <c r="N42" s="157"/>
      <c r="O42" s="141"/>
      <c r="P42" s="158"/>
      <c r="Q42" s="141"/>
    </row>
    <row r="43" spans="1:17">
      <c r="A43" s="36"/>
      <c r="B43" s="139"/>
      <c r="C43" s="140"/>
      <c r="D43" s="156"/>
      <c r="E43" s="157"/>
      <c r="F43" s="141"/>
      <c r="G43" s="158"/>
      <c r="H43" s="141"/>
      <c r="I43" s="102"/>
      <c r="J43" s="34"/>
      <c r="K43" s="34"/>
      <c r="L43" s="34"/>
      <c r="M43" s="156"/>
      <c r="N43" s="157"/>
      <c r="O43" s="141"/>
      <c r="P43" s="158"/>
      <c r="Q43" s="141"/>
    </row>
    <row r="44" spans="1:17" s="34" customFormat="1">
      <c r="B44" s="139"/>
      <c r="C44" s="140"/>
      <c r="D44" s="156"/>
      <c r="E44" s="157"/>
      <c r="F44" s="141"/>
      <c r="G44" s="158"/>
      <c r="H44" s="141"/>
      <c r="I44" s="102"/>
      <c r="M44" s="156"/>
      <c r="N44" s="157"/>
      <c r="O44" s="141"/>
      <c r="P44" s="158"/>
      <c r="Q44" s="141"/>
    </row>
    <row r="45" spans="1:17" s="34" customFormat="1">
      <c r="B45" s="139"/>
      <c r="C45" s="140"/>
      <c r="D45" s="156"/>
      <c r="E45" s="157"/>
      <c r="F45" s="141"/>
      <c r="G45" s="158"/>
      <c r="H45" s="141"/>
      <c r="I45" s="102"/>
      <c r="M45" s="156"/>
      <c r="N45" s="157"/>
      <c r="O45" s="141"/>
      <c r="P45" s="158"/>
      <c r="Q45" s="141"/>
    </row>
    <row r="46" spans="1:17" s="4" customFormat="1" ht="15" customHeight="1">
      <c r="B46" s="139"/>
      <c r="C46" s="140"/>
      <c r="D46" s="156"/>
      <c r="E46" s="157"/>
      <c r="F46" s="141"/>
      <c r="G46" s="158"/>
      <c r="H46" s="141"/>
      <c r="I46" s="18"/>
      <c r="M46" s="156"/>
      <c r="N46" s="157"/>
      <c r="O46" s="141"/>
      <c r="P46" s="158"/>
      <c r="Q46" s="141"/>
    </row>
    <row r="47" spans="1:17" s="4" customFormat="1">
      <c r="B47" s="139"/>
      <c r="C47" s="140"/>
      <c r="D47" s="156"/>
      <c r="E47" s="157"/>
      <c r="F47" s="141"/>
      <c r="G47" s="158"/>
      <c r="H47" s="141"/>
      <c r="I47" s="18"/>
      <c r="M47" s="156"/>
      <c r="N47" s="157"/>
      <c r="O47" s="141"/>
      <c r="P47" s="158"/>
      <c r="Q47" s="141"/>
    </row>
    <row r="48" spans="1:17" s="34" customFormat="1">
      <c r="B48" s="139"/>
      <c r="C48" s="140"/>
      <c r="D48" s="156"/>
      <c r="E48" s="157"/>
      <c r="F48" s="141"/>
      <c r="G48" s="158"/>
      <c r="H48" s="141"/>
      <c r="I48" s="102"/>
      <c r="M48" s="156"/>
      <c r="N48" s="157"/>
      <c r="O48" s="141"/>
      <c r="P48" s="158"/>
      <c r="Q48" s="141"/>
    </row>
    <row r="49" spans="2:17" s="34" customFormat="1">
      <c r="B49" s="139"/>
      <c r="C49" s="140"/>
      <c r="D49" s="156"/>
      <c r="E49" s="157"/>
      <c r="F49" s="141"/>
      <c r="G49" s="158"/>
      <c r="H49" s="141"/>
      <c r="I49" s="102"/>
      <c r="M49" s="156"/>
      <c r="N49" s="157"/>
      <c r="O49" s="141"/>
      <c r="P49" s="158"/>
      <c r="Q49" s="141"/>
    </row>
    <row r="50" spans="2:17" s="34" customFormat="1">
      <c r="B50" s="139"/>
      <c r="C50" s="140"/>
      <c r="D50" s="156"/>
      <c r="E50" s="157"/>
      <c r="F50" s="141"/>
      <c r="G50" s="158"/>
      <c r="H50" s="141"/>
      <c r="I50" s="102"/>
      <c r="M50" s="156"/>
      <c r="N50" s="157"/>
      <c r="O50" s="141"/>
      <c r="P50" s="158"/>
      <c r="Q50" s="141"/>
    </row>
    <row r="51" spans="2:17" s="34" customFormat="1">
      <c r="B51" s="139"/>
      <c r="C51" s="140"/>
      <c r="D51" s="156"/>
      <c r="E51" s="157"/>
      <c r="F51" s="141"/>
      <c r="G51" s="158"/>
      <c r="H51" s="141"/>
      <c r="I51" s="102"/>
      <c r="M51" s="156"/>
      <c r="N51" s="157"/>
      <c r="O51" s="141"/>
      <c r="P51" s="158"/>
      <c r="Q51" s="141"/>
    </row>
    <row r="52" spans="2:17" s="34" customFormat="1">
      <c r="B52" s="139"/>
      <c r="C52" s="140"/>
      <c r="D52" s="156"/>
      <c r="E52" s="157"/>
      <c r="F52" s="141"/>
      <c r="G52" s="158"/>
      <c r="H52" s="141"/>
      <c r="I52" s="102"/>
      <c r="M52" s="156"/>
      <c r="N52" s="157"/>
      <c r="O52" s="141"/>
      <c r="P52" s="158"/>
      <c r="Q52" s="141"/>
    </row>
    <row r="53" spans="2:17" s="34" customFormat="1">
      <c r="B53" s="139"/>
      <c r="C53" s="140"/>
      <c r="D53" s="156"/>
      <c r="E53" s="157"/>
      <c r="F53" s="141"/>
      <c r="G53" s="158"/>
      <c r="H53" s="141"/>
      <c r="I53" s="102"/>
      <c r="M53" s="156"/>
      <c r="N53" s="157"/>
      <c r="O53" s="141"/>
      <c r="P53" s="158"/>
      <c r="Q53" s="141"/>
    </row>
    <row r="54" spans="2:17" s="34" customFormat="1">
      <c r="B54" s="139"/>
      <c r="C54" s="140"/>
      <c r="D54" s="156"/>
      <c r="E54" s="157"/>
      <c r="F54" s="141"/>
      <c r="G54" s="158"/>
      <c r="H54" s="141"/>
      <c r="I54" s="102"/>
      <c r="M54" s="156"/>
      <c r="N54" s="157"/>
      <c r="O54" s="141"/>
      <c r="P54" s="158"/>
      <c r="Q54" s="141"/>
    </row>
    <row r="55" spans="2:17" s="34" customFormat="1">
      <c r="B55" s="139"/>
      <c r="C55" s="140"/>
      <c r="D55" s="156"/>
      <c r="E55" s="157"/>
      <c r="F55" s="141"/>
      <c r="G55" s="158"/>
      <c r="H55" s="141"/>
      <c r="I55" s="102"/>
      <c r="M55" s="156"/>
      <c r="N55" s="157"/>
      <c r="O55" s="141"/>
      <c r="P55" s="158"/>
      <c r="Q55" s="141"/>
    </row>
    <row r="56" spans="2:17" s="34" customFormat="1">
      <c r="B56" s="139"/>
      <c r="C56" s="140"/>
      <c r="D56" s="156"/>
      <c r="E56" s="157"/>
      <c r="F56" s="141"/>
      <c r="G56" s="158"/>
      <c r="H56" s="141"/>
      <c r="I56" s="102"/>
      <c r="M56" s="156"/>
      <c r="N56" s="157"/>
      <c r="O56" s="141"/>
      <c r="P56" s="158"/>
      <c r="Q56" s="141"/>
    </row>
    <row r="57" spans="2:17" s="34" customFormat="1">
      <c r="B57" s="139"/>
      <c r="C57" s="140"/>
      <c r="D57" s="156"/>
      <c r="E57" s="157"/>
      <c r="F57" s="141"/>
      <c r="G57" s="158"/>
      <c r="H57" s="141"/>
      <c r="I57" s="102"/>
      <c r="M57" s="156"/>
      <c r="N57" s="157"/>
      <c r="O57" s="141"/>
      <c r="P57" s="158"/>
      <c r="Q57" s="141"/>
    </row>
    <row r="58" spans="2:17" s="34" customFormat="1">
      <c r="B58" s="139"/>
      <c r="C58" s="140"/>
      <c r="D58" s="156"/>
      <c r="E58" s="157"/>
      <c r="F58" s="141"/>
      <c r="G58" s="158"/>
      <c r="H58" s="141"/>
      <c r="I58" s="102"/>
      <c r="M58" s="156"/>
      <c r="N58" s="157"/>
      <c r="O58" s="141"/>
      <c r="P58" s="158"/>
      <c r="Q58" s="141"/>
    </row>
    <row r="59" spans="2:17" s="34" customFormat="1">
      <c r="B59" s="139"/>
      <c r="C59" s="140"/>
      <c r="D59" s="156"/>
      <c r="E59" s="157"/>
      <c r="F59" s="141"/>
      <c r="G59" s="158"/>
      <c r="H59" s="141"/>
      <c r="I59" s="102"/>
      <c r="M59" s="156"/>
      <c r="N59" s="157"/>
      <c r="O59" s="141"/>
      <c r="P59" s="158"/>
      <c r="Q59" s="141"/>
    </row>
    <row r="60" spans="2:17" s="34" customFormat="1">
      <c r="B60" s="139"/>
      <c r="C60" s="140"/>
      <c r="D60" s="156"/>
      <c r="E60" s="157"/>
      <c r="F60" s="141"/>
      <c r="G60" s="158"/>
      <c r="H60" s="141"/>
      <c r="I60" s="102"/>
      <c r="M60" s="156"/>
      <c r="N60" s="157"/>
      <c r="O60" s="141"/>
      <c r="P60" s="158"/>
      <c r="Q60" s="141"/>
    </row>
    <row r="61" spans="2:17" s="34" customFormat="1">
      <c r="B61" s="139"/>
      <c r="C61" s="140"/>
      <c r="D61" s="156"/>
      <c r="E61" s="157"/>
      <c r="F61" s="141"/>
      <c r="G61" s="158"/>
      <c r="H61" s="141"/>
      <c r="I61" s="102"/>
      <c r="M61" s="156"/>
      <c r="N61" s="157"/>
      <c r="O61" s="141"/>
      <c r="P61" s="158"/>
      <c r="Q61" s="141"/>
    </row>
    <row r="62" spans="2:17" s="34" customFormat="1">
      <c r="B62" s="139"/>
      <c r="C62" s="140"/>
      <c r="D62" s="156"/>
      <c r="E62" s="157"/>
      <c r="F62" s="141"/>
      <c r="G62" s="158"/>
      <c r="H62" s="141"/>
      <c r="I62" s="102"/>
      <c r="M62" s="156"/>
      <c r="N62" s="157"/>
      <c r="O62" s="141"/>
      <c r="P62" s="158"/>
      <c r="Q62" s="141"/>
    </row>
    <row r="63" spans="2:17" s="34" customFormat="1">
      <c r="B63" s="139"/>
      <c r="C63" s="140"/>
      <c r="D63" s="156"/>
      <c r="E63" s="157"/>
      <c r="F63" s="141"/>
      <c r="G63" s="158"/>
      <c r="H63" s="141"/>
      <c r="I63" s="102"/>
      <c r="M63" s="156"/>
      <c r="N63" s="157"/>
      <c r="O63" s="141"/>
      <c r="P63" s="158"/>
      <c r="Q63" s="141"/>
    </row>
    <row r="64" spans="2:17" s="34" customFormat="1">
      <c r="B64" s="139"/>
      <c r="C64" s="140"/>
      <c r="D64" s="156"/>
      <c r="E64" s="157"/>
      <c r="F64" s="141"/>
      <c r="G64" s="158"/>
      <c r="H64" s="141"/>
      <c r="I64" s="102"/>
      <c r="M64" s="156"/>
      <c r="N64" s="157"/>
      <c r="O64" s="141"/>
      <c r="P64" s="158"/>
      <c r="Q64" s="141"/>
    </row>
    <row r="65" spans="2:17" s="34" customFormat="1">
      <c r="B65" s="139"/>
      <c r="C65" s="140"/>
      <c r="D65" s="156"/>
      <c r="E65" s="157"/>
      <c r="F65" s="141"/>
      <c r="G65" s="158"/>
      <c r="H65" s="141"/>
      <c r="I65" s="102"/>
      <c r="M65" s="156"/>
      <c r="N65" s="157"/>
      <c r="O65" s="141"/>
      <c r="P65" s="158"/>
      <c r="Q65" s="141"/>
    </row>
    <row r="66" spans="2:17" s="34" customFormat="1">
      <c r="B66" s="139"/>
      <c r="C66" s="140"/>
      <c r="D66" s="156"/>
      <c r="E66" s="157"/>
      <c r="F66" s="141"/>
      <c r="G66" s="158"/>
      <c r="H66" s="141"/>
      <c r="I66" s="102"/>
      <c r="M66" s="156"/>
      <c r="N66" s="157"/>
      <c r="O66" s="141"/>
      <c r="P66" s="158"/>
      <c r="Q66" s="141"/>
    </row>
    <row r="67" spans="2:17" s="34" customFormat="1">
      <c r="B67" s="139"/>
      <c r="C67" s="140"/>
      <c r="D67" s="156"/>
      <c r="E67" s="157"/>
      <c r="F67" s="141"/>
      <c r="G67" s="158"/>
      <c r="H67" s="141"/>
      <c r="I67" s="102"/>
      <c r="M67" s="156"/>
      <c r="N67" s="157"/>
      <c r="O67" s="141"/>
      <c r="P67" s="158"/>
      <c r="Q67" s="141"/>
    </row>
    <row r="68" spans="2:17" s="34" customFormat="1">
      <c r="B68" s="139"/>
      <c r="C68" s="140"/>
      <c r="D68" s="156"/>
      <c r="E68" s="157"/>
      <c r="F68" s="141"/>
      <c r="G68" s="158"/>
      <c r="H68" s="141"/>
      <c r="I68" s="102"/>
      <c r="M68" s="156"/>
      <c r="N68" s="157"/>
      <c r="O68" s="141"/>
      <c r="P68" s="158"/>
      <c r="Q68" s="141"/>
    </row>
    <row r="69" spans="2:17" s="34" customFormat="1">
      <c r="B69" s="139"/>
      <c r="C69" s="140"/>
      <c r="D69" s="156"/>
      <c r="E69" s="157"/>
      <c r="F69" s="141"/>
      <c r="G69" s="158"/>
      <c r="H69" s="141"/>
      <c r="I69" s="102"/>
      <c r="M69" s="156"/>
      <c r="N69" s="157"/>
      <c r="O69" s="141"/>
      <c r="P69" s="158"/>
      <c r="Q69" s="141"/>
    </row>
    <row r="70" spans="2:17" s="34" customFormat="1">
      <c r="B70" s="139"/>
      <c r="C70" s="140"/>
      <c r="D70" s="156"/>
      <c r="E70" s="157"/>
      <c r="F70" s="141"/>
      <c r="G70" s="158"/>
      <c r="H70" s="141"/>
      <c r="I70" s="102"/>
      <c r="M70" s="156"/>
      <c r="N70" s="157"/>
      <c r="O70" s="141"/>
      <c r="P70" s="158"/>
      <c r="Q70" s="141"/>
    </row>
    <row r="71" spans="2:17" s="34" customFormat="1">
      <c r="B71" s="139"/>
      <c r="C71" s="140"/>
      <c r="D71" s="156"/>
      <c r="E71" s="157"/>
      <c r="F71" s="141"/>
      <c r="G71" s="158"/>
      <c r="H71" s="141"/>
      <c r="I71" s="102"/>
      <c r="M71" s="156"/>
      <c r="N71" s="157"/>
      <c r="O71" s="141"/>
      <c r="P71" s="158"/>
      <c r="Q71" s="141"/>
    </row>
    <row r="72" spans="2:17" s="34" customFormat="1">
      <c r="B72" s="139"/>
      <c r="C72" s="140"/>
      <c r="D72" s="156"/>
      <c r="E72" s="157"/>
      <c r="F72" s="141"/>
      <c r="G72" s="158"/>
      <c r="H72" s="141"/>
      <c r="I72" s="102"/>
      <c r="M72" s="156"/>
      <c r="N72" s="157"/>
      <c r="O72" s="141"/>
      <c r="P72" s="158"/>
      <c r="Q72" s="141"/>
    </row>
    <row r="73" spans="2:17" s="34" customFormat="1">
      <c r="B73" s="139"/>
      <c r="C73" s="140"/>
      <c r="D73" s="156"/>
      <c r="E73" s="157"/>
      <c r="F73" s="141"/>
      <c r="G73" s="158"/>
      <c r="H73" s="141"/>
      <c r="I73" s="102"/>
      <c r="M73" s="156"/>
      <c r="N73" s="157"/>
      <c r="O73" s="141"/>
      <c r="P73" s="158"/>
      <c r="Q73" s="141"/>
    </row>
    <row r="74" spans="2:17" s="34" customFormat="1">
      <c r="B74" s="139"/>
      <c r="C74" s="140"/>
      <c r="D74" s="156"/>
      <c r="E74" s="157"/>
      <c r="F74" s="141"/>
      <c r="G74" s="158"/>
      <c r="H74" s="141"/>
      <c r="I74" s="102"/>
      <c r="M74" s="156"/>
      <c r="N74" s="157"/>
      <c r="O74" s="141"/>
      <c r="P74" s="158"/>
      <c r="Q74" s="141"/>
    </row>
    <row r="75" spans="2:17" s="34" customFormat="1">
      <c r="B75" s="139"/>
      <c r="C75" s="140"/>
      <c r="D75" s="156"/>
      <c r="E75" s="157"/>
      <c r="F75" s="141"/>
      <c r="G75" s="158"/>
      <c r="H75" s="141"/>
      <c r="I75" s="102"/>
      <c r="M75" s="156"/>
      <c r="N75" s="157"/>
      <c r="O75" s="141"/>
      <c r="P75" s="158"/>
      <c r="Q75" s="141"/>
    </row>
    <row r="76" spans="2:17" s="34" customFormat="1">
      <c r="B76" s="139"/>
      <c r="C76" s="140"/>
      <c r="D76" s="142"/>
      <c r="E76" s="134"/>
      <c r="F76" s="143"/>
      <c r="G76" s="144"/>
      <c r="H76" s="143"/>
      <c r="I76" s="102"/>
      <c r="M76" s="142"/>
      <c r="N76" s="134"/>
      <c r="O76" s="143"/>
      <c r="P76" s="144"/>
      <c r="Q76" s="143"/>
    </row>
    <row r="77" spans="2:17" s="34" customFormat="1">
      <c r="B77" s="139"/>
      <c r="C77" s="140"/>
      <c r="D77" s="142"/>
      <c r="E77" s="142"/>
      <c r="F77" s="142"/>
      <c r="G77" s="142"/>
      <c r="H77" s="142"/>
      <c r="I77" s="102"/>
      <c r="M77" s="142"/>
      <c r="N77" s="142"/>
      <c r="O77" s="142"/>
      <c r="P77" s="142"/>
      <c r="Q77" s="142"/>
    </row>
    <row r="78" spans="2:17" s="34" customFormat="1">
      <c r="B78" s="139"/>
      <c r="C78" s="140"/>
      <c r="D78" s="142"/>
      <c r="E78" s="142"/>
      <c r="F78" s="142"/>
      <c r="G78" s="142"/>
      <c r="H78" s="142"/>
      <c r="I78" s="102"/>
      <c r="M78" s="142"/>
      <c r="N78" s="142"/>
      <c r="O78" s="142"/>
      <c r="P78" s="142"/>
      <c r="Q78" s="142"/>
    </row>
    <row r="79" spans="2:17" s="34" customFormat="1">
      <c r="B79" s="139"/>
      <c r="C79" s="140"/>
      <c r="D79" s="145"/>
      <c r="E79" s="146"/>
      <c r="F79" s="142"/>
      <c r="G79" s="142"/>
      <c r="H79" s="142"/>
      <c r="I79" s="102"/>
      <c r="M79" s="145"/>
      <c r="N79" s="146"/>
      <c r="O79" s="142"/>
      <c r="P79" s="142"/>
      <c r="Q79" s="142"/>
    </row>
    <row r="80" spans="2:17" s="34" customFormat="1">
      <c r="B80" s="139"/>
      <c r="C80" s="140"/>
      <c r="D80" s="134"/>
      <c r="E80" s="146"/>
      <c r="F80" s="142"/>
      <c r="G80" s="142"/>
      <c r="H80" s="142"/>
      <c r="I80" s="102"/>
      <c r="M80" s="134"/>
      <c r="N80" s="146"/>
      <c r="O80" s="142"/>
      <c r="P80" s="142"/>
      <c r="Q80" s="142"/>
    </row>
    <row r="81" spans="2:17" s="34" customFormat="1">
      <c r="B81" s="139"/>
      <c r="C81" s="140"/>
      <c r="D81" s="142"/>
      <c r="E81" s="146"/>
      <c r="F81" s="142"/>
      <c r="G81" s="142"/>
      <c r="H81" s="142"/>
      <c r="I81" s="102"/>
      <c r="M81" s="142"/>
      <c r="N81" s="146"/>
      <c r="O81" s="142"/>
      <c r="P81" s="142"/>
      <c r="Q81" s="142"/>
    </row>
    <row r="82" spans="2:17" s="34" customFormat="1" ht="14.25">
      <c r="B82" s="142"/>
      <c r="C82" s="134"/>
      <c r="D82" s="150"/>
      <c r="E82" s="150"/>
      <c r="F82" s="150"/>
      <c r="G82" s="150"/>
      <c r="H82" s="150"/>
      <c r="I82" s="102"/>
      <c r="M82" s="150"/>
      <c r="N82" s="150"/>
      <c r="O82" s="150"/>
      <c r="P82" s="150"/>
      <c r="Q82" s="150"/>
    </row>
    <row r="83" spans="2:17" s="34" customFormat="1" ht="14.25">
      <c r="B83" s="173"/>
      <c r="C83" s="173"/>
      <c r="D83" s="150"/>
      <c r="E83" s="150"/>
      <c r="F83" s="150"/>
      <c r="G83" s="150"/>
      <c r="H83" s="150"/>
      <c r="I83" s="102"/>
      <c r="M83" s="150"/>
      <c r="N83" s="150"/>
      <c r="O83" s="150"/>
      <c r="P83" s="150"/>
      <c r="Q83" s="150"/>
    </row>
    <row r="84" spans="2:17" s="34" customFormat="1" ht="14.25">
      <c r="B84" s="173"/>
      <c r="C84" s="173"/>
      <c r="D84" s="151"/>
      <c r="E84" s="152"/>
      <c r="F84" s="150"/>
      <c r="G84" s="150"/>
      <c r="H84" s="150"/>
      <c r="I84" s="102"/>
      <c r="M84" s="151"/>
      <c r="N84" s="152"/>
      <c r="O84" s="150"/>
      <c r="P84" s="150"/>
      <c r="Q84" s="150"/>
    </row>
    <row r="85" spans="2:17" s="34" customFormat="1" ht="14.25">
      <c r="B85" s="145"/>
      <c r="C85" s="146"/>
      <c r="D85" s="153"/>
      <c r="E85" s="152"/>
      <c r="F85" s="150"/>
      <c r="G85" s="150"/>
      <c r="H85" s="150"/>
      <c r="I85" s="102"/>
      <c r="M85" s="153"/>
      <c r="N85" s="152"/>
      <c r="O85" s="150"/>
      <c r="P85" s="150"/>
      <c r="Q85" s="150"/>
    </row>
    <row r="86" spans="2:17" s="34" customFormat="1" ht="14.25">
      <c r="B86" s="147"/>
      <c r="C86" s="146"/>
      <c r="D86" s="150"/>
      <c r="E86" s="152"/>
      <c r="F86" s="150"/>
      <c r="G86" s="150"/>
      <c r="H86" s="150"/>
      <c r="I86" s="102"/>
      <c r="M86" s="150"/>
      <c r="N86" s="152"/>
      <c r="O86" s="150"/>
      <c r="P86" s="150"/>
      <c r="Q86" s="150"/>
    </row>
    <row r="87" spans="2:17" s="34" customFormat="1">
      <c r="B87" s="148"/>
      <c r="C87" s="146"/>
      <c r="D87" s="148"/>
      <c r="E87" s="148"/>
      <c r="F87" s="148"/>
      <c r="I87" s="102"/>
      <c r="M87" s="148"/>
      <c r="N87" s="148"/>
      <c r="O87" s="148"/>
    </row>
    <row r="88" spans="2:17" s="34" customFormat="1">
      <c r="I88" s="102"/>
    </row>
    <row r="89" spans="2:17" s="34" customFormat="1">
      <c r="I89" s="102"/>
    </row>
    <row r="90" spans="2:17" s="34" customFormat="1">
      <c r="I90" s="102"/>
    </row>
    <row r="91" spans="2:17" s="34" customFormat="1">
      <c r="I91" s="102"/>
    </row>
    <row r="92" spans="2:17" s="34" customFormat="1">
      <c r="I92" s="102"/>
    </row>
    <row r="93" spans="2:17" s="34" customFormat="1">
      <c r="I93" s="102"/>
    </row>
    <row r="94" spans="2:17" s="34" customFormat="1">
      <c r="I94" s="102"/>
    </row>
    <row r="95" spans="2:17" s="34" customFormat="1">
      <c r="I95" s="102"/>
    </row>
    <row r="96" spans="2:17" s="34" customFormat="1">
      <c r="I96" s="102"/>
    </row>
    <row r="97" spans="9:9" s="34" customFormat="1">
      <c r="I97" s="102"/>
    </row>
    <row r="98" spans="9:9" s="34" customFormat="1">
      <c r="I98" s="102"/>
    </row>
    <row r="99" spans="9:9" s="34" customFormat="1">
      <c r="I99" s="102"/>
    </row>
    <row r="100" spans="9:9" s="34" customFormat="1">
      <c r="I100" s="102"/>
    </row>
    <row r="101" spans="9:9" s="34" customFormat="1">
      <c r="I101" s="102"/>
    </row>
    <row r="102" spans="9:9" s="34" customFormat="1">
      <c r="I102" s="102"/>
    </row>
    <row r="103" spans="9:9" s="34" customFormat="1">
      <c r="I103" s="102"/>
    </row>
    <row r="104" spans="9:9" s="34" customFormat="1">
      <c r="I104" s="102"/>
    </row>
    <row r="105" spans="9:9" s="34" customFormat="1">
      <c r="I105" s="102"/>
    </row>
    <row r="106" spans="9:9" s="34" customFormat="1">
      <c r="I106" s="102"/>
    </row>
    <row r="107" spans="9:9" s="34" customFormat="1">
      <c r="I107" s="102"/>
    </row>
    <row r="108" spans="9:9" s="34" customFormat="1">
      <c r="I108" s="102"/>
    </row>
    <row r="109" spans="9:9" s="34" customFormat="1">
      <c r="I109" s="102"/>
    </row>
    <row r="110" spans="9:9" s="34" customFormat="1">
      <c r="I110" s="102"/>
    </row>
    <row r="111" spans="9:9" s="34" customFormat="1">
      <c r="I111" s="102"/>
    </row>
    <row r="112" spans="9:9" s="34" customFormat="1">
      <c r="I112" s="102"/>
    </row>
    <row r="113" spans="9:9" s="34" customFormat="1">
      <c r="I113" s="102"/>
    </row>
    <row r="114" spans="9:9" s="34" customFormat="1">
      <c r="I114" s="102"/>
    </row>
    <row r="115" spans="9:9" s="34" customFormat="1">
      <c r="I115" s="102"/>
    </row>
    <row r="116" spans="9:9" s="34" customFormat="1">
      <c r="I116" s="102"/>
    </row>
    <row r="117" spans="9:9" s="34" customFormat="1">
      <c r="I117" s="102"/>
    </row>
    <row r="118" spans="9:9" s="34" customFormat="1">
      <c r="I118" s="102"/>
    </row>
    <row r="119" spans="9:9" s="34" customFormat="1">
      <c r="I119" s="102"/>
    </row>
    <row r="120" spans="9:9" s="34" customFormat="1">
      <c r="I120" s="102"/>
    </row>
    <row r="121" spans="9:9" s="34" customFormat="1">
      <c r="I121" s="102"/>
    </row>
    <row r="122" spans="9:9" s="34" customFormat="1">
      <c r="I122" s="102"/>
    </row>
    <row r="123" spans="9:9" s="34" customFormat="1">
      <c r="I123" s="102"/>
    </row>
    <row r="124" spans="9:9" s="34" customFormat="1">
      <c r="I124" s="102"/>
    </row>
    <row r="125" spans="9:9" s="34" customFormat="1">
      <c r="I125" s="102"/>
    </row>
    <row r="126" spans="9:9" s="34" customFormat="1">
      <c r="I126" s="102"/>
    </row>
    <row r="127" spans="9:9" s="34" customFormat="1">
      <c r="I127" s="102"/>
    </row>
    <row r="128" spans="9:9" s="34" customFormat="1">
      <c r="I128" s="102"/>
    </row>
    <row r="129" spans="9:9" s="34" customFormat="1">
      <c r="I129" s="102"/>
    </row>
    <row r="130" spans="9:9" s="34" customFormat="1">
      <c r="I130" s="102"/>
    </row>
    <row r="131" spans="9:9" s="34" customFormat="1">
      <c r="I131" s="102"/>
    </row>
    <row r="132" spans="9:9" s="34" customFormat="1">
      <c r="I132" s="102"/>
    </row>
    <row r="133" spans="9:9" s="34" customFormat="1">
      <c r="I133" s="102"/>
    </row>
    <row r="134" spans="9:9" s="34" customFormat="1">
      <c r="I134" s="102"/>
    </row>
    <row r="135" spans="9:9" s="34" customFormat="1">
      <c r="I135" s="102"/>
    </row>
    <row r="136" spans="9:9" s="34" customFormat="1">
      <c r="I136" s="102"/>
    </row>
    <row r="137" spans="9:9" s="34" customFormat="1">
      <c r="I137" s="102"/>
    </row>
    <row r="138" spans="9:9" s="34" customFormat="1">
      <c r="I138" s="102"/>
    </row>
    <row r="139" spans="9:9" s="34" customFormat="1">
      <c r="I139" s="102"/>
    </row>
    <row r="140" spans="9:9" s="34" customFormat="1">
      <c r="I140" s="102"/>
    </row>
    <row r="141" spans="9:9" s="34" customFormat="1">
      <c r="I141" s="102"/>
    </row>
    <row r="142" spans="9:9" s="34" customFormat="1">
      <c r="I142" s="102"/>
    </row>
    <row r="143" spans="9:9" s="34" customFormat="1">
      <c r="I143" s="102"/>
    </row>
    <row r="144" spans="9:9" s="34" customFormat="1">
      <c r="I144" s="102"/>
    </row>
    <row r="145" spans="9:9" s="34" customFormat="1">
      <c r="I145" s="102"/>
    </row>
    <row r="146" spans="9:9" s="34" customFormat="1">
      <c r="I146" s="102"/>
    </row>
    <row r="147" spans="9:9" s="34" customFormat="1">
      <c r="I147" s="102"/>
    </row>
    <row r="148" spans="9:9" s="34" customFormat="1">
      <c r="I148" s="102"/>
    </row>
    <row r="149" spans="9:9" s="34" customFormat="1">
      <c r="I149" s="102"/>
    </row>
    <row r="150" spans="9:9" s="34" customFormat="1">
      <c r="I150" s="102"/>
    </row>
    <row r="151" spans="9:9" s="34" customFormat="1">
      <c r="I151" s="102"/>
    </row>
    <row r="152" spans="9:9" s="34" customFormat="1">
      <c r="I152" s="102"/>
    </row>
    <row r="153" spans="9:9" s="34" customFormat="1">
      <c r="I153" s="102"/>
    </row>
    <row r="154" spans="9:9" s="34" customFormat="1">
      <c r="I154" s="102"/>
    </row>
    <row r="155" spans="9:9" s="34" customFormat="1">
      <c r="I155" s="102"/>
    </row>
    <row r="156" spans="9:9" s="34" customFormat="1">
      <c r="I156" s="102"/>
    </row>
    <row r="157" spans="9:9" s="34" customFormat="1">
      <c r="I157" s="102"/>
    </row>
    <row r="158" spans="9:9" s="34" customFormat="1">
      <c r="I158" s="102"/>
    </row>
    <row r="159" spans="9:9" s="34" customFormat="1">
      <c r="I159" s="102"/>
    </row>
    <row r="160" spans="9:9" s="34" customFormat="1">
      <c r="I160" s="102"/>
    </row>
    <row r="161" spans="9:9" s="34" customFormat="1">
      <c r="I161" s="102"/>
    </row>
    <row r="162" spans="9:9" s="34" customFormat="1">
      <c r="I162" s="102"/>
    </row>
    <row r="163" spans="9:9" s="34" customFormat="1">
      <c r="I163" s="102"/>
    </row>
    <row r="164" spans="9:9" s="34" customFormat="1">
      <c r="I164" s="102"/>
    </row>
    <row r="165" spans="9:9" s="34" customFormat="1">
      <c r="I165" s="102"/>
    </row>
    <row r="166" spans="9:9" s="34" customFormat="1">
      <c r="I166" s="102"/>
    </row>
    <row r="167" spans="9:9" s="34" customFormat="1">
      <c r="I167" s="102"/>
    </row>
    <row r="168" spans="9:9" s="34" customFormat="1">
      <c r="I168" s="102"/>
    </row>
    <row r="169" spans="9:9" s="34" customFormat="1">
      <c r="I169" s="102"/>
    </row>
    <row r="170" spans="9:9" s="34" customFormat="1">
      <c r="I170" s="102"/>
    </row>
    <row r="171" spans="9:9" s="34" customFormat="1">
      <c r="I171" s="102"/>
    </row>
    <row r="172" spans="9:9" s="34" customFormat="1">
      <c r="I172" s="102"/>
    </row>
    <row r="173" spans="9:9" s="34" customFormat="1">
      <c r="I173" s="102"/>
    </row>
    <row r="174" spans="9:9" s="34" customFormat="1">
      <c r="I174" s="102"/>
    </row>
    <row r="175" spans="9:9" s="34" customFormat="1">
      <c r="I175" s="102"/>
    </row>
    <row r="176" spans="9:9" s="34" customFormat="1">
      <c r="I176" s="102"/>
    </row>
    <row r="177" spans="9:9" s="34" customFormat="1">
      <c r="I177" s="102"/>
    </row>
    <row r="178" spans="9:9" s="34" customFormat="1">
      <c r="I178" s="102"/>
    </row>
    <row r="179" spans="9:9" s="34" customFormat="1">
      <c r="I179" s="102"/>
    </row>
    <row r="180" spans="9:9" s="34" customFormat="1">
      <c r="I180" s="102"/>
    </row>
    <row r="181" spans="9:9" s="34" customFormat="1">
      <c r="I181" s="102"/>
    </row>
    <row r="182" spans="9:9" s="34" customFormat="1">
      <c r="I182" s="102"/>
    </row>
    <row r="183" spans="9:9" s="34" customFormat="1">
      <c r="I183" s="102"/>
    </row>
    <row r="184" spans="9:9" s="34" customFormat="1">
      <c r="I184" s="102"/>
    </row>
    <row r="185" spans="9:9" s="34" customFormat="1">
      <c r="I185" s="102"/>
    </row>
    <row r="186" spans="9:9" s="34" customFormat="1">
      <c r="I186" s="102"/>
    </row>
    <row r="187" spans="9:9" s="34" customFormat="1">
      <c r="I187" s="102"/>
    </row>
    <row r="188" spans="9:9" s="34" customFormat="1">
      <c r="I188" s="102"/>
    </row>
    <row r="189" spans="9:9" s="34" customFormat="1">
      <c r="I189" s="102"/>
    </row>
    <row r="190" spans="9:9" s="34" customFormat="1">
      <c r="I190" s="102"/>
    </row>
    <row r="191" spans="9:9" s="34" customFormat="1">
      <c r="I191" s="102"/>
    </row>
    <row r="192" spans="9:9" s="34" customFormat="1">
      <c r="I192" s="102"/>
    </row>
    <row r="193" spans="9:9" s="34" customFormat="1">
      <c r="I193" s="102"/>
    </row>
    <row r="194" spans="9:9" s="34" customFormat="1">
      <c r="I194" s="102"/>
    </row>
    <row r="195" spans="9:9" s="34" customFormat="1">
      <c r="I195" s="102"/>
    </row>
    <row r="196" spans="9:9" s="34" customFormat="1">
      <c r="I196" s="102"/>
    </row>
    <row r="197" spans="9:9" s="34" customFormat="1">
      <c r="I197" s="102"/>
    </row>
    <row r="198" spans="9:9" s="34" customFormat="1">
      <c r="I198" s="102"/>
    </row>
    <row r="199" spans="9:9" s="34" customFormat="1">
      <c r="I199" s="102"/>
    </row>
    <row r="200" spans="9:9" s="34" customFormat="1">
      <c r="I200" s="102"/>
    </row>
    <row r="201" spans="9:9" s="34" customFormat="1">
      <c r="I201" s="102"/>
    </row>
    <row r="202" spans="9:9" s="34" customFormat="1">
      <c r="I202" s="102"/>
    </row>
    <row r="203" spans="9:9" s="34" customFormat="1">
      <c r="I203" s="102"/>
    </row>
    <row r="204" spans="9:9" s="34" customFormat="1">
      <c r="I204" s="102"/>
    </row>
    <row r="205" spans="9:9" s="34" customFormat="1">
      <c r="I205" s="102"/>
    </row>
    <row r="206" spans="9:9" s="34" customFormat="1">
      <c r="I206" s="102"/>
    </row>
    <row r="207" spans="9:9" s="34" customFormat="1">
      <c r="I207" s="102"/>
    </row>
    <row r="208" spans="9:9" s="34" customFormat="1">
      <c r="I208" s="102"/>
    </row>
    <row r="209" spans="9:9" s="34" customFormat="1">
      <c r="I209" s="102"/>
    </row>
    <row r="210" spans="9:9" s="34" customFormat="1">
      <c r="I210" s="102"/>
    </row>
    <row r="211" spans="9:9" s="34" customFormat="1">
      <c r="I211" s="102"/>
    </row>
    <row r="212" spans="9:9" s="34" customFormat="1">
      <c r="I212" s="102"/>
    </row>
    <row r="213" spans="9:9" s="34" customFormat="1">
      <c r="I213" s="102"/>
    </row>
    <row r="214" spans="9:9" s="34" customFormat="1">
      <c r="I214" s="102"/>
    </row>
    <row r="215" spans="9:9" s="34" customFormat="1">
      <c r="I215" s="102"/>
    </row>
    <row r="216" spans="9:9" s="34" customFormat="1">
      <c r="I216" s="102"/>
    </row>
    <row r="217" spans="9:9" s="34" customFormat="1">
      <c r="I217" s="102"/>
    </row>
    <row r="218" spans="9:9" s="34" customFormat="1">
      <c r="I218" s="102"/>
    </row>
    <row r="219" spans="9:9" s="34" customFormat="1">
      <c r="I219" s="102"/>
    </row>
    <row r="220" spans="9:9" s="34" customFormat="1">
      <c r="I220" s="102"/>
    </row>
    <row r="221" spans="9:9" s="34" customFormat="1">
      <c r="I221" s="102"/>
    </row>
    <row r="222" spans="9:9" s="34" customFormat="1">
      <c r="I222" s="102"/>
    </row>
    <row r="223" spans="9:9" s="34" customFormat="1">
      <c r="I223" s="102"/>
    </row>
    <row r="224" spans="9:9" s="34" customFormat="1">
      <c r="I224" s="102"/>
    </row>
    <row r="225" spans="9:9" s="34" customFormat="1">
      <c r="I225" s="102"/>
    </row>
    <row r="226" spans="9:9" s="34" customFormat="1">
      <c r="I226" s="102"/>
    </row>
    <row r="227" spans="9:9" s="34" customFormat="1">
      <c r="I227" s="102"/>
    </row>
    <row r="228" spans="9:9" s="34" customFormat="1">
      <c r="I228" s="102"/>
    </row>
    <row r="229" spans="9:9" s="34" customFormat="1">
      <c r="I229" s="102"/>
    </row>
    <row r="230" spans="9:9" s="34" customFormat="1">
      <c r="I230" s="102"/>
    </row>
    <row r="231" spans="9:9" s="34" customFormat="1">
      <c r="I231" s="102"/>
    </row>
    <row r="232" spans="9:9" s="34" customFormat="1">
      <c r="I232" s="102"/>
    </row>
    <row r="233" spans="9:9" s="34" customFormat="1">
      <c r="I233" s="102"/>
    </row>
    <row r="234" spans="9:9" s="34" customFormat="1">
      <c r="I234" s="102"/>
    </row>
    <row r="235" spans="9:9" s="34" customFormat="1">
      <c r="I235" s="102"/>
    </row>
    <row r="236" spans="9:9" s="34" customFormat="1">
      <c r="I236" s="102"/>
    </row>
    <row r="237" spans="9:9" s="34" customFormat="1">
      <c r="I237" s="102"/>
    </row>
    <row r="238" spans="9:9" s="34" customFormat="1">
      <c r="I238" s="102"/>
    </row>
    <row r="239" spans="9:9" s="34" customFormat="1">
      <c r="I239" s="102"/>
    </row>
    <row r="240" spans="9:9" s="34" customFormat="1">
      <c r="I240" s="102"/>
    </row>
    <row r="241" spans="9:9" s="34" customFormat="1">
      <c r="I241" s="102"/>
    </row>
    <row r="242" spans="9:9" s="34" customFormat="1">
      <c r="I242" s="102"/>
    </row>
    <row r="243" spans="9:9" s="34" customFormat="1">
      <c r="I243" s="102"/>
    </row>
    <row r="244" spans="9:9" s="34" customFormat="1">
      <c r="I244" s="102"/>
    </row>
    <row r="245" spans="9:9" s="34" customFormat="1">
      <c r="I245" s="102"/>
    </row>
    <row r="246" spans="9:9" s="34" customFormat="1">
      <c r="I246" s="102"/>
    </row>
    <row r="247" spans="9:9" s="34" customFormat="1">
      <c r="I247" s="102"/>
    </row>
    <row r="248" spans="9:9" s="34" customFormat="1">
      <c r="I248" s="102"/>
    </row>
    <row r="249" spans="9:9" s="34" customFormat="1">
      <c r="I249" s="102"/>
    </row>
    <row r="250" spans="9:9" s="34" customFormat="1">
      <c r="I250" s="102"/>
    </row>
    <row r="251" spans="9:9" s="34" customFormat="1">
      <c r="I251" s="102"/>
    </row>
    <row r="252" spans="9:9" s="34" customFormat="1">
      <c r="I252" s="102"/>
    </row>
    <row r="253" spans="9:9" s="34" customFormat="1">
      <c r="I253" s="102"/>
    </row>
    <row r="254" spans="9:9" s="34" customFormat="1">
      <c r="I254" s="102"/>
    </row>
    <row r="255" spans="9:9" s="34" customFormat="1">
      <c r="I255" s="102"/>
    </row>
    <row r="256" spans="9:9" s="34" customFormat="1">
      <c r="I256" s="102"/>
    </row>
    <row r="257" spans="9:9" s="34" customFormat="1">
      <c r="I257" s="102"/>
    </row>
    <row r="258" spans="9:9" s="34" customFormat="1">
      <c r="I258" s="102"/>
    </row>
    <row r="259" spans="9:9" s="34" customFormat="1">
      <c r="I259" s="102"/>
    </row>
    <row r="260" spans="9:9" s="34" customFormat="1">
      <c r="I260" s="102"/>
    </row>
    <row r="261" spans="9:9" s="34" customFormat="1">
      <c r="I261" s="102"/>
    </row>
    <row r="262" spans="9:9" s="34" customFormat="1">
      <c r="I262" s="102"/>
    </row>
    <row r="263" spans="9:9" s="34" customFormat="1">
      <c r="I263" s="102"/>
    </row>
    <row r="264" spans="9:9" s="34" customFormat="1">
      <c r="I264" s="102"/>
    </row>
    <row r="265" spans="9:9" s="34" customFormat="1">
      <c r="I265" s="102"/>
    </row>
    <row r="266" spans="9:9" s="34" customFormat="1">
      <c r="I266" s="102"/>
    </row>
    <row r="267" spans="9:9" s="34" customFormat="1">
      <c r="I267" s="102"/>
    </row>
    <row r="268" spans="9:9" s="34" customFormat="1">
      <c r="I268" s="102"/>
    </row>
    <row r="269" spans="9:9" s="34" customFormat="1">
      <c r="I269" s="102"/>
    </row>
    <row r="270" spans="9:9" s="34" customFormat="1">
      <c r="I270" s="102"/>
    </row>
    <row r="271" spans="9:9" s="34" customFormat="1">
      <c r="I271" s="102"/>
    </row>
    <row r="272" spans="9:9" s="34" customFormat="1">
      <c r="I272" s="102"/>
    </row>
    <row r="273" spans="9:9" s="34" customFormat="1">
      <c r="I273" s="102"/>
    </row>
    <row r="274" spans="9:9" s="34" customFormat="1">
      <c r="I274" s="102"/>
    </row>
    <row r="275" spans="9:9" s="34" customFormat="1">
      <c r="I275" s="102"/>
    </row>
    <row r="276" spans="9:9" s="34" customFormat="1">
      <c r="I276" s="102"/>
    </row>
    <row r="277" spans="9:9" s="34" customFormat="1">
      <c r="I277" s="102"/>
    </row>
    <row r="278" spans="9:9" s="34" customFormat="1">
      <c r="I278" s="102"/>
    </row>
    <row r="279" spans="9:9" s="34" customFormat="1">
      <c r="I279" s="102"/>
    </row>
    <row r="280" spans="9:9" s="34" customFormat="1">
      <c r="I280" s="102"/>
    </row>
    <row r="281" spans="9:9" s="34" customFormat="1">
      <c r="I281" s="102"/>
    </row>
    <row r="282" spans="9:9" s="34" customFormat="1">
      <c r="I282" s="102"/>
    </row>
    <row r="283" spans="9:9" s="34" customFormat="1">
      <c r="I283" s="102"/>
    </row>
    <row r="284" spans="9:9" s="34" customFormat="1">
      <c r="I284" s="102"/>
    </row>
    <row r="285" spans="9:9" s="34" customFormat="1">
      <c r="I285" s="102"/>
    </row>
    <row r="286" spans="9:9" s="34" customFormat="1">
      <c r="I286" s="102"/>
    </row>
    <row r="287" spans="9:9" s="34" customFormat="1">
      <c r="I287" s="102"/>
    </row>
    <row r="288" spans="9:9" s="34" customFormat="1">
      <c r="I288" s="102"/>
    </row>
    <row r="289" spans="9:9" s="34" customFormat="1">
      <c r="I289" s="102"/>
    </row>
    <row r="290" spans="9:9" s="34" customFormat="1">
      <c r="I290" s="102"/>
    </row>
    <row r="291" spans="9:9" s="34" customFormat="1">
      <c r="I291" s="102"/>
    </row>
    <row r="292" spans="9:9" s="34" customFormat="1">
      <c r="I292" s="102"/>
    </row>
    <row r="293" spans="9:9" s="34" customFormat="1">
      <c r="I293" s="102"/>
    </row>
    <row r="294" spans="9:9" s="34" customFormat="1">
      <c r="I294" s="102"/>
    </row>
    <row r="295" spans="9:9" s="34" customFormat="1">
      <c r="I295" s="102"/>
    </row>
    <row r="296" spans="9:9" s="34" customFormat="1">
      <c r="I296" s="102"/>
    </row>
    <row r="297" spans="9:9" s="34" customFormat="1">
      <c r="I297" s="102"/>
    </row>
    <row r="298" spans="9:9" s="34" customFormat="1">
      <c r="I298" s="102"/>
    </row>
    <row r="299" spans="9:9" s="34" customFormat="1">
      <c r="I299" s="102"/>
    </row>
    <row r="300" spans="9:9" s="34" customFormat="1">
      <c r="I300" s="102"/>
    </row>
    <row r="301" spans="9:9" s="34" customFormat="1">
      <c r="I301" s="102"/>
    </row>
    <row r="302" spans="9:9" s="34" customFormat="1">
      <c r="I302" s="102"/>
    </row>
    <row r="303" spans="9:9" s="34" customFormat="1">
      <c r="I303" s="102"/>
    </row>
    <row r="304" spans="9:9" s="34" customFormat="1">
      <c r="I304" s="102"/>
    </row>
    <row r="305" spans="9:9" s="34" customFormat="1">
      <c r="I305" s="102"/>
    </row>
    <row r="306" spans="9:9" s="34" customFormat="1"/>
    <row r="307" spans="9:9" s="34" customFormat="1"/>
    <row r="308" spans="9:9" s="34" customFormat="1"/>
    <row r="309" spans="9:9" s="34" customFormat="1"/>
    <row r="310" spans="9:9" s="34" customFormat="1"/>
    <row r="311" spans="9:9" s="34" customFormat="1"/>
    <row r="312" spans="9:9" s="34" customFormat="1"/>
    <row r="313" spans="9:9" s="34" customFormat="1"/>
    <row r="314" spans="9:9" s="34" customFormat="1"/>
    <row r="315" spans="9:9" s="34" customFormat="1"/>
    <row r="316" spans="9:9" s="34" customFormat="1"/>
    <row r="317" spans="9:9" s="34" customFormat="1"/>
    <row r="318" spans="9:9" s="34" customFormat="1"/>
    <row r="319" spans="9:9" s="34" customFormat="1"/>
    <row r="320" spans="9:9" s="34" customFormat="1"/>
    <row r="321" s="34" customFormat="1"/>
    <row r="322" s="34" customFormat="1"/>
    <row r="323" s="34" customFormat="1"/>
    <row r="324" s="34" customFormat="1"/>
    <row r="325" s="34" customFormat="1"/>
    <row r="326" s="34" customFormat="1"/>
    <row r="327" s="34" customFormat="1"/>
    <row r="328" s="34" customFormat="1"/>
    <row r="329" s="34" customFormat="1"/>
    <row r="330" s="34" customFormat="1"/>
    <row r="331" s="34" customFormat="1"/>
    <row r="332" s="34" customFormat="1"/>
    <row r="333" s="34" customFormat="1"/>
    <row r="334" s="34" customFormat="1"/>
    <row r="335" s="34" customFormat="1"/>
    <row r="336" s="34" customFormat="1"/>
    <row r="337" s="34" customFormat="1"/>
    <row r="338" s="34" customFormat="1"/>
    <row r="339" s="34" customFormat="1"/>
    <row r="340" s="34" customFormat="1"/>
    <row r="341" s="34" customFormat="1"/>
    <row r="342" s="34" customFormat="1"/>
    <row r="343" s="34" customFormat="1"/>
    <row r="344" s="34" customFormat="1"/>
    <row r="345" s="34" customFormat="1"/>
    <row r="346" s="34" customFormat="1"/>
    <row r="347" s="34" customFormat="1"/>
    <row r="348" s="34" customFormat="1"/>
    <row r="349" s="34" customFormat="1"/>
    <row r="350" s="34" customFormat="1"/>
    <row r="351" s="34" customFormat="1"/>
    <row r="352" s="34" customFormat="1"/>
    <row r="353" s="34" customFormat="1"/>
    <row r="354" s="34" customFormat="1"/>
    <row r="355" s="34" customFormat="1"/>
    <row r="356" s="34" customFormat="1"/>
    <row r="357" s="34" customFormat="1"/>
    <row r="358" s="34" customFormat="1"/>
    <row r="359" s="34" customFormat="1"/>
    <row r="360" s="34" customFormat="1"/>
    <row r="361" s="34" customFormat="1"/>
    <row r="362" s="34" customFormat="1"/>
    <row r="363" s="34" customFormat="1"/>
    <row r="364" s="34" customFormat="1"/>
    <row r="365" s="34" customFormat="1"/>
    <row r="366" s="34" customFormat="1"/>
    <row r="367" s="34" customFormat="1"/>
    <row r="368" s="34" customFormat="1"/>
    <row r="369" s="34" customFormat="1"/>
    <row r="370" s="34" customFormat="1"/>
    <row r="371" s="34" customFormat="1"/>
    <row r="372" s="34" customFormat="1"/>
    <row r="373" s="34" customFormat="1"/>
    <row r="374" s="34" customFormat="1"/>
    <row r="375" s="34" customFormat="1"/>
    <row r="376" s="34" customFormat="1"/>
    <row r="377" s="34" customFormat="1"/>
    <row r="378" s="34" customFormat="1"/>
    <row r="379" s="34" customFormat="1"/>
    <row r="380" s="34" customFormat="1"/>
    <row r="381" s="34" customFormat="1"/>
    <row r="382" s="34" customFormat="1"/>
    <row r="383" s="34" customFormat="1"/>
    <row r="384" s="34" customFormat="1"/>
    <row r="385" s="34" customFormat="1"/>
    <row r="386" s="34" customFormat="1"/>
    <row r="387" s="34" customFormat="1"/>
    <row r="388" s="34" customFormat="1"/>
    <row r="389" s="34" customFormat="1"/>
    <row r="390" s="34" customFormat="1"/>
    <row r="391" s="34" customFormat="1"/>
    <row r="392" s="34" customFormat="1"/>
    <row r="393" s="34" customFormat="1"/>
    <row r="394" s="34" customFormat="1"/>
    <row r="395" s="34" customFormat="1"/>
    <row r="396" s="34" customFormat="1"/>
    <row r="397" s="34" customFormat="1"/>
    <row r="398" s="34" customFormat="1"/>
    <row r="399" s="34" customFormat="1"/>
    <row r="400" s="34" customFormat="1"/>
    <row r="401" s="34" customFormat="1"/>
    <row r="402" s="34" customFormat="1"/>
    <row r="403" s="34" customFormat="1"/>
    <row r="404" s="34" customFormat="1"/>
    <row r="405" s="34" customFormat="1"/>
    <row r="406" s="34" customFormat="1"/>
    <row r="407" s="34" customFormat="1"/>
    <row r="408" s="34" customFormat="1"/>
    <row r="409" s="34" customFormat="1"/>
    <row r="410" s="34" customFormat="1"/>
    <row r="411" s="34" customFormat="1"/>
    <row r="412" s="34" customFormat="1"/>
    <row r="413" s="34" customFormat="1"/>
    <row r="414" s="34" customFormat="1"/>
    <row r="415" s="34" customFormat="1"/>
    <row r="416" s="34" customFormat="1"/>
    <row r="417" s="34" customFormat="1"/>
    <row r="418" s="34" customFormat="1"/>
    <row r="419" s="34" customFormat="1"/>
    <row r="420" s="34" customFormat="1"/>
    <row r="421" s="34" customFormat="1"/>
    <row r="422" s="34" customFormat="1"/>
    <row r="423" s="34" customFormat="1"/>
    <row r="424" s="34" customFormat="1"/>
    <row r="425" s="34" customFormat="1"/>
    <row r="426" s="34" customFormat="1"/>
    <row r="427" s="34" customFormat="1"/>
    <row r="428" s="34" customFormat="1"/>
    <row r="429" s="34" customFormat="1"/>
    <row r="430" s="34" customFormat="1"/>
    <row r="431" s="34" customFormat="1"/>
    <row r="432" s="34" customFormat="1"/>
    <row r="433" s="34" customFormat="1"/>
    <row r="434" s="34" customFormat="1"/>
    <row r="435" s="34" customFormat="1"/>
    <row r="436" s="34" customFormat="1"/>
    <row r="437" s="34" customFormat="1"/>
    <row r="438" s="34" customFormat="1"/>
    <row r="439" s="34" customFormat="1"/>
    <row r="440" s="34" customFormat="1"/>
    <row r="441" s="34" customFormat="1"/>
    <row r="442" s="34" customFormat="1"/>
    <row r="443" s="34" customFormat="1"/>
    <row r="444" s="34" customFormat="1"/>
    <row r="445" s="34" customFormat="1"/>
    <row r="446" s="34" customFormat="1"/>
    <row r="447" s="34" customFormat="1"/>
    <row r="448" s="34" customFormat="1"/>
    <row r="449" s="34" customFormat="1"/>
    <row r="450" s="34" customFormat="1"/>
    <row r="451" s="34" customFormat="1"/>
    <row r="452" s="34" customFormat="1"/>
    <row r="453" s="34" customFormat="1"/>
    <row r="454" s="34" customFormat="1"/>
    <row r="455" s="34" customFormat="1"/>
    <row r="456" s="34" customFormat="1"/>
    <row r="457" s="34" customFormat="1"/>
    <row r="458" s="34" customFormat="1"/>
    <row r="459" s="34" customFormat="1"/>
    <row r="460" s="34" customFormat="1"/>
    <row r="461" s="34" customFormat="1"/>
    <row r="462" s="34" customFormat="1"/>
    <row r="463" s="34" customFormat="1"/>
    <row r="464" s="34" customFormat="1"/>
    <row r="465" s="34" customFormat="1"/>
    <row r="466" s="34" customFormat="1"/>
    <row r="467" s="34" customFormat="1"/>
    <row r="468" s="34" customFormat="1"/>
    <row r="469" s="34" customFormat="1"/>
    <row r="470" s="34" customFormat="1"/>
    <row r="471" s="34" customFormat="1"/>
    <row r="472" s="34" customFormat="1"/>
    <row r="473" s="34" customFormat="1"/>
    <row r="474" s="34" customFormat="1"/>
    <row r="475" s="34" customFormat="1"/>
    <row r="476" s="34" customFormat="1"/>
    <row r="477" s="34" customFormat="1"/>
    <row r="478" s="34" customFormat="1"/>
    <row r="479" s="34" customFormat="1"/>
    <row r="480" s="34" customFormat="1"/>
    <row r="481" s="34" customFormat="1"/>
    <row r="482" s="34" customFormat="1"/>
    <row r="483" s="34" customFormat="1"/>
    <row r="484" s="34" customFormat="1"/>
    <row r="485" s="34" customFormat="1"/>
    <row r="486" s="34" customFormat="1"/>
    <row r="487" s="34" customFormat="1"/>
    <row r="488" s="34" customFormat="1"/>
    <row r="489" s="34" customFormat="1"/>
    <row r="490" s="34" customFormat="1"/>
    <row r="491" s="34" customFormat="1"/>
    <row r="492" s="34" customFormat="1"/>
    <row r="493" s="34" customFormat="1"/>
    <row r="494" s="34" customFormat="1"/>
    <row r="495" s="34" customFormat="1"/>
    <row r="496" s="34" customFormat="1"/>
    <row r="497" s="34" customFormat="1"/>
    <row r="498" s="34" customFormat="1"/>
    <row r="499" s="34" customFormat="1"/>
    <row r="500" s="34" customFormat="1"/>
    <row r="501" s="34" customFormat="1"/>
    <row r="502" s="34" customFormat="1"/>
    <row r="503" s="34" customFormat="1"/>
    <row r="504" s="34" customFormat="1"/>
    <row r="505" s="34" customFormat="1"/>
    <row r="506" s="34" customFormat="1"/>
    <row r="507" s="34" customFormat="1"/>
    <row r="508" s="34" customFormat="1"/>
    <row r="509" s="34" customFormat="1"/>
    <row r="510" s="34" customFormat="1"/>
    <row r="511" s="34" customFormat="1"/>
    <row r="512" s="34" customFormat="1"/>
    <row r="513" s="34" customFormat="1"/>
    <row r="514" s="34" customFormat="1"/>
    <row r="515" s="34" customFormat="1"/>
    <row r="516" s="34" customFormat="1"/>
    <row r="517" s="34" customFormat="1"/>
    <row r="518" s="34" customFormat="1"/>
    <row r="519" s="34" customFormat="1"/>
    <row r="520" s="34" customFormat="1"/>
    <row r="521" s="34" customFormat="1"/>
    <row r="522" s="34" customFormat="1"/>
    <row r="523" s="34" customFormat="1"/>
    <row r="524" s="34" customFormat="1"/>
    <row r="525" s="34" customFormat="1"/>
    <row r="526" s="34" customFormat="1"/>
    <row r="527" s="34" customFormat="1"/>
    <row r="528" s="34" customFormat="1"/>
    <row r="529" s="34" customFormat="1"/>
    <row r="530" s="34" customFormat="1"/>
    <row r="531" s="34" customFormat="1"/>
    <row r="532" s="34" customFormat="1"/>
    <row r="533" s="34" customFormat="1"/>
    <row r="534" s="34" customFormat="1"/>
    <row r="535" s="34" customFormat="1"/>
    <row r="536" s="34" customFormat="1"/>
    <row r="537" s="34" customFormat="1"/>
    <row r="538" s="34" customFormat="1"/>
    <row r="539" s="34" customFormat="1"/>
    <row r="540" s="34" customFormat="1"/>
    <row r="541" s="34" customFormat="1"/>
    <row r="542" s="34" customFormat="1"/>
    <row r="543" s="34" customFormat="1"/>
    <row r="544" s="34" customFormat="1"/>
    <row r="545" s="34" customFormat="1"/>
    <row r="546" s="34" customFormat="1"/>
    <row r="547" s="34" customFormat="1"/>
    <row r="548" s="34" customFormat="1"/>
    <row r="549" s="34" customFormat="1"/>
    <row r="550" s="34" customFormat="1"/>
    <row r="551" s="34" customFormat="1"/>
    <row r="552" s="34" customFormat="1"/>
    <row r="553" s="34" customFormat="1"/>
    <row r="554" s="34" customFormat="1"/>
    <row r="555" s="34" customFormat="1"/>
    <row r="556" s="34" customFormat="1"/>
    <row r="557" s="34" customFormat="1"/>
    <row r="558" s="34" customFormat="1"/>
    <row r="559" s="34" customFormat="1"/>
    <row r="560" s="34" customFormat="1"/>
    <row r="561" s="34" customFormat="1"/>
    <row r="562" s="34" customFormat="1"/>
    <row r="563" s="34" customFormat="1"/>
    <row r="564" s="34" customFormat="1"/>
    <row r="565" s="34" customFormat="1"/>
    <row r="566" s="34" customFormat="1"/>
    <row r="567" s="34" customFormat="1"/>
    <row r="568" s="34" customFormat="1"/>
    <row r="569" s="34" customFormat="1"/>
    <row r="570" s="34" customFormat="1"/>
    <row r="571" s="34" customFormat="1"/>
    <row r="572" s="34" customFormat="1"/>
    <row r="573" s="34" customFormat="1"/>
    <row r="574" s="34" customFormat="1"/>
    <row r="575" s="34" customFormat="1"/>
    <row r="576" s="34" customFormat="1"/>
    <row r="577" s="34" customFormat="1"/>
    <row r="578" s="34" customFormat="1"/>
    <row r="579" s="34" customFormat="1"/>
    <row r="580" s="34" customFormat="1"/>
    <row r="581" s="34" customFormat="1"/>
    <row r="582" s="34" customFormat="1"/>
    <row r="583" s="34" customFormat="1"/>
    <row r="584" s="34" customFormat="1"/>
    <row r="585" s="34" customFormat="1"/>
    <row r="586" s="34" customFormat="1"/>
    <row r="587" s="34" customFormat="1"/>
    <row r="588" s="34" customFormat="1"/>
    <row r="589" s="34" customFormat="1"/>
    <row r="590" s="34" customFormat="1"/>
    <row r="591" s="34" customFormat="1"/>
    <row r="592" s="34" customFormat="1"/>
    <row r="593" s="34" customFormat="1"/>
    <row r="594" s="34" customFormat="1"/>
    <row r="595" s="34" customFormat="1"/>
    <row r="596" s="34" customFormat="1"/>
    <row r="597" s="34" customFormat="1"/>
    <row r="598" s="34" customFormat="1"/>
    <row r="599" s="34" customFormat="1"/>
    <row r="600" s="34" customFormat="1"/>
    <row r="601" s="34" customFormat="1"/>
    <row r="602" s="34" customFormat="1"/>
    <row r="603" s="34" customFormat="1"/>
    <row r="604" s="34" customFormat="1"/>
    <row r="605" s="34" customFormat="1"/>
    <row r="606" s="34" customFormat="1"/>
    <row r="607" s="34" customFormat="1"/>
    <row r="608" s="34" customFormat="1"/>
    <row r="609" s="34" customFormat="1"/>
    <row r="610" s="34" customFormat="1"/>
    <row r="611" s="34" customFormat="1"/>
    <row r="612" s="34" customFormat="1"/>
    <row r="613" s="34" customFormat="1"/>
    <row r="614" s="34" customFormat="1"/>
    <row r="615" s="34" customFormat="1"/>
    <row r="616" s="34" customFormat="1"/>
    <row r="617" s="34" customFormat="1"/>
    <row r="618" s="34" customFormat="1"/>
    <row r="619" s="34" customFormat="1"/>
    <row r="620" s="34" customFormat="1"/>
    <row r="621" s="34" customFormat="1"/>
    <row r="622" s="34" customFormat="1"/>
    <row r="623" s="34" customFormat="1"/>
    <row r="624" s="34" customFormat="1"/>
    <row r="625" s="34" customFormat="1"/>
    <row r="626" s="34" customFormat="1"/>
    <row r="627" s="34" customFormat="1"/>
    <row r="628" s="34" customFormat="1"/>
    <row r="629" s="34" customFormat="1"/>
    <row r="630" s="34" customFormat="1"/>
    <row r="631" s="34" customFormat="1"/>
    <row r="632" s="34" customFormat="1"/>
    <row r="633" s="34" customFormat="1"/>
    <row r="634" s="34" customFormat="1"/>
    <row r="635" s="34" customFormat="1"/>
    <row r="636" s="34" customFormat="1"/>
    <row r="637" s="34" customFormat="1"/>
    <row r="638" s="34" customFormat="1"/>
    <row r="639" s="34" customFormat="1"/>
    <row r="640" s="34" customFormat="1"/>
    <row r="641" s="34" customFormat="1"/>
    <row r="642" s="34" customFormat="1"/>
    <row r="643" s="34" customFormat="1"/>
    <row r="644" s="34" customFormat="1"/>
    <row r="645" s="34" customFormat="1"/>
    <row r="646" s="34" customFormat="1"/>
    <row r="647" s="34" customFormat="1"/>
    <row r="648" s="34" customFormat="1"/>
    <row r="649" s="34" customFormat="1"/>
    <row r="650" s="34" customFormat="1"/>
    <row r="651" s="34" customFormat="1"/>
    <row r="652" s="34" customFormat="1"/>
    <row r="653" s="34" customFormat="1"/>
    <row r="654" s="34" customFormat="1"/>
    <row r="655" s="34" customFormat="1"/>
    <row r="656" s="34" customFormat="1"/>
    <row r="657" s="34" customFormat="1"/>
    <row r="658" s="34" customFormat="1"/>
    <row r="659" s="34" customFormat="1"/>
    <row r="660" s="34" customFormat="1"/>
    <row r="661" s="34" customFormat="1"/>
    <row r="662" s="34" customFormat="1"/>
    <row r="663" s="34" customFormat="1"/>
    <row r="664" s="34" customFormat="1"/>
    <row r="665" s="34" customFormat="1"/>
    <row r="666" s="34" customFormat="1"/>
    <row r="667" s="34" customFormat="1"/>
    <row r="668" s="34" customFormat="1"/>
    <row r="669" s="34" customFormat="1"/>
    <row r="670" s="34" customFormat="1"/>
    <row r="671" s="34" customFormat="1"/>
    <row r="672" s="34" customFormat="1"/>
    <row r="673" s="34" customFormat="1"/>
    <row r="674" s="34" customFormat="1"/>
    <row r="675" s="34" customFormat="1"/>
    <row r="676" s="34" customFormat="1"/>
    <row r="677" s="34" customFormat="1"/>
    <row r="678" s="34" customFormat="1"/>
    <row r="679" s="34" customFormat="1"/>
    <row r="680" s="34" customFormat="1"/>
    <row r="681" s="34" customFormat="1"/>
    <row r="682" s="34" customFormat="1"/>
    <row r="683" s="34" customFormat="1"/>
    <row r="684" s="34" customFormat="1"/>
    <row r="685" s="34" customFormat="1"/>
    <row r="686" s="34" customFormat="1"/>
    <row r="687" s="34" customFormat="1"/>
    <row r="688" s="34" customFormat="1"/>
    <row r="689" s="34" customFormat="1"/>
    <row r="690" s="34" customFormat="1"/>
    <row r="691" s="34" customFormat="1"/>
    <row r="692" s="34" customFormat="1"/>
    <row r="693" s="34" customFormat="1"/>
    <row r="694" s="34" customFormat="1"/>
    <row r="695" s="34" customFormat="1"/>
    <row r="696" s="34" customFormat="1"/>
    <row r="697" s="34" customFormat="1"/>
    <row r="698" s="34" customFormat="1"/>
    <row r="699" s="34" customFormat="1"/>
    <row r="700" s="34" customFormat="1"/>
    <row r="701" s="34" customFormat="1"/>
    <row r="702" s="34" customFormat="1"/>
    <row r="703" s="34" customFormat="1"/>
    <row r="704" s="34" customFormat="1"/>
    <row r="705" s="34" customFormat="1"/>
    <row r="706" s="34" customFormat="1"/>
    <row r="707" s="34" customFormat="1"/>
    <row r="708" s="34" customFormat="1"/>
    <row r="709" s="34" customFormat="1"/>
    <row r="710" s="34" customFormat="1"/>
    <row r="711" s="34" customFormat="1"/>
    <row r="712" s="34" customFormat="1"/>
    <row r="713" s="34" customFormat="1"/>
    <row r="714" s="34" customFormat="1"/>
    <row r="715" s="34" customFormat="1"/>
    <row r="716" s="34" customFormat="1"/>
    <row r="717" s="34" customFormat="1"/>
    <row r="718" s="34" customFormat="1"/>
    <row r="719" s="34" customFormat="1"/>
    <row r="720" s="34" customFormat="1"/>
    <row r="721" s="34" customFormat="1"/>
    <row r="722" s="34" customFormat="1"/>
    <row r="723" s="34" customFormat="1"/>
    <row r="724" s="34" customFormat="1"/>
    <row r="725" s="34" customFormat="1"/>
    <row r="726" s="34" customFormat="1"/>
    <row r="727" s="34" customFormat="1"/>
    <row r="728" s="34" customFormat="1"/>
    <row r="729" s="34" customFormat="1"/>
    <row r="730" s="34" customFormat="1"/>
    <row r="731" s="34" customFormat="1"/>
    <row r="732" s="34" customFormat="1"/>
    <row r="733" s="34" customFormat="1"/>
    <row r="734" s="34" customFormat="1"/>
    <row r="735" s="34" customFormat="1"/>
    <row r="736" s="34" customFormat="1"/>
    <row r="737" s="34" customFormat="1"/>
    <row r="738" s="34" customFormat="1"/>
    <row r="739" s="34" customFormat="1"/>
    <row r="740" s="34" customFormat="1"/>
    <row r="741" s="34" customFormat="1"/>
    <row r="742" s="34" customFormat="1"/>
    <row r="743" s="34" customFormat="1"/>
    <row r="744" s="34" customFormat="1"/>
    <row r="745" s="34" customFormat="1"/>
    <row r="746" s="34" customFormat="1"/>
    <row r="747" s="34" customFormat="1"/>
    <row r="748" s="34" customFormat="1"/>
    <row r="749" s="34" customFormat="1"/>
    <row r="750" s="34" customFormat="1"/>
    <row r="751" s="34" customFormat="1"/>
    <row r="752" s="34" customFormat="1"/>
    <row r="753" s="34" customFormat="1"/>
    <row r="754" s="34" customFormat="1"/>
    <row r="755" s="34" customFormat="1"/>
    <row r="756" s="34" customFormat="1"/>
    <row r="757" s="34" customFormat="1"/>
    <row r="758" s="34" customFormat="1"/>
    <row r="759" s="34" customFormat="1"/>
    <row r="760" s="34" customFormat="1"/>
    <row r="761" s="34" customFormat="1"/>
    <row r="762" s="34" customFormat="1"/>
    <row r="763" s="34" customFormat="1"/>
    <row r="764" s="34" customFormat="1"/>
    <row r="765" s="34" customFormat="1"/>
    <row r="766" s="34" customFormat="1"/>
    <row r="767" s="34" customFormat="1"/>
    <row r="768" s="34" customFormat="1"/>
    <row r="769" s="34" customFormat="1"/>
    <row r="770" s="34" customFormat="1"/>
    <row r="771" s="34" customFormat="1"/>
    <row r="772" s="34" customFormat="1"/>
    <row r="773" s="34" customFormat="1"/>
    <row r="774" s="34" customFormat="1"/>
    <row r="775" s="34" customFormat="1"/>
    <row r="776" s="34" customFormat="1"/>
    <row r="777" s="34" customFormat="1"/>
    <row r="778" s="34" customFormat="1"/>
    <row r="779" s="34" customFormat="1"/>
    <row r="780" s="34" customFormat="1"/>
    <row r="781" s="34" customFormat="1"/>
    <row r="782" s="34" customFormat="1"/>
    <row r="783" s="34" customFormat="1"/>
    <row r="784" s="34" customFormat="1"/>
    <row r="785" s="34" customFormat="1"/>
    <row r="786" s="34" customFormat="1"/>
    <row r="787" s="34" customFormat="1"/>
    <row r="788" s="34" customFormat="1"/>
    <row r="789" s="34" customFormat="1"/>
    <row r="790" s="34" customFormat="1"/>
    <row r="791" s="34" customFormat="1"/>
    <row r="792" s="34" customFormat="1"/>
    <row r="793" s="34" customFormat="1"/>
    <row r="794" s="34" customFormat="1"/>
    <row r="795" s="34" customFormat="1"/>
    <row r="796" s="34" customFormat="1"/>
    <row r="797" s="34" customFormat="1"/>
    <row r="798" s="34" customFormat="1"/>
    <row r="799" s="34" customFormat="1"/>
    <row r="800" s="34" customFormat="1"/>
    <row r="801" s="34" customFormat="1"/>
    <row r="802" s="34" customFormat="1"/>
    <row r="803" s="34" customFormat="1"/>
    <row r="804" s="34" customFormat="1"/>
    <row r="805" s="34" customFormat="1"/>
    <row r="806" s="34" customFormat="1"/>
    <row r="807" s="34" customFormat="1"/>
    <row r="808" s="34" customFormat="1"/>
    <row r="809" s="34" customFormat="1"/>
    <row r="810" s="34" customFormat="1"/>
    <row r="811" s="34" customFormat="1"/>
    <row r="812" s="34" customFormat="1"/>
    <row r="813" s="34" customFormat="1"/>
    <row r="814" s="34" customFormat="1"/>
    <row r="815" s="34" customFormat="1"/>
    <row r="816" s="34" customFormat="1"/>
    <row r="817" s="34" customFormat="1"/>
    <row r="818" s="34" customFormat="1"/>
    <row r="819" s="34" customFormat="1"/>
    <row r="820" s="34" customFormat="1"/>
    <row r="821" s="34" customFormat="1"/>
    <row r="822" s="34" customFormat="1"/>
    <row r="823" s="34" customFormat="1"/>
    <row r="824" s="34" customFormat="1"/>
    <row r="825" s="34" customFormat="1"/>
    <row r="826" s="34" customFormat="1"/>
    <row r="827" s="34" customFormat="1"/>
    <row r="828" s="34" customFormat="1"/>
    <row r="829" s="34" customFormat="1"/>
    <row r="830" s="34" customFormat="1"/>
    <row r="831" s="34" customFormat="1"/>
    <row r="832" s="34" customFormat="1"/>
    <row r="833" s="34" customFormat="1"/>
    <row r="834" s="34" customFormat="1"/>
    <row r="835" s="34" customFormat="1"/>
    <row r="836" s="34" customFormat="1"/>
    <row r="837" s="34" customFormat="1"/>
    <row r="838" s="34" customFormat="1"/>
    <row r="839" s="34" customFormat="1"/>
    <row r="840" s="34" customFormat="1"/>
    <row r="841" s="34" customFormat="1"/>
    <row r="842" s="34" customFormat="1"/>
    <row r="843" s="34" customFormat="1"/>
    <row r="844" s="34" customFormat="1"/>
    <row r="845" s="34" customFormat="1"/>
    <row r="846" s="34" customFormat="1"/>
    <row r="847" s="34" customFormat="1"/>
    <row r="848" s="34" customFormat="1"/>
    <row r="849" s="34" customFormat="1"/>
    <row r="850" s="34" customFormat="1"/>
    <row r="851" s="34" customFormat="1"/>
    <row r="852" s="34" customFormat="1"/>
    <row r="853" s="34" customFormat="1"/>
    <row r="854" s="34" customFormat="1"/>
    <row r="855" s="34" customFormat="1"/>
    <row r="856" s="34" customFormat="1"/>
    <row r="857" s="34" customFormat="1"/>
    <row r="858" s="34" customFormat="1"/>
    <row r="859" s="34" customFormat="1"/>
    <row r="860" s="34" customFormat="1"/>
    <row r="861" s="34" customFormat="1"/>
    <row r="862" s="34" customFormat="1"/>
    <row r="863" s="34" customFormat="1"/>
    <row r="864" s="34" customFormat="1"/>
    <row r="865" s="34" customFormat="1"/>
    <row r="866" s="34" customFormat="1"/>
    <row r="867" s="34" customFormat="1"/>
    <row r="868" s="34" customFormat="1"/>
    <row r="869" s="34" customFormat="1"/>
    <row r="870" s="34" customFormat="1"/>
    <row r="871" s="34" customFormat="1"/>
    <row r="872" s="34" customFormat="1"/>
    <row r="873" s="34" customFormat="1"/>
    <row r="874" s="34" customFormat="1"/>
    <row r="875" s="34" customFormat="1"/>
    <row r="876" s="34" customFormat="1"/>
    <row r="877" s="34" customFormat="1"/>
    <row r="878" s="34" customFormat="1"/>
    <row r="879" s="34" customFormat="1"/>
    <row r="880" s="34" customFormat="1"/>
    <row r="881" s="34" customFormat="1"/>
    <row r="882" s="34" customFormat="1"/>
    <row r="883" s="34" customFormat="1"/>
    <row r="884" s="34" customFormat="1"/>
    <row r="885" s="34" customFormat="1"/>
    <row r="886" s="34" customFormat="1"/>
    <row r="887" s="34" customFormat="1"/>
    <row r="888" s="34" customFormat="1"/>
    <row r="889" s="34" customFormat="1"/>
    <row r="890" s="34" customFormat="1"/>
    <row r="891" s="34" customFormat="1"/>
    <row r="892" s="34" customFormat="1"/>
    <row r="893" s="34" customFormat="1"/>
    <row r="894" s="34" customFormat="1"/>
    <row r="895" s="34" customFormat="1"/>
    <row r="896" s="34" customFormat="1"/>
    <row r="897" s="34" customFormat="1"/>
    <row r="898" s="34" customFormat="1"/>
    <row r="899" s="34" customFormat="1"/>
    <row r="900" s="34" customFormat="1"/>
    <row r="901" s="34" customFormat="1"/>
    <row r="902" s="34" customFormat="1"/>
    <row r="903" s="34" customFormat="1"/>
    <row r="904" s="34" customFormat="1"/>
    <row r="905" s="34" customFormat="1"/>
    <row r="906" s="34" customFormat="1"/>
    <row r="907" s="34" customFormat="1"/>
    <row r="908" s="34" customFormat="1"/>
    <row r="909" s="34" customFormat="1"/>
    <row r="910" s="34" customFormat="1"/>
    <row r="911" s="34" customFormat="1"/>
    <row r="912" s="34" customFormat="1"/>
    <row r="913" s="34" customFormat="1"/>
    <row r="914" s="34" customFormat="1"/>
    <row r="915" s="34" customFormat="1"/>
    <row r="916" s="34" customFormat="1"/>
    <row r="917" s="34" customFormat="1"/>
    <row r="918" s="34" customFormat="1"/>
    <row r="919" s="34" customFormat="1"/>
    <row r="920" s="34" customFormat="1"/>
    <row r="921" s="34" customFormat="1"/>
    <row r="922" s="34" customFormat="1"/>
    <row r="923" s="34" customFormat="1"/>
    <row r="924" s="34" customFormat="1"/>
    <row r="925" s="34" customFormat="1"/>
    <row r="926" s="34" customFormat="1"/>
    <row r="927" s="34" customFormat="1"/>
    <row r="928" s="34" customFormat="1"/>
    <row r="929" s="34" customFormat="1"/>
    <row r="930" s="34" customFormat="1"/>
    <row r="931" s="34" customFormat="1"/>
    <row r="932" s="34" customFormat="1"/>
    <row r="933" s="34" customFormat="1"/>
    <row r="934" s="34" customFormat="1"/>
    <row r="935" s="34" customFormat="1"/>
    <row r="936" s="34" customFormat="1"/>
    <row r="937" s="34" customFormat="1"/>
    <row r="938" s="34" customFormat="1"/>
    <row r="939" s="34" customFormat="1"/>
    <row r="940" s="34" customFormat="1"/>
    <row r="941" s="34" customFormat="1"/>
    <row r="942" s="34" customFormat="1"/>
    <row r="943" s="34" customFormat="1"/>
    <row r="944" s="34" customFormat="1"/>
    <row r="945" s="34" customFormat="1"/>
    <row r="946" s="34" customFormat="1"/>
    <row r="947" s="34" customFormat="1"/>
    <row r="948" s="34" customFormat="1"/>
    <row r="949" s="34" customFormat="1"/>
    <row r="950" s="34" customFormat="1"/>
    <row r="951" s="34" customFormat="1"/>
    <row r="952" s="34" customFormat="1"/>
    <row r="953" s="34" customFormat="1"/>
    <row r="954" s="34" customFormat="1"/>
    <row r="955" s="34" customFormat="1"/>
    <row r="956" s="34" customFormat="1"/>
    <row r="957" s="34" customFormat="1"/>
    <row r="958" s="34" customFormat="1"/>
    <row r="959" s="34" customFormat="1"/>
    <row r="960" s="34" customFormat="1"/>
    <row r="961" s="34" customFormat="1"/>
    <row r="962" s="34" customFormat="1"/>
    <row r="963" s="34" customFormat="1"/>
    <row r="964" s="34" customFormat="1"/>
    <row r="965" s="34" customFormat="1"/>
    <row r="966" s="34" customFormat="1"/>
    <row r="967" s="34" customFormat="1"/>
    <row r="968" s="34" customFormat="1"/>
    <row r="969" s="34" customFormat="1"/>
    <row r="970" s="34" customFormat="1"/>
    <row r="971" s="34" customFormat="1"/>
    <row r="972" s="34" customFormat="1"/>
    <row r="973" s="34" customFormat="1"/>
    <row r="974" s="34" customFormat="1"/>
    <row r="975" s="34" customFormat="1"/>
    <row r="976" s="34" customFormat="1"/>
    <row r="977" s="34" customFormat="1"/>
    <row r="978" s="34" customFormat="1"/>
    <row r="979" s="34" customFormat="1"/>
    <row r="980" s="34" customFormat="1"/>
    <row r="981" s="34" customFormat="1"/>
    <row r="982" s="34" customFormat="1"/>
    <row r="983" s="34" customFormat="1"/>
    <row r="984" s="34" customFormat="1"/>
    <row r="985" s="34" customFormat="1"/>
    <row r="986" s="34" customFormat="1"/>
    <row r="987" s="34" customFormat="1"/>
    <row r="988" s="34" customFormat="1"/>
    <row r="989" s="34" customFormat="1"/>
    <row r="990" s="34" customFormat="1"/>
    <row r="991" s="34" customFormat="1"/>
    <row r="992" s="34" customFormat="1"/>
    <row r="993" s="34" customFormat="1"/>
    <row r="994" s="34" customFormat="1"/>
    <row r="995" s="34" customFormat="1"/>
    <row r="996" s="34" customFormat="1"/>
    <row r="997" s="34" customFormat="1"/>
    <row r="998" s="34" customFormat="1"/>
    <row r="999" s="34" customFormat="1"/>
    <row r="1000" s="34" customFormat="1"/>
    <row r="1001" s="34" customFormat="1"/>
    <row r="1002" s="34" customFormat="1"/>
    <row r="1003" s="34" customFormat="1"/>
    <row r="1004" s="34" customFormat="1"/>
    <row r="1005" s="34" customFormat="1"/>
    <row r="1006" s="34" customFormat="1"/>
    <row r="1007" s="34" customFormat="1"/>
    <row r="1008" s="34" customFormat="1"/>
    <row r="1009" s="34" customFormat="1"/>
    <row r="1010" s="34" customFormat="1"/>
    <row r="1011" s="34" customFormat="1"/>
    <row r="1012" s="34" customFormat="1"/>
    <row r="1013" s="34" customFormat="1"/>
    <row r="1014" s="34" customFormat="1"/>
    <row r="1015" s="34" customFormat="1"/>
    <row r="1016" s="34" customFormat="1"/>
    <row r="1017" s="34" customFormat="1"/>
    <row r="1018" s="34" customFormat="1"/>
    <row r="1019" s="34" customFormat="1"/>
    <row r="1020" s="34" customFormat="1"/>
    <row r="1021" s="34" customFormat="1"/>
    <row r="1022" s="34" customFormat="1"/>
    <row r="1023" s="34" customFormat="1"/>
    <row r="1024" s="34" customFormat="1"/>
    <row r="1025" s="34" customFormat="1"/>
    <row r="1026" s="34" customFormat="1"/>
    <row r="1027" s="34" customFormat="1"/>
    <row r="1028" s="34" customFormat="1"/>
    <row r="1029" s="34" customFormat="1"/>
    <row r="1030" s="34" customFormat="1"/>
    <row r="1031" s="34" customFormat="1"/>
    <row r="1032" s="34" customFormat="1"/>
    <row r="1033" s="34" customFormat="1"/>
    <row r="1034" s="34" customFormat="1"/>
    <row r="1035" s="34" customFormat="1"/>
    <row r="1036" s="34" customFormat="1"/>
    <row r="1037" s="34" customFormat="1"/>
    <row r="1038" s="34" customFormat="1"/>
    <row r="1039" s="34" customFormat="1"/>
    <row r="1040" s="34" customFormat="1"/>
    <row r="1041" s="34" customFormat="1"/>
    <row r="1042" s="34" customFormat="1"/>
    <row r="1043" s="34" customFormat="1"/>
    <row r="1044" s="34" customFormat="1"/>
    <row r="1045" s="34" customFormat="1"/>
    <row r="1046" s="34" customFormat="1"/>
    <row r="1047" s="34" customFormat="1"/>
    <row r="1048" s="34" customFormat="1"/>
    <row r="1049" s="34" customFormat="1"/>
    <row r="1050" s="34" customFormat="1"/>
    <row r="1051" s="34" customFormat="1"/>
    <row r="1052" s="34" customFormat="1"/>
    <row r="1053" s="34" customFormat="1"/>
    <row r="1054" s="34" customFormat="1"/>
    <row r="1055" s="34" customFormat="1"/>
    <row r="1056" s="34" customFormat="1"/>
    <row r="1057" s="34" customFormat="1"/>
    <row r="1058" s="34" customFormat="1"/>
    <row r="1059" s="34" customFormat="1"/>
    <row r="1060" s="34" customFormat="1"/>
    <row r="1061" s="34" customFormat="1"/>
    <row r="1062" s="34" customFormat="1"/>
    <row r="1063" s="34" customFormat="1"/>
    <row r="1064" s="34" customFormat="1"/>
    <row r="1065" s="34" customFormat="1"/>
    <row r="1066" s="34" customFormat="1"/>
    <row r="1067" s="34" customFormat="1"/>
    <row r="1068" s="34" customFormat="1"/>
    <row r="1069" s="34" customFormat="1"/>
    <row r="1070" s="34" customFormat="1"/>
    <row r="1071" s="34" customFormat="1"/>
    <row r="1072" s="34" customFormat="1"/>
    <row r="1073" s="34" customFormat="1"/>
    <row r="1074" s="34" customFormat="1"/>
    <row r="1075" s="34" customFormat="1"/>
    <row r="1076" s="34" customFormat="1"/>
    <row r="1077" s="34" customFormat="1"/>
    <row r="1078" s="34" customFormat="1"/>
    <row r="1079" s="34" customFormat="1"/>
    <row r="1080" s="34" customFormat="1"/>
    <row r="1081" s="34" customFormat="1"/>
    <row r="1082" s="34" customFormat="1"/>
    <row r="1083" s="34" customFormat="1"/>
    <row r="1084" s="34" customFormat="1"/>
    <row r="1085" s="34" customFormat="1"/>
    <row r="1086" s="34" customFormat="1"/>
    <row r="1087" s="34" customFormat="1"/>
    <row r="1088" s="34" customFormat="1"/>
    <row r="1089" s="34" customFormat="1"/>
    <row r="1090" s="34" customFormat="1"/>
    <row r="1091" s="34" customFormat="1"/>
    <row r="1092" s="34" customFormat="1"/>
    <row r="1093" s="34" customFormat="1"/>
    <row r="1094" s="34" customFormat="1"/>
    <row r="1095" s="34" customFormat="1"/>
    <row r="1096" s="34" customFormat="1"/>
    <row r="1097" s="34" customFormat="1"/>
    <row r="1098" s="34" customFormat="1"/>
    <row r="1099" s="34" customFormat="1"/>
    <row r="1100" s="34" customFormat="1"/>
    <row r="1101" s="34" customFormat="1"/>
    <row r="1102" s="34" customFormat="1"/>
    <row r="1103" s="34" customFormat="1"/>
    <row r="1104" s="34" customFormat="1"/>
    <row r="1105" s="34" customFormat="1"/>
    <row r="1106" s="34" customFormat="1"/>
    <row r="1107" s="34" customFormat="1"/>
    <row r="1108" s="34" customFormat="1"/>
    <row r="1109" s="34" customFormat="1"/>
    <row r="1110" s="34" customFormat="1"/>
    <row r="1111" s="34" customFormat="1"/>
    <row r="1112" s="34" customFormat="1"/>
    <row r="1113" s="34" customFormat="1"/>
    <row r="1114" s="34" customFormat="1"/>
    <row r="1115" s="34" customFormat="1"/>
    <row r="1116" s="34" customFormat="1"/>
    <row r="1117" s="34" customFormat="1"/>
    <row r="1118" s="34" customFormat="1"/>
    <row r="1119" s="34" customFormat="1"/>
    <row r="1120" s="34" customFormat="1"/>
    <row r="1121" s="34" customFormat="1"/>
    <row r="1122" s="34" customFormat="1"/>
    <row r="1123" s="34" customFormat="1"/>
    <row r="1124" s="34" customFormat="1"/>
    <row r="1125" s="34" customFormat="1"/>
    <row r="1126" s="34" customFormat="1"/>
    <row r="1127" s="34" customFormat="1"/>
    <row r="1128" s="34" customFormat="1"/>
    <row r="1129" s="34" customFormat="1"/>
    <row r="1130" s="34" customFormat="1"/>
    <row r="1131" s="34" customFormat="1"/>
    <row r="1132" s="34" customFormat="1"/>
    <row r="1133" s="34" customFormat="1"/>
    <row r="1134" s="34" customFormat="1"/>
    <row r="1135" s="34" customFormat="1"/>
    <row r="1136" s="34" customFormat="1"/>
    <row r="1137" s="34" customFormat="1"/>
    <row r="1138" s="34" customFormat="1"/>
    <row r="1139" s="34" customFormat="1"/>
    <row r="1140" s="34" customFormat="1"/>
    <row r="1141" s="34" customFormat="1"/>
    <row r="1142" s="34" customFormat="1"/>
    <row r="1143" s="34" customFormat="1"/>
    <row r="1144" s="34" customFormat="1"/>
    <row r="1145" s="34" customFormat="1"/>
    <row r="1146" s="34" customFormat="1"/>
    <row r="1147" s="34" customFormat="1"/>
    <row r="1148" s="34" customFormat="1"/>
    <row r="1149" s="34" customFormat="1"/>
    <row r="1150" s="34" customFormat="1"/>
    <row r="1151" s="34" customFormat="1"/>
    <row r="1152" s="34" customFormat="1"/>
    <row r="1153" s="34" customFormat="1"/>
    <row r="1154" s="34" customFormat="1"/>
    <row r="1155" s="34" customFormat="1"/>
    <row r="1156" s="34" customFormat="1"/>
    <row r="1157" s="34" customFormat="1"/>
    <row r="1158" s="34" customFormat="1"/>
    <row r="1159" s="34" customFormat="1"/>
    <row r="1160" s="34" customFormat="1"/>
    <row r="1161" s="34" customFormat="1"/>
    <row r="1162" s="34" customFormat="1"/>
    <row r="1163" s="34" customFormat="1"/>
    <row r="1164" s="34" customFormat="1"/>
    <row r="1165" s="34" customFormat="1"/>
    <row r="1166" s="34" customFormat="1"/>
    <row r="1167" s="34" customFormat="1"/>
    <row r="1168" s="34" customFormat="1"/>
    <row r="1169" s="34" customFormat="1"/>
    <row r="1170" s="34" customFormat="1"/>
    <row r="1171" s="34" customFormat="1"/>
    <row r="1172" s="34" customFormat="1"/>
    <row r="1173" s="34" customFormat="1"/>
    <row r="1174" s="34" customFormat="1"/>
    <row r="1175" s="34" customFormat="1"/>
    <row r="1176" s="34" customFormat="1"/>
    <row r="1177" s="34" customFormat="1"/>
    <row r="1178" s="34" customFormat="1"/>
    <row r="1179" s="34" customFormat="1"/>
    <row r="1180" s="34" customFormat="1"/>
    <row r="1181" s="34" customFormat="1"/>
    <row r="1182" s="34" customFormat="1"/>
    <row r="1183" s="34" customFormat="1"/>
    <row r="1184" s="34" customFormat="1"/>
    <row r="1185" s="34" customFormat="1"/>
    <row r="1186" s="34" customFormat="1"/>
    <row r="1187" s="34" customFormat="1"/>
    <row r="1188" s="34" customFormat="1"/>
    <row r="1189" s="34" customFormat="1"/>
    <row r="1190" s="34" customFormat="1"/>
    <row r="1191" s="34" customFormat="1"/>
    <row r="1192" s="34" customFormat="1"/>
    <row r="1193" s="34" customFormat="1"/>
    <row r="1194" s="34" customFormat="1"/>
    <row r="1195" s="34" customFormat="1"/>
    <row r="1196" s="34" customFormat="1"/>
    <row r="1197" s="34" customFormat="1"/>
    <row r="1198" s="34" customFormat="1"/>
    <row r="1199" s="34" customFormat="1"/>
    <row r="1200" s="34" customFormat="1"/>
    <row r="1201" s="34" customFormat="1"/>
    <row r="1202" s="34" customFormat="1"/>
    <row r="1203" s="34" customFormat="1"/>
    <row r="1204" s="34" customFormat="1"/>
    <row r="1205" s="34" customFormat="1"/>
    <row r="1206" s="34" customFormat="1"/>
    <row r="1207" s="34" customFormat="1"/>
    <row r="1208" s="34" customFormat="1"/>
    <row r="1209" s="34" customFormat="1"/>
    <row r="1210" s="34" customFormat="1"/>
    <row r="1211" s="34" customFormat="1"/>
    <row r="1212" s="34" customFormat="1"/>
    <row r="1213" s="34" customFormat="1"/>
    <row r="1214" s="34" customFormat="1"/>
    <row r="1215" s="34" customFormat="1"/>
    <row r="1216" s="34" customFormat="1"/>
    <row r="1217" s="34" customFormat="1"/>
    <row r="1218" s="34" customFormat="1"/>
    <row r="1219" s="34" customFormat="1"/>
    <row r="1220" s="34" customFormat="1"/>
    <row r="1221" s="34" customFormat="1"/>
    <row r="1222" s="34" customFormat="1"/>
    <row r="1223" s="34" customFormat="1"/>
    <row r="1224" s="34" customFormat="1"/>
    <row r="1225" s="34" customFormat="1"/>
    <row r="1226" s="34" customFormat="1"/>
    <row r="1227" s="34" customFormat="1"/>
    <row r="1228" s="34" customFormat="1"/>
    <row r="1229" s="34" customFormat="1"/>
    <row r="1230" s="34" customFormat="1"/>
    <row r="1231" s="34" customFormat="1"/>
    <row r="1232" s="34" customFormat="1"/>
    <row r="1233" s="34" customFormat="1"/>
    <row r="1234" s="34" customFormat="1"/>
    <row r="1235" s="34" customFormat="1"/>
    <row r="1236" s="34" customFormat="1"/>
    <row r="1237" s="34" customFormat="1"/>
    <row r="1238" s="34" customFormat="1"/>
    <row r="1239" s="34" customFormat="1"/>
    <row r="1240" s="34" customFormat="1"/>
    <row r="1241" s="34" customFormat="1"/>
    <row r="1242" s="34" customFormat="1"/>
    <row r="1243" s="34" customFormat="1"/>
    <row r="1244" s="34" customFormat="1"/>
    <row r="1245" s="34" customFormat="1"/>
    <row r="1246" s="34" customFormat="1"/>
    <row r="1247" s="34" customFormat="1"/>
    <row r="1248" s="34" customFormat="1"/>
    <row r="1249" s="34" customFormat="1"/>
    <row r="1250" s="34" customFormat="1"/>
    <row r="1251" s="34" customFormat="1"/>
    <row r="1252" s="34" customFormat="1"/>
    <row r="1253" s="34" customFormat="1"/>
    <row r="1254" s="34" customFormat="1"/>
    <row r="1255" s="34" customFormat="1"/>
    <row r="1256" s="34" customFormat="1"/>
    <row r="1257" s="34" customFormat="1"/>
    <row r="1258" s="34" customFormat="1"/>
    <row r="1259" s="34" customFormat="1"/>
    <row r="1260" s="34" customFormat="1"/>
    <row r="1261" s="34" customFormat="1"/>
    <row r="1262" s="34" customFormat="1"/>
    <row r="1263" s="34" customFormat="1"/>
    <row r="1264" s="34" customFormat="1"/>
    <row r="1265" s="34" customFormat="1"/>
    <row r="1266" s="34" customFormat="1"/>
    <row r="1267" s="34" customFormat="1"/>
    <row r="1268" s="34" customFormat="1"/>
    <row r="1269" s="34" customFormat="1"/>
    <row r="1270" s="34" customFormat="1"/>
    <row r="1271" s="34" customFormat="1"/>
    <row r="1272" s="34" customFormat="1"/>
    <row r="1273" s="34" customFormat="1"/>
    <row r="1274" s="34" customFormat="1"/>
    <row r="1275" s="34" customFormat="1"/>
    <row r="1276" s="34" customFormat="1"/>
    <row r="1277" s="34" customFormat="1"/>
    <row r="1278" s="34" customFormat="1"/>
    <row r="1279" s="34" customFormat="1"/>
    <row r="1280" s="34" customFormat="1"/>
    <row r="1281" s="34" customFormat="1"/>
    <row r="1282" s="34" customFormat="1"/>
    <row r="1283" s="34" customFormat="1"/>
    <row r="1284" s="34" customFormat="1"/>
    <row r="1285" s="34" customFormat="1"/>
    <row r="1286" s="34" customFormat="1"/>
    <row r="1287" s="34" customFormat="1"/>
    <row r="1288" s="34" customFormat="1"/>
    <row r="1289" s="34" customFormat="1"/>
    <row r="1290" s="34" customFormat="1"/>
    <row r="1291" s="34" customFormat="1"/>
    <row r="1292" s="34" customFormat="1"/>
    <row r="1293" s="34" customFormat="1"/>
    <row r="1294" s="34" customFormat="1"/>
    <row r="1295" s="34" customFormat="1"/>
    <row r="1296" s="34" customFormat="1"/>
    <row r="1297" s="34" customFormat="1"/>
    <row r="1298" s="34" customFormat="1"/>
    <row r="1299" s="34" customFormat="1"/>
    <row r="1300" s="34" customFormat="1"/>
    <row r="1301" s="34" customFormat="1"/>
    <row r="1302" s="34" customFormat="1"/>
    <row r="1303" s="34" customFormat="1"/>
    <row r="1304" s="34" customFormat="1"/>
    <row r="1305" s="34" customFormat="1"/>
    <row r="1306" s="34" customFormat="1"/>
    <row r="1307" s="34" customFormat="1"/>
    <row r="1308" s="34" customFormat="1"/>
    <row r="1309" s="34" customFormat="1"/>
    <row r="1310" s="34" customFormat="1"/>
    <row r="1311" s="34" customFormat="1"/>
    <row r="1312" s="34" customFormat="1"/>
    <row r="1313" s="34" customFormat="1"/>
    <row r="1314" s="34" customFormat="1"/>
    <row r="1315" s="34" customFormat="1"/>
    <row r="1316" s="34" customFormat="1"/>
    <row r="1317" s="34" customFormat="1"/>
    <row r="1318" s="34" customFormat="1"/>
    <row r="1319" s="34" customFormat="1"/>
    <row r="1320" s="34" customFormat="1"/>
    <row r="1321" s="34" customFormat="1"/>
    <row r="1322" s="34" customFormat="1"/>
    <row r="1323" s="34" customFormat="1"/>
    <row r="1324" s="34" customFormat="1"/>
    <row r="1325" s="34" customFormat="1"/>
    <row r="1326" s="34" customFormat="1"/>
    <row r="1327" s="34" customFormat="1"/>
    <row r="1328" s="34" customFormat="1"/>
    <row r="1329" s="34" customFormat="1"/>
    <row r="1330" s="34" customFormat="1"/>
    <row r="1331" s="34" customFormat="1"/>
    <row r="1332" s="34" customFormat="1"/>
    <row r="1333" s="34" customFormat="1"/>
    <row r="1334" s="34" customFormat="1"/>
    <row r="1335" s="34" customFormat="1"/>
    <row r="1336" s="34" customFormat="1"/>
    <row r="1337" s="34" customFormat="1"/>
    <row r="1338" s="34" customFormat="1"/>
    <row r="1339" s="34" customFormat="1"/>
    <row r="1340" s="34" customFormat="1"/>
    <row r="1341" s="34" customFormat="1"/>
    <row r="1342" s="34" customFormat="1"/>
    <row r="1343" s="34" customFormat="1"/>
    <row r="1344" s="34" customFormat="1"/>
    <row r="1345" s="34" customFormat="1"/>
    <row r="1346" s="34" customFormat="1"/>
    <row r="1347" s="34" customFormat="1"/>
    <row r="1348" s="34" customFormat="1"/>
    <row r="1349" s="34" customFormat="1"/>
    <row r="1350" s="34" customFormat="1"/>
    <row r="1351" s="34" customFormat="1"/>
    <row r="1352" s="34" customFormat="1"/>
    <row r="1353" s="34" customFormat="1"/>
    <row r="1354" s="34" customFormat="1"/>
    <row r="1355" s="34" customFormat="1"/>
    <row r="1356" s="34" customFormat="1"/>
    <row r="1357" s="34" customFormat="1"/>
    <row r="1358" s="34" customFormat="1"/>
    <row r="1359" s="34" customFormat="1"/>
    <row r="1360" s="34" customFormat="1"/>
    <row r="1361" s="34" customFormat="1"/>
    <row r="1362" s="34" customFormat="1"/>
    <row r="1363" s="34" customFormat="1"/>
    <row r="1364" s="34" customFormat="1"/>
    <row r="1365" s="34" customFormat="1"/>
    <row r="1366" s="34" customFormat="1"/>
    <row r="1367" s="34" customFormat="1"/>
    <row r="1368" s="34" customFormat="1"/>
    <row r="1369" s="34" customFormat="1"/>
    <row r="1370" s="34" customFormat="1"/>
    <row r="1371" s="34" customFormat="1"/>
    <row r="1372" s="34" customFormat="1"/>
    <row r="1373" s="34" customFormat="1"/>
    <row r="1374" s="34" customFormat="1"/>
    <row r="1375" s="34" customFormat="1"/>
    <row r="1376" s="34" customFormat="1"/>
    <row r="1377" s="34" customFormat="1"/>
    <row r="1378" s="34" customFormat="1"/>
    <row r="1379" s="34" customFormat="1"/>
    <row r="1380" s="34" customFormat="1"/>
    <row r="1381" s="34" customFormat="1"/>
    <row r="1382" s="34" customFormat="1"/>
    <row r="1383" s="34" customFormat="1"/>
    <row r="1384" s="34" customFormat="1"/>
    <row r="1385" s="34" customFormat="1"/>
    <row r="1386" s="34" customFormat="1"/>
    <row r="1387" s="34" customFormat="1"/>
    <row r="1388" s="34" customFormat="1"/>
    <row r="1389" s="34" customFormat="1"/>
    <row r="1390" s="34" customFormat="1"/>
    <row r="1391" s="34" customFormat="1"/>
    <row r="1392" s="34" customFormat="1"/>
    <row r="1393" s="34" customFormat="1"/>
    <row r="1394" s="34" customFormat="1"/>
    <row r="1395" s="34" customFormat="1"/>
    <row r="1396" s="34" customFormat="1"/>
    <row r="1397" s="34" customFormat="1"/>
    <row r="1398" s="34" customFormat="1"/>
    <row r="1399" s="34" customFormat="1"/>
    <row r="1400" s="34" customFormat="1"/>
    <row r="1401" s="34" customFormat="1"/>
    <row r="1402" s="34" customFormat="1"/>
    <row r="1403" s="34" customFormat="1"/>
    <row r="1404" s="34" customFormat="1"/>
    <row r="1405" s="34" customFormat="1"/>
    <row r="1406" s="34" customFormat="1"/>
    <row r="1407" s="34" customFormat="1"/>
    <row r="1408" s="34" customFormat="1"/>
    <row r="1409" s="34" customFormat="1"/>
    <row r="1410" s="34" customFormat="1"/>
    <row r="1411" s="34" customFormat="1"/>
    <row r="1412" s="34" customFormat="1"/>
    <row r="1413" s="34" customFormat="1"/>
    <row r="1414" s="34" customFormat="1"/>
    <row r="1415" s="34" customFormat="1"/>
    <row r="1416" s="34" customFormat="1"/>
    <row r="1417" s="34" customFormat="1"/>
    <row r="1418" s="34" customFormat="1"/>
    <row r="1419" s="34" customFormat="1"/>
    <row r="1420" s="34" customFormat="1"/>
    <row r="1421" s="34" customFormat="1"/>
    <row r="1422" s="34" customFormat="1"/>
    <row r="1423" s="34" customFormat="1"/>
    <row r="1424" s="34" customFormat="1"/>
    <row r="1425" s="34" customFormat="1"/>
    <row r="1426" s="34" customFormat="1"/>
    <row r="1427" s="34" customFormat="1"/>
    <row r="1428" s="34" customFormat="1"/>
    <row r="1429" s="34" customFormat="1"/>
    <row r="1430" s="34" customFormat="1"/>
    <row r="1431" s="34" customFormat="1"/>
    <row r="1432" s="34" customFormat="1"/>
    <row r="1433" s="34" customFormat="1"/>
    <row r="1434" s="34" customFormat="1"/>
    <row r="1435" s="34" customFormat="1"/>
    <row r="1436" s="34" customFormat="1"/>
    <row r="1437" s="34" customFormat="1"/>
    <row r="1438" s="34" customFormat="1"/>
    <row r="1439" s="34" customFormat="1"/>
    <row r="1440" s="34" customFormat="1"/>
    <row r="1441" s="34" customFormat="1"/>
    <row r="1442" s="34" customFormat="1"/>
    <row r="1443" s="34" customFormat="1"/>
    <row r="1444" s="34" customFormat="1"/>
    <row r="1445" s="34" customFormat="1"/>
    <row r="1446" s="34" customFormat="1"/>
    <row r="1447" s="34" customFormat="1"/>
    <row r="1448" s="34" customFormat="1"/>
    <row r="1449" s="34" customFormat="1"/>
    <row r="1450" s="34" customFormat="1"/>
    <row r="1451" s="34" customFormat="1"/>
    <row r="1452" s="34" customFormat="1"/>
    <row r="1453" s="34" customFormat="1"/>
    <row r="1454" s="34" customFormat="1"/>
    <row r="1455" s="34" customFormat="1"/>
    <row r="1456" s="34" customFormat="1"/>
    <row r="1457" s="34" customFormat="1"/>
    <row r="1458" s="34" customFormat="1"/>
    <row r="1459" s="34" customFormat="1"/>
    <row r="1460" s="34" customFormat="1"/>
    <row r="1461" s="34" customFormat="1"/>
    <row r="1462" s="34" customFormat="1"/>
    <row r="1463" s="34" customFormat="1"/>
    <row r="1464" s="34" customFormat="1"/>
    <row r="1465" s="34" customFormat="1"/>
    <row r="1466" s="34" customFormat="1"/>
    <row r="1467" s="34" customFormat="1"/>
    <row r="1468" s="34" customFormat="1"/>
    <row r="1469" s="34" customFormat="1"/>
    <row r="1470" s="34" customFormat="1"/>
    <row r="1471" s="34" customFormat="1"/>
    <row r="1472" s="34" customFormat="1"/>
    <row r="1473" s="34" customFormat="1"/>
    <row r="1474" s="34" customFormat="1"/>
    <row r="1475" s="34" customFormat="1"/>
    <row r="1476" s="34" customFormat="1"/>
    <row r="1477" s="34" customFormat="1"/>
    <row r="1478" s="34" customFormat="1"/>
    <row r="1479" s="34" customFormat="1"/>
    <row r="1480" s="34" customFormat="1"/>
    <row r="1481" s="34" customFormat="1"/>
    <row r="1482" s="34" customFormat="1"/>
    <row r="1483" s="34" customFormat="1"/>
    <row r="1484" s="34" customFormat="1"/>
    <row r="1485" s="34" customFormat="1"/>
    <row r="1486" s="34" customFormat="1"/>
    <row r="1487" s="34" customFormat="1"/>
    <row r="1488" s="34" customFormat="1"/>
    <row r="1489" s="34" customFormat="1"/>
    <row r="1490" s="34" customFormat="1"/>
    <row r="1491" s="34" customFormat="1"/>
    <row r="1492" s="34" customFormat="1"/>
    <row r="1493" s="34" customFormat="1"/>
    <row r="1494" s="34" customFormat="1"/>
    <row r="1495" s="34" customFormat="1"/>
    <row r="1496" s="34" customFormat="1"/>
    <row r="1497" s="34" customFormat="1"/>
    <row r="1498" s="34" customFormat="1"/>
    <row r="1499" s="34" customFormat="1"/>
    <row r="1500" s="34" customFormat="1"/>
    <row r="1501" s="34" customFormat="1"/>
    <row r="1502" s="34" customFormat="1"/>
    <row r="1503" s="34" customFormat="1"/>
    <row r="1504" s="34" customFormat="1"/>
    <row r="1505" s="34" customFormat="1"/>
    <row r="1506" s="34" customFormat="1"/>
    <row r="1507" s="34" customFormat="1"/>
    <row r="1508" s="34" customFormat="1"/>
    <row r="1509" s="34" customFormat="1"/>
    <row r="1510" s="34" customFormat="1"/>
    <row r="1511" s="34" customFormat="1"/>
    <row r="1512" s="34" customFormat="1"/>
    <row r="1513" s="34" customFormat="1"/>
    <row r="1514" s="34" customFormat="1"/>
    <row r="1515" s="34" customFormat="1"/>
    <row r="1516" s="34" customFormat="1"/>
    <row r="1517" s="34" customFormat="1"/>
    <row r="1518" s="34" customFormat="1"/>
    <row r="1519" s="34" customFormat="1"/>
    <row r="1520" s="34" customFormat="1"/>
    <row r="1521" s="34" customFormat="1"/>
    <row r="1522" s="34" customFormat="1"/>
    <row r="1523" s="34" customFormat="1"/>
    <row r="1524" s="34" customFormat="1"/>
    <row r="1525" s="34" customFormat="1"/>
    <row r="1526" s="34" customFormat="1"/>
    <row r="1527" s="34" customFormat="1"/>
    <row r="1528" s="34" customFormat="1"/>
    <row r="1529" s="34" customFormat="1"/>
    <row r="1530" s="34" customFormat="1"/>
    <row r="1531" s="34" customFormat="1"/>
    <row r="1532" s="34" customFormat="1"/>
    <row r="1533" s="34" customFormat="1"/>
    <row r="1534" s="34" customFormat="1"/>
    <row r="1535" s="34" customFormat="1"/>
    <row r="1536" s="34" customFormat="1"/>
    <row r="1537" s="34" customFormat="1"/>
    <row r="1538" s="34" customFormat="1"/>
    <row r="1539" s="34" customFormat="1"/>
    <row r="1540" s="34" customFormat="1"/>
    <row r="1541" s="34" customFormat="1"/>
    <row r="1542" s="34" customFormat="1"/>
    <row r="1543" s="34" customFormat="1"/>
    <row r="1544" s="34" customFormat="1"/>
    <row r="1545" s="34" customFormat="1"/>
    <row r="1546" s="34" customFormat="1"/>
    <row r="1547" s="34" customFormat="1"/>
    <row r="1548" s="34" customFormat="1"/>
    <row r="1549" s="34" customFormat="1"/>
    <row r="1550" s="34" customFormat="1"/>
    <row r="1551" s="34" customFormat="1"/>
    <row r="1552" s="34" customFormat="1"/>
    <row r="1553" s="34" customFormat="1"/>
    <row r="1554" s="34" customFormat="1"/>
    <row r="1555" s="34" customFormat="1"/>
    <row r="1556" s="34" customFormat="1"/>
    <row r="1557" s="34" customFormat="1"/>
    <row r="1558" s="34" customFormat="1"/>
    <row r="1559" s="34" customFormat="1"/>
    <row r="1560" s="34" customFormat="1"/>
    <row r="1561" s="34" customFormat="1"/>
    <row r="1562" s="34" customFormat="1"/>
    <row r="1563" s="34" customFormat="1"/>
    <row r="1564" s="34" customFormat="1"/>
    <row r="1565" s="34" customFormat="1"/>
    <row r="1566" s="34" customFormat="1"/>
    <row r="1567" s="34" customFormat="1"/>
    <row r="1568" s="34" customFormat="1"/>
    <row r="1569" s="34" customFormat="1"/>
    <row r="1570" s="34" customFormat="1"/>
    <row r="1571" s="34" customFormat="1"/>
    <row r="1572" s="34" customFormat="1"/>
    <row r="1573" s="34" customFormat="1"/>
    <row r="1574" s="34" customFormat="1"/>
    <row r="1575" s="34" customFormat="1"/>
    <row r="1576" s="34" customFormat="1"/>
    <row r="1577" s="34" customFormat="1"/>
    <row r="1578" s="34" customFormat="1"/>
    <row r="1579" s="34" customFormat="1"/>
    <row r="1580" s="34" customFormat="1"/>
    <row r="1581" s="34" customFormat="1"/>
    <row r="1582" s="34" customFormat="1"/>
    <row r="1583" s="34" customFormat="1"/>
    <row r="1584" s="34" customFormat="1"/>
    <row r="1585" s="34" customFormat="1"/>
    <row r="1586" s="34" customFormat="1"/>
    <row r="1587" s="34" customFormat="1"/>
    <row r="1588" s="34" customFormat="1"/>
    <row r="1589" s="34" customFormat="1"/>
    <row r="1590" s="34" customFormat="1"/>
    <row r="1591" s="34" customFormat="1"/>
    <row r="1592" s="34" customFormat="1"/>
    <row r="1593" s="34" customFormat="1"/>
    <row r="1594" s="34" customFormat="1"/>
    <row r="1595" s="34" customFormat="1"/>
    <row r="1596" s="34" customFormat="1"/>
    <row r="1597" s="34" customFormat="1"/>
    <row r="1598" s="34" customFormat="1"/>
    <row r="1599" s="34" customFormat="1"/>
    <row r="1600" s="34" customFormat="1"/>
    <row r="1601" s="34" customFormat="1"/>
    <row r="1602" s="34" customFormat="1"/>
    <row r="1603" s="34" customFormat="1"/>
    <row r="1604" s="34" customFormat="1"/>
    <row r="1605" s="34" customFormat="1"/>
    <row r="1606" s="34" customFormat="1"/>
    <row r="1607" s="34" customFormat="1"/>
    <row r="1608" s="34" customFormat="1"/>
    <row r="1609" s="34" customFormat="1"/>
    <row r="1610" s="34" customFormat="1"/>
    <row r="1611" s="34" customFormat="1"/>
    <row r="1612" s="34" customFormat="1"/>
    <row r="1613" s="34" customFormat="1"/>
    <row r="1614" s="34" customFormat="1"/>
    <row r="1615" s="34" customFormat="1"/>
    <row r="1616" s="34" customFormat="1"/>
    <row r="1617" s="34" customFormat="1"/>
    <row r="1618" s="34" customFormat="1"/>
    <row r="1619" s="34" customFormat="1"/>
    <row r="1620" s="34" customFormat="1"/>
    <row r="1621" s="34" customFormat="1"/>
    <row r="1622" s="34" customFormat="1"/>
    <row r="1623" s="34" customFormat="1"/>
    <row r="1624" s="34" customFormat="1"/>
    <row r="1625" s="34" customFormat="1"/>
    <row r="1626" s="34" customFormat="1"/>
    <row r="1627" s="34" customFormat="1"/>
    <row r="1628" s="34" customFormat="1"/>
    <row r="1629" s="34" customFormat="1"/>
    <row r="1630" s="34" customFormat="1"/>
    <row r="1631" s="34" customFormat="1"/>
    <row r="1632" s="34" customFormat="1"/>
    <row r="1633" s="34" customFormat="1"/>
    <row r="1634" s="34" customFormat="1"/>
    <row r="1635" s="34" customFormat="1"/>
    <row r="1636" s="34" customFormat="1"/>
    <row r="1637" s="34" customFormat="1"/>
    <row r="1638" s="34" customFormat="1"/>
    <row r="1639" s="34" customFormat="1"/>
    <row r="1640" s="34" customFormat="1"/>
    <row r="1641" s="34" customFormat="1"/>
    <row r="1642" s="34" customFormat="1"/>
    <row r="1643" s="34" customFormat="1"/>
    <row r="1644" s="34" customFormat="1"/>
    <row r="1645" s="34" customFormat="1"/>
    <row r="1646" s="34" customFormat="1"/>
    <row r="1647" s="34" customFormat="1"/>
    <row r="1648" s="34" customFormat="1"/>
    <row r="1649" s="34" customFormat="1"/>
    <row r="1650" s="34" customFormat="1"/>
    <row r="1651" s="34" customFormat="1"/>
    <row r="1652" s="34" customFormat="1"/>
    <row r="1653" s="34" customFormat="1"/>
    <row r="1654" s="34" customFormat="1"/>
    <row r="1655" s="34" customFormat="1"/>
    <row r="1656" s="34" customFormat="1"/>
    <row r="1657" s="34" customFormat="1"/>
    <row r="1658" s="34" customFormat="1"/>
    <row r="1659" s="34" customFormat="1"/>
    <row r="1660" s="34" customFormat="1"/>
    <row r="1661" s="34" customFormat="1"/>
    <row r="1662" s="34" customFormat="1"/>
    <row r="1663" s="34" customFormat="1"/>
    <row r="1664" s="34" customFormat="1"/>
    <row r="1665" s="34" customFormat="1"/>
    <row r="1666" s="34" customFormat="1"/>
    <row r="1667" s="34" customFormat="1"/>
    <row r="1668" s="34" customFormat="1"/>
    <row r="1669" s="34" customFormat="1"/>
    <row r="1670" s="34" customFormat="1"/>
    <row r="1671" s="34" customFormat="1"/>
    <row r="1672" s="34" customFormat="1"/>
    <row r="1673" s="34" customFormat="1"/>
    <row r="1674" s="34" customFormat="1"/>
    <row r="1675" s="34" customFormat="1"/>
    <row r="1676" s="34" customFormat="1"/>
    <row r="1677" s="34" customFormat="1"/>
    <row r="1678" s="34" customFormat="1"/>
    <row r="1679" s="34" customFormat="1"/>
    <row r="1680" s="34" customFormat="1"/>
    <row r="1681" s="34" customFormat="1"/>
    <row r="1682" s="34" customFormat="1"/>
    <row r="1683" s="34" customFormat="1"/>
    <row r="1684" s="34" customFormat="1"/>
    <row r="1685" s="34" customFormat="1"/>
    <row r="1686" s="34" customFormat="1"/>
    <row r="1687" s="34" customFormat="1"/>
    <row r="1688" s="34" customFormat="1"/>
    <row r="1689" s="34" customFormat="1"/>
    <row r="1690" s="34" customFormat="1"/>
    <row r="1691" s="34" customFormat="1"/>
    <row r="1692" s="34" customFormat="1"/>
    <row r="1693" s="34" customFormat="1"/>
    <row r="1694" s="34" customFormat="1"/>
    <row r="1695" s="34" customFormat="1"/>
    <row r="1696" s="34" customFormat="1"/>
    <row r="1697" s="34" customFormat="1"/>
    <row r="1698" s="34" customFormat="1"/>
    <row r="1699" s="34" customFormat="1"/>
    <row r="1700" s="34" customFormat="1"/>
    <row r="1701" s="34" customFormat="1"/>
    <row r="1702" s="34" customFormat="1"/>
    <row r="1703" s="34" customFormat="1"/>
    <row r="1704" s="34" customFormat="1"/>
    <row r="1705" s="34" customFormat="1"/>
    <row r="1706" s="34" customFormat="1"/>
    <row r="1707" s="34" customFormat="1"/>
    <row r="1708" s="34" customFormat="1"/>
    <row r="1709" s="34" customFormat="1"/>
    <row r="1710" s="34" customFormat="1"/>
    <row r="1711" s="34" customFormat="1"/>
    <row r="1712" s="34" customFormat="1"/>
    <row r="1713" s="34" customFormat="1"/>
    <row r="1714" s="34" customFormat="1"/>
    <row r="1715" s="34" customFormat="1"/>
    <row r="1716" s="34" customFormat="1"/>
    <row r="1717" s="34" customFormat="1"/>
    <row r="1718" s="34" customFormat="1"/>
    <row r="1719" s="34" customFormat="1"/>
    <row r="1720" s="34" customFormat="1"/>
    <row r="1721" s="34" customFormat="1"/>
    <row r="1722" s="34" customFormat="1"/>
    <row r="1723" s="34" customFormat="1"/>
    <row r="1724" s="34" customFormat="1"/>
    <row r="1725" s="34" customFormat="1"/>
    <row r="1726" s="34" customFormat="1"/>
    <row r="1727" s="34" customFormat="1"/>
    <row r="1728" s="34" customFormat="1"/>
    <row r="1729" s="34" customFormat="1"/>
    <row r="1730" s="34" customFormat="1"/>
    <row r="1731" s="34" customFormat="1"/>
    <row r="1732" s="34" customFormat="1"/>
    <row r="1733" s="34" customFormat="1"/>
    <row r="1734" s="34" customFormat="1"/>
    <row r="1735" s="34" customFormat="1"/>
    <row r="1736" s="34" customFormat="1"/>
    <row r="1737" s="34" customFormat="1"/>
    <row r="1738" s="34" customFormat="1"/>
    <row r="1739" s="34" customFormat="1"/>
    <row r="1740" s="34" customFormat="1"/>
    <row r="1741" s="34" customFormat="1"/>
    <row r="1742" s="34" customFormat="1"/>
    <row r="1743" s="34" customFormat="1"/>
    <row r="1744" s="34" customFormat="1"/>
    <row r="1745" s="34" customFormat="1"/>
    <row r="1746" s="34" customFormat="1"/>
    <row r="1747" s="34" customFormat="1"/>
    <row r="1748" s="34" customFormat="1"/>
    <row r="1749" s="34" customFormat="1"/>
    <row r="1750" s="34" customFormat="1"/>
    <row r="1751" s="34" customFormat="1"/>
    <row r="1752" s="34" customFormat="1"/>
    <row r="1753" s="34" customFormat="1"/>
    <row r="1754" s="34" customFormat="1"/>
    <row r="1755" s="34" customFormat="1"/>
    <row r="1756" s="34" customFormat="1"/>
    <row r="1757" s="34" customFormat="1"/>
    <row r="1758" s="34" customFormat="1"/>
    <row r="1759" s="34" customFormat="1"/>
    <row r="1760" s="34" customFormat="1"/>
    <row r="1761" s="34" customFormat="1"/>
    <row r="1762" s="34" customFormat="1"/>
    <row r="1763" s="34" customFormat="1"/>
    <row r="1764" s="34" customFormat="1"/>
    <row r="1765" s="34" customFormat="1"/>
    <row r="1766" s="34" customFormat="1"/>
    <row r="1767" s="34" customFormat="1"/>
    <row r="1768" s="34" customFormat="1"/>
    <row r="1769" s="34" customFormat="1"/>
    <row r="1770" s="34" customFormat="1"/>
    <row r="1771" s="34" customFormat="1"/>
    <row r="1772" s="34" customFormat="1"/>
    <row r="1773" s="34" customFormat="1"/>
    <row r="1774" s="34" customFormat="1"/>
    <row r="1775" s="34" customFormat="1"/>
    <row r="1776" s="34" customFormat="1"/>
    <row r="1777" s="34" customFormat="1"/>
    <row r="1778" s="34" customFormat="1"/>
    <row r="1779" s="34" customFormat="1"/>
    <row r="1780" s="34" customFormat="1"/>
    <row r="1781" s="34" customFormat="1"/>
    <row r="1782" s="34" customFormat="1"/>
    <row r="1783" s="34" customFormat="1"/>
    <row r="1784" s="34" customFormat="1"/>
    <row r="1785" s="34" customFormat="1"/>
    <row r="1786" s="34" customFormat="1"/>
    <row r="1787" s="34" customFormat="1"/>
    <row r="1788" s="34" customFormat="1"/>
    <row r="1789" s="34" customFormat="1"/>
    <row r="1790" s="34" customFormat="1"/>
    <row r="1791" s="34" customFormat="1"/>
    <row r="1792" s="34" customFormat="1"/>
    <row r="1793" s="34" customFormat="1"/>
    <row r="1794" s="34" customFormat="1"/>
    <row r="1795" s="34" customFormat="1"/>
    <row r="1796" s="34" customFormat="1"/>
    <row r="1797" s="34" customFormat="1"/>
    <row r="1798" s="34" customFormat="1"/>
    <row r="1799" s="34" customFormat="1"/>
    <row r="1800" s="34" customFormat="1"/>
    <row r="1801" s="34" customFormat="1"/>
    <row r="1802" s="34" customFormat="1"/>
    <row r="1803" s="34" customFormat="1"/>
    <row r="1804" s="34" customFormat="1"/>
    <row r="1805" s="34" customFormat="1"/>
    <row r="1806" s="34" customFormat="1"/>
    <row r="1807" s="34" customFormat="1"/>
    <row r="1808" s="34" customFormat="1"/>
    <row r="1809" s="34" customFormat="1"/>
    <row r="1810" s="34" customFormat="1"/>
    <row r="1811" s="34" customFormat="1"/>
    <row r="1812" s="34" customFormat="1"/>
    <row r="1813" s="34" customFormat="1"/>
    <row r="1814" s="34" customFormat="1"/>
    <row r="1815" s="34" customFormat="1"/>
    <row r="1816" s="34" customFormat="1"/>
    <row r="1817" s="34" customFormat="1"/>
    <row r="1818" s="34" customFormat="1"/>
    <row r="1819" s="34" customFormat="1"/>
    <row r="1820" s="34" customFormat="1"/>
    <row r="1821" s="34" customFormat="1"/>
    <row r="1822" s="34" customFormat="1"/>
    <row r="1823" s="34" customFormat="1"/>
    <row r="1824" s="34" customFormat="1"/>
    <row r="1825" s="34" customFormat="1"/>
    <row r="1826" s="34" customFormat="1"/>
    <row r="1827" s="34" customFormat="1"/>
    <row r="1828" s="34" customFormat="1"/>
    <row r="1829" s="34" customFormat="1"/>
    <row r="1830" s="34" customFormat="1"/>
    <row r="1831" s="34" customFormat="1"/>
    <row r="1832" s="34" customFormat="1"/>
    <row r="1833" s="34" customFormat="1"/>
    <row r="1834" s="34" customFormat="1"/>
    <row r="1835" s="34" customFormat="1"/>
    <row r="1836" s="34" customFormat="1"/>
    <row r="1837" s="34" customFormat="1"/>
    <row r="1838" s="34" customFormat="1"/>
    <row r="1839" s="34" customFormat="1"/>
    <row r="1840" s="34" customFormat="1"/>
    <row r="1841" s="34" customFormat="1"/>
    <row r="1842" s="34" customFormat="1"/>
    <row r="1843" s="34" customFormat="1"/>
    <row r="1844" s="34" customFormat="1"/>
    <row r="1845" s="34" customFormat="1"/>
    <row r="1846" s="34" customFormat="1"/>
    <row r="1847" s="34" customFormat="1"/>
    <row r="1848" s="34" customFormat="1"/>
    <row r="1849" s="34" customFormat="1"/>
    <row r="1850" s="34" customFormat="1"/>
    <row r="1851" s="34" customFormat="1"/>
    <row r="1852" s="34" customFormat="1"/>
    <row r="1853" s="34" customFormat="1"/>
    <row r="1854" s="34" customFormat="1"/>
    <row r="1855" s="34" customFormat="1"/>
    <row r="1856" s="34" customFormat="1"/>
    <row r="1857" s="34" customFormat="1"/>
    <row r="1858" s="34" customFormat="1"/>
    <row r="1859" s="34" customFormat="1"/>
    <row r="1860" s="34" customFormat="1"/>
    <row r="1861" s="34" customFormat="1"/>
    <row r="1862" s="34" customFormat="1"/>
    <row r="1863" s="34" customFormat="1"/>
    <row r="1864" s="34" customFormat="1"/>
    <row r="1865" s="34" customFormat="1"/>
    <row r="1866" s="34" customFormat="1"/>
    <row r="1867" s="34" customFormat="1"/>
    <row r="1868" s="34" customFormat="1"/>
    <row r="1869" s="34" customFormat="1"/>
    <row r="1870" s="34" customFormat="1"/>
    <row r="1871" s="34" customFormat="1"/>
    <row r="1872" s="34" customFormat="1"/>
    <row r="1873" s="34" customFormat="1"/>
    <row r="1874" s="34" customFormat="1"/>
    <row r="1875" s="34" customFormat="1"/>
    <row r="1876" s="34" customFormat="1"/>
    <row r="1877" s="34" customFormat="1"/>
    <row r="1878" s="34" customFormat="1"/>
    <row r="1879" s="34" customFormat="1"/>
    <row r="1880" s="34" customFormat="1"/>
    <row r="1881" s="34" customFormat="1"/>
    <row r="1882" s="34" customFormat="1"/>
    <row r="1883" s="34" customFormat="1"/>
    <row r="1884" s="34" customFormat="1"/>
    <row r="1885" s="34" customFormat="1"/>
    <row r="1886" s="34" customFormat="1"/>
    <row r="1887" s="34" customFormat="1"/>
    <row r="1888" s="34" customFormat="1"/>
    <row r="1889" s="34" customFormat="1"/>
    <row r="1890" s="34" customFormat="1"/>
    <row r="1891" s="34" customFormat="1"/>
    <row r="1892" s="34" customFormat="1"/>
    <row r="1893" s="34" customFormat="1"/>
    <row r="1894" s="34" customFormat="1"/>
    <row r="1895" s="34" customFormat="1"/>
    <row r="1896" s="34" customFormat="1"/>
    <row r="1897" s="34" customFormat="1"/>
    <row r="1898" s="34" customFormat="1"/>
    <row r="1899" s="34" customFormat="1"/>
    <row r="1900" s="34" customFormat="1"/>
    <row r="1901" s="34" customFormat="1"/>
    <row r="1902" s="34" customFormat="1"/>
    <row r="1903" s="34" customFormat="1"/>
    <row r="1904" s="34" customFormat="1"/>
    <row r="1905" s="34" customFormat="1"/>
    <row r="1906" s="34" customFormat="1"/>
    <row r="1907" s="34" customFormat="1"/>
    <row r="1908" s="34" customFormat="1"/>
    <row r="1909" s="34" customFormat="1"/>
    <row r="1910" s="34" customFormat="1"/>
    <row r="1911" s="34" customFormat="1"/>
    <row r="1912" s="34" customFormat="1"/>
    <row r="1913" s="34" customFormat="1"/>
    <row r="1914" s="34" customFormat="1"/>
    <row r="1915" s="34" customFormat="1"/>
    <row r="1916" s="34" customFormat="1"/>
    <row r="1917" s="34" customFormat="1"/>
    <row r="1918" s="34" customFormat="1"/>
    <row r="1919" s="34" customFormat="1"/>
    <row r="1920" s="34" customFormat="1"/>
    <row r="1921" s="34" customFormat="1"/>
    <row r="1922" s="34" customFormat="1"/>
    <row r="1923" s="34" customFormat="1"/>
    <row r="1924" s="34" customFormat="1"/>
    <row r="1925" s="34" customFormat="1"/>
    <row r="1926" s="34" customFormat="1"/>
    <row r="1927" s="34" customFormat="1"/>
    <row r="1928" s="34" customFormat="1"/>
    <row r="1929" s="34" customFormat="1"/>
    <row r="1930" s="34" customFormat="1"/>
    <row r="1931" s="34" customFormat="1"/>
    <row r="1932" s="34" customFormat="1"/>
    <row r="1933" s="34" customFormat="1"/>
    <row r="1934" s="34" customFormat="1"/>
    <row r="1935" s="34" customFormat="1"/>
    <row r="1936" s="34" customFormat="1"/>
    <row r="1937" s="34" customFormat="1"/>
    <row r="1938" s="34" customFormat="1"/>
    <row r="1939" s="34" customFormat="1"/>
    <row r="1940" s="34" customFormat="1"/>
    <row r="1941" s="34" customFormat="1"/>
    <row r="1942" s="34" customFormat="1"/>
    <row r="1943" s="34" customFormat="1"/>
    <row r="1944" s="34" customFormat="1"/>
    <row r="1945" s="34" customFormat="1"/>
    <row r="1946" s="34" customFormat="1"/>
    <row r="1947" s="34" customFormat="1"/>
    <row r="1948" s="34" customFormat="1"/>
    <row r="1949" s="34" customFormat="1"/>
    <row r="1950" s="34" customFormat="1"/>
    <row r="1951" s="34" customFormat="1"/>
    <row r="1952" s="34" customFormat="1"/>
    <row r="1953" s="34" customFormat="1"/>
    <row r="1954" s="34" customFormat="1"/>
    <row r="1955" s="34" customFormat="1"/>
    <row r="1956" s="34" customFormat="1"/>
    <row r="1957" s="34" customFormat="1"/>
    <row r="1958" s="34" customFormat="1"/>
    <row r="1959" s="34" customFormat="1"/>
    <row r="1960" s="34" customFormat="1"/>
    <row r="1961" s="34" customFormat="1"/>
    <row r="1962" s="34" customFormat="1"/>
    <row r="1963" s="34" customFormat="1"/>
    <row r="1964" s="34" customFormat="1"/>
    <row r="1965" s="34" customFormat="1"/>
    <row r="1966" s="34" customFormat="1"/>
    <row r="1967" s="34" customFormat="1"/>
    <row r="1968" s="34" customFormat="1"/>
    <row r="1969" s="34" customFormat="1"/>
    <row r="1970" s="34" customFormat="1"/>
    <row r="1971" s="34" customFormat="1"/>
    <row r="1972" s="34" customFormat="1"/>
    <row r="1973" s="34" customFormat="1"/>
    <row r="1974" s="34" customFormat="1"/>
    <row r="1975" s="34" customFormat="1"/>
    <row r="1976" s="34" customFormat="1"/>
    <row r="1977" s="34" customFormat="1"/>
    <row r="1978" s="34" customFormat="1"/>
    <row r="1979" s="34" customFormat="1"/>
    <row r="1980" s="34" customFormat="1"/>
    <row r="1981" s="34" customFormat="1"/>
    <row r="1982" s="34" customFormat="1"/>
    <row r="1983" s="34" customFormat="1"/>
    <row r="1984" s="34" customFormat="1"/>
    <row r="1985" s="34" customFormat="1"/>
    <row r="1986" s="34" customFormat="1"/>
    <row r="1987" s="34" customFormat="1"/>
    <row r="1988" s="34" customFormat="1"/>
    <row r="1989" s="34" customFormat="1"/>
    <row r="1990" s="34" customFormat="1"/>
    <row r="1991" s="34" customFormat="1"/>
    <row r="1992" s="34" customFormat="1"/>
    <row r="1993" s="34" customFormat="1"/>
    <row r="1994" s="34" customFormat="1"/>
    <row r="1995" s="34" customFormat="1"/>
    <row r="1996" s="34" customFormat="1"/>
    <row r="1997" s="34" customFormat="1"/>
    <row r="1998" s="34" customFormat="1"/>
    <row r="1999" s="34" customFormat="1"/>
    <row r="2000" s="34" customFormat="1"/>
    <row r="2001" s="34" customFormat="1"/>
    <row r="2002" s="34" customFormat="1"/>
    <row r="2003" s="34" customFormat="1"/>
    <row r="2004" s="34" customFormat="1"/>
    <row r="2005" s="34" customFormat="1"/>
    <row r="2006" s="34" customFormat="1"/>
    <row r="2007" s="34" customFormat="1"/>
    <row r="2008" s="34" customFormat="1"/>
    <row r="2009" s="34" customFormat="1"/>
    <row r="2010" s="34" customFormat="1"/>
    <row r="2011" s="34" customFormat="1"/>
    <row r="2012" s="34" customFormat="1"/>
    <row r="2013" s="34" customFormat="1"/>
    <row r="2014" s="34" customFormat="1"/>
    <row r="2015" s="34" customFormat="1"/>
    <row r="2016" s="34" customFormat="1"/>
    <row r="2017" s="34" customFormat="1"/>
    <row r="2018" s="34" customFormat="1"/>
    <row r="2019" s="34" customFormat="1"/>
    <row r="2020" s="34" customFormat="1"/>
    <row r="2021" s="34" customFormat="1"/>
    <row r="2022" s="34" customFormat="1"/>
    <row r="2023" s="34" customFormat="1"/>
    <row r="2024" s="34" customFormat="1"/>
    <row r="2025" s="34" customFormat="1"/>
    <row r="2026" s="34" customFormat="1"/>
    <row r="2027" s="34" customFormat="1"/>
    <row r="2028" s="34" customFormat="1"/>
    <row r="2029" s="34" customFormat="1"/>
    <row r="2030" s="34" customFormat="1"/>
    <row r="2031" s="34" customFormat="1"/>
    <row r="2032" s="34" customFormat="1"/>
    <row r="2033" s="34" customFormat="1"/>
    <row r="2034" s="34" customFormat="1"/>
    <row r="2035" s="34" customFormat="1"/>
    <row r="2036" s="34" customFormat="1"/>
    <row r="2037" s="34" customFormat="1"/>
    <row r="2038" s="34" customFormat="1"/>
    <row r="2039" s="34" customFormat="1"/>
    <row r="2040" s="34" customFormat="1"/>
    <row r="2041" s="34" customFormat="1"/>
    <row r="2042" s="34" customFormat="1"/>
    <row r="2043" s="34" customFormat="1"/>
    <row r="2044" s="34" customFormat="1"/>
    <row r="2045" s="34" customFormat="1"/>
    <row r="2046" s="34" customFormat="1"/>
    <row r="2047" s="34" customFormat="1"/>
    <row r="2048" s="34" customFormat="1"/>
    <row r="2049" s="34" customFormat="1"/>
    <row r="2050" s="34" customFormat="1"/>
    <row r="2051" s="34" customFormat="1"/>
    <row r="2052" s="34" customFormat="1"/>
    <row r="2053" s="34" customFormat="1"/>
    <row r="2054" s="34" customFormat="1"/>
    <row r="2055" s="34" customFormat="1"/>
    <row r="2056" s="34" customFormat="1"/>
    <row r="2057" s="34" customFormat="1"/>
    <row r="2058" s="34" customFormat="1"/>
    <row r="2059" s="34" customFormat="1"/>
    <row r="2060" s="34" customFormat="1"/>
    <row r="2061" s="34" customFormat="1"/>
    <row r="2062" s="34" customFormat="1"/>
    <row r="2063" s="34" customFormat="1"/>
    <row r="2064" s="34" customFormat="1"/>
    <row r="2065" s="34" customFormat="1"/>
    <row r="2066" s="34" customFormat="1"/>
    <row r="2067" s="34" customFormat="1"/>
    <row r="2068" s="34" customFormat="1"/>
    <row r="2069" s="34" customFormat="1"/>
    <row r="2070" s="34" customFormat="1"/>
    <row r="2071" s="34" customFormat="1"/>
    <row r="2072" s="34" customFormat="1"/>
    <row r="2073" s="34" customFormat="1"/>
    <row r="2074" s="34" customFormat="1"/>
    <row r="2075" s="34" customFormat="1"/>
    <row r="2076" s="34" customFormat="1"/>
    <row r="2077" s="34" customFormat="1"/>
    <row r="2078" s="34" customFormat="1"/>
    <row r="2079" s="34" customFormat="1"/>
    <row r="2080" s="34" customFormat="1"/>
    <row r="2081" s="34" customFormat="1"/>
    <row r="2082" s="34" customFormat="1"/>
    <row r="2083" s="34" customFormat="1"/>
    <row r="2084" s="34" customFormat="1"/>
    <row r="2085" s="34" customFormat="1"/>
    <row r="2086" s="34" customFormat="1"/>
    <row r="2087" s="34" customFormat="1"/>
    <row r="2088" s="34" customFormat="1"/>
    <row r="2089" s="34" customFormat="1"/>
    <row r="2090" s="34" customFormat="1"/>
    <row r="2091" s="34" customFormat="1"/>
    <row r="2092" s="34" customFormat="1"/>
    <row r="2093" s="34" customFormat="1"/>
    <row r="2094" s="34" customFormat="1"/>
    <row r="2095" s="34" customFormat="1"/>
    <row r="2096" s="34" customFormat="1"/>
    <row r="2097" s="34" customFormat="1"/>
    <row r="2098" s="34" customFormat="1"/>
    <row r="2099" s="34" customFormat="1"/>
    <row r="2100" s="34" customFormat="1"/>
    <row r="2101" s="34" customFormat="1"/>
    <row r="2102" s="34" customFormat="1"/>
    <row r="2103" s="34" customFormat="1"/>
    <row r="2104" s="34" customFormat="1"/>
    <row r="2105" s="34" customFormat="1"/>
    <row r="2106" s="34" customFormat="1"/>
    <row r="2107" s="34" customFormat="1"/>
    <row r="2108" s="34" customFormat="1"/>
    <row r="2109" s="34" customFormat="1"/>
    <row r="2110" s="34" customFormat="1"/>
    <row r="2111" s="34" customFormat="1"/>
    <row r="2112" s="34" customFormat="1"/>
    <row r="2113" s="34" customFormat="1"/>
    <row r="2114" s="34" customFormat="1"/>
    <row r="2115" s="34" customFormat="1"/>
    <row r="2116" s="34" customFormat="1"/>
    <row r="2117" s="34" customFormat="1"/>
    <row r="2118" s="34" customFormat="1"/>
    <row r="2119" s="34" customFormat="1"/>
    <row r="2120" s="34" customFormat="1"/>
    <row r="2121" s="34" customFormat="1"/>
    <row r="2122" s="34" customFormat="1"/>
    <row r="2123" s="34" customFormat="1"/>
    <row r="2124" s="34" customFormat="1"/>
    <row r="2125" s="34" customFormat="1"/>
    <row r="2126" s="34" customFormat="1"/>
    <row r="2127" s="34" customFormat="1"/>
    <row r="2128" s="34" customFormat="1"/>
    <row r="2129" s="34" customFormat="1"/>
    <row r="2130" s="34" customFormat="1"/>
    <row r="2131" s="34" customFormat="1"/>
    <row r="2132" s="34" customFormat="1"/>
    <row r="2133" s="34" customFormat="1"/>
    <row r="2134" s="34" customFormat="1"/>
    <row r="2135" s="34" customFormat="1"/>
    <row r="2136" s="34" customFormat="1"/>
    <row r="2137" s="34" customFormat="1"/>
    <row r="2138" s="34" customFormat="1"/>
    <row r="2139" s="34" customFormat="1"/>
    <row r="2140" s="34" customFormat="1"/>
    <row r="2141" s="34" customFormat="1"/>
    <row r="2142" s="34" customFormat="1"/>
    <row r="2143" s="34" customFormat="1"/>
    <row r="2144" s="34" customFormat="1"/>
    <row r="2145" s="34" customFormat="1"/>
    <row r="2146" s="34" customFormat="1"/>
    <row r="2147" s="34" customFormat="1"/>
    <row r="2148" s="34" customFormat="1"/>
    <row r="2149" s="34" customFormat="1"/>
    <row r="2150" s="34" customFormat="1"/>
    <row r="2151" s="34" customFormat="1"/>
    <row r="2152" s="34" customFormat="1"/>
    <row r="2153" s="34" customFormat="1"/>
    <row r="2154" s="34" customFormat="1"/>
    <row r="2155" s="34" customFormat="1"/>
    <row r="2156" s="34" customFormat="1"/>
    <row r="2157" s="34" customFormat="1"/>
    <row r="2158" s="34" customFormat="1"/>
    <row r="2159" s="34" customFormat="1"/>
    <row r="2160" s="34" customFormat="1"/>
    <row r="2161" s="34" customFormat="1"/>
    <row r="2162" s="34" customFormat="1"/>
    <row r="2163" s="34" customFormat="1"/>
    <row r="2164" s="34" customFormat="1"/>
    <row r="2165" s="34" customFormat="1"/>
    <row r="2166" s="34" customFormat="1"/>
    <row r="2167" s="34" customFormat="1"/>
    <row r="2168" s="34" customFormat="1"/>
    <row r="2169" s="34" customFormat="1"/>
    <row r="2170" s="34" customFormat="1"/>
    <row r="2171" s="34" customFormat="1"/>
    <row r="2172" s="34" customFormat="1"/>
    <row r="2173" s="34" customFormat="1"/>
    <row r="2174" s="34" customFormat="1"/>
    <row r="2175" s="34" customFormat="1"/>
    <row r="2176" s="34" customFormat="1"/>
    <row r="2177" s="34" customFormat="1"/>
    <row r="2178" s="34" customFormat="1"/>
    <row r="2179" s="34" customFormat="1"/>
    <row r="2180" s="34" customFormat="1"/>
    <row r="2181" s="34" customFormat="1"/>
    <row r="2182" s="34" customFormat="1"/>
    <row r="2183" s="34" customFormat="1"/>
    <row r="2184" s="34" customFormat="1"/>
    <row r="2185" s="34" customFormat="1"/>
    <row r="2186" s="34" customFormat="1"/>
    <row r="2187" s="34" customFormat="1"/>
    <row r="2188" s="34" customFormat="1"/>
    <row r="2189" s="34" customFormat="1"/>
    <row r="2190" s="34" customFormat="1"/>
    <row r="2191" s="34" customFormat="1"/>
    <row r="2192" s="34" customFormat="1"/>
    <row r="2193" s="34" customFormat="1"/>
    <row r="2194" s="34" customFormat="1"/>
    <row r="2195" s="34" customFormat="1"/>
    <row r="2196" s="34" customFormat="1"/>
    <row r="2197" s="34" customFormat="1"/>
    <row r="2198" s="34" customFormat="1"/>
    <row r="2199" s="34" customFormat="1"/>
    <row r="2200" s="34" customFormat="1"/>
    <row r="2201" s="34" customFormat="1"/>
    <row r="2202" s="34" customFormat="1"/>
    <row r="2203" s="34" customFormat="1"/>
    <row r="2204" s="34" customFormat="1"/>
    <row r="2205" s="34" customFormat="1"/>
    <row r="2206" s="34" customFormat="1"/>
    <row r="2207" s="34" customFormat="1"/>
    <row r="2208" s="34" customFormat="1"/>
    <row r="2209" s="34" customFormat="1"/>
    <row r="2210" s="34" customFormat="1"/>
    <row r="2211" s="34" customFormat="1"/>
    <row r="2212" s="34" customFormat="1"/>
    <row r="2213" s="34" customFormat="1"/>
    <row r="2214" s="34" customFormat="1"/>
    <row r="2215" s="34" customFormat="1"/>
    <row r="2216" s="34" customFormat="1"/>
    <row r="2217" s="34" customFormat="1"/>
    <row r="2218" s="34" customFormat="1"/>
    <row r="2219" s="34" customFormat="1"/>
    <row r="2220" s="34" customFormat="1"/>
    <row r="2221" s="34" customFormat="1"/>
    <row r="2222" s="34" customFormat="1"/>
    <row r="2223" s="34" customFormat="1"/>
    <row r="2224" s="34" customFormat="1"/>
    <row r="2225" s="34" customFormat="1"/>
    <row r="2226" s="34" customFormat="1"/>
    <row r="2227" s="34" customFormat="1"/>
    <row r="2228" s="34" customFormat="1"/>
    <row r="2229" s="34" customFormat="1"/>
    <row r="2230" s="34" customFormat="1"/>
    <row r="2231" s="34" customFormat="1"/>
    <row r="2232" s="34" customFormat="1"/>
    <row r="2233" s="34" customFormat="1"/>
    <row r="2234" s="34" customFormat="1"/>
    <row r="2235" s="34" customFormat="1"/>
    <row r="2236" s="34" customFormat="1"/>
    <row r="2237" s="34" customFormat="1"/>
    <row r="2238" s="34" customFormat="1"/>
    <row r="2239" s="34" customFormat="1"/>
    <row r="2240" s="34" customFormat="1"/>
    <row r="2241" s="34" customFormat="1"/>
    <row r="2242" s="34" customFormat="1"/>
    <row r="2243" s="34" customFormat="1"/>
    <row r="2244" s="34" customFormat="1"/>
    <row r="2245" s="34" customFormat="1"/>
  </sheetData>
  <sheetProtection password="8B10" sheet="1" objects="1" scenarios="1"/>
  <phoneticPr fontId="3" type="noConversion"/>
  <pageMargins left="0.70866141732283472" right="0.70866141732283472" top="1.0236220472440944" bottom="1.0236220472440944" header="0.39370078740157483" footer="0.39370078740157483"/>
  <pageSetup paperSize="9" scale="78" orientation="landscape" r:id="rId1"/>
  <headerFooter alignWithMargins="0">
    <oddFooter>&amp;L&amp;"Frutiger 57Cn,Standard"&amp;8
Santander Consumer Bank AG
Santander-Platz 1
41061 Mönchengladbach
Tel.: +49 180 / 5556 - 499
Fax.: +49 180 / 5556 - 498</oddFooter>
  </headerFooter>
  <rowBreaks count="1" manualBreakCount="1">
    <brk id="47" max="11" man="1"/>
  </rowBreaks>
  <colBreaks count="1" manualBreakCount="1">
    <brk id="1" max="46" man="1"/>
  </col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Q2250"/>
  <sheetViews>
    <sheetView view="pageBreakPreview" zoomScale="75" zoomScaleNormal="100" workbookViewId="0">
      <selection activeCell="B3" sqref="B3"/>
    </sheetView>
  </sheetViews>
  <sheetFormatPr defaultRowHeight="12.75"/>
  <cols>
    <col min="1" max="1" width="1.28515625" style="31" customWidth="1"/>
    <col min="2" max="2" width="26" style="31" customWidth="1"/>
    <col min="3" max="3" width="14.85546875" style="31" bestFit="1" customWidth="1"/>
    <col min="4" max="4" width="20.5703125" style="31" customWidth="1"/>
    <col min="5" max="5" width="18.5703125" style="31" customWidth="1"/>
    <col min="6" max="6" width="19.5703125" style="31" customWidth="1"/>
    <col min="7" max="8" width="19" style="31" customWidth="1"/>
    <col min="9" max="9" width="9.28515625" style="31" customWidth="1"/>
    <col min="10" max="10" width="15.42578125" style="31" customWidth="1"/>
    <col min="11" max="11" width="1.28515625" style="31" customWidth="1"/>
    <col min="12" max="12" width="3.140625" style="31" customWidth="1"/>
    <col min="13" max="13" width="18.7109375" style="34" customWidth="1"/>
    <col min="14" max="14" width="18.5703125" style="34" customWidth="1"/>
    <col min="15" max="15" width="19.5703125" style="34" customWidth="1"/>
    <col min="16" max="17" width="19" style="34" customWidth="1"/>
    <col min="18" max="256" width="11.42578125" style="31" customWidth="1"/>
    <col min="257" max="16384" width="9.140625" style="31"/>
  </cols>
  <sheetData>
    <row r="1" spans="1:17" ht="6" customHeight="1">
      <c r="A1" s="35"/>
      <c r="B1" s="36"/>
      <c r="C1" s="36"/>
      <c r="D1" s="36"/>
      <c r="E1" s="36"/>
      <c r="F1" s="36"/>
      <c r="G1" s="36"/>
      <c r="H1" s="36"/>
      <c r="I1" s="36"/>
      <c r="J1" s="36"/>
      <c r="K1" s="37"/>
    </row>
    <row r="2" spans="1:17" s="27" customFormat="1" ht="18">
      <c r="A2" s="5"/>
      <c r="B2" s="7" t="str">
        <f>'Cover Sheet'!B2</f>
        <v>SC Germany Auto 10-1</v>
      </c>
      <c r="C2" s="7"/>
      <c r="D2" s="108" t="s">
        <v>54</v>
      </c>
      <c r="E2" s="109"/>
      <c r="F2" s="110">
        <f>'Cover Sheet'!F2</f>
        <v>41191</v>
      </c>
      <c r="G2" s="109"/>
      <c r="H2" s="109"/>
      <c r="I2" s="109"/>
      <c r="J2" s="111"/>
      <c r="K2" s="88"/>
      <c r="M2" s="28"/>
      <c r="N2" s="34"/>
      <c r="O2" s="372"/>
      <c r="P2" s="34"/>
      <c r="Q2" s="34"/>
    </row>
    <row r="3" spans="1:17" s="27" customFormat="1" ht="18">
      <c r="A3" s="5"/>
      <c r="B3" s="7" t="str">
        <f>'Cover Sheet'!B3</f>
        <v>Monthly Investor Report</v>
      </c>
      <c r="C3" s="7"/>
      <c r="D3" s="112" t="s">
        <v>4</v>
      </c>
      <c r="E3" s="113"/>
      <c r="F3" s="114">
        <f>'Cover Sheet'!F3</f>
        <v>41197</v>
      </c>
      <c r="G3" s="113"/>
      <c r="H3" s="113"/>
      <c r="I3" s="113"/>
      <c r="J3" s="115"/>
      <c r="K3" s="90"/>
      <c r="M3" s="28"/>
      <c r="N3" s="34"/>
      <c r="O3" s="372"/>
      <c r="P3" s="34"/>
      <c r="Q3" s="34"/>
    </row>
    <row r="4" spans="1:17" s="27" customFormat="1">
      <c r="A4" s="5"/>
      <c r="B4" s="42"/>
      <c r="C4" s="12"/>
      <c r="D4" s="112" t="s">
        <v>5</v>
      </c>
      <c r="E4" s="113"/>
      <c r="F4" s="122">
        <f>'Cover Sheet'!F4</f>
        <v>27</v>
      </c>
      <c r="G4" s="113"/>
      <c r="H4" s="117"/>
      <c r="I4" s="113"/>
      <c r="J4" s="118"/>
      <c r="K4" s="88"/>
      <c r="M4" s="28"/>
      <c r="N4" s="34"/>
      <c r="O4" s="45"/>
      <c r="P4" s="34"/>
      <c r="Q4" s="28"/>
    </row>
    <row r="5" spans="1:17" s="27" customFormat="1" ht="18">
      <c r="A5" s="5"/>
      <c r="B5" s="105" t="s">
        <v>392</v>
      </c>
      <c r="C5" s="14"/>
      <c r="D5" s="112" t="s">
        <v>3</v>
      </c>
      <c r="E5" s="113"/>
      <c r="F5" s="123">
        <f>'Cover Sheet'!F5</f>
        <v>41197</v>
      </c>
      <c r="G5" s="113"/>
      <c r="H5" s="117"/>
      <c r="I5" s="113"/>
      <c r="J5" s="118"/>
      <c r="K5" s="90"/>
      <c r="M5" s="28"/>
      <c r="N5" s="34"/>
      <c r="O5" s="373"/>
      <c r="P5" s="34"/>
      <c r="Q5" s="28"/>
    </row>
    <row r="6" spans="1:17" s="27" customFormat="1" ht="15" customHeight="1">
      <c r="A6" s="5"/>
      <c r="B6" s="43"/>
      <c r="C6" s="89"/>
      <c r="D6" s="552" t="str">
        <f>'Cover Sheet'!D6</f>
        <v>Interest Period</v>
      </c>
      <c r="E6" s="114" t="s">
        <v>38</v>
      </c>
      <c r="F6" s="114">
        <f>'Cover Sheet'!F6</f>
        <v>41164</v>
      </c>
      <c r="G6" s="116" t="s">
        <v>6</v>
      </c>
      <c r="H6" s="114">
        <f>'Cover Sheet'!H6</f>
        <v>41197</v>
      </c>
      <c r="I6" s="116" t="s">
        <v>18</v>
      </c>
      <c r="J6" s="542" t="str">
        <f>'Cover Sheet'!J6</f>
        <v>33 days</v>
      </c>
      <c r="K6" s="90"/>
      <c r="M6" s="28"/>
      <c r="N6" s="45"/>
      <c r="O6" s="372"/>
      <c r="P6" s="45"/>
      <c r="Q6" s="372"/>
    </row>
    <row r="7" spans="1:17" s="27" customFormat="1">
      <c r="A7" s="5"/>
      <c r="B7" s="4"/>
      <c r="C7" s="4"/>
      <c r="D7" s="553" t="str">
        <f>'Cover Sheet'!D7</f>
        <v>Collection Period</v>
      </c>
      <c r="E7" s="121" t="s">
        <v>38</v>
      </c>
      <c r="F7" s="121" t="str">
        <f>'Cover Sheet'!F7</f>
        <v>01.09.2012</v>
      </c>
      <c r="G7" s="120" t="s">
        <v>6</v>
      </c>
      <c r="H7" s="121">
        <f>'Cover Sheet'!H7</f>
        <v>41182</v>
      </c>
      <c r="I7" s="543"/>
      <c r="J7" s="544"/>
      <c r="K7" s="90"/>
      <c r="M7" s="28"/>
      <c r="N7" s="34"/>
      <c r="O7" s="374"/>
      <c r="P7" s="45"/>
      <c r="Q7" s="372"/>
    </row>
    <row r="8" spans="1:17" s="27" customFormat="1">
      <c r="A8" s="5"/>
      <c r="B8" s="4"/>
      <c r="C8" s="4"/>
      <c r="D8" s="4"/>
      <c r="E8" s="9"/>
      <c r="F8" s="15"/>
      <c r="G8" s="9"/>
      <c r="H8" s="4"/>
      <c r="I8" s="16"/>
      <c r="J8" s="4"/>
      <c r="K8" s="90"/>
      <c r="M8" s="34"/>
      <c r="N8" s="44"/>
      <c r="O8" s="45"/>
      <c r="P8" s="44"/>
      <c r="Q8" s="34"/>
    </row>
    <row r="9" spans="1:17" s="27" customFormat="1">
      <c r="A9" s="5"/>
      <c r="K9" s="8"/>
      <c r="M9" s="34"/>
      <c r="N9" s="34"/>
      <c r="O9" s="34"/>
      <c r="P9" s="34"/>
      <c r="Q9" s="34"/>
    </row>
    <row r="10" spans="1:17" s="27" customFormat="1">
      <c r="A10" s="5"/>
      <c r="B10" s="4"/>
      <c r="C10" s="4"/>
      <c r="D10" s="4"/>
      <c r="E10" s="4"/>
      <c r="F10" s="18"/>
      <c r="G10" s="4"/>
      <c r="H10" s="4"/>
      <c r="I10" s="34"/>
      <c r="J10" s="34"/>
      <c r="K10" s="8"/>
      <c r="M10" s="34"/>
      <c r="N10" s="34"/>
      <c r="O10" s="102"/>
      <c r="P10" s="34"/>
      <c r="Q10" s="34"/>
    </row>
    <row r="11" spans="1:17" s="27" customFormat="1" ht="18">
      <c r="A11" s="5"/>
      <c r="B11" s="125"/>
      <c r="C11" s="4"/>
      <c r="D11" s="4"/>
      <c r="E11" s="4"/>
      <c r="F11" s="34"/>
      <c r="G11" s="100"/>
      <c r="H11" s="100"/>
      <c r="I11" s="34"/>
      <c r="K11" s="8"/>
      <c r="M11" s="47"/>
      <c r="N11" s="34"/>
      <c r="O11" s="34"/>
      <c r="P11" s="137"/>
      <c r="Q11" s="137"/>
    </row>
    <row r="12" spans="1:17" s="27" customFormat="1" ht="13.5" thickBot="1">
      <c r="A12" s="5"/>
      <c r="B12" s="4"/>
      <c r="C12" s="4"/>
      <c r="D12" s="34"/>
      <c r="E12" s="34"/>
      <c r="F12" s="34"/>
      <c r="G12" s="137"/>
      <c r="H12" s="137"/>
      <c r="I12" s="34"/>
      <c r="K12" s="8"/>
      <c r="M12" s="34"/>
      <c r="N12" s="34"/>
      <c r="O12" s="34"/>
      <c r="P12" s="137"/>
      <c r="Q12" s="137"/>
    </row>
    <row r="13" spans="1:17" s="27" customFormat="1" ht="39" customHeight="1">
      <c r="A13" s="5"/>
      <c r="B13" s="138"/>
      <c r="C13" s="138"/>
      <c r="D13" s="286" t="s">
        <v>290</v>
      </c>
      <c r="E13" s="287" t="s">
        <v>156</v>
      </c>
      <c r="F13" s="288" t="s">
        <v>70</v>
      </c>
      <c r="G13" s="289" t="s">
        <v>71</v>
      </c>
      <c r="H13" s="290" t="s">
        <v>72</v>
      </c>
      <c r="I13" s="102"/>
      <c r="K13" s="8"/>
      <c r="M13" s="317"/>
      <c r="N13" s="329"/>
      <c r="O13" s="327"/>
      <c r="P13" s="328"/>
      <c r="Q13" s="328"/>
    </row>
    <row r="14" spans="1:17">
      <c r="A14" s="40"/>
      <c r="B14" s="139"/>
      <c r="C14" s="140"/>
      <c r="D14" s="204" t="s">
        <v>73</v>
      </c>
      <c r="E14" s="205">
        <v>63801194.860000059</v>
      </c>
      <c r="F14" s="206">
        <v>0.29326664415146686</v>
      </c>
      <c r="G14" s="207">
        <v>12314</v>
      </c>
      <c r="H14" s="208">
        <v>0.29240377080711422</v>
      </c>
      <c r="I14" s="102"/>
      <c r="K14" s="41"/>
      <c r="M14" s="392"/>
      <c r="N14" s="393"/>
      <c r="O14" s="394"/>
      <c r="P14" s="395"/>
      <c r="Q14" s="394"/>
    </row>
    <row r="15" spans="1:17" ht="13.5" thickBot="1">
      <c r="A15" s="40"/>
      <c r="B15" s="139"/>
      <c r="C15" s="140"/>
      <c r="D15" s="209" t="s">
        <v>76</v>
      </c>
      <c r="E15" s="210">
        <v>153752339.20999861</v>
      </c>
      <c r="F15" s="206">
        <v>0.70673335584853725</v>
      </c>
      <c r="G15" s="211">
        <v>29799</v>
      </c>
      <c r="H15" s="208">
        <v>0.70759622919288578</v>
      </c>
      <c r="I15" s="102"/>
      <c r="K15" s="41"/>
      <c r="M15" s="392"/>
      <c r="N15" s="393"/>
      <c r="O15" s="394"/>
      <c r="P15" s="395"/>
      <c r="Q15" s="394"/>
    </row>
    <row r="16" spans="1:17" ht="14.25" thickTop="1" thickBot="1">
      <c r="A16" s="40"/>
      <c r="B16" s="139"/>
      <c r="C16" s="140"/>
      <c r="D16" s="278" t="s">
        <v>40</v>
      </c>
      <c r="E16" s="279">
        <f>SUM(E14:E15)</f>
        <v>217553534.06999868</v>
      </c>
      <c r="F16" s="280">
        <f>SUM(F14:F15)</f>
        <v>1.000000000000004</v>
      </c>
      <c r="G16" s="296">
        <f>SUM(G14:G15)</f>
        <v>42113</v>
      </c>
      <c r="H16" s="297">
        <f>SUM(H14:H15)</f>
        <v>1</v>
      </c>
      <c r="I16" s="102"/>
      <c r="K16" s="41"/>
      <c r="M16" s="378"/>
      <c r="N16" s="379"/>
      <c r="O16" s="341"/>
      <c r="P16" s="340"/>
      <c r="Q16" s="341"/>
    </row>
    <row r="17" spans="1:17">
      <c r="A17" s="40"/>
      <c r="B17" s="139"/>
      <c r="C17" s="140"/>
      <c r="D17" s="133"/>
      <c r="E17" s="212"/>
      <c r="F17" s="213"/>
      <c r="G17" s="136"/>
      <c r="H17" s="213"/>
      <c r="I17" s="102"/>
      <c r="K17" s="41"/>
      <c r="M17" s="142"/>
      <c r="N17" s="134"/>
      <c r="O17" s="396"/>
      <c r="P17" s="144"/>
      <c r="Q17" s="396"/>
    </row>
    <row r="18" spans="1:17" ht="13.5" thickBot="1">
      <c r="A18" s="40"/>
      <c r="B18" s="139"/>
      <c r="C18" s="140"/>
      <c r="D18" s="133"/>
      <c r="E18" s="212"/>
      <c r="F18" s="213"/>
      <c r="G18" s="136"/>
      <c r="H18" s="213"/>
      <c r="I18" s="102"/>
      <c r="K18" s="41"/>
      <c r="M18" s="142"/>
      <c r="N18" s="134"/>
      <c r="O18" s="396"/>
      <c r="P18" s="144"/>
      <c r="Q18" s="396"/>
    </row>
    <row r="19" spans="1:17" ht="28.5">
      <c r="A19" s="40"/>
      <c r="B19" s="139"/>
      <c r="C19" s="140"/>
      <c r="D19" s="286" t="s">
        <v>339</v>
      </c>
      <c r="E19" s="287" t="s">
        <v>156</v>
      </c>
      <c r="F19" s="288" t="s">
        <v>70</v>
      </c>
      <c r="G19" s="289" t="s">
        <v>71</v>
      </c>
      <c r="H19" s="290" t="s">
        <v>72</v>
      </c>
      <c r="I19" s="102"/>
      <c r="K19" s="41"/>
      <c r="M19" s="142"/>
      <c r="N19" s="142"/>
      <c r="O19" s="142"/>
      <c r="P19" s="142"/>
      <c r="Q19" s="142"/>
    </row>
    <row r="20" spans="1:17" ht="14.25">
      <c r="A20" s="40"/>
      <c r="B20" s="139"/>
      <c r="C20" s="140"/>
      <c r="D20" s="204" t="s">
        <v>73</v>
      </c>
      <c r="E20" s="205">
        <v>155502950.15999904</v>
      </c>
      <c r="F20" s="206">
        <v>0.71478016123592836</v>
      </c>
      <c r="G20" s="207">
        <v>31176</v>
      </c>
      <c r="H20" s="208">
        <v>0.74029397098283189</v>
      </c>
      <c r="I20" s="102"/>
      <c r="K20" s="41"/>
      <c r="M20" s="317"/>
      <c r="N20" s="329"/>
      <c r="O20" s="327"/>
      <c r="P20" s="328"/>
      <c r="Q20" s="328"/>
    </row>
    <row r="21" spans="1:17" ht="13.5" thickBot="1">
      <c r="A21" s="40"/>
      <c r="B21" s="139"/>
      <c r="C21" s="140"/>
      <c r="D21" s="209" t="s">
        <v>76</v>
      </c>
      <c r="E21" s="210">
        <v>62050583.909999907</v>
      </c>
      <c r="F21" s="206">
        <v>0.28521983876407703</v>
      </c>
      <c r="G21" s="211">
        <v>10937</v>
      </c>
      <c r="H21" s="208">
        <v>0.25970602901716811</v>
      </c>
      <c r="I21" s="102"/>
      <c r="K21" s="41"/>
      <c r="M21" s="392"/>
      <c r="N21" s="393"/>
      <c r="O21" s="394"/>
      <c r="P21" s="395"/>
      <c r="Q21" s="394"/>
    </row>
    <row r="22" spans="1:17" ht="14.25" thickTop="1" thickBot="1">
      <c r="A22" s="40"/>
      <c r="B22" s="139"/>
      <c r="C22" s="140"/>
      <c r="D22" s="278" t="s">
        <v>40</v>
      </c>
      <c r="E22" s="279">
        <f>SUM(E20:E21)</f>
        <v>217553534.06999895</v>
      </c>
      <c r="F22" s="280">
        <f>SUM(F20:F21)</f>
        <v>1.0000000000000053</v>
      </c>
      <c r="G22" s="296">
        <f>SUM(G20:G21)</f>
        <v>42113</v>
      </c>
      <c r="H22" s="297">
        <f>SUM(H20:H21)</f>
        <v>1</v>
      </c>
      <c r="I22" s="102"/>
      <c r="K22" s="41"/>
      <c r="M22" s="392"/>
      <c r="N22" s="393"/>
      <c r="O22" s="394"/>
      <c r="P22" s="395"/>
      <c r="Q22" s="394"/>
    </row>
    <row r="23" spans="1:17">
      <c r="A23" s="40"/>
      <c r="B23" s="139"/>
      <c r="C23" s="140"/>
      <c r="D23" s="378"/>
      <c r="E23" s="379"/>
      <c r="F23" s="341"/>
      <c r="G23" s="340"/>
      <c r="H23" s="341"/>
      <c r="I23" s="102"/>
      <c r="K23" s="41"/>
      <c r="M23" s="378"/>
      <c r="N23" s="379"/>
      <c r="O23" s="341"/>
      <c r="P23" s="340"/>
      <c r="Q23" s="341"/>
    </row>
    <row r="24" spans="1:17">
      <c r="A24" s="40"/>
      <c r="B24" s="139"/>
      <c r="C24" s="140"/>
      <c r="D24" s="200"/>
      <c r="E24" s="201"/>
      <c r="F24" s="202"/>
      <c r="G24" s="203"/>
      <c r="H24" s="202"/>
      <c r="I24" s="102"/>
      <c r="K24" s="41"/>
      <c r="M24" s="200"/>
      <c r="N24" s="201"/>
      <c r="O24" s="202"/>
      <c r="P24" s="203"/>
      <c r="Q24" s="202"/>
    </row>
    <row r="25" spans="1:17">
      <c r="A25" s="40"/>
      <c r="B25" s="139"/>
      <c r="C25" s="140"/>
      <c r="D25" s="200"/>
      <c r="E25" s="201"/>
      <c r="F25" s="202"/>
      <c r="G25" s="203"/>
      <c r="H25" s="202"/>
      <c r="I25" s="102"/>
      <c r="K25" s="41"/>
      <c r="M25" s="200"/>
      <c r="N25" s="201"/>
      <c r="O25" s="202"/>
      <c r="P25" s="203"/>
      <c r="Q25" s="202"/>
    </row>
    <row r="26" spans="1:17">
      <c r="A26" s="40"/>
      <c r="B26" s="139"/>
      <c r="C26" s="140"/>
      <c r="D26" s="731"/>
      <c r="E26" s="731"/>
      <c r="F26" s="731"/>
      <c r="G26" s="731"/>
      <c r="H26" s="731"/>
      <c r="I26" s="102"/>
      <c r="K26" s="41"/>
      <c r="M26" s="200"/>
      <c r="N26" s="201"/>
      <c r="O26" s="202"/>
      <c r="P26" s="203"/>
      <c r="Q26" s="202"/>
    </row>
    <row r="27" spans="1:17">
      <c r="A27" s="40"/>
      <c r="B27" s="139"/>
      <c r="C27" s="140"/>
      <c r="D27" s="732"/>
      <c r="E27" s="733"/>
      <c r="F27" s="733"/>
      <c r="G27" s="733"/>
      <c r="H27" s="733"/>
      <c r="I27" s="731"/>
      <c r="J27" s="34"/>
      <c r="K27" s="41"/>
      <c r="M27" s="200"/>
      <c r="N27" s="201"/>
      <c r="O27" s="202"/>
      <c r="P27" s="203"/>
      <c r="Q27" s="202"/>
    </row>
    <row r="28" spans="1:17">
      <c r="A28" s="40"/>
      <c r="B28" s="139"/>
      <c r="C28" s="140"/>
      <c r="D28" s="732"/>
      <c r="E28" s="733"/>
      <c r="F28" s="733"/>
      <c r="G28" s="733"/>
      <c r="H28" s="733"/>
      <c r="I28" s="733"/>
      <c r="J28" s="34"/>
      <c r="K28" s="41"/>
      <c r="M28" s="200"/>
      <c r="N28" s="201"/>
      <c r="O28" s="202"/>
      <c r="P28" s="203"/>
      <c r="Q28" s="202"/>
    </row>
    <row r="29" spans="1:17">
      <c r="A29" s="40"/>
      <c r="B29" s="139"/>
      <c r="C29" s="140"/>
      <c r="D29" s="200"/>
      <c r="E29" s="732"/>
      <c r="F29" s="733"/>
      <c r="G29" s="733"/>
      <c r="H29" s="733"/>
      <c r="I29" s="733"/>
      <c r="J29" s="34"/>
      <c r="K29" s="41"/>
      <c r="M29" s="200"/>
      <c r="N29" s="201"/>
      <c r="O29" s="202"/>
      <c r="P29" s="203"/>
      <c r="Q29" s="202"/>
    </row>
    <row r="30" spans="1:17">
      <c r="A30" s="40"/>
      <c r="B30" s="139"/>
      <c r="C30" s="140"/>
      <c r="D30" s="200"/>
      <c r="E30" s="201"/>
      <c r="F30" s="202"/>
      <c r="G30" s="203"/>
      <c r="H30" s="202"/>
      <c r="I30" s="102"/>
      <c r="J30" s="34"/>
      <c r="K30" s="41"/>
      <c r="M30" s="200"/>
      <c r="N30" s="201"/>
      <c r="O30" s="202"/>
      <c r="P30" s="203"/>
      <c r="Q30" s="202"/>
    </row>
    <row r="31" spans="1:17">
      <c r="A31" s="40"/>
      <c r="B31" s="139"/>
      <c r="C31" s="140"/>
      <c r="D31" s="200"/>
      <c r="E31" s="201"/>
      <c r="F31" s="202"/>
      <c r="G31" s="203"/>
      <c r="H31" s="202"/>
      <c r="I31" s="102"/>
      <c r="J31" s="34"/>
      <c r="K31" s="41"/>
      <c r="M31" s="200"/>
      <c r="N31" s="201"/>
      <c r="O31" s="202"/>
      <c r="P31" s="203"/>
      <c r="Q31" s="202"/>
    </row>
    <row r="32" spans="1:17">
      <c r="A32" s="40"/>
      <c r="B32" s="139"/>
      <c r="C32" s="140"/>
      <c r="D32" s="200"/>
      <c r="E32" s="201"/>
      <c r="F32" s="202"/>
      <c r="G32" s="203"/>
      <c r="H32" s="202"/>
      <c r="I32" s="102"/>
      <c r="J32" s="34"/>
      <c r="K32" s="41"/>
      <c r="M32" s="200"/>
      <c r="N32" s="201"/>
      <c r="O32" s="202"/>
      <c r="P32" s="203"/>
      <c r="Q32" s="202"/>
    </row>
    <row r="33" spans="1:17">
      <c r="A33" s="40"/>
      <c r="B33" s="139"/>
      <c r="C33" s="140"/>
      <c r="D33" s="200"/>
      <c r="E33" s="201"/>
      <c r="F33" s="202"/>
      <c r="G33" s="203"/>
      <c r="H33" s="202"/>
      <c r="I33" s="102"/>
      <c r="K33" s="41"/>
      <c r="M33" s="200"/>
      <c r="N33" s="201"/>
      <c r="O33" s="202"/>
      <c r="P33" s="203"/>
      <c r="Q33" s="202"/>
    </row>
    <row r="34" spans="1:17">
      <c r="A34" s="40"/>
      <c r="B34" s="139"/>
      <c r="C34" s="140"/>
      <c r="D34" s="200"/>
      <c r="E34" s="201"/>
      <c r="F34" s="202"/>
      <c r="G34" s="203"/>
      <c r="H34" s="202"/>
      <c r="I34" s="102"/>
      <c r="K34" s="41"/>
      <c r="M34" s="200"/>
      <c r="N34" s="201"/>
      <c r="O34" s="202"/>
      <c r="P34" s="203"/>
      <c r="Q34" s="202"/>
    </row>
    <row r="35" spans="1:17">
      <c r="A35" s="40"/>
      <c r="B35" s="139"/>
      <c r="C35" s="140"/>
      <c r="D35" s="200"/>
      <c r="E35" s="201"/>
      <c r="F35" s="202"/>
      <c r="G35" s="203"/>
      <c r="H35" s="202"/>
      <c r="I35" s="102"/>
      <c r="K35" s="41"/>
      <c r="M35" s="200"/>
      <c r="N35" s="201"/>
      <c r="O35" s="202"/>
      <c r="P35" s="203"/>
      <c r="Q35" s="202"/>
    </row>
    <row r="36" spans="1:17">
      <c r="A36" s="40"/>
      <c r="B36" s="139"/>
      <c r="C36" s="140"/>
      <c r="D36" s="200"/>
      <c r="E36" s="201"/>
      <c r="F36" s="202"/>
      <c r="G36" s="203"/>
      <c r="H36" s="202"/>
      <c r="I36" s="102"/>
      <c r="K36" s="41"/>
      <c r="M36" s="200"/>
      <c r="N36" s="201"/>
      <c r="O36" s="202"/>
      <c r="P36" s="203"/>
      <c r="Q36" s="202"/>
    </row>
    <row r="37" spans="1:17">
      <c r="A37" s="40"/>
      <c r="B37" s="139"/>
      <c r="C37" s="140"/>
      <c r="D37" s="200"/>
      <c r="E37" s="201"/>
      <c r="F37" s="202"/>
      <c r="G37" s="203"/>
      <c r="H37" s="202"/>
      <c r="I37" s="102"/>
      <c r="K37" s="41"/>
      <c r="M37" s="200"/>
      <c r="N37" s="201"/>
      <c r="O37" s="202"/>
      <c r="P37" s="203"/>
      <c r="Q37" s="202"/>
    </row>
    <row r="38" spans="1:17">
      <c r="A38" s="40"/>
      <c r="B38" s="139"/>
      <c r="C38" s="140"/>
      <c r="D38" s="200"/>
      <c r="E38" s="201"/>
      <c r="F38" s="202"/>
      <c r="G38" s="203"/>
      <c r="H38" s="202"/>
      <c r="I38" s="102"/>
      <c r="K38" s="41"/>
      <c r="M38" s="200"/>
      <c r="N38" s="201"/>
      <c r="O38" s="202"/>
      <c r="P38" s="203"/>
      <c r="Q38" s="202"/>
    </row>
    <row r="39" spans="1:17">
      <c r="A39" s="40"/>
      <c r="B39" s="139"/>
      <c r="C39" s="140"/>
      <c r="D39" s="200"/>
      <c r="E39" s="201"/>
      <c r="F39" s="202"/>
      <c r="G39" s="203"/>
      <c r="H39" s="202"/>
      <c r="I39" s="102"/>
      <c r="K39" s="41"/>
      <c r="M39" s="200"/>
      <c r="N39" s="201"/>
      <c r="O39" s="202"/>
      <c r="P39" s="203"/>
      <c r="Q39" s="202"/>
    </row>
    <row r="40" spans="1:17">
      <c r="A40" s="40"/>
      <c r="B40" s="139"/>
      <c r="C40" s="140"/>
      <c r="D40" s="200"/>
      <c r="E40" s="201"/>
      <c r="F40" s="202"/>
      <c r="G40" s="203"/>
      <c r="H40" s="202"/>
      <c r="I40" s="102"/>
      <c r="K40" s="41"/>
      <c r="M40" s="200"/>
      <c r="N40" s="201"/>
      <c r="O40" s="202"/>
      <c r="P40" s="203"/>
      <c r="Q40" s="202"/>
    </row>
    <row r="41" spans="1:17">
      <c r="A41" s="40"/>
      <c r="B41" s="139"/>
      <c r="C41" s="140"/>
      <c r="D41" s="200"/>
      <c r="E41" s="201"/>
      <c r="F41" s="202"/>
      <c r="G41" s="203"/>
      <c r="H41" s="202"/>
      <c r="I41" s="102"/>
      <c r="K41" s="41"/>
      <c r="M41" s="200"/>
      <c r="N41" s="201"/>
      <c r="O41" s="202"/>
      <c r="P41" s="203"/>
      <c r="Q41" s="202"/>
    </row>
    <row r="42" spans="1:17">
      <c r="A42" s="40"/>
      <c r="B42" s="139"/>
      <c r="C42" s="140"/>
      <c r="D42" s="200"/>
      <c r="E42" s="201"/>
      <c r="F42" s="202"/>
      <c r="G42" s="203"/>
      <c r="H42" s="202"/>
      <c r="I42" s="102"/>
      <c r="K42" s="41"/>
      <c r="M42" s="200"/>
      <c r="N42" s="201"/>
      <c r="O42" s="202"/>
      <c r="P42" s="203"/>
      <c r="Q42" s="202"/>
    </row>
    <row r="43" spans="1:17">
      <c r="A43" s="40"/>
      <c r="B43" s="139"/>
      <c r="C43" s="140"/>
      <c r="D43" s="200"/>
      <c r="E43" s="201"/>
      <c r="F43" s="202"/>
      <c r="G43" s="203"/>
      <c r="H43" s="202"/>
      <c r="I43" s="102"/>
      <c r="K43" s="41"/>
      <c r="M43" s="200"/>
      <c r="N43" s="201"/>
      <c r="O43" s="202"/>
      <c r="P43" s="203"/>
      <c r="Q43" s="202"/>
    </row>
    <row r="44" spans="1:17">
      <c r="A44" s="40"/>
      <c r="B44" s="139"/>
      <c r="C44" s="140"/>
      <c r="D44" s="200"/>
      <c r="E44" s="201"/>
      <c r="F44" s="202"/>
      <c r="G44" s="203"/>
      <c r="H44" s="202"/>
      <c r="I44" s="102"/>
      <c r="K44" s="41"/>
      <c r="M44" s="200"/>
      <c r="N44" s="201"/>
      <c r="O44" s="202"/>
      <c r="P44" s="203"/>
      <c r="Q44" s="202"/>
    </row>
    <row r="45" spans="1:17">
      <c r="A45" s="40"/>
      <c r="B45" s="139"/>
      <c r="C45" s="140"/>
      <c r="D45" s="200"/>
      <c r="E45" s="201"/>
      <c r="F45" s="202"/>
      <c r="G45" s="203"/>
      <c r="H45" s="202"/>
      <c r="I45" s="102"/>
      <c r="K45" s="41"/>
      <c r="M45" s="200"/>
      <c r="N45" s="201"/>
      <c r="O45" s="202"/>
      <c r="P45" s="203"/>
      <c r="Q45" s="202"/>
    </row>
    <row r="46" spans="1:17">
      <c r="A46" s="40"/>
      <c r="B46" s="139"/>
      <c r="C46" s="140"/>
      <c r="D46" s="200"/>
      <c r="E46" s="201"/>
      <c r="F46" s="202"/>
      <c r="G46" s="203"/>
      <c r="H46" s="202"/>
      <c r="I46" s="102"/>
      <c r="K46" s="41"/>
      <c r="M46" s="200"/>
      <c r="N46" s="201"/>
      <c r="O46" s="202"/>
      <c r="P46" s="203"/>
      <c r="Q46" s="202"/>
    </row>
    <row r="47" spans="1:17">
      <c r="A47" s="60"/>
      <c r="B47" s="167"/>
      <c r="C47" s="168"/>
      <c r="D47" s="169"/>
      <c r="E47" s="170"/>
      <c r="F47" s="171"/>
      <c r="G47" s="172"/>
      <c r="H47" s="171"/>
      <c r="I47" s="126"/>
      <c r="J47" s="61"/>
      <c r="K47" s="79"/>
      <c r="M47" s="156"/>
      <c r="N47" s="157"/>
      <c r="O47" s="141"/>
      <c r="P47" s="158"/>
      <c r="Q47" s="141"/>
    </row>
    <row r="48" spans="1:17">
      <c r="A48" s="36"/>
      <c r="B48" s="139"/>
      <c r="C48" s="140"/>
      <c r="D48" s="156"/>
      <c r="E48" s="157"/>
      <c r="F48" s="141"/>
      <c r="G48" s="158"/>
      <c r="H48" s="141"/>
      <c r="I48" s="102"/>
      <c r="J48" s="34"/>
      <c r="K48" s="34"/>
      <c r="L48" s="34"/>
      <c r="M48" s="156"/>
      <c r="N48" s="157"/>
      <c r="O48" s="141"/>
      <c r="P48" s="158"/>
      <c r="Q48" s="141"/>
    </row>
    <row r="49" spans="2:17" s="34" customFormat="1">
      <c r="B49" s="139"/>
      <c r="C49" s="140"/>
      <c r="D49" s="156"/>
      <c r="E49" s="157"/>
      <c r="F49" s="141"/>
      <c r="G49" s="158"/>
      <c r="H49" s="141"/>
      <c r="I49" s="102"/>
      <c r="M49" s="156"/>
      <c r="N49" s="157"/>
      <c r="O49" s="141"/>
      <c r="P49" s="158"/>
      <c r="Q49" s="141"/>
    </row>
    <row r="50" spans="2:17" s="34" customFormat="1">
      <c r="B50" s="139"/>
      <c r="C50" s="140"/>
      <c r="D50" s="156"/>
      <c r="E50" s="157"/>
      <c r="F50" s="141"/>
      <c r="G50" s="158"/>
      <c r="H50" s="141"/>
      <c r="I50" s="102"/>
      <c r="M50" s="156"/>
      <c r="N50" s="157"/>
      <c r="O50" s="141"/>
      <c r="P50" s="158"/>
      <c r="Q50" s="141"/>
    </row>
    <row r="51" spans="2:17" s="4" customFormat="1" ht="15" customHeight="1">
      <c r="B51" s="139"/>
      <c r="C51" s="140"/>
      <c r="D51" s="156"/>
      <c r="E51" s="157"/>
      <c r="F51" s="141"/>
      <c r="G51" s="158"/>
      <c r="H51" s="141"/>
      <c r="I51" s="18"/>
      <c r="M51" s="156"/>
      <c r="N51" s="157"/>
      <c r="O51" s="141"/>
      <c r="P51" s="158"/>
      <c r="Q51" s="141"/>
    </row>
    <row r="52" spans="2:17" s="4" customFormat="1">
      <c r="B52" s="139"/>
      <c r="C52" s="140"/>
      <c r="D52" s="156"/>
      <c r="E52" s="157"/>
      <c r="F52" s="141"/>
      <c r="G52" s="158"/>
      <c r="H52" s="141"/>
      <c r="I52" s="18"/>
      <c r="M52" s="156"/>
      <c r="N52" s="157"/>
      <c r="O52" s="141"/>
      <c r="P52" s="158"/>
      <c r="Q52" s="141"/>
    </row>
    <row r="53" spans="2:17" s="34" customFormat="1">
      <c r="B53" s="139"/>
      <c r="C53" s="140"/>
      <c r="D53" s="156"/>
      <c r="E53" s="157"/>
      <c r="F53" s="141"/>
      <c r="G53" s="158"/>
      <c r="H53" s="141"/>
      <c r="I53" s="102"/>
      <c r="M53" s="156"/>
      <c r="N53" s="157"/>
      <c r="O53" s="141"/>
      <c r="P53" s="158"/>
      <c r="Q53" s="141"/>
    </row>
    <row r="54" spans="2:17" s="34" customFormat="1">
      <c r="B54" s="139"/>
      <c r="C54" s="140"/>
      <c r="D54" s="156"/>
      <c r="E54" s="157"/>
      <c r="F54" s="141"/>
      <c r="G54" s="158"/>
      <c r="H54" s="141"/>
      <c r="I54" s="102"/>
      <c r="M54" s="156"/>
      <c r="N54" s="157"/>
      <c r="O54" s="141"/>
      <c r="P54" s="158"/>
      <c r="Q54" s="141"/>
    </row>
    <row r="55" spans="2:17" s="34" customFormat="1">
      <c r="B55" s="139"/>
      <c r="C55" s="140"/>
      <c r="D55" s="156"/>
      <c r="E55" s="157"/>
      <c r="F55" s="141"/>
      <c r="G55" s="158"/>
      <c r="H55" s="141"/>
      <c r="I55" s="102"/>
      <c r="M55" s="156"/>
      <c r="N55" s="157"/>
      <c r="O55" s="141"/>
      <c r="P55" s="158"/>
      <c r="Q55" s="141"/>
    </row>
    <row r="56" spans="2:17" s="34" customFormat="1">
      <c r="B56" s="139"/>
      <c r="C56" s="140"/>
      <c r="D56" s="156"/>
      <c r="E56" s="157"/>
      <c r="F56" s="141"/>
      <c r="G56" s="158"/>
      <c r="H56" s="141"/>
      <c r="I56" s="102"/>
      <c r="M56" s="156"/>
      <c r="N56" s="157"/>
      <c r="O56" s="141"/>
      <c r="P56" s="158"/>
      <c r="Q56" s="141"/>
    </row>
    <row r="57" spans="2:17" s="34" customFormat="1">
      <c r="B57" s="139"/>
      <c r="C57" s="140"/>
      <c r="D57" s="156"/>
      <c r="E57" s="157"/>
      <c r="F57" s="141"/>
      <c r="G57" s="158"/>
      <c r="H57" s="141"/>
      <c r="I57" s="102"/>
      <c r="M57" s="156"/>
      <c r="N57" s="157"/>
      <c r="O57" s="141"/>
      <c r="P57" s="158"/>
      <c r="Q57" s="141"/>
    </row>
    <row r="58" spans="2:17" s="34" customFormat="1">
      <c r="B58" s="139"/>
      <c r="C58" s="140"/>
      <c r="D58" s="156"/>
      <c r="E58" s="157"/>
      <c r="F58" s="141"/>
      <c r="G58" s="158"/>
      <c r="H58" s="141"/>
      <c r="I58" s="102"/>
      <c r="M58" s="156"/>
      <c r="N58" s="157"/>
      <c r="O58" s="141"/>
      <c r="P58" s="158"/>
      <c r="Q58" s="141"/>
    </row>
    <row r="59" spans="2:17" s="34" customFormat="1">
      <c r="B59" s="139"/>
      <c r="C59" s="140"/>
      <c r="D59" s="156"/>
      <c r="E59" s="157"/>
      <c r="F59" s="141"/>
      <c r="G59" s="158"/>
      <c r="H59" s="141"/>
      <c r="I59" s="102"/>
      <c r="M59" s="156"/>
      <c r="N59" s="157"/>
      <c r="O59" s="141"/>
      <c r="P59" s="158"/>
      <c r="Q59" s="141"/>
    </row>
    <row r="60" spans="2:17" s="34" customFormat="1">
      <c r="B60" s="139"/>
      <c r="C60" s="140"/>
      <c r="D60" s="156"/>
      <c r="E60" s="157"/>
      <c r="F60" s="141"/>
      <c r="G60" s="158"/>
      <c r="H60" s="141"/>
      <c r="I60" s="102"/>
      <c r="M60" s="156"/>
      <c r="N60" s="157"/>
      <c r="O60" s="141"/>
      <c r="P60" s="158"/>
      <c r="Q60" s="141"/>
    </row>
    <row r="61" spans="2:17" s="34" customFormat="1">
      <c r="B61" s="139"/>
      <c r="C61" s="140"/>
      <c r="D61" s="156"/>
      <c r="E61" s="157"/>
      <c r="F61" s="141"/>
      <c r="G61" s="158"/>
      <c r="H61" s="141"/>
      <c r="I61" s="102"/>
      <c r="M61" s="156"/>
      <c r="N61" s="157"/>
      <c r="O61" s="141"/>
      <c r="P61" s="158"/>
      <c r="Q61" s="141"/>
    </row>
    <row r="62" spans="2:17" s="34" customFormat="1">
      <c r="B62" s="139"/>
      <c r="C62" s="140"/>
      <c r="D62" s="156"/>
      <c r="E62" s="157"/>
      <c r="F62" s="141"/>
      <c r="G62" s="158"/>
      <c r="H62" s="141"/>
      <c r="I62" s="102"/>
      <c r="M62" s="156"/>
      <c r="N62" s="157"/>
      <c r="O62" s="141"/>
      <c r="P62" s="158"/>
      <c r="Q62" s="141"/>
    </row>
    <row r="63" spans="2:17" s="34" customFormat="1">
      <c r="B63" s="139"/>
      <c r="C63" s="140"/>
      <c r="D63" s="156"/>
      <c r="E63" s="157"/>
      <c r="F63" s="141"/>
      <c r="G63" s="158"/>
      <c r="H63" s="141"/>
      <c r="I63" s="102"/>
      <c r="M63" s="156"/>
      <c r="N63" s="157"/>
      <c r="O63" s="141"/>
      <c r="P63" s="158"/>
      <c r="Q63" s="141"/>
    </row>
    <row r="64" spans="2:17" s="34" customFormat="1">
      <c r="B64" s="139"/>
      <c r="C64" s="140"/>
      <c r="D64" s="156"/>
      <c r="E64" s="157"/>
      <c r="F64" s="141"/>
      <c r="G64" s="158"/>
      <c r="H64" s="141"/>
      <c r="I64" s="102"/>
      <c r="M64" s="156"/>
      <c r="N64" s="157"/>
      <c r="O64" s="141"/>
      <c r="P64" s="158"/>
      <c r="Q64" s="141"/>
    </row>
    <row r="65" spans="2:17" s="34" customFormat="1">
      <c r="B65" s="139"/>
      <c r="C65" s="140"/>
      <c r="D65" s="156"/>
      <c r="E65" s="157"/>
      <c r="F65" s="141"/>
      <c r="G65" s="158"/>
      <c r="H65" s="141"/>
      <c r="I65" s="102"/>
      <c r="M65" s="156"/>
      <c r="N65" s="157"/>
      <c r="O65" s="141"/>
      <c r="P65" s="158"/>
      <c r="Q65" s="141"/>
    </row>
    <row r="66" spans="2:17" s="34" customFormat="1">
      <c r="B66" s="139"/>
      <c r="C66" s="140"/>
      <c r="D66" s="156"/>
      <c r="E66" s="157"/>
      <c r="F66" s="141"/>
      <c r="G66" s="158"/>
      <c r="H66" s="141"/>
      <c r="I66" s="102"/>
      <c r="M66" s="156"/>
      <c r="N66" s="157"/>
      <c r="O66" s="141"/>
      <c r="P66" s="158"/>
      <c r="Q66" s="141"/>
    </row>
    <row r="67" spans="2:17" s="34" customFormat="1">
      <c r="B67" s="139"/>
      <c r="C67" s="140"/>
      <c r="D67" s="156"/>
      <c r="E67" s="157"/>
      <c r="F67" s="141"/>
      <c r="G67" s="158"/>
      <c r="H67" s="141"/>
      <c r="I67" s="102"/>
      <c r="M67" s="156"/>
      <c r="N67" s="157"/>
      <c r="O67" s="141"/>
      <c r="P67" s="158"/>
      <c r="Q67" s="141"/>
    </row>
    <row r="68" spans="2:17" s="34" customFormat="1">
      <c r="B68" s="139"/>
      <c r="C68" s="140"/>
      <c r="D68" s="156"/>
      <c r="E68" s="157"/>
      <c r="F68" s="141"/>
      <c r="G68" s="158"/>
      <c r="H68" s="141"/>
      <c r="I68" s="102"/>
      <c r="M68" s="156"/>
      <c r="N68" s="157"/>
      <c r="O68" s="141"/>
      <c r="P68" s="158"/>
      <c r="Q68" s="141"/>
    </row>
    <row r="69" spans="2:17" s="34" customFormat="1">
      <c r="B69" s="139"/>
      <c r="C69" s="140"/>
      <c r="D69" s="156"/>
      <c r="E69" s="157"/>
      <c r="F69" s="141"/>
      <c r="G69" s="158"/>
      <c r="H69" s="141"/>
      <c r="I69" s="102"/>
      <c r="M69" s="156"/>
      <c r="N69" s="157"/>
      <c r="O69" s="141"/>
      <c r="P69" s="158"/>
      <c r="Q69" s="141"/>
    </row>
    <row r="70" spans="2:17" s="34" customFormat="1">
      <c r="B70" s="139"/>
      <c r="C70" s="140"/>
      <c r="D70" s="156"/>
      <c r="E70" s="157"/>
      <c r="F70" s="141"/>
      <c r="G70" s="158"/>
      <c r="H70" s="141"/>
      <c r="I70" s="102"/>
      <c r="M70" s="156"/>
      <c r="N70" s="157"/>
      <c r="O70" s="141"/>
      <c r="P70" s="158"/>
      <c r="Q70" s="141"/>
    </row>
    <row r="71" spans="2:17" s="34" customFormat="1">
      <c r="B71" s="139"/>
      <c r="C71" s="140"/>
      <c r="D71" s="156"/>
      <c r="E71" s="157"/>
      <c r="F71" s="141"/>
      <c r="G71" s="158"/>
      <c r="H71" s="141"/>
      <c r="I71" s="102"/>
      <c r="M71" s="156"/>
      <c r="N71" s="157"/>
      <c r="O71" s="141"/>
      <c r="P71" s="158"/>
      <c r="Q71" s="141"/>
    </row>
    <row r="72" spans="2:17" s="34" customFormat="1">
      <c r="B72" s="139"/>
      <c r="C72" s="140"/>
      <c r="D72" s="156"/>
      <c r="E72" s="157"/>
      <c r="F72" s="141"/>
      <c r="G72" s="158"/>
      <c r="H72" s="141"/>
      <c r="I72" s="102"/>
      <c r="M72" s="156"/>
      <c r="N72" s="157"/>
      <c r="O72" s="141"/>
      <c r="P72" s="158"/>
      <c r="Q72" s="141"/>
    </row>
    <row r="73" spans="2:17" s="34" customFormat="1">
      <c r="B73" s="139"/>
      <c r="C73" s="140"/>
      <c r="D73" s="156"/>
      <c r="E73" s="157"/>
      <c r="F73" s="141"/>
      <c r="G73" s="158"/>
      <c r="H73" s="141"/>
      <c r="I73" s="102"/>
      <c r="M73" s="156"/>
      <c r="N73" s="157"/>
      <c r="O73" s="141"/>
      <c r="P73" s="158"/>
      <c r="Q73" s="141"/>
    </row>
    <row r="74" spans="2:17" s="34" customFormat="1">
      <c r="B74" s="139"/>
      <c r="C74" s="140"/>
      <c r="D74" s="156"/>
      <c r="E74" s="157"/>
      <c r="F74" s="141"/>
      <c r="G74" s="158"/>
      <c r="H74" s="141"/>
      <c r="I74" s="102"/>
      <c r="M74" s="156"/>
      <c r="N74" s="157"/>
      <c r="O74" s="141"/>
      <c r="P74" s="158"/>
      <c r="Q74" s="141"/>
    </row>
    <row r="75" spans="2:17" s="34" customFormat="1">
      <c r="B75" s="139"/>
      <c r="C75" s="140"/>
      <c r="D75" s="156"/>
      <c r="E75" s="157"/>
      <c r="F75" s="141"/>
      <c r="G75" s="158"/>
      <c r="H75" s="141"/>
      <c r="I75" s="102"/>
      <c r="M75" s="156"/>
      <c r="N75" s="157"/>
      <c r="O75" s="141"/>
      <c r="P75" s="158"/>
      <c r="Q75" s="141"/>
    </row>
    <row r="76" spans="2:17" s="34" customFormat="1">
      <c r="B76" s="139"/>
      <c r="C76" s="140"/>
      <c r="D76" s="156"/>
      <c r="E76" s="157"/>
      <c r="F76" s="141"/>
      <c r="G76" s="158"/>
      <c r="H76" s="141"/>
      <c r="I76" s="102"/>
      <c r="M76" s="156"/>
      <c r="N76" s="157"/>
      <c r="O76" s="141"/>
      <c r="P76" s="158"/>
      <c r="Q76" s="141"/>
    </row>
    <row r="77" spans="2:17" s="34" customFormat="1">
      <c r="B77" s="139"/>
      <c r="C77" s="140"/>
      <c r="D77" s="156"/>
      <c r="E77" s="157"/>
      <c r="F77" s="141"/>
      <c r="G77" s="158"/>
      <c r="H77" s="141"/>
      <c r="I77" s="102"/>
      <c r="M77" s="156"/>
      <c r="N77" s="157"/>
      <c r="O77" s="141"/>
      <c r="P77" s="158"/>
      <c r="Q77" s="141"/>
    </row>
    <row r="78" spans="2:17" s="34" customFormat="1">
      <c r="B78" s="139"/>
      <c r="C78" s="140"/>
      <c r="D78" s="156"/>
      <c r="E78" s="157"/>
      <c r="F78" s="141"/>
      <c r="G78" s="158"/>
      <c r="H78" s="141"/>
      <c r="I78" s="102"/>
      <c r="M78" s="156"/>
      <c r="N78" s="157"/>
      <c r="O78" s="141"/>
      <c r="P78" s="158"/>
      <c r="Q78" s="141"/>
    </row>
    <row r="79" spans="2:17" s="34" customFormat="1">
      <c r="B79" s="139"/>
      <c r="C79" s="140"/>
      <c r="D79" s="156"/>
      <c r="E79" s="157"/>
      <c r="F79" s="141"/>
      <c r="G79" s="158"/>
      <c r="H79" s="141"/>
      <c r="I79" s="102"/>
      <c r="M79" s="156"/>
      <c r="N79" s="157"/>
      <c r="O79" s="141"/>
      <c r="P79" s="158"/>
      <c r="Q79" s="141"/>
    </row>
    <row r="80" spans="2:17" s="34" customFormat="1">
      <c r="B80" s="139"/>
      <c r="C80" s="140"/>
      <c r="D80" s="156"/>
      <c r="E80" s="157"/>
      <c r="F80" s="141"/>
      <c r="G80" s="158"/>
      <c r="H80" s="141"/>
      <c r="I80" s="102"/>
      <c r="M80" s="156"/>
      <c r="N80" s="157"/>
      <c r="O80" s="141"/>
      <c r="P80" s="158"/>
      <c r="Q80" s="141"/>
    </row>
    <row r="81" spans="2:17" s="34" customFormat="1">
      <c r="B81" s="139"/>
      <c r="C81" s="140"/>
      <c r="D81" s="142"/>
      <c r="E81" s="134"/>
      <c r="F81" s="143"/>
      <c r="G81" s="144"/>
      <c r="H81" s="143"/>
      <c r="I81" s="102"/>
      <c r="M81" s="142"/>
      <c r="N81" s="134"/>
      <c r="O81" s="143"/>
      <c r="P81" s="144"/>
      <c r="Q81" s="143"/>
    </row>
    <row r="82" spans="2:17" s="34" customFormat="1">
      <c r="B82" s="139"/>
      <c r="C82" s="140"/>
      <c r="D82" s="142"/>
      <c r="E82" s="142"/>
      <c r="F82" s="142"/>
      <c r="G82" s="142"/>
      <c r="H82" s="142"/>
      <c r="I82" s="102"/>
      <c r="M82" s="142"/>
      <c r="N82" s="142"/>
      <c r="O82" s="142"/>
      <c r="P82" s="142"/>
      <c r="Q82" s="142"/>
    </row>
    <row r="83" spans="2:17" s="34" customFormat="1">
      <c r="B83" s="139"/>
      <c r="C83" s="140"/>
      <c r="D83" s="142"/>
      <c r="E83" s="142"/>
      <c r="F83" s="142"/>
      <c r="G83" s="142"/>
      <c r="H83" s="142"/>
      <c r="I83" s="102"/>
      <c r="M83" s="142"/>
      <c r="N83" s="142"/>
      <c r="O83" s="142"/>
      <c r="P83" s="142"/>
      <c r="Q83" s="142"/>
    </row>
    <row r="84" spans="2:17" s="34" customFormat="1">
      <c r="B84" s="139"/>
      <c r="C84" s="140"/>
      <c r="D84" s="145"/>
      <c r="E84" s="146"/>
      <c r="F84" s="142"/>
      <c r="G84" s="142"/>
      <c r="H84" s="142"/>
      <c r="I84" s="102"/>
      <c r="M84" s="145"/>
      <c r="N84" s="146"/>
      <c r="O84" s="142"/>
      <c r="P84" s="142"/>
      <c r="Q84" s="142"/>
    </row>
    <row r="85" spans="2:17" s="34" customFormat="1">
      <c r="B85" s="139"/>
      <c r="C85" s="140"/>
      <c r="D85" s="134"/>
      <c r="E85" s="146"/>
      <c r="F85" s="142"/>
      <c r="G85" s="142"/>
      <c r="H85" s="142"/>
      <c r="I85" s="102"/>
      <c r="M85" s="134"/>
      <c r="N85" s="146"/>
      <c r="O85" s="142"/>
      <c r="P85" s="142"/>
      <c r="Q85" s="142"/>
    </row>
    <row r="86" spans="2:17" s="34" customFormat="1">
      <c r="B86" s="139"/>
      <c r="C86" s="140"/>
      <c r="D86" s="142"/>
      <c r="E86" s="146"/>
      <c r="F86" s="142"/>
      <c r="G86" s="142"/>
      <c r="H86" s="142"/>
      <c r="I86" s="102"/>
      <c r="M86" s="142"/>
      <c r="N86" s="146"/>
      <c r="O86" s="142"/>
      <c r="P86" s="142"/>
      <c r="Q86" s="142"/>
    </row>
    <row r="87" spans="2:17" s="34" customFormat="1" ht="14.25">
      <c r="B87" s="142"/>
      <c r="C87" s="134"/>
      <c r="D87" s="150"/>
      <c r="E87" s="150"/>
      <c r="F87" s="150"/>
      <c r="G87" s="150"/>
      <c r="H87" s="150"/>
      <c r="I87" s="102"/>
      <c r="M87" s="150"/>
      <c r="N87" s="150"/>
      <c r="O87" s="150"/>
      <c r="P87" s="150"/>
      <c r="Q87" s="150"/>
    </row>
    <row r="88" spans="2:17" s="34" customFormat="1" ht="14.25">
      <c r="B88" s="173"/>
      <c r="C88" s="173"/>
      <c r="D88" s="150"/>
      <c r="E88" s="150"/>
      <c r="F88" s="150"/>
      <c r="G88" s="150"/>
      <c r="H88" s="150"/>
      <c r="I88" s="102"/>
      <c r="M88" s="150"/>
      <c r="N88" s="150"/>
      <c r="O88" s="150"/>
      <c r="P88" s="150"/>
      <c r="Q88" s="150"/>
    </row>
    <row r="89" spans="2:17" s="34" customFormat="1" ht="14.25">
      <c r="B89" s="173"/>
      <c r="C89" s="173"/>
      <c r="D89" s="151"/>
      <c r="E89" s="152"/>
      <c r="F89" s="150"/>
      <c r="G89" s="150"/>
      <c r="H89" s="150"/>
      <c r="I89" s="102"/>
      <c r="M89" s="151"/>
      <c r="N89" s="152"/>
      <c r="O89" s="150"/>
      <c r="P89" s="150"/>
      <c r="Q89" s="150"/>
    </row>
    <row r="90" spans="2:17" s="34" customFormat="1" ht="14.25">
      <c r="B90" s="145"/>
      <c r="C90" s="146"/>
      <c r="D90" s="153"/>
      <c r="E90" s="152"/>
      <c r="F90" s="150"/>
      <c r="G90" s="150"/>
      <c r="H90" s="150"/>
      <c r="I90" s="102"/>
      <c r="M90" s="153"/>
      <c r="N90" s="152"/>
      <c r="O90" s="150"/>
      <c r="P90" s="150"/>
      <c r="Q90" s="150"/>
    </row>
    <row r="91" spans="2:17" s="34" customFormat="1" ht="14.25">
      <c r="B91" s="147"/>
      <c r="C91" s="146"/>
      <c r="D91" s="150"/>
      <c r="E91" s="152"/>
      <c r="F91" s="150"/>
      <c r="G91" s="150"/>
      <c r="H91" s="150"/>
      <c r="I91" s="102"/>
      <c r="M91" s="150"/>
      <c r="N91" s="152"/>
      <c r="O91" s="150"/>
      <c r="P91" s="150"/>
      <c r="Q91" s="150"/>
    </row>
    <row r="92" spans="2:17" s="34" customFormat="1">
      <c r="B92" s="148"/>
      <c r="C92" s="146"/>
      <c r="D92" s="148"/>
      <c r="E92" s="148"/>
      <c r="F92" s="148"/>
      <c r="I92" s="102"/>
      <c r="M92" s="148"/>
      <c r="N92" s="148"/>
      <c r="O92" s="148"/>
    </row>
    <row r="93" spans="2:17" s="34" customFormat="1">
      <c r="I93" s="102"/>
    </row>
    <row r="94" spans="2:17" s="34" customFormat="1">
      <c r="I94" s="102"/>
    </row>
    <row r="95" spans="2:17" s="34" customFormat="1">
      <c r="I95" s="102"/>
    </row>
    <row r="96" spans="2:17" s="34" customFormat="1">
      <c r="I96" s="102"/>
    </row>
    <row r="97" spans="9:9" s="34" customFormat="1">
      <c r="I97" s="102"/>
    </row>
    <row r="98" spans="9:9" s="34" customFormat="1">
      <c r="I98" s="102"/>
    </row>
    <row r="99" spans="9:9" s="34" customFormat="1">
      <c r="I99" s="102"/>
    </row>
    <row r="100" spans="9:9" s="34" customFormat="1">
      <c r="I100" s="102"/>
    </row>
    <row r="101" spans="9:9" s="34" customFormat="1">
      <c r="I101" s="102"/>
    </row>
    <row r="102" spans="9:9" s="34" customFormat="1">
      <c r="I102" s="102"/>
    </row>
    <row r="103" spans="9:9" s="34" customFormat="1">
      <c r="I103" s="102"/>
    </row>
    <row r="104" spans="9:9" s="34" customFormat="1">
      <c r="I104" s="102"/>
    </row>
    <row r="105" spans="9:9" s="34" customFormat="1">
      <c r="I105" s="102"/>
    </row>
    <row r="106" spans="9:9" s="34" customFormat="1">
      <c r="I106" s="102"/>
    </row>
    <row r="107" spans="9:9" s="34" customFormat="1">
      <c r="I107" s="102"/>
    </row>
    <row r="108" spans="9:9" s="34" customFormat="1">
      <c r="I108" s="102"/>
    </row>
    <row r="109" spans="9:9" s="34" customFormat="1">
      <c r="I109" s="102"/>
    </row>
    <row r="110" spans="9:9" s="34" customFormat="1">
      <c r="I110" s="102"/>
    </row>
    <row r="111" spans="9:9" s="34" customFormat="1">
      <c r="I111" s="102"/>
    </row>
    <row r="112" spans="9:9" s="34" customFormat="1">
      <c r="I112" s="102"/>
    </row>
    <row r="113" spans="9:9" s="34" customFormat="1">
      <c r="I113" s="102"/>
    </row>
    <row r="114" spans="9:9" s="34" customFormat="1">
      <c r="I114" s="102"/>
    </row>
    <row r="115" spans="9:9" s="34" customFormat="1">
      <c r="I115" s="102"/>
    </row>
    <row r="116" spans="9:9" s="34" customFormat="1">
      <c r="I116" s="102"/>
    </row>
    <row r="117" spans="9:9" s="34" customFormat="1">
      <c r="I117" s="102"/>
    </row>
    <row r="118" spans="9:9" s="34" customFormat="1">
      <c r="I118" s="102"/>
    </row>
    <row r="119" spans="9:9" s="34" customFormat="1">
      <c r="I119" s="102"/>
    </row>
    <row r="120" spans="9:9" s="34" customFormat="1">
      <c r="I120" s="102"/>
    </row>
    <row r="121" spans="9:9" s="34" customFormat="1">
      <c r="I121" s="102"/>
    </row>
    <row r="122" spans="9:9" s="34" customFormat="1">
      <c r="I122" s="102"/>
    </row>
    <row r="123" spans="9:9" s="34" customFormat="1">
      <c r="I123" s="102"/>
    </row>
    <row r="124" spans="9:9" s="34" customFormat="1">
      <c r="I124" s="102"/>
    </row>
    <row r="125" spans="9:9" s="34" customFormat="1">
      <c r="I125" s="102"/>
    </row>
    <row r="126" spans="9:9" s="34" customFormat="1">
      <c r="I126" s="102"/>
    </row>
    <row r="127" spans="9:9" s="34" customFormat="1">
      <c r="I127" s="102"/>
    </row>
    <row r="128" spans="9:9" s="34" customFormat="1">
      <c r="I128" s="102"/>
    </row>
    <row r="129" spans="9:9" s="34" customFormat="1">
      <c r="I129" s="102"/>
    </row>
    <row r="130" spans="9:9" s="34" customFormat="1">
      <c r="I130" s="102"/>
    </row>
    <row r="131" spans="9:9" s="34" customFormat="1">
      <c r="I131" s="102"/>
    </row>
    <row r="132" spans="9:9" s="34" customFormat="1">
      <c r="I132" s="102"/>
    </row>
    <row r="133" spans="9:9" s="34" customFormat="1">
      <c r="I133" s="102"/>
    </row>
    <row r="134" spans="9:9" s="34" customFormat="1">
      <c r="I134" s="102"/>
    </row>
    <row r="135" spans="9:9" s="34" customFormat="1">
      <c r="I135" s="102"/>
    </row>
    <row r="136" spans="9:9" s="34" customFormat="1">
      <c r="I136" s="102"/>
    </row>
    <row r="137" spans="9:9" s="34" customFormat="1">
      <c r="I137" s="102"/>
    </row>
    <row r="138" spans="9:9" s="34" customFormat="1">
      <c r="I138" s="102"/>
    </row>
    <row r="139" spans="9:9" s="34" customFormat="1">
      <c r="I139" s="102"/>
    </row>
    <row r="140" spans="9:9" s="34" customFormat="1">
      <c r="I140" s="102"/>
    </row>
    <row r="141" spans="9:9" s="34" customFormat="1">
      <c r="I141" s="102"/>
    </row>
    <row r="142" spans="9:9" s="34" customFormat="1">
      <c r="I142" s="102"/>
    </row>
    <row r="143" spans="9:9" s="34" customFormat="1">
      <c r="I143" s="102"/>
    </row>
    <row r="144" spans="9:9" s="34" customFormat="1">
      <c r="I144" s="102"/>
    </row>
    <row r="145" spans="9:9" s="34" customFormat="1">
      <c r="I145" s="102"/>
    </row>
    <row r="146" spans="9:9" s="34" customFormat="1">
      <c r="I146" s="102"/>
    </row>
    <row r="147" spans="9:9" s="34" customFormat="1">
      <c r="I147" s="102"/>
    </row>
    <row r="148" spans="9:9" s="34" customFormat="1">
      <c r="I148" s="102"/>
    </row>
    <row r="149" spans="9:9" s="34" customFormat="1">
      <c r="I149" s="102"/>
    </row>
    <row r="150" spans="9:9" s="34" customFormat="1">
      <c r="I150" s="102"/>
    </row>
    <row r="151" spans="9:9" s="34" customFormat="1">
      <c r="I151" s="102"/>
    </row>
    <row r="152" spans="9:9" s="34" customFormat="1">
      <c r="I152" s="102"/>
    </row>
    <row r="153" spans="9:9" s="34" customFormat="1">
      <c r="I153" s="102"/>
    </row>
    <row r="154" spans="9:9" s="34" customFormat="1">
      <c r="I154" s="102"/>
    </row>
    <row r="155" spans="9:9" s="34" customFormat="1">
      <c r="I155" s="102"/>
    </row>
    <row r="156" spans="9:9" s="34" customFormat="1">
      <c r="I156" s="102"/>
    </row>
    <row r="157" spans="9:9" s="34" customFormat="1">
      <c r="I157" s="102"/>
    </row>
    <row r="158" spans="9:9" s="34" customFormat="1">
      <c r="I158" s="102"/>
    </row>
    <row r="159" spans="9:9" s="34" customFormat="1">
      <c r="I159" s="102"/>
    </row>
    <row r="160" spans="9:9" s="34" customFormat="1">
      <c r="I160" s="102"/>
    </row>
    <row r="161" spans="9:9" s="34" customFormat="1">
      <c r="I161" s="102"/>
    </row>
    <row r="162" spans="9:9" s="34" customFormat="1">
      <c r="I162" s="102"/>
    </row>
    <row r="163" spans="9:9" s="34" customFormat="1">
      <c r="I163" s="102"/>
    </row>
    <row r="164" spans="9:9" s="34" customFormat="1">
      <c r="I164" s="102"/>
    </row>
    <row r="165" spans="9:9" s="34" customFormat="1">
      <c r="I165" s="102"/>
    </row>
    <row r="166" spans="9:9" s="34" customFormat="1">
      <c r="I166" s="102"/>
    </row>
    <row r="167" spans="9:9" s="34" customFormat="1">
      <c r="I167" s="102"/>
    </row>
    <row r="168" spans="9:9" s="34" customFormat="1">
      <c r="I168" s="102"/>
    </row>
    <row r="169" spans="9:9" s="34" customFormat="1">
      <c r="I169" s="102"/>
    </row>
    <row r="170" spans="9:9" s="34" customFormat="1">
      <c r="I170" s="102"/>
    </row>
    <row r="171" spans="9:9" s="34" customFormat="1">
      <c r="I171" s="102"/>
    </row>
    <row r="172" spans="9:9" s="34" customFormat="1">
      <c r="I172" s="102"/>
    </row>
    <row r="173" spans="9:9" s="34" customFormat="1">
      <c r="I173" s="102"/>
    </row>
    <row r="174" spans="9:9" s="34" customFormat="1">
      <c r="I174" s="102"/>
    </row>
    <row r="175" spans="9:9" s="34" customFormat="1">
      <c r="I175" s="102"/>
    </row>
    <row r="176" spans="9:9" s="34" customFormat="1">
      <c r="I176" s="102"/>
    </row>
    <row r="177" spans="9:9" s="34" customFormat="1">
      <c r="I177" s="102"/>
    </row>
    <row r="178" spans="9:9" s="34" customFormat="1">
      <c r="I178" s="102"/>
    </row>
    <row r="179" spans="9:9" s="34" customFormat="1">
      <c r="I179" s="102"/>
    </row>
    <row r="180" spans="9:9" s="34" customFormat="1">
      <c r="I180" s="102"/>
    </row>
    <row r="181" spans="9:9" s="34" customFormat="1">
      <c r="I181" s="102"/>
    </row>
    <row r="182" spans="9:9" s="34" customFormat="1">
      <c r="I182" s="102"/>
    </row>
    <row r="183" spans="9:9" s="34" customFormat="1">
      <c r="I183" s="102"/>
    </row>
    <row r="184" spans="9:9" s="34" customFormat="1">
      <c r="I184" s="102"/>
    </row>
    <row r="185" spans="9:9" s="34" customFormat="1">
      <c r="I185" s="102"/>
    </row>
    <row r="186" spans="9:9" s="34" customFormat="1">
      <c r="I186" s="102"/>
    </row>
    <row r="187" spans="9:9" s="34" customFormat="1">
      <c r="I187" s="102"/>
    </row>
    <row r="188" spans="9:9" s="34" customFormat="1">
      <c r="I188" s="102"/>
    </row>
    <row r="189" spans="9:9" s="34" customFormat="1">
      <c r="I189" s="102"/>
    </row>
    <row r="190" spans="9:9" s="34" customFormat="1">
      <c r="I190" s="102"/>
    </row>
    <row r="191" spans="9:9" s="34" customFormat="1">
      <c r="I191" s="102"/>
    </row>
    <row r="192" spans="9:9" s="34" customFormat="1">
      <c r="I192" s="102"/>
    </row>
    <row r="193" spans="9:9" s="34" customFormat="1">
      <c r="I193" s="102"/>
    </row>
    <row r="194" spans="9:9" s="34" customFormat="1">
      <c r="I194" s="102"/>
    </row>
    <row r="195" spans="9:9" s="34" customFormat="1">
      <c r="I195" s="102"/>
    </row>
    <row r="196" spans="9:9" s="34" customFormat="1">
      <c r="I196" s="102"/>
    </row>
    <row r="197" spans="9:9" s="34" customFormat="1">
      <c r="I197" s="102"/>
    </row>
    <row r="198" spans="9:9" s="34" customFormat="1">
      <c r="I198" s="102"/>
    </row>
    <row r="199" spans="9:9" s="34" customFormat="1">
      <c r="I199" s="102"/>
    </row>
    <row r="200" spans="9:9" s="34" customFormat="1">
      <c r="I200" s="102"/>
    </row>
    <row r="201" spans="9:9" s="34" customFormat="1">
      <c r="I201" s="102"/>
    </row>
    <row r="202" spans="9:9" s="34" customFormat="1">
      <c r="I202" s="102"/>
    </row>
    <row r="203" spans="9:9" s="34" customFormat="1">
      <c r="I203" s="102"/>
    </row>
    <row r="204" spans="9:9" s="34" customFormat="1">
      <c r="I204" s="102"/>
    </row>
    <row r="205" spans="9:9" s="34" customFormat="1">
      <c r="I205" s="102"/>
    </row>
    <row r="206" spans="9:9" s="34" customFormat="1">
      <c r="I206" s="102"/>
    </row>
    <row r="207" spans="9:9" s="34" customFormat="1">
      <c r="I207" s="102"/>
    </row>
    <row r="208" spans="9:9" s="34" customFormat="1">
      <c r="I208" s="102"/>
    </row>
    <row r="209" spans="9:9" s="34" customFormat="1">
      <c r="I209" s="102"/>
    </row>
    <row r="210" spans="9:9" s="34" customFormat="1">
      <c r="I210" s="102"/>
    </row>
    <row r="211" spans="9:9" s="34" customFormat="1">
      <c r="I211" s="102"/>
    </row>
    <row r="212" spans="9:9" s="34" customFormat="1">
      <c r="I212" s="102"/>
    </row>
    <row r="213" spans="9:9" s="34" customFormat="1">
      <c r="I213" s="102"/>
    </row>
    <row r="214" spans="9:9" s="34" customFormat="1">
      <c r="I214" s="102"/>
    </row>
    <row r="215" spans="9:9" s="34" customFormat="1">
      <c r="I215" s="102"/>
    </row>
    <row r="216" spans="9:9" s="34" customFormat="1">
      <c r="I216" s="102"/>
    </row>
    <row r="217" spans="9:9" s="34" customFormat="1">
      <c r="I217" s="102"/>
    </row>
    <row r="218" spans="9:9" s="34" customFormat="1">
      <c r="I218" s="102"/>
    </row>
    <row r="219" spans="9:9" s="34" customFormat="1">
      <c r="I219" s="102"/>
    </row>
    <row r="220" spans="9:9" s="34" customFormat="1">
      <c r="I220" s="102"/>
    </row>
    <row r="221" spans="9:9" s="34" customFormat="1">
      <c r="I221" s="102"/>
    </row>
    <row r="222" spans="9:9" s="34" customFormat="1">
      <c r="I222" s="102"/>
    </row>
    <row r="223" spans="9:9" s="34" customFormat="1">
      <c r="I223" s="102"/>
    </row>
    <row r="224" spans="9:9" s="34" customFormat="1">
      <c r="I224" s="102"/>
    </row>
    <row r="225" spans="9:9" s="34" customFormat="1">
      <c r="I225" s="102"/>
    </row>
    <row r="226" spans="9:9" s="34" customFormat="1">
      <c r="I226" s="102"/>
    </row>
    <row r="227" spans="9:9" s="34" customFormat="1">
      <c r="I227" s="102"/>
    </row>
    <row r="228" spans="9:9" s="34" customFormat="1">
      <c r="I228" s="102"/>
    </row>
    <row r="229" spans="9:9" s="34" customFormat="1">
      <c r="I229" s="102"/>
    </row>
    <row r="230" spans="9:9" s="34" customFormat="1">
      <c r="I230" s="102"/>
    </row>
    <row r="231" spans="9:9" s="34" customFormat="1">
      <c r="I231" s="102"/>
    </row>
    <row r="232" spans="9:9" s="34" customFormat="1">
      <c r="I232" s="102"/>
    </row>
    <row r="233" spans="9:9" s="34" customFormat="1">
      <c r="I233" s="102"/>
    </row>
    <row r="234" spans="9:9" s="34" customFormat="1">
      <c r="I234" s="102"/>
    </row>
    <row r="235" spans="9:9" s="34" customFormat="1">
      <c r="I235" s="102"/>
    </row>
    <row r="236" spans="9:9" s="34" customFormat="1">
      <c r="I236" s="102"/>
    </row>
    <row r="237" spans="9:9" s="34" customFormat="1">
      <c r="I237" s="102"/>
    </row>
    <row r="238" spans="9:9" s="34" customFormat="1">
      <c r="I238" s="102"/>
    </row>
    <row r="239" spans="9:9" s="34" customFormat="1">
      <c r="I239" s="102"/>
    </row>
    <row r="240" spans="9:9" s="34" customFormat="1">
      <c r="I240" s="102"/>
    </row>
    <row r="241" spans="9:9" s="34" customFormat="1">
      <c r="I241" s="102"/>
    </row>
    <row r="242" spans="9:9" s="34" customFormat="1">
      <c r="I242" s="102"/>
    </row>
    <row r="243" spans="9:9" s="34" customFormat="1">
      <c r="I243" s="102"/>
    </row>
    <row r="244" spans="9:9" s="34" customFormat="1">
      <c r="I244" s="102"/>
    </row>
    <row r="245" spans="9:9" s="34" customFormat="1">
      <c r="I245" s="102"/>
    </row>
    <row r="246" spans="9:9" s="34" customFormat="1">
      <c r="I246" s="102"/>
    </row>
    <row r="247" spans="9:9" s="34" customFormat="1">
      <c r="I247" s="102"/>
    </row>
    <row r="248" spans="9:9" s="34" customFormat="1">
      <c r="I248" s="102"/>
    </row>
    <row r="249" spans="9:9" s="34" customFormat="1">
      <c r="I249" s="102"/>
    </row>
    <row r="250" spans="9:9" s="34" customFormat="1">
      <c r="I250" s="102"/>
    </row>
    <row r="251" spans="9:9" s="34" customFormat="1">
      <c r="I251" s="102"/>
    </row>
    <row r="252" spans="9:9" s="34" customFormat="1">
      <c r="I252" s="102"/>
    </row>
    <row r="253" spans="9:9" s="34" customFormat="1">
      <c r="I253" s="102"/>
    </row>
    <row r="254" spans="9:9" s="34" customFormat="1">
      <c r="I254" s="102"/>
    </row>
    <row r="255" spans="9:9" s="34" customFormat="1">
      <c r="I255" s="102"/>
    </row>
    <row r="256" spans="9:9" s="34" customFormat="1">
      <c r="I256" s="102"/>
    </row>
    <row r="257" spans="9:9" s="34" customFormat="1">
      <c r="I257" s="102"/>
    </row>
    <row r="258" spans="9:9" s="34" customFormat="1">
      <c r="I258" s="102"/>
    </row>
    <row r="259" spans="9:9" s="34" customFormat="1">
      <c r="I259" s="102"/>
    </row>
    <row r="260" spans="9:9" s="34" customFormat="1">
      <c r="I260" s="102"/>
    </row>
    <row r="261" spans="9:9" s="34" customFormat="1">
      <c r="I261" s="102"/>
    </row>
    <row r="262" spans="9:9" s="34" customFormat="1">
      <c r="I262" s="102"/>
    </row>
    <row r="263" spans="9:9" s="34" customFormat="1">
      <c r="I263" s="102"/>
    </row>
    <row r="264" spans="9:9" s="34" customFormat="1">
      <c r="I264" s="102"/>
    </row>
    <row r="265" spans="9:9" s="34" customFormat="1">
      <c r="I265" s="102"/>
    </row>
    <row r="266" spans="9:9" s="34" customFormat="1">
      <c r="I266" s="102"/>
    </row>
    <row r="267" spans="9:9" s="34" customFormat="1">
      <c r="I267" s="102"/>
    </row>
    <row r="268" spans="9:9" s="34" customFormat="1">
      <c r="I268" s="102"/>
    </row>
    <row r="269" spans="9:9" s="34" customFormat="1">
      <c r="I269" s="102"/>
    </row>
    <row r="270" spans="9:9" s="34" customFormat="1">
      <c r="I270" s="102"/>
    </row>
    <row r="271" spans="9:9" s="34" customFormat="1">
      <c r="I271" s="102"/>
    </row>
    <row r="272" spans="9:9" s="34" customFormat="1">
      <c r="I272" s="102"/>
    </row>
    <row r="273" spans="9:9" s="34" customFormat="1">
      <c r="I273" s="102"/>
    </row>
    <row r="274" spans="9:9" s="34" customFormat="1">
      <c r="I274" s="102"/>
    </row>
    <row r="275" spans="9:9" s="34" customFormat="1">
      <c r="I275" s="102"/>
    </row>
    <row r="276" spans="9:9" s="34" customFormat="1">
      <c r="I276" s="102"/>
    </row>
    <row r="277" spans="9:9" s="34" customFormat="1">
      <c r="I277" s="102"/>
    </row>
    <row r="278" spans="9:9" s="34" customFormat="1">
      <c r="I278" s="102"/>
    </row>
    <row r="279" spans="9:9" s="34" customFormat="1">
      <c r="I279" s="102"/>
    </row>
    <row r="280" spans="9:9" s="34" customFormat="1">
      <c r="I280" s="102"/>
    </row>
    <row r="281" spans="9:9" s="34" customFormat="1">
      <c r="I281" s="102"/>
    </row>
    <row r="282" spans="9:9" s="34" customFormat="1">
      <c r="I282" s="102"/>
    </row>
    <row r="283" spans="9:9" s="34" customFormat="1">
      <c r="I283" s="102"/>
    </row>
    <row r="284" spans="9:9" s="34" customFormat="1">
      <c r="I284" s="102"/>
    </row>
    <row r="285" spans="9:9" s="34" customFormat="1">
      <c r="I285" s="102"/>
    </row>
    <row r="286" spans="9:9" s="34" customFormat="1">
      <c r="I286" s="102"/>
    </row>
    <row r="287" spans="9:9" s="34" customFormat="1">
      <c r="I287" s="102"/>
    </row>
    <row r="288" spans="9:9" s="34" customFormat="1">
      <c r="I288" s="102"/>
    </row>
    <row r="289" spans="9:9" s="34" customFormat="1">
      <c r="I289" s="102"/>
    </row>
    <row r="290" spans="9:9" s="34" customFormat="1">
      <c r="I290" s="102"/>
    </row>
    <row r="291" spans="9:9" s="34" customFormat="1">
      <c r="I291" s="102"/>
    </row>
    <row r="292" spans="9:9" s="34" customFormat="1">
      <c r="I292" s="102"/>
    </row>
    <row r="293" spans="9:9" s="34" customFormat="1">
      <c r="I293" s="102"/>
    </row>
    <row r="294" spans="9:9" s="34" customFormat="1">
      <c r="I294" s="102"/>
    </row>
    <row r="295" spans="9:9" s="34" customFormat="1">
      <c r="I295" s="102"/>
    </row>
    <row r="296" spans="9:9" s="34" customFormat="1">
      <c r="I296" s="102"/>
    </row>
    <row r="297" spans="9:9" s="34" customFormat="1">
      <c r="I297" s="102"/>
    </row>
    <row r="298" spans="9:9" s="34" customFormat="1">
      <c r="I298" s="102"/>
    </row>
    <row r="299" spans="9:9" s="34" customFormat="1">
      <c r="I299" s="102"/>
    </row>
    <row r="300" spans="9:9" s="34" customFormat="1">
      <c r="I300" s="102"/>
    </row>
    <row r="301" spans="9:9" s="34" customFormat="1">
      <c r="I301" s="102"/>
    </row>
    <row r="302" spans="9:9" s="34" customFormat="1">
      <c r="I302" s="102"/>
    </row>
    <row r="303" spans="9:9" s="34" customFormat="1">
      <c r="I303" s="102"/>
    </row>
    <row r="304" spans="9:9" s="34" customFormat="1">
      <c r="I304" s="102"/>
    </row>
    <row r="305" spans="9:9" s="34" customFormat="1">
      <c r="I305" s="102"/>
    </row>
    <row r="306" spans="9:9" s="34" customFormat="1">
      <c r="I306" s="102"/>
    </row>
    <row r="307" spans="9:9" s="34" customFormat="1">
      <c r="I307" s="102"/>
    </row>
    <row r="308" spans="9:9" s="34" customFormat="1">
      <c r="I308" s="102"/>
    </row>
    <row r="309" spans="9:9" s="34" customFormat="1">
      <c r="I309" s="102"/>
    </row>
    <row r="310" spans="9:9" s="34" customFormat="1">
      <c r="I310" s="102"/>
    </row>
    <row r="311" spans="9:9" s="34" customFormat="1"/>
    <row r="312" spans="9:9" s="34" customFormat="1"/>
    <row r="313" spans="9:9" s="34" customFormat="1"/>
    <row r="314" spans="9:9" s="34" customFormat="1"/>
    <row r="315" spans="9:9" s="34" customFormat="1"/>
    <row r="316" spans="9:9" s="34" customFormat="1"/>
    <row r="317" spans="9:9" s="34" customFormat="1"/>
    <row r="318" spans="9:9" s="34" customFormat="1"/>
    <row r="319" spans="9:9" s="34" customFormat="1"/>
    <row r="320" spans="9:9" s="34" customFormat="1"/>
    <row r="321" s="34" customFormat="1"/>
    <row r="322" s="34" customFormat="1"/>
    <row r="323" s="34" customFormat="1"/>
    <row r="324" s="34" customFormat="1"/>
    <row r="325" s="34" customFormat="1"/>
    <row r="326" s="34" customFormat="1"/>
    <row r="327" s="34" customFormat="1"/>
    <row r="328" s="34" customFormat="1"/>
    <row r="329" s="34" customFormat="1"/>
    <row r="330" s="34" customFormat="1"/>
    <row r="331" s="34" customFormat="1"/>
    <row r="332" s="34" customFormat="1"/>
    <row r="333" s="34" customFormat="1"/>
    <row r="334" s="34" customFormat="1"/>
    <row r="335" s="34" customFormat="1"/>
    <row r="336" s="34" customFormat="1"/>
    <row r="337" s="34" customFormat="1"/>
    <row r="338" s="34" customFormat="1"/>
    <row r="339" s="34" customFormat="1"/>
    <row r="340" s="34" customFormat="1"/>
    <row r="341" s="34" customFormat="1"/>
    <row r="342" s="34" customFormat="1"/>
    <row r="343" s="34" customFormat="1"/>
    <row r="344" s="34" customFormat="1"/>
    <row r="345" s="34" customFormat="1"/>
    <row r="346" s="34" customFormat="1"/>
    <row r="347" s="34" customFormat="1"/>
    <row r="348" s="34" customFormat="1"/>
    <row r="349" s="34" customFormat="1"/>
    <row r="350" s="34" customFormat="1"/>
    <row r="351" s="34" customFormat="1"/>
    <row r="352" s="34" customFormat="1"/>
    <row r="353" s="34" customFormat="1"/>
    <row r="354" s="34" customFormat="1"/>
    <row r="355" s="34" customFormat="1"/>
    <row r="356" s="34" customFormat="1"/>
    <row r="357" s="34" customFormat="1"/>
    <row r="358" s="34" customFormat="1"/>
    <row r="359" s="34" customFormat="1"/>
    <row r="360" s="34" customFormat="1"/>
    <row r="361" s="34" customFormat="1"/>
    <row r="362" s="34" customFormat="1"/>
    <row r="363" s="34" customFormat="1"/>
    <row r="364" s="34" customFormat="1"/>
    <row r="365" s="34" customFormat="1"/>
    <row r="366" s="34" customFormat="1"/>
    <row r="367" s="34" customFormat="1"/>
    <row r="368" s="34" customFormat="1"/>
    <row r="369" s="34" customFormat="1"/>
    <row r="370" s="34" customFormat="1"/>
    <row r="371" s="34" customFormat="1"/>
    <row r="372" s="34" customFormat="1"/>
    <row r="373" s="34" customFormat="1"/>
    <row r="374" s="34" customFormat="1"/>
    <row r="375" s="34" customFormat="1"/>
    <row r="376" s="34" customFormat="1"/>
    <row r="377" s="34" customFormat="1"/>
    <row r="378" s="34" customFormat="1"/>
    <row r="379" s="34" customFormat="1"/>
    <row r="380" s="34" customFormat="1"/>
    <row r="381" s="34" customFormat="1"/>
    <row r="382" s="34" customFormat="1"/>
    <row r="383" s="34" customFormat="1"/>
    <row r="384" s="34" customFormat="1"/>
    <row r="385" s="34" customFormat="1"/>
    <row r="386" s="34" customFormat="1"/>
    <row r="387" s="34" customFormat="1"/>
    <row r="388" s="34" customFormat="1"/>
    <row r="389" s="34" customFormat="1"/>
    <row r="390" s="34" customFormat="1"/>
    <row r="391" s="34" customFormat="1"/>
    <row r="392" s="34" customFormat="1"/>
    <row r="393" s="34" customFormat="1"/>
    <row r="394" s="34" customFormat="1"/>
    <row r="395" s="34" customFormat="1"/>
    <row r="396" s="34" customFormat="1"/>
    <row r="397" s="34" customFormat="1"/>
    <row r="398" s="34" customFormat="1"/>
    <row r="399" s="34" customFormat="1"/>
    <row r="400" s="34" customFormat="1"/>
    <row r="401" s="34" customFormat="1"/>
    <row r="402" s="34" customFormat="1"/>
    <row r="403" s="34" customFormat="1"/>
    <row r="404" s="34" customFormat="1"/>
    <row r="405" s="34" customFormat="1"/>
    <row r="406" s="34" customFormat="1"/>
    <row r="407" s="34" customFormat="1"/>
    <row r="408" s="34" customFormat="1"/>
    <row r="409" s="34" customFormat="1"/>
    <row r="410" s="34" customFormat="1"/>
    <row r="411" s="34" customFormat="1"/>
    <row r="412" s="34" customFormat="1"/>
    <row r="413" s="34" customFormat="1"/>
    <row r="414" s="34" customFormat="1"/>
    <row r="415" s="34" customFormat="1"/>
    <row r="416" s="34" customFormat="1"/>
    <row r="417" s="34" customFormat="1"/>
    <row r="418" s="34" customFormat="1"/>
    <row r="419" s="34" customFormat="1"/>
    <row r="420" s="34" customFormat="1"/>
    <row r="421" s="34" customFormat="1"/>
    <row r="422" s="34" customFormat="1"/>
    <row r="423" s="34" customFormat="1"/>
    <row r="424" s="34" customFormat="1"/>
    <row r="425" s="34" customFormat="1"/>
    <row r="426" s="34" customFormat="1"/>
    <row r="427" s="34" customFormat="1"/>
    <row r="428" s="34" customFormat="1"/>
    <row r="429" s="34" customFormat="1"/>
    <row r="430" s="34" customFormat="1"/>
    <row r="431" s="34" customFormat="1"/>
    <row r="432" s="34" customFormat="1"/>
    <row r="433" s="34" customFormat="1"/>
    <row r="434" s="34" customFormat="1"/>
    <row r="435" s="34" customFormat="1"/>
    <row r="436" s="34" customFormat="1"/>
    <row r="437" s="34" customFormat="1"/>
    <row r="438" s="34" customFormat="1"/>
    <row r="439" s="34" customFormat="1"/>
    <row r="440" s="34" customFormat="1"/>
    <row r="441" s="34" customFormat="1"/>
    <row r="442" s="34" customFormat="1"/>
    <row r="443" s="34" customFormat="1"/>
    <row r="444" s="34" customFormat="1"/>
    <row r="445" s="34" customFormat="1"/>
    <row r="446" s="34" customFormat="1"/>
    <row r="447" s="34" customFormat="1"/>
    <row r="448" s="34" customFormat="1"/>
    <row r="449" s="34" customFormat="1"/>
    <row r="450" s="34" customFormat="1"/>
    <row r="451" s="34" customFormat="1"/>
    <row r="452" s="34" customFormat="1"/>
    <row r="453" s="34" customFormat="1"/>
    <row r="454" s="34" customFormat="1"/>
    <row r="455" s="34" customFormat="1"/>
    <row r="456" s="34" customFormat="1"/>
    <row r="457" s="34" customFormat="1"/>
    <row r="458" s="34" customFormat="1"/>
    <row r="459" s="34" customFormat="1"/>
    <row r="460" s="34" customFormat="1"/>
    <row r="461" s="34" customFormat="1"/>
    <row r="462" s="34" customFormat="1"/>
    <row r="463" s="34" customFormat="1"/>
    <row r="464" s="34" customFormat="1"/>
    <row r="465" s="34" customFormat="1"/>
    <row r="466" s="34" customFormat="1"/>
    <row r="467" s="34" customFormat="1"/>
    <row r="468" s="34" customFormat="1"/>
    <row r="469" s="34" customFormat="1"/>
    <row r="470" s="34" customFormat="1"/>
    <row r="471" s="34" customFormat="1"/>
    <row r="472" s="34" customFormat="1"/>
    <row r="473" s="34" customFormat="1"/>
    <row r="474" s="34" customFormat="1"/>
    <row r="475" s="34" customFormat="1"/>
    <row r="476" s="34" customFormat="1"/>
    <row r="477" s="34" customFormat="1"/>
    <row r="478" s="34" customFormat="1"/>
    <row r="479" s="34" customFormat="1"/>
    <row r="480" s="34" customFormat="1"/>
    <row r="481" s="34" customFormat="1"/>
    <row r="482" s="34" customFormat="1"/>
    <row r="483" s="34" customFormat="1"/>
    <row r="484" s="34" customFormat="1"/>
    <row r="485" s="34" customFormat="1"/>
    <row r="486" s="34" customFormat="1"/>
    <row r="487" s="34" customFormat="1"/>
    <row r="488" s="34" customFormat="1"/>
    <row r="489" s="34" customFormat="1"/>
    <row r="490" s="34" customFormat="1"/>
    <row r="491" s="34" customFormat="1"/>
    <row r="492" s="34" customFormat="1"/>
    <row r="493" s="34" customFormat="1"/>
    <row r="494" s="34" customFormat="1"/>
    <row r="495" s="34" customFormat="1"/>
    <row r="496" s="34" customFormat="1"/>
    <row r="497" s="34" customFormat="1"/>
    <row r="498" s="34" customFormat="1"/>
    <row r="499" s="34" customFormat="1"/>
    <row r="500" s="34" customFormat="1"/>
    <row r="501" s="34" customFormat="1"/>
    <row r="502" s="34" customFormat="1"/>
    <row r="503" s="34" customFormat="1"/>
    <row r="504" s="34" customFormat="1"/>
    <row r="505" s="34" customFormat="1"/>
    <row r="506" s="34" customFormat="1"/>
    <row r="507" s="34" customFormat="1"/>
    <row r="508" s="34" customFormat="1"/>
    <row r="509" s="34" customFormat="1"/>
    <row r="510" s="34" customFormat="1"/>
    <row r="511" s="34" customFormat="1"/>
    <row r="512" s="34" customFormat="1"/>
    <row r="513" s="34" customFormat="1"/>
    <row r="514" s="34" customFormat="1"/>
    <row r="515" s="34" customFormat="1"/>
    <row r="516" s="34" customFormat="1"/>
    <row r="517" s="34" customFormat="1"/>
    <row r="518" s="34" customFormat="1"/>
    <row r="519" s="34" customFormat="1"/>
    <row r="520" s="34" customFormat="1"/>
    <row r="521" s="34" customFormat="1"/>
    <row r="522" s="34" customFormat="1"/>
    <row r="523" s="34" customFormat="1"/>
    <row r="524" s="34" customFormat="1"/>
    <row r="525" s="34" customFormat="1"/>
    <row r="526" s="34" customFormat="1"/>
    <row r="527" s="34" customFormat="1"/>
    <row r="528" s="34" customFormat="1"/>
    <row r="529" s="34" customFormat="1"/>
    <row r="530" s="34" customFormat="1"/>
    <row r="531" s="34" customFormat="1"/>
    <row r="532" s="34" customFormat="1"/>
    <row r="533" s="34" customFormat="1"/>
    <row r="534" s="34" customFormat="1"/>
    <row r="535" s="34" customFormat="1"/>
    <row r="536" s="34" customFormat="1"/>
    <row r="537" s="34" customFormat="1"/>
    <row r="538" s="34" customFormat="1"/>
    <row r="539" s="34" customFormat="1"/>
    <row r="540" s="34" customFormat="1"/>
    <row r="541" s="34" customFormat="1"/>
    <row r="542" s="34" customFormat="1"/>
    <row r="543" s="34" customFormat="1"/>
    <row r="544" s="34" customFormat="1"/>
    <row r="545" s="34" customFormat="1"/>
    <row r="546" s="34" customFormat="1"/>
    <row r="547" s="34" customFormat="1"/>
    <row r="548" s="34" customFormat="1"/>
    <row r="549" s="34" customFormat="1"/>
    <row r="550" s="34" customFormat="1"/>
    <row r="551" s="34" customFormat="1"/>
    <row r="552" s="34" customFormat="1"/>
    <row r="553" s="34" customFormat="1"/>
    <row r="554" s="34" customFormat="1"/>
    <row r="555" s="34" customFormat="1"/>
    <row r="556" s="34" customFormat="1"/>
    <row r="557" s="34" customFormat="1"/>
    <row r="558" s="34" customFormat="1"/>
    <row r="559" s="34" customFormat="1"/>
    <row r="560" s="34" customFormat="1"/>
    <row r="561" s="34" customFormat="1"/>
    <row r="562" s="34" customFormat="1"/>
    <row r="563" s="34" customFormat="1"/>
    <row r="564" s="34" customFormat="1"/>
    <row r="565" s="34" customFormat="1"/>
    <row r="566" s="34" customFormat="1"/>
    <row r="567" s="34" customFormat="1"/>
    <row r="568" s="34" customFormat="1"/>
    <row r="569" s="34" customFormat="1"/>
    <row r="570" s="34" customFormat="1"/>
    <row r="571" s="34" customFormat="1"/>
    <row r="572" s="34" customFormat="1"/>
    <row r="573" s="34" customFormat="1"/>
    <row r="574" s="34" customFormat="1"/>
    <row r="575" s="34" customFormat="1"/>
    <row r="576" s="34" customFormat="1"/>
    <row r="577" s="34" customFormat="1"/>
    <row r="578" s="34" customFormat="1"/>
    <row r="579" s="34" customFormat="1"/>
    <row r="580" s="34" customFormat="1"/>
    <row r="581" s="34" customFormat="1"/>
    <row r="582" s="34" customFormat="1"/>
    <row r="583" s="34" customFormat="1"/>
    <row r="584" s="34" customFormat="1"/>
    <row r="585" s="34" customFormat="1"/>
    <row r="586" s="34" customFormat="1"/>
    <row r="587" s="34" customFormat="1"/>
    <row r="588" s="34" customFormat="1"/>
    <row r="589" s="34" customFormat="1"/>
    <row r="590" s="34" customFormat="1"/>
    <row r="591" s="34" customFormat="1"/>
    <row r="592" s="34" customFormat="1"/>
    <row r="593" s="34" customFormat="1"/>
    <row r="594" s="34" customFormat="1"/>
    <row r="595" s="34" customFormat="1"/>
    <row r="596" s="34" customFormat="1"/>
    <row r="597" s="34" customFormat="1"/>
    <row r="598" s="34" customFormat="1"/>
    <row r="599" s="34" customFormat="1"/>
    <row r="600" s="34" customFormat="1"/>
    <row r="601" s="34" customFormat="1"/>
    <row r="602" s="34" customFormat="1"/>
    <row r="603" s="34" customFormat="1"/>
    <row r="604" s="34" customFormat="1"/>
    <row r="605" s="34" customFormat="1"/>
    <row r="606" s="34" customFormat="1"/>
    <row r="607" s="34" customFormat="1"/>
    <row r="608" s="34" customFormat="1"/>
    <row r="609" s="34" customFormat="1"/>
    <row r="610" s="34" customFormat="1"/>
    <row r="611" s="34" customFormat="1"/>
    <row r="612" s="34" customFormat="1"/>
    <row r="613" s="34" customFormat="1"/>
    <row r="614" s="34" customFormat="1"/>
    <row r="615" s="34" customFormat="1"/>
    <row r="616" s="34" customFormat="1"/>
    <row r="617" s="34" customFormat="1"/>
    <row r="618" s="34" customFormat="1"/>
    <row r="619" s="34" customFormat="1"/>
    <row r="620" s="34" customFormat="1"/>
    <row r="621" s="34" customFormat="1"/>
    <row r="622" s="34" customFormat="1"/>
    <row r="623" s="34" customFormat="1"/>
    <row r="624" s="34" customFormat="1"/>
    <row r="625" s="34" customFormat="1"/>
    <row r="626" s="34" customFormat="1"/>
    <row r="627" s="34" customFormat="1"/>
    <row r="628" s="34" customFormat="1"/>
    <row r="629" s="34" customFormat="1"/>
    <row r="630" s="34" customFormat="1"/>
    <row r="631" s="34" customFormat="1"/>
    <row r="632" s="34" customFormat="1"/>
    <row r="633" s="34" customFormat="1"/>
    <row r="634" s="34" customFormat="1"/>
    <row r="635" s="34" customFormat="1"/>
    <row r="636" s="34" customFormat="1"/>
    <row r="637" s="34" customFormat="1"/>
    <row r="638" s="34" customFormat="1"/>
    <row r="639" s="34" customFormat="1"/>
    <row r="640" s="34" customFormat="1"/>
    <row r="641" s="34" customFormat="1"/>
    <row r="642" s="34" customFormat="1"/>
    <row r="643" s="34" customFormat="1"/>
    <row r="644" s="34" customFormat="1"/>
    <row r="645" s="34" customFormat="1"/>
    <row r="646" s="34" customFormat="1"/>
    <row r="647" s="34" customFormat="1"/>
    <row r="648" s="34" customFormat="1"/>
    <row r="649" s="34" customFormat="1"/>
    <row r="650" s="34" customFormat="1"/>
    <row r="651" s="34" customFormat="1"/>
    <row r="652" s="34" customFormat="1"/>
    <row r="653" s="34" customFormat="1"/>
    <row r="654" s="34" customFormat="1"/>
    <row r="655" s="34" customFormat="1"/>
    <row r="656" s="34" customFormat="1"/>
    <row r="657" s="34" customFormat="1"/>
    <row r="658" s="34" customFormat="1"/>
    <row r="659" s="34" customFormat="1"/>
    <row r="660" s="34" customFormat="1"/>
    <row r="661" s="34" customFormat="1"/>
    <row r="662" s="34" customFormat="1"/>
    <row r="663" s="34" customFormat="1"/>
    <row r="664" s="34" customFormat="1"/>
    <row r="665" s="34" customFormat="1"/>
    <row r="666" s="34" customFormat="1"/>
    <row r="667" s="34" customFormat="1"/>
    <row r="668" s="34" customFormat="1"/>
    <row r="669" s="34" customFormat="1"/>
    <row r="670" s="34" customFormat="1"/>
    <row r="671" s="34" customFormat="1"/>
    <row r="672" s="34" customFormat="1"/>
    <row r="673" s="34" customFormat="1"/>
    <row r="674" s="34" customFormat="1"/>
    <row r="675" s="34" customFormat="1"/>
    <row r="676" s="34" customFormat="1"/>
    <row r="677" s="34" customFormat="1"/>
    <row r="678" s="34" customFormat="1"/>
    <row r="679" s="34" customFormat="1"/>
    <row r="680" s="34" customFormat="1"/>
    <row r="681" s="34" customFormat="1"/>
    <row r="682" s="34" customFormat="1"/>
    <row r="683" s="34" customFormat="1"/>
    <row r="684" s="34" customFormat="1"/>
    <row r="685" s="34" customFormat="1"/>
    <row r="686" s="34" customFormat="1"/>
    <row r="687" s="34" customFormat="1"/>
    <row r="688" s="34" customFormat="1"/>
    <row r="689" s="34" customFormat="1"/>
    <row r="690" s="34" customFormat="1"/>
    <row r="691" s="34" customFormat="1"/>
    <row r="692" s="34" customFormat="1"/>
    <row r="693" s="34" customFormat="1"/>
    <row r="694" s="34" customFormat="1"/>
    <row r="695" s="34" customFormat="1"/>
    <row r="696" s="34" customFormat="1"/>
    <row r="697" s="34" customFormat="1"/>
    <row r="698" s="34" customFormat="1"/>
    <row r="699" s="34" customFormat="1"/>
    <row r="700" s="34" customFormat="1"/>
    <row r="701" s="34" customFormat="1"/>
    <row r="702" s="34" customFormat="1"/>
    <row r="703" s="34" customFormat="1"/>
    <row r="704" s="34" customFormat="1"/>
    <row r="705" s="34" customFormat="1"/>
    <row r="706" s="34" customFormat="1"/>
    <row r="707" s="34" customFormat="1"/>
    <row r="708" s="34" customFormat="1"/>
    <row r="709" s="34" customFormat="1"/>
    <row r="710" s="34" customFormat="1"/>
    <row r="711" s="34" customFormat="1"/>
    <row r="712" s="34" customFormat="1"/>
    <row r="713" s="34" customFormat="1"/>
    <row r="714" s="34" customFormat="1"/>
    <row r="715" s="34" customFormat="1"/>
    <row r="716" s="34" customFormat="1"/>
    <row r="717" s="34" customFormat="1"/>
    <row r="718" s="34" customFormat="1"/>
    <row r="719" s="34" customFormat="1"/>
    <row r="720" s="34" customFormat="1"/>
    <row r="721" s="34" customFormat="1"/>
    <row r="722" s="34" customFormat="1"/>
    <row r="723" s="34" customFormat="1"/>
    <row r="724" s="34" customFormat="1"/>
    <row r="725" s="34" customFormat="1"/>
    <row r="726" s="34" customFormat="1"/>
    <row r="727" s="34" customFormat="1"/>
    <row r="728" s="34" customFormat="1"/>
    <row r="729" s="34" customFormat="1"/>
    <row r="730" s="34" customFormat="1"/>
    <row r="731" s="34" customFormat="1"/>
    <row r="732" s="34" customFormat="1"/>
    <row r="733" s="34" customFormat="1"/>
    <row r="734" s="34" customFormat="1"/>
    <row r="735" s="34" customFormat="1"/>
    <row r="736" s="34" customFormat="1"/>
    <row r="737" s="34" customFormat="1"/>
    <row r="738" s="34" customFormat="1"/>
    <row r="739" s="34" customFormat="1"/>
    <row r="740" s="34" customFormat="1"/>
    <row r="741" s="34" customFormat="1"/>
    <row r="742" s="34" customFormat="1"/>
    <row r="743" s="34" customFormat="1"/>
    <row r="744" s="34" customFormat="1"/>
    <row r="745" s="34" customFormat="1"/>
    <row r="746" s="34" customFormat="1"/>
    <row r="747" s="34" customFormat="1"/>
    <row r="748" s="34" customFormat="1"/>
    <row r="749" s="34" customFormat="1"/>
    <row r="750" s="34" customFormat="1"/>
    <row r="751" s="34" customFormat="1"/>
    <row r="752" s="34" customFormat="1"/>
    <row r="753" s="34" customFormat="1"/>
    <row r="754" s="34" customFormat="1"/>
    <row r="755" s="34" customFormat="1"/>
    <row r="756" s="34" customFormat="1"/>
    <row r="757" s="34" customFormat="1"/>
    <row r="758" s="34" customFormat="1"/>
    <row r="759" s="34" customFormat="1"/>
    <row r="760" s="34" customFormat="1"/>
    <row r="761" s="34" customFormat="1"/>
    <row r="762" s="34" customFormat="1"/>
    <row r="763" s="34" customFormat="1"/>
    <row r="764" s="34" customFormat="1"/>
    <row r="765" s="34" customFormat="1"/>
    <row r="766" s="34" customFormat="1"/>
    <row r="767" s="34" customFormat="1"/>
    <row r="768" s="34" customFormat="1"/>
    <row r="769" s="34" customFormat="1"/>
    <row r="770" s="34" customFormat="1"/>
    <row r="771" s="34" customFormat="1"/>
    <row r="772" s="34" customFormat="1"/>
    <row r="773" s="34" customFormat="1"/>
    <row r="774" s="34" customFormat="1"/>
    <row r="775" s="34" customFormat="1"/>
    <row r="776" s="34" customFormat="1"/>
    <row r="777" s="34" customFormat="1"/>
    <row r="778" s="34" customFormat="1"/>
    <row r="779" s="34" customFormat="1"/>
    <row r="780" s="34" customFormat="1"/>
    <row r="781" s="34" customFormat="1"/>
    <row r="782" s="34" customFormat="1"/>
    <row r="783" s="34" customFormat="1"/>
    <row r="784" s="34" customFormat="1"/>
    <row r="785" s="34" customFormat="1"/>
    <row r="786" s="34" customFormat="1"/>
    <row r="787" s="34" customFormat="1"/>
    <row r="788" s="34" customFormat="1"/>
    <row r="789" s="34" customFormat="1"/>
    <row r="790" s="34" customFormat="1"/>
    <row r="791" s="34" customFormat="1"/>
    <row r="792" s="34" customFormat="1"/>
    <row r="793" s="34" customFormat="1"/>
    <row r="794" s="34" customFormat="1"/>
    <row r="795" s="34" customFormat="1"/>
    <row r="796" s="34" customFormat="1"/>
    <row r="797" s="34" customFormat="1"/>
    <row r="798" s="34" customFormat="1"/>
    <row r="799" s="34" customFormat="1"/>
    <row r="800" s="34" customFormat="1"/>
    <row r="801" s="34" customFormat="1"/>
    <row r="802" s="34" customFormat="1"/>
    <row r="803" s="34" customFormat="1"/>
    <row r="804" s="34" customFormat="1"/>
    <row r="805" s="34" customFormat="1"/>
    <row r="806" s="34" customFormat="1"/>
    <row r="807" s="34" customFormat="1"/>
    <row r="808" s="34" customFormat="1"/>
    <row r="809" s="34" customFormat="1"/>
    <row r="810" s="34" customFormat="1"/>
    <row r="811" s="34" customFormat="1"/>
    <row r="812" s="34" customFormat="1"/>
    <row r="813" s="34" customFormat="1"/>
    <row r="814" s="34" customFormat="1"/>
    <row r="815" s="34" customFormat="1"/>
    <row r="816" s="34" customFormat="1"/>
    <row r="817" s="34" customFormat="1"/>
    <row r="818" s="34" customFormat="1"/>
    <row r="819" s="34" customFormat="1"/>
    <row r="820" s="34" customFormat="1"/>
    <row r="821" s="34" customFormat="1"/>
    <row r="822" s="34" customFormat="1"/>
    <row r="823" s="34" customFormat="1"/>
    <row r="824" s="34" customFormat="1"/>
    <row r="825" s="34" customFormat="1"/>
    <row r="826" s="34" customFormat="1"/>
    <row r="827" s="34" customFormat="1"/>
    <row r="828" s="34" customFormat="1"/>
    <row r="829" s="34" customFormat="1"/>
    <row r="830" s="34" customFormat="1"/>
    <row r="831" s="34" customFormat="1"/>
    <row r="832" s="34" customFormat="1"/>
    <row r="833" s="34" customFormat="1"/>
    <row r="834" s="34" customFormat="1"/>
    <row r="835" s="34" customFormat="1"/>
    <row r="836" s="34" customFormat="1"/>
    <row r="837" s="34" customFormat="1"/>
    <row r="838" s="34" customFormat="1"/>
    <row r="839" s="34" customFormat="1"/>
    <row r="840" s="34" customFormat="1"/>
    <row r="841" s="34" customFormat="1"/>
    <row r="842" s="34" customFormat="1"/>
    <row r="843" s="34" customFormat="1"/>
    <row r="844" s="34" customFormat="1"/>
    <row r="845" s="34" customFormat="1"/>
    <row r="846" s="34" customFormat="1"/>
    <row r="847" s="34" customFormat="1"/>
    <row r="848" s="34" customFormat="1"/>
    <row r="849" s="34" customFormat="1"/>
    <row r="850" s="34" customFormat="1"/>
    <row r="851" s="34" customFormat="1"/>
    <row r="852" s="34" customFormat="1"/>
    <row r="853" s="34" customFormat="1"/>
    <row r="854" s="34" customFormat="1"/>
    <row r="855" s="34" customFormat="1"/>
    <row r="856" s="34" customFormat="1"/>
    <row r="857" s="34" customFormat="1"/>
    <row r="858" s="34" customFormat="1"/>
    <row r="859" s="34" customFormat="1"/>
    <row r="860" s="34" customFormat="1"/>
    <row r="861" s="34" customFormat="1"/>
    <row r="862" s="34" customFormat="1"/>
    <row r="863" s="34" customFormat="1"/>
    <row r="864" s="34" customFormat="1"/>
    <row r="865" s="34" customFormat="1"/>
    <row r="866" s="34" customFormat="1"/>
    <row r="867" s="34" customFormat="1"/>
    <row r="868" s="34" customFormat="1"/>
    <row r="869" s="34" customFormat="1"/>
    <row r="870" s="34" customFormat="1"/>
    <row r="871" s="34" customFormat="1"/>
    <row r="872" s="34" customFormat="1"/>
    <row r="873" s="34" customFormat="1"/>
    <row r="874" s="34" customFormat="1"/>
    <row r="875" s="34" customFormat="1"/>
    <row r="876" s="34" customFormat="1"/>
    <row r="877" s="34" customFormat="1"/>
    <row r="878" s="34" customFormat="1"/>
    <row r="879" s="34" customFormat="1"/>
    <row r="880" s="34" customFormat="1"/>
    <row r="881" s="34" customFormat="1"/>
    <row r="882" s="34" customFormat="1"/>
    <row r="883" s="34" customFormat="1"/>
    <row r="884" s="34" customFormat="1"/>
    <row r="885" s="34" customFormat="1"/>
    <row r="886" s="34" customFormat="1"/>
    <row r="887" s="34" customFormat="1"/>
    <row r="888" s="34" customFormat="1"/>
    <row r="889" s="34" customFormat="1"/>
    <row r="890" s="34" customFormat="1"/>
    <row r="891" s="34" customFormat="1"/>
    <row r="892" s="34" customFormat="1"/>
    <row r="893" s="34" customFormat="1"/>
    <row r="894" s="34" customFormat="1"/>
    <row r="895" s="34" customFormat="1"/>
    <row r="896" s="34" customFormat="1"/>
    <row r="897" s="34" customFormat="1"/>
    <row r="898" s="34" customFormat="1"/>
    <row r="899" s="34" customFormat="1"/>
    <row r="900" s="34" customFormat="1"/>
    <row r="901" s="34" customFormat="1"/>
    <row r="902" s="34" customFormat="1"/>
    <row r="903" s="34" customFormat="1"/>
    <row r="904" s="34" customFormat="1"/>
    <row r="905" s="34" customFormat="1"/>
    <row r="906" s="34" customFormat="1"/>
    <row r="907" s="34" customFormat="1"/>
    <row r="908" s="34" customFormat="1"/>
    <row r="909" s="34" customFormat="1"/>
    <row r="910" s="34" customFormat="1"/>
    <row r="911" s="34" customFormat="1"/>
    <row r="912" s="34" customFormat="1"/>
    <row r="913" s="34" customFormat="1"/>
    <row r="914" s="34" customFormat="1"/>
    <row r="915" s="34" customFormat="1"/>
    <row r="916" s="34" customFormat="1"/>
    <row r="917" s="34" customFormat="1"/>
    <row r="918" s="34" customFormat="1"/>
    <row r="919" s="34" customFormat="1"/>
    <row r="920" s="34" customFormat="1"/>
    <row r="921" s="34" customFormat="1"/>
    <row r="922" s="34" customFormat="1"/>
    <row r="923" s="34" customFormat="1"/>
    <row r="924" s="34" customFormat="1"/>
    <row r="925" s="34" customFormat="1"/>
    <row r="926" s="34" customFormat="1"/>
    <row r="927" s="34" customFormat="1"/>
    <row r="928" s="34" customFormat="1"/>
    <row r="929" s="34" customFormat="1"/>
    <row r="930" s="34" customFormat="1"/>
    <row r="931" s="34" customFormat="1"/>
    <row r="932" s="34" customFormat="1"/>
    <row r="933" s="34" customFormat="1"/>
    <row r="934" s="34" customFormat="1"/>
    <row r="935" s="34" customFormat="1"/>
    <row r="936" s="34" customFormat="1"/>
    <row r="937" s="34" customFormat="1"/>
    <row r="938" s="34" customFormat="1"/>
    <row r="939" s="34" customFormat="1"/>
    <row r="940" s="34" customFormat="1"/>
    <row r="941" s="34" customFormat="1"/>
    <row r="942" s="34" customFormat="1"/>
    <row r="943" s="34" customFormat="1"/>
    <row r="944" s="34" customFormat="1"/>
    <row r="945" s="34" customFormat="1"/>
    <row r="946" s="34" customFormat="1"/>
    <row r="947" s="34" customFormat="1"/>
    <row r="948" s="34" customFormat="1"/>
    <row r="949" s="34" customFormat="1"/>
    <row r="950" s="34" customFormat="1"/>
    <row r="951" s="34" customFormat="1"/>
    <row r="952" s="34" customFormat="1"/>
    <row r="953" s="34" customFormat="1"/>
    <row r="954" s="34" customFormat="1"/>
    <row r="955" s="34" customFormat="1"/>
    <row r="956" s="34" customFormat="1"/>
    <row r="957" s="34" customFormat="1"/>
    <row r="958" s="34" customFormat="1"/>
    <row r="959" s="34" customFormat="1"/>
    <row r="960" s="34" customFormat="1"/>
    <row r="961" s="34" customFormat="1"/>
    <row r="962" s="34" customFormat="1"/>
    <row r="963" s="34" customFormat="1"/>
    <row r="964" s="34" customFormat="1"/>
    <row r="965" s="34" customFormat="1"/>
    <row r="966" s="34" customFormat="1"/>
    <row r="967" s="34" customFormat="1"/>
    <row r="968" s="34" customFormat="1"/>
    <row r="969" s="34" customFormat="1"/>
    <row r="970" s="34" customFormat="1"/>
    <row r="971" s="34" customFormat="1"/>
    <row r="972" s="34" customFormat="1"/>
    <row r="973" s="34" customFormat="1"/>
    <row r="974" s="34" customFormat="1"/>
    <row r="975" s="34" customFormat="1"/>
    <row r="976" s="34" customFormat="1"/>
    <row r="977" s="34" customFormat="1"/>
    <row r="978" s="34" customFormat="1"/>
    <row r="979" s="34" customFormat="1"/>
    <row r="980" s="34" customFormat="1"/>
    <row r="981" s="34" customFormat="1"/>
    <row r="982" s="34" customFormat="1"/>
    <row r="983" s="34" customFormat="1"/>
    <row r="984" s="34" customFormat="1"/>
    <row r="985" s="34" customFormat="1"/>
    <row r="986" s="34" customFormat="1"/>
    <row r="987" s="34" customFormat="1"/>
    <row r="988" s="34" customFormat="1"/>
    <row r="989" s="34" customFormat="1"/>
    <row r="990" s="34" customFormat="1"/>
    <row r="991" s="34" customFormat="1"/>
    <row r="992" s="34" customFormat="1"/>
    <row r="993" s="34" customFormat="1"/>
    <row r="994" s="34" customFormat="1"/>
    <row r="995" s="34" customFormat="1"/>
    <row r="996" s="34" customFormat="1"/>
    <row r="997" s="34" customFormat="1"/>
    <row r="998" s="34" customFormat="1"/>
    <row r="999" s="34" customFormat="1"/>
    <row r="1000" s="34" customFormat="1"/>
    <row r="1001" s="34" customFormat="1"/>
    <row r="1002" s="34" customFormat="1"/>
    <row r="1003" s="34" customFormat="1"/>
    <row r="1004" s="34" customFormat="1"/>
    <row r="1005" s="34" customFormat="1"/>
    <row r="1006" s="34" customFormat="1"/>
    <row r="1007" s="34" customFormat="1"/>
    <row r="1008" s="34" customFormat="1"/>
    <row r="1009" s="34" customFormat="1"/>
    <row r="1010" s="34" customFormat="1"/>
    <row r="1011" s="34" customFormat="1"/>
    <row r="1012" s="34" customFormat="1"/>
    <row r="1013" s="34" customFormat="1"/>
    <row r="1014" s="34" customFormat="1"/>
    <row r="1015" s="34" customFormat="1"/>
    <row r="1016" s="34" customFormat="1"/>
    <row r="1017" s="34" customFormat="1"/>
    <row r="1018" s="34" customFormat="1"/>
    <row r="1019" s="34" customFormat="1"/>
    <row r="1020" s="34" customFormat="1"/>
    <row r="1021" s="34" customFormat="1"/>
    <row r="1022" s="34" customFormat="1"/>
    <row r="1023" s="34" customFormat="1"/>
    <row r="1024" s="34" customFormat="1"/>
    <row r="1025" s="34" customFormat="1"/>
    <row r="1026" s="34" customFormat="1"/>
    <row r="1027" s="34" customFormat="1"/>
    <row r="1028" s="34" customFormat="1"/>
    <row r="1029" s="34" customFormat="1"/>
    <row r="1030" s="34" customFormat="1"/>
    <row r="1031" s="34" customFormat="1"/>
    <row r="1032" s="34" customFormat="1"/>
    <row r="1033" s="34" customFormat="1"/>
    <row r="1034" s="34" customFormat="1"/>
    <row r="1035" s="34" customFormat="1"/>
    <row r="1036" s="34" customFormat="1"/>
    <row r="1037" s="34" customFormat="1"/>
    <row r="1038" s="34" customFormat="1"/>
    <row r="1039" s="34" customFormat="1"/>
    <row r="1040" s="34" customFormat="1"/>
    <row r="1041" s="34" customFormat="1"/>
    <row r="1042" s="34" customFormat="1"/>
    <row r="1043" s="34" customFormat="1"/>
    <row r="1044" s="34" customFormat="1"/>
    <row r="1045" s="34" customFormat="1"/>
    <row r="1046" s="34" customFormat="1"/>
    <row r="1047" s="34" customFormat="1"/>
    <row r="1048" s="34" customFormat="1"/>
    <row r="1049" s="34" customFormat="1"/>
    <row r="1050" s="34" customFormat="1"/>
    <row r="1051" s="34" customFormat="1"/>
    <row r="1052" s="34" customFormat="1"/>
    <row r="1053" s="34" customFormat="1"/>
    <row r="1054" s="34" customFormat="1"/>
    <row r="1055" s="34" customFormat="1"/>
    <row r="1056" s="34" customFormat="1"/>
    <row r="1057" s="34" customFormat="1"/>
    <row r="1058" s="34" customFormat="1"/>
    <row r="1059" s="34" customFormat="1"/>
    <row r="1060" s="34" customFormat="1"/>
    <row r="1061" s="34" customFormat="1"/>
    <row r="1062" s="34" customFormat="1"/>
    <row r="1063" s="34" customFormat="1"/>
    <row r="1064" s="34" customFormat="1"/>
    <row r="1065" s="34" customFormat="1"/>
    <row r="1066" s="34" customFormat="1"/>
    <row r="1067" s="34" customFormat="1"/>
    <row r="1068" s="34" customFormat="1"/>
    <row r="1069" s="34" customFormat="1"/>
    <row r="1070" s="34" customFormat="1"/>
    <row r="1071" s="34" customFormat="1"/>
    <row r="1072" s="34" customFormat="1"/>
    <row r="1073" s="34" customFormat="1"/>
    <row r="1074" s="34" customFormat="1"/>
    <row r="1075" s="34" customFormat="1"/>
    <row r="1076" s="34" customFormat="1"/>
    <row r="1077" s="34" customFormat="1"/>
    <row r="1078" s="34" customFormat="1"/>
    <row r="1079" s="34" customFormat="1"/>
    <row r="1080" s="34" customFormat="1"/>
    <row r="1081" s="34" customFormat="1"/>
    <row r="1082" s="34" customFormat="1"/>
    <row r="1083" s="34" customFormat="1"/>
    <row r="1084" s="34" customFormat="1"/>
    <row r="1085" s="34" customFormat="1"/>
    <row r="1086" s="34" customFormat="1"/>
    <row r="1087" s="34" customFormat="1"/>
    <row r="1088" s="34" customFormat="1"/>
    <row r="1089" s="34" customFormat="1"/>
    <row r="1090" s="34" customFormat="1"/>
    <row r="1091" s="34" customFormat="1"/>
    <row r="1092" s="34" customFormat="1"/>
    <row r="1093" s="34" customFormat="1"/>
    <row r="1094" s="34" customFormat="1"/>
    <row r="1095" s="34" customFormat="1"/>
    <row r="1096" s="34" customFormat="1"/>
    <row r="1097" s="34" customFormat="1"/>
    <row r="1098" s="34" customFormat="1"/>
    <row r="1099" s="34" customFormat="1"/>
    <row r="1100" s="34" customFormat="1"/>
    <row r="1101" s="34" customFormat="1"/>
    <row r="1102" s="34" customFormat="1"/>
    <row r="1103" s="34" customFormat="1"/>
    <row r="1104" s="34" customFormat="1"/>
    <row r="1105" s="34" customFormat="1"/>
    <row r="1106" s="34" customFormat="1"/>
    <row r="1107" s="34" customFormat="1"/>
    <row r="1108" s="34" customFormat="1"/>
    <row r="1109" s="34" customFormat="1"/>
    <row r="1110" s="34" customFormat="1"/>
    <row r="1111" s="34" customFormat="1"/>
    <row r="1112" s="34" customFormat="1"/>
    <row r="1113" s="34" customFormat="1"/>
    <row r="1114" s="34" customFormat="1"/>
    <row r="1115" s="34" customFormat="1"/>
    <row r="1116" s="34" customFormat="1"/>
    <row r="1117" s="34" customFormat="1"/>
    <row r="1118" s="34" customFormat="1"/>
    <row r="1119" s="34" customFormat="1"/>
    <row r="1120" s="34" customFormat="1"/>
    <row r="1121" s="34" customFormat="1"/>
    <row r="1122" s="34" customFormat="1"/>
    <row r="1123" s="34" customFormat="1"/>
    <row r="1124" s="34" customFormat="1"/>
    <row r="1125" s="34" customFormat="1"/>
    <row r="1126" s="34" customFormat="1"/>
    <row r="1127" s="34" customFormat="1"/>
    <row r="1128" s="34" customFormat="1"/>
    <row r="1129" s="34" customFormat="1"/>
    <row r="1130" s="34" customFormat="1"/>
    <row r="1131" s="34" customFormat="1"/>
    <row r="1132" s="34" customFormat="1"/>
    <row r="1133" s="34" customFormat="1"/>
    <row r="1134" s="34" customFormat="1"/>
    <row r="1135" s="34" customFormat="1"/>
    <row r="1136" s="34" customFormat="1"/>
    <row r="1137" s="34" customFormat="1"/>
    <row r="1138" s="34" customFormat="1"/>
    <row r="1139" s="34" customFormat="1"/>
    <row r="1140" s="34" customFormat="1"/>
    <row r="1141" s="34" customFormat="1"/>
    <row r="1142" s="34" customFormat="1"/>
    <row r="1143" s="34" customFormat="1"/>
    <row r="1144" s="34" customFormat="1"/>
    <row r="1145" s="34" customFormat="1"/>
    <row r="1146" s="34" customFormat="1"/>
    <row r="1147" s="34" customFormat="1"/>
    <row r="1148" s="34" customFormat="1"/>
    <row r="1149" s="34" customFormat="1"/>
    <row r="1150" s="34" customFormat="1"/>
    <row r="1151" s="34" customFormat="1"/>
    <row r="1152" s="34" customFormat="1"/>
    <row r="1153" s="34" customFormat="1"/>
    <row r="1154" s="34" customFormat="1"/>
    <row r="1155" s="34" customFormat="1"/>
    <row r="1156" s="34" customFormat="1"/>
    <row r="1157" s="34" customFormat="1"/>
    <row r="1158" s="34" customFormat="1"/>
    <row r="1159" s="34" customFormat="1"/>
    <row r="1160" s="34" customFormat="1"/>
    <row r="1161" s="34" customFormat="1"/>
    <row r="1162" s="34" customFormat="1"/>
    <row r="1163" s="34" customFormat="1"/>
    <row r="1164" s="34" customFormat="1"/>
    <row r="1165" s="34" customFormat="1"/>
    <row r="1166" s="34" customFormat="1"/>
    <row r="1167" s="34" customFormat="1"/>
    <row r="1168" s="34" customFormat="1"/>
    <row r="1169" s="34" customFormat="1"/>
    <row r="1170" s="34" customFormat="1"/>
    <row r="1171" s="34" customFormat="1"/>
    <row r="1172" s="34" customFormat="1"/>
    <row r="1173" s="34" customFormat="1"/>
    <row r="1174" s="34" customFormat="1"/>
    <row r="1175" s="34" customFormat="1"/>
    <row r="1176" s="34" customFormat="1"/>
    <row r="1177" s="34" customFormat="1"/>
    <row r="1178" s="34" customFormat="1"/>
    <row r="1179" s="34" customFormat="1"/>
    <row r="1180" s="34" customFormat="1"/>
    <row r="1181" s="34" customFormat="1"/>
    <row r="1182" s="34" customFormat="1"/>
    <row r="1183" s="34" customFormat="1"/>
    <row r="1184" s="34" customFormat="1"/>
    <row r="1185" s="34" customFormat="1"/>
    <row r="1186" s="34" customFormat="1"/>
    <row r="1187" s="34" customFormat="1"/>
    <row r="1188" s="34" customFormat="1"/>
    <row r="1189" s="34" customFormat="1"/>
    <row r="1190" s="34" customFormat="1"/>
    <row r="1191" s="34" customFormat="1"/>
    <row r="1192" s="34" customFormat="1"/>
    <row r="1193" s="34" customFormat="1"/>
    <row r="1194" s="34" customFormat="1"/>
    <row r="1195" s="34" customFormat="1"/>
    <row r="1196" s="34" customFormat="1"/>
    <row r="1197" s="34" customFormat="1"/>
    <row r="1198" s="34" customFormat="1"/>
    <row r="1199" s="34" customFormat="1"/>
    <row r="1200" s="34" customFormat="1"/>
    <row r="1201" s="34" customFormat="1"/>
    <row r="1202" s="34" customFormat="1"/>
    <row r="1203" s="34" customFormat="1"/>
    <row r="1204" s="34" customFormat="1"/>
    <row r="1205" s="34" customFormat="1"/>
    <row r="1206" s="34" customFormat="1"/>
    <row r="1207" s="34" customFormat="1"/>
    <row r="1208" s="34" customFormat="1"/>
    <row r="1209" s="34" customFormat="1"/>
    <row r="1210" s="34" customFormat="1"/>
    <row r="1211" s="34" customFormat="1"/>
    <row r="1212" s="34" customFormat="1"/>
    <row r="1213" s="34" customFormat="1"/>
    <row r="1214" s="34" customFormat="1"/>
    <row r="1215" s="34" customFormat="1"/>
    <row r="1216" s="34" customFormat="1"/>
    <row r="1217" s="34" customFormat="1"/>
    <row r="1218" s="34" customFormat="1"/>
    <row r="1219" s="34" customFormat="1"/>
    <row r="1220" s="34" customFormat="1"/>
    <row r="1221" s="34" customFormat="1"/>
    <row r="1222" s="34" customFormat="1"/>
    <row r="1223" s="34" customFormat="1"/>
    <row r="1224" s="34" customFormat="1"/>
    <row r="1225" s="34" customFormat="1"/>
    <row r="1226" s="34" customFormat="1"/>
    <row r="1227" s="34" customFormat="1"/>
    <row r="1228" s="34" customFormat="1"/>
    <row r="1229" s="34" customFormat="1"/>
    <row r="1230" s="34" customFormat="1"/>
    <row r="1231" s="34" customFormat="1"/>
    <row r="1232" s="34" customFormat="1"/>
    <row r="1233" s="34" customFormat="1"/>
    <row r="1234" s="34" customFormat="1"/>
    <row r="1235" s="34" customFormat="1"/>
    <row r="1236" s="34" customFormat="1"/>
    <row r="1237" s="34" customFormat="1"/>
    <row r="1238" s="34" customFormat="1"/>
    <row r="1239" s="34" customFormat="1"/>
    <row r="1240" s="34" customFormat="1"/>
    <row r="1241" s="34" customFormat="1"/>
    <row r="1242" s="34" customFormat="1"/>
    <row r="1243" s="34" customFormat="1"/>
    <row r="1244" s="34" customFormat="1"/>
    <row r="1245" s="34" customFormat="1"/>
    <row r="1246" s="34" customFormat="1"/>
    <row r="1247" s="34" customFormat="1"/>
    <row r="1248" s="34" customFormat="1"/>
    <row r="1249" s="34" customFormat="1"/>
    <row r="1250" s="34" customFormat="1"/>
    <row r="1251" s="34" customFormat="1"/>
    <row r="1252" s="34" customFormat="1"/>
    <row r="1253" s="34" customFormat="1"/>
    <row r="1254" s="34" customFormat="1"/>
    <row r="1255" s="34" customFormat="1"/>
    <row r="1256" s="34" customFormat="1"/>
    <row r="1257" s="34" customFormat="1"/>
    <row r="1258" s="34" customFormat="1"/>
    <row r="1259" s="34" customFormat="1"/>
    <row r="1260" s="34" customFormat="1"/>
    <row r="1261" s="34" customFormat="1"/>
    <row r="1262" s="34" customFormat="1"/>
    <row r="1263" s="34" customFormat="1"/>
    <row r="1264" s="34" customFormat="1"/>
    <row r="1265" s="34" customFormat="1"/>
    <row r="1266" s="34" customFormat="1"/>
    <row r="1267" s="34" customFormat="1"/>
    <row r="1268" s="34" customFormat="1"/>
    <row r="1269" s="34" customFormat="1"/>
    <row r="1270" s="34" customFormat="1"/>
    <row r="1271" s="34" customFormat="1"/>
    <row r="1272" s="34" customFormat="1"/>
    <row r="1273" s="34" customFormat="1"/>
    <row r="1274" s="34" customFormat="1"/>
    <row r="1275" s="34" customFormat="1"/>
    <row r="1276" s="34" customFormat="1"/>
    <row r="1277" s="34" customFormat="1"/>
    <row r="1278" s="34" customFormat="1"/>
    <row r="1279" s="34" customFormat="1"/>
    <row r="1280" s="34" customFormat="1"/>
    <row r="1281" s="34" customFormat="1"/>
    <row r="1282" s="34" customFormat="1"/>
    <row r="1283" s="34" customFormat="1"/>
    <row r="1284" s="34" customFormat="1"/>
    <row r="1285" s="34" customFormat="1"/>
    <row r="1286" s="34" customFormat="1"/>
    <row r="1287" s="34" customFormat="1"/>
    <row r="1288" s="34" customFormat="1"/>
    <row r="1289" s="34" customFormat="1"/>
    <row r="1290" s="34" customFormat="1"/>
    <row r="1291" s="34" customFormat="1"/>
    <row r="1292" s="34" customFormat="1"/>
    <row r="1293" s="34" customFormat="1"/>
    <row r="1294" s="34" customFormat="1"/>
    <row r="1295" s="34" customFormat="1"/>
    <row r="1296" s="34" customFormat="1"/>
    <row r="1297" s="34" customFormat="1"/>
    <row r="1298" s="34" customFormat="1"/>
    <row r="1299" s="34" customFormat="1"/>
    <row r="1300" s="34" customFormat="1"/>
    <row r="1301" s="34" customFormat="1"/>
    <row r="1302" s="34" customFormat="1"/>
    <row r="1303" s="34" customFormat="1"/>
    <row r="1304" s="34" customFormat="1"/>
    <row r="1305" s="34" customFormat="1"/>
    <row r="1306" s="34" customFormat="1"/>
    <row r="1307" s="34" customFormat="1"/>
    <row r="1308" s="34" customFormat="1"/>
    <row r="1309" s="34" customFormat="1"/>
    <row r="1310" s="34" customFormat="1"/>
    <row r="1311" s="34" customFormat="1"/>
    <row r="1312" s="34" customFormat="1"/>
    <row r="1313" s="34" customFormat="1"/>
    <row r="1314" s="34" customFormat="1"/>
    <row r="1315" s="34" customFormat="1"/>
    <row r="1316" s="34" customFormat="1"/>
    <row r="1317" s="34" customFormat="1"/>
    <row r="1318" s="34" customFormat="1"/>
    <row r="1319" s="34" customFormat="1"/>
    <row r="1320" s="34" customFormat="1"/>
    <row r="1321" s="34" customFormat="1"/>
    <row r="1322" s="34" customFormat="1"/>
    <row r="1323" s="34" customFormat="1"/>
    <row r="1324" s="34" customFormat="1"/>
    <row r="1325" s="34" customFormat="1"/>
    <row r="1326" s="34" customFormat="1"/>
    <row r="1327" s="34" customFormat="1"/>
    <row r="1328" s="34" customFormat="1"/>
    <row r="1329" s="34" customFormat="1"/>
    <row r="1330" s="34" customFormat="1"/>
    <row r="1331" s="34" customFormat="1"/>
    <row r="1332" s="34" customFormat="1"/>
    <row r="1333" s="34" customFormat="1"/>
    <row r="1334" s="34" customFormat="1"/>
    <row r="1335" s="34" customFormat="1"/>
    <row r="1336" s="34" customFormat="1"/>
    <row r="1337" s="34" customFormat="1"/>
    <row r="1338" s="34" customFormat="1"/>
    <row r="1339" s="34" customFormat="1"/>
    <row r="1340" s="34" customFormat="1"/>
    <row r="1341" s="34" customFormat="1"/>
    <row r="1342" s="34" customFormat="1"/>
    <row r="1343" s="34" customFormat="1"/>
    <row r="1344" s="34" customFormat="1"/>
    <row r="1345" s="34" customFormat="1"/>
    <row r="1346" s="34" customFormat="1"/>
    <row r="1347" s="34" customFormat="1"/>
    <row r="1348" s="34" customFormat="1"/>
    <row r="1349" s="34" customFormat="1"/>
    <row r="1350" s="34" customFormat="1"/>
    <row r="1351" s="34" customFormat="1"/>
    <row r="1352" s="34" customFormat="1"/>
    <row r="1353" s="34" customFormat="1"/>
    <row r="1354" s="34" customFormat="1"/>
    <row r="1355" s="34" customFormat="1"/>
    <row r="1356" s="34" customFormat="1"/>
    <row r="1357" s="34" customFormat="1"/>
    <row r="1358" s="34" customFormat="1"/>
    <row r="1359" s="34" customFormat="1"/>
    <row r="1360" s="34" customFormat="1"/>
    <row r="1361" s="34" customFormat="1"/>
    <row r="1362" s="34" customFormat="1"/>
    <row r="1363" s="34" customFormat="1"/>
    <row r="1364" s="34" customFormat="1"/>
    <row r="1365" s="34" customFormat="1"/>
    <row r="1366" s="34" customFormat="1"/>
    <row r="1367" s="34" customFormat="1"/>
    <row r="1368" s="34" customFormat="1"/>
    <row r="1369" s="34" customFormat="1"/>
    <row r="1370" s="34" customFormat="1"/>
    <row r="1371" s="34" customFormat="1"/>
    <row r="1372" s="34" customFormat="1"/>
    <row r="1373" s="34" customFormat="1"/>
    <row r="1374" s="34" customFormat="1"/>
    <row r="1375" s="34" customFormat="1"/>
    <row r="1376" s="34" customFormat="1"/>
    <row r="1377" s="34" customFormat="1"/>
    <row r="1378" s="34" customFormat="1"/>
    <row r="1379" s="34" customFormat="1"/>
    <row r="1380" s="34" customFormat="1"/>
    <row r="1381" s="34" customFormat="1"/>
    <row r="1382" s="34" customFormat="1"/>
    <row r="1383" s="34" customFormat="1"/>
    <row r="1384" s="34" customFormat="1"/>
    <row r="1385" s="34" customFormat="1"/>
    <row r="1386" s="34" customFormat="1"/>
    <row r="1387" s="34" customFormat="1"/>
    <row r="1388" s="34" customFormat="1"/>
    <row r="1389" s="34" customFormat="1"/>
    <row r="1390" s="34" customFormat="1"/>
    <row r="1391" s="34" customFormat="1"/>
    <row r="1392" s="34" customFormat="1"/>
    <row r="1393" s="34" customFormat="1"/>
    <row r="1394" s="34" customFormat="1"/>
    <row r="1395" s="34" customFormat="1"/>
    <row r="1396" s="34" customFormat="1"/>
    <row r="1397" s="34" customFormat="1"/>
    <row r="1398" s="34" customFormat="1"/>
    <row r="1399" s="34" customFormat="1"/>
    <row r="1400" s="34" customFormat="1"/>
    <row r="1401" s="34" customFormat="1"/>
    <row r="1402" s="34" customFormat="1"/>
    <row r="1403" s="34" customFormat="1"/>
    <row r="1404" s="34" customFormat="1"/>
    <row r="1405" s="34" customFormat="1"/>
    <row r="1406" s="34" customFormat="1"/>
    <row r="1407" s="34" customFormat="1"/>
    <row r="1408" s="34" customFormat="1"/>
    <row r="1409" s="34" customFormat="1"/>
    <row r="1410" s="34" customFormat="1"/>
    <row r="1411" s="34" customFormat="1"/>
    <row r="1412" s="34" customFormat="1"/>
    <row r="1413" s="34" customFormat="1"/>
    <row r="1414" s="34" customFormat="1"/>
    <row r="1415" s="34" customFormat="1"/>
    <row r="1416" s="34" customFormat="1"/>
    <row r="1417" s="34" customFormat="1"/>
    <row r="1418" s="34" customFormat="1"/>
    <row r="1419" s="34" customFormat="1"/>
    <row r="1420" s="34" customFormat="1"/>
    <row r="1421" s="34" customFormat="1"/>
    <row r="1422" s="34" customFormat="1"/>
    <row r="1423" s="34" customFormat="1"/>
    <row r="1424" s="34" customFormat="1"/>
    <row r="1425" s="34" customFormat="1"/>
    <row r="1426" s="34" customFormat="1"/>
    <row r="1427" s="34" customFormat="1"/>
    <row r="1428" s="34" customFormat="1"/>
    <row r="1429" s="34" customFormat="1"/>
    <row r="1430" s="34" customFormat="1"/>
    <row r="1431" s="34" customFormat="1"/>
    <row r="1432" s="34" customFormat="1"/>
    <row r="1433" s="34" customFormat="1"/>
    <row r="1434" s="34" customFormat="1"/>
    <row r="1435" s="34" customFormat="1"/>
    <row r="1436" s="34" customFormat="1"/>
    <row r="1437" s="34" customFormat="1"/>
    <row r="1438" s="34" customFormat="1"/>
    <row r="1439" s="34" customFormat="1"/>
    <row r="1440" s="34" customFormat="1"/>
    <row r="1441" s="34" customFormat="1"/>
    <row r="1442" s="34" customFormat="1"/>
    <row r="1443" s="34" customFormat="1"/>
    <row r="1444" s="34" customFormat="1"/>
    <row r="1445" s="34" customFormat="1"/>
    <row r="1446" s="34" customFormat="1"/>
    <row r="1447" s="34" customFormat="1"/>
    <row r="1448" s="34" customFormat="1"/>
    <row r="1449" s="34" customFormat="1"/>
    <row r="1450" s="34" customFormat="1"/>
    <row r="1451" s="34" customFormat="1"/>
    <row r="1452" s="34" customFormat="1"/>
    <row r="1453" s="34" customFormat="1"/>
    <row r="1454" s="34" customFormat="1"/>
    <row r="1455" s="34" customFormat="1"/>
    <row r="1456" s="34" customFormat="1"/>
    <row r="1457" s="34" customFormat="1"/>
    <row r="1458" s="34" customFormat="1"/>
    <row r="1459" s="34" customFormat="1"/>
    <row r="1460" s="34" customFormat="1"/>
    <row r="1461" s="34" customFormat="1"/>
    <row r="1462" s="34" customFormat="1"/>
    <row r="1463" s="34" customFormat="1"/>
    <row r="1464" s="34" customFormat="1"/>
    <row r="1465" s="34" customFormat="1"/>
    <row r="1466" s="34" customFormat="1"/>
    <row r="1467" s="34" customFormat="1"/>
    <row r="1468" s="34" customFormat="1"/>
    <row r="1469" s="34" customFormat="1"/>
    <row r="1470" s="34" customFormat="1"/>
    <row r="1471" s="34" customFormat="1"/>
    <row r="1472" s="34" customFormat="1"/>
    <row r="1473" s="34" customFormat="1"/>
    <row r="1474" s="34" customFormat="1"/>
    <row r="1475" s="34" customFormat="1"/>
    <row r="1476" s="34" customFormat="1"/>
    <row r="1477" s="34" customFormat="1"/>
    <row r="1478" s="34" customFormat="1"/>
    <row r="1479" s="34" customFormat="1"/>
    <row r="1480" s="34" customFormat="1"/>
    <row r="1481" s="34" customFormat="1"/>
    <row r="1482" s="34" customFormat="1"/>
    <row r="1483" s="34" customFormat="1"/>
    <row r="1484" s="34" customFormat="1"/>
    <row r="1485" s="34" customFormat="1"/>
    <row r="1486" s="34" customFormat="1"/>
    <row r="1487" s="34" customFormat="1"/>
    <row r="1488" s="34" customFormat="1"/>
    <row r="1489" s="34" customFormat="1"/>
    <row r="1490" s="34" customFormat="1"/>
    <row r="1491" s="34" customFormat="1"/>
    <row r="1492" s="34" customFormat="1"/>
    <row r="1493" s="34" customFormat="1"/>
    <row r="1494" s="34" customFormat="1"/>
    <row r="1495" s="34" customFormat="1"/>
    <row r="1496" s="34" customFormat="1"/>
    <row r="1497" s="34" customFormat="1"/>
    <row r="1498" s="34" customFormat="1"/>
    <row r="1499" s="34" customFormat="1"/>
    <row r="1500" s="34" customFormat="1"/>
    <row r="1501" s="34" customFormat="1"/>
    <row r="1502" s="34" customFormat="1"/>
    <row r="1503" s="34" customFormat="1"/>
    <row r="1504" s="34" customFormat="1"/>
    <row r="1505" s="34" customFormat="1"/>
    <row r="1506" s="34" customFormat="1"/>
    <row r="1507" s="34" customFormat="1"/>
    <row r="1508" s="34" customFormat="1"/>
    <row r="1509" s="34" customFormat="1"/>
    <row r="1510" s="34" customFormat="1"/>
    <row r="1511" s="34" customFormat="1"/>
    <row r="1512" s="34" customFormat="1"/>
    <row r="1513" s="34" customFormat="1"/>
    <row r="1514" s="34" customFormat="1"/>
    <row r="1515" s="34" customFormat="1"/>
    <row r="1516" s="34" customFormat="1"/>
    <row r="1517" s="34" customFormat="1"/>
    <row r="1518" s="34" customFormat="1"/>
    <row r="1519" s="34" customFormat="1"/>
    <row r="1520" s="34" customFormat="1"/>
    <row r="1521" s="34" customFormat="1"/>
    <row r="1522" s="34" customFormat="1"/>
    <row r="1523" s="34" customFormat="1"/>
    <row r="1524" s="34" customFormat="1"/>
    <row r="1525" s="34" customFormat="1"/>
    <row r="1526" s="34" customFormat="1"/>
    <row r="1527" s="34" customFormat="1"/>
    <row r="1528" s="34" customFormat="1"/>
    <row r="1529" s="34" customFormat="1"/>
    <row r="1530" s="34" customFormat="1"/>
    <row r="1531" s="34" customFormat="1"/>
    <row r="1532" s="34" customFormat="1"/>
    <row r="1533" s="34" customFormat="1"/>
    <row r="1534" s="34" customFormat="1"/>
    <row r="1535" s="34" customFormat="1"/>
    <row r="1536" s="34" customFormat="1"/>
    <row r="1537" s="34" customFormat="1"/>
    <row r="1538" s="34" customFormat="1"/>
    <row r="1539" s="34" customFormat="1"/>
    <row r="1540" s="34" customFormat="1"/>
    <row r="1541" s="34" customFormat="1"/>
    <row r="1542" s="34" customFormat="1"/>
    <row r="1543" s="34" customFormat="1"/>
    <row r="1544" s="34" customFormat="1"/>
    <row r="1545" s="34" customFormat="1"/>
    <row r="1546" s="34" customFormat="1"/>
    <row r="1547" s="34" customFormat="1"/>
    <row r="1548" s="34" customFormat="1"/>
    <row r="1549" s="34" customFormat="1"/>
    <row r="1550" s="34" customFormat="1"/>
    <row r="1551" s="34" customFormat="1"/>
    <row r="1552" s="34" customFormat="1"/>
    <row r="1553" s="34" customFormat="1"/>
    <row r="1554" s="34" customFormat="1"/>
    <row r="1555" s="34" customFormat="1"/>
    <row r="1556" s="34" customFormat="1"/>
    <row r="1557" s="34" customFormat="1"/>
    <row r="1558" s="34" customFormat="1"/>
    <row r="1559" s="34" customFormat="1"/>
    <row r="1560" s="34" customFormat="1"/>
    <row r="1561" s="34" customFormat="1"/>
    <row r="1562" s="34" customFormat="1"/>
    <row r="1563" s="34" customFormat="1"/>
    <row r="1564" s="34" customFormat="1"/>
    <row r="1565" s="34" customFormat="1"/>
    <row r="1566" s="34" customFormat="1"/>
    <row r="1567" s="34" customFormat="1"/>
    <row r="1568" s="34" customFormat="1"/>
    <row r="1569" s="34" customFormat="1"/>
    <row r="1570" s="34" customFormat="1"/>
    <row r="1571" s="34" customFormat="1"/>
    <row r="1572" s="34" customFormat="1"/>
    <row r="1573" s="34" customFormat="1"/>
    <row r="1574" s="34" customFormat="1"/>
    <row r="1575" s="34" customFormat="1"/>
    <row r="1576" s="34" customFormat="1"/>
    <row r="1577" s="34" customFormat="1"/>
    <row r="1578" s="34" customFormat="1"/>
    <row r="1579" s="34" customFormat="1"/>
    <row r="1580" s="34" customFormat="1"/>
    <row r="1581" s="34" customFormat="1"/>
    <row r="1582" s="34" customFormat="1"/>
    <row r="1583" s="34" customFormat="1"/>
    <row r="1584" s="34" customFormat="1"/>
    <row r="1585" s="34" customFormat="1"/>
    <row r="1586" s="34" customFormat="1"/>
    <row r="1587" s="34" customFormat="1"/>
    <row r="1588" s="34" customFormat="1"/>
    <row r="1589" s="34" customFormat="1"/>
    <row r="1590" s="34" customFormat="1"/>
    <row r="1591" s="34" customFormat="1"/>
    <row r="1592" s="34" customFormat="1"/>
    <row r="1593" s="34" customFormat="1"/>
    <row r="1594" s="34" customFormat="1"/>
    <row r="1595" s="34" customFormat="1"/>
    <row r="1596" s="34" customFormat="1"/>
    <row r="1597" s="34" customFormat="1"/>
    <row r="1598" s="34" customFormat="1"/>
    <row r="1599" s="34" customFormat="1"/>
    <row r="1600" s="34" customFormat="1"/>
    <row r="1601" s="34" customFormat="1"/>
    <row r="1602" s="34" customFormat="1"/>
    <row r="1603" s="34" customFormat="1"/>
    <row r="1604" s="34" customFormat="1"/>
    <row r="1605" s="34" customFormat="1"/>
    <row r="1606" s="34" customFormat="1"/>
    <row r="1607" s="34" customFormat="1"/>
    <row r="1608" s="34" customFormat="1"/>
    <row r="1609" s="34" customFormat="1"/>
    <row r="1610" s="34" customFormat="1"/>
    <row r="1611" s="34" customFormat="1"/>
    <row r="1612" s="34" customFormat="1"/>
    <row r="1613" s="34" customFormat="1"/>
    <row r="1614" s="34" customFormat="1"/>
    <row r="1615" s="34" customFormat="1"/>
    <row r="1616" s="34" customFormat="1"/>
    <row r="1617" s="34" customFormat="1"/>
    <row r="1618" s="34" customFormat="1"/>
    <row r="1619" s="34" customFormat="1"/>
    <row r="1620" s="34" customFormat="1"/>
    <row r="1621" s="34" customFormat="1"/>
    <row r="1622" s="34" customFormat="1"/>
    <row r="1623" s="34" customFormat="1"/>
    <row r="1624" s="34" customFormat="1"/>
    <row r="1625" s="34" customFormat="1"/>
    <row r="1626" s="34" customFormat="1"/>
    <row r="1627" s="34" customFormat="1"/>
    <row r="1628" s="34" customFormat="1"/>
    <row r="1629" s="34" customFormat="1"/>
    <row r="1630" s="34" customFormat="1"/>
    <row r="1631" s="34" customFormat="1"/>
    <row r="1632" s="34" customFormat="1"/>
    <row r="1633" s="34" customFormat="1"/>
    <row r="1634" s="34" customFormat="1"/>
    <row r="1635" s="34" customFormat="1"/>
    <row r="1636" s="34" customFormat="1"/>
    <row r="1637" s="34" customFormat="1"/>
    <row r="1638" s="34" customFormat="1"/>
    <row r="1639" s="34" customFormat="1"/>
    <row r="1640" s="34" customFormat="1"/>
    <row r="1641" s="34" customFormat="1"/>
    <row r="1642" s="34" customFormat="1"/>
    <row r="1643" s="34" customFormat="1"/>
    <row r="1644" s="34" customFormat="1"/>
    <row r="1645" s="34" customFormat="1"/>
    <row r="1646" s="34" customFormat="1"/>
    <row r="1647" s="34" customFormat="1"/>
    <row r="1648" s="34" customFormat="1"/>
    <row r="1649" s="34" customFormat="1"/>
    <row r="1650" s="34" customFormat="1"/>
    <row r="1651" s="34" customFormat="1"/>
    <row r="1652" s="34" customFormat="1"/>
    <row r="1653" s="34" customFormat="1"/>
    <row r="1654" s="34" customFormat="1"/>
    <row r="1655" s="34" customFormat="1"/>
    <row r="1656" s="34" customFormat="1"/>
    <row r="1657" s="34" customFormat="1"/>
    <row r="1658" s="34" customFormat="1"/>
    <row r="1659" s="34" customFormat="1"/>
    <row r="1660" s="34" customFormat="1"/>
    <row r="1661" s="34" customFormat="1"/>
    <row r="1662" s="34" customFormat="1"/>
    <row r="1663" s="34" customFormat="1"/>
    <row r="1664" s="34" customFormat="1"/>
    <row r="1665" s="34" customFormat="1"/>
    <row r="1666" s="34" customFormat="1"/>
    <row r="1667" s="34" customFormat="1"/>
    <row r="1668" s="34" customFormat="1"/>
    <row r="1669" s="34" customFormat="1"/>
    <row r="1670" s="34" customFormat="1"/>
    <row r="1671" s="34" customFormat="1"/>
    <row r="1672" s="34" customFormat="1"/>
    <row r="1673" s="34" customFormat="1"/>
    <row r="1674" s="34" customFormat="1"/>
    <row r="1675" s="34" customFormat="1"/>
    <row r="1676" s="34" customFormat="1"/>
    <row r="1677" s="34" customFormat="1"/>
    <row r="1678" s="34" customFormat="1"/>
    <row r="1679" s="34" customFormat="1"/>
    <row r="1680" s="34" customFormat="1"/>
    <row r="1681" s="34" customFormat="1"/>
    <row r="1682" s="34" customFormat="1"/>
    <row r="1683" s="34" customFormat="1"/>
    <row r="1684" s="34" customFormat="1"/>
    <row r="1685" s="34" customFormat="1"/>
    <row r="1686" s="34" customFormat="1"/>
    <row r="1687" s="34" customFormat="1"/>
    <row r="1688" s="34" customFormat="1"/>
    <row r="1689" s="34" customFormat="1"/>
    <row r="1690" s="34" customFormat="1"/>
    <row r="1691" s="34" customFormat="1"/>
    <row r="1692" s="34" customFormat="1"/>
    <row r="1693" s="34" customFormat="1"/>
    <row r="1694" s="34" customFormat="1"/>
    <row r="1695" s="34" customFormat="1"/>
    <row r="1696" s="34" customFormat="1"/>
    <row r="1697" s="34" customFormat="1"/>
    <row r="1698" s="34" customFormat="1"/>
    <row r="1699" s="34" customFormat="1"/>
    <row r="1700" s="34" customFormat="1"/>
    <row r="1701" s="34" customFormat="1"/>
    <row r="1702" s="34" customFormat="1"/>
    <row r="1703" s="34" customFormat="1"/>
    <row r="1704" s="34" customFormat="1"/>
    <row r="1705" s="34" customFormat="1"/>
    <row r="1706" s="34" customFormat="1"/>
    <row r="1707" s="34" customFormat="1"/>
    <row r="1708" s="34" customFormat="1"/>
    <row r="1709" s="34" customFormat="1"/>
    <row r="1710" s="34" customFormat="1"/>
    <row r="1711" s="34" customFormat="1"/>
    <row r="1712" s="34" customFormat="1"/>
    <row r="1713" s="34" customFormat="1"/>
    <row r="1714" s="34" customFormat="1"/>
    <row r="1715" s="34" customFormat="1"/>
    <row r="1716" s="34" customFormat="1"/>
    <row r="1717" s="34" customFormat="1"/>
    <row r="1718" s="34" customFormat="1"/>
    <row r="1719" s="34" customFormat="1"/>
    <row r="1720" s="34" customFormat="1"/>
    <row r="1721" s="34" customFormat="1"/>
    <row r="1722" s="34" customFormat="1"/>
    <row r="1723" s="34" customFormat="1"/>
    <row r="1724" s="34" customFormat="1"/>
    <row r="1725" s="34" customFormat="1"/>
    <row r="1726" s="34" customFormat="1"/>
    <row r="1727" s="34" customFormat="1"/>
    <row r="1728" s="34" customFormat="1"/>
    <row r="1729" s="34" customFormat="1"/>
    <row r="1730" s="34" customFormat="1"/>
    <row r="1731" s="34" customFormat="1"/>
    <row r="1732" s="34" customFormat="1"/>
    <row r="1733" s="34" customFormat="1"/>
    <row r="1734" s="34" customFormat="1"/>
    <row r="1735" s="34" customFormat="1"/>
    <row r="1736" s="34" customFormat="1"/>
    <row r="1737" s="34" customFormat="1"/>
    <row r="1738" s="34" customFormat="1"/>
    <row r="1739" s="34" customFormat="1"/>
    <row r="1740" s="34" customFormat="1"/>
    <row r="1741" s="34" customFormat="1"/>
    <row r="1742" s="34" customFormat="1"/>
    <row r="1743" s="34" customFormat="1"/>
    <row r="1744" s="34" customFormat="1"/>
    <row r="1745" s="34" customFormat="1"/>
    <row r="1746" s="34" customFormat="1"/>
    <row r="1747" s="34" customFormat="1"/>
    <row r="1748" s="34" customFormat="1"/>
    <row r="1749" s="34" customFormat="1"/>
    <row r="1750" s="34" customFormat="1"/>
    <row r="1751" s="34" customFormat="1"/>
    <row r="1752" s="34" customFormat="1"/>
    <row r="1753" s="34" customFormat="1"/>
    <row r="1754" s="34" customFormat="1"/>
    <row r="1755" s="34" customFormat="1"/>
    <row r="1756" s="34" customFormat="1"/>
    <row r="1757" s="34" customFormat="1"/>
    <row r="1758" s="34" customFormat="1"/>
    <row r="1759" s="34" customFormat="1"/>
    <row r="1760" s="34" customFormat="1"/>
    <row r="1761" s="34" customFormat="1"/>
    <row r="1762" s="34" customFormat="1"/>
    <row r="1763" s="34" customFormat="1"/>
    <row r="1764" s="34" customFormat="1"/>
    <row r="1765" s="34" customFormat="1"/>
    <row r="1766" s="34" customFormat="1"/>
    <row r="1767" s="34" customFormat="1"/>
    <row r="1768" s="34" customFormat="1"/>
    <row r="1769" s="34" customFormat="1"/>
    <row r="1770" s="34" customFormat="1"/>
    <row r="1771" s="34" customFormat="1"/>
    <row r="1772" s="34" customFormat="1"/>
    <row r="1773" s="34" customFormat="1"/>
    <row r="1774" s="34" customFormat="1"/>
    <row r="1775" s="34" customFormat="1"/>
    <row r="1776" s="34" customFormat="1"/>
    <row r="1777" s="34" customFormat="1"/>
    <row r="1778" s="34" customFormat="1"/>
    <row r="1779" s="34" customFormat="1"/>
    <row r="1780" s="34" customFormat="1"/>
    <row r="1781" s="34" customFormat="1"/>
    <row r="1782" s="34" customFormat="1"/>
    <row r="1783" s="34" customFormat="1"/>
    <row r="1784" s="34" customFormat="1"/>
    <row r="1785" s="34" customFormat="1"/>
    <row r="1786" s="34" customFormat="1"/>
    <row r="1787" s="34" customFormat="1"/>
    <row r="1788" s="34" customFormat="1"/>
    <row r="1789" s="34" customFormat="1"/>
    <row r="1790" s="34" customFormat="1"/>
    <row r="1791" s="34" customFormat="1"/>
    <row r="1792" s="34" customFormat="1"/>
    <row r="1793" s="34" customFormat="1"/>
    <row r="1794" s="34" customFormat="1"/>
    <row r="1795" s="34" customFormat="1"/>
    <row r="1796" s="34" customFormat="1"/>
    <row r="1797" s="34" customFormat="1"/>
    <row r="1798" s="34" customFormat="1"/>
    <row r="1799" s="34" customFormat="1"/>
    <row r="1800" s="34" customFormat="1"/>
    <row r="1801" s="34" customFormat="1"/>
    <row r="1802" s="34" customFormat="1"/>
    <row r="1803" s="34" customFormat="1"/>
    <row r="1804" s="34" customFormat="1"/>
    <row r="1805" s="34" customFormat="1"/>
    <row r="1806" s="34" customFormat="1"/>
    <row r="1807" s="34" customFormat="1"/>
    <row r="1808" s="34" customFormat="1"/>
    <row r="1809" s="34" customFormat="1"/>
    <row r="1810" s="34" customFormat="1"/>
    <row r="1811" s="34" customFormat="1"/>
    <row r="1812" s="34" customFormat="1"/>
    <row r="1813" s="34" customFormat="1"/>
    <row r="1814" s="34" customFormat="1"/>
    <row r="1815" s="34" customFormat="1"/>
    <row r="1816" s="34" customFormat="1"/>
    <row r="1817" s="34" customFormat="1"/>
    <row r="1818" s="34" customFormat="1"/>
    <row r="1819" s="34" customFormat="1"/>
    <row r="1820" s="34" customFormat="1"/>
    <row r="1821" s="34" customFormat="1"/>
    <row r="1822" s="34" customFormat="1"/>
    <row r="1823" s="34" customFormat="1"/>
    <row r="1824" s="34" customFormat="1"/>
    <row r="1825" s="34" customFormat="1"/>
    <row r="1826" s="34" customFormat="1"/>
    <row r="1827" s="34" customFormat="1"/>
    <row r="1828" s="34" customFormat="1"/>
    <row r="1829" s="34" customFormat="1"/>
    <row r="1830" s="34" customFormat="1"/>
    <row r="1831" s="34" customFormat="1"/>
    <row r="1832" s="34" customFormat="1"/>
    <row r="1833" s="34" customFormat="1"/>
    <row r="1834" s="34" customFormat="1"/>
    <row r="1835" s="34" customFormat="1"/>
    <row r="1836" s="34" customFormat="1"/>
    <row r="1837" s="34" customFormat="1"/>
    <row r="1838" s="34" customFormat="1"/>
    <row r="1839" s="34" customFormat="1"/>
    <row r="1840" s="34" customFormat="1"/>
    <row r="1841" s="34" customFormat="1"/>
    <row r="1842" s="34" customFormat="1"/>
    <row r="1843" s="34" customFormat="1"/>
    <row r="1844" s="34" customFormat="1"/>
    <row r="1845" s="34" customFormat="1"/>
    <row r="1846" s="34" customFormat="1"/>
    <row r="1847" s="34" customFormat="1"/>
    <row r="1848" s="34" customFormat="1"/>
    <row r="1849" s="34" customFormat="1"/>
    <row r="1850" s="34" customFormat="1"/>
    <row r="1851" s="34" customFormat="1"/>
    <row r="1852" s="34" customFormat="1"/>
    <row r="1853" s="34" customFormat="1"/>
    <row r="1854" s="34" customFormat="1"/>
    <row r="1855" s="34" customFormat="1"/>
    <row r="1856" s="34" customFormat="1"/>
    <row r="1857" s="34" customFormat="1"/>
    <row r="1858" s="34" customFormat="1"/>
    <row r="1859" s="34" customFormat="1"/>
    <row r="1860" s="34" customFormat="1"/>
    <row r="1861" s="34" customFormat="1"/>
    <row r="1862" s="34" customFormat="1"/>
    <row r="1863" s="34" customFormat="1"/>
    <row r="1864" s="34" customFormat="1"/>
    <row r="1865" s="34" customFormat="1"/>
    <row r="1866" s="34" customFormat="1"/>
    <row r="1867" s="34" customFormat="1"/>
    <row r="1868" s="34" customFormat="1"/>
    <row r="1869" s="34" customFormat="1"/>
    <row r="1870" s="34" customFormat="1"/>
    <row r="1871" s="34" customFormat="1"/>
    <row r="1872" s="34" customFormat="1"/>
    <row r="1873" s="34" customFormat="1"/>
    <row r="1874" s="34" customFormat="1"/>
    <row r="1875" s="34" customFormat="1"/>
    <row r="1876" s="34" customFormat="1"/>
    <row r="1877" s="34" customFormat="1"/>
    <row r="1878" s="34" customFormat="1"/>
    <row r="1879" s="34" customFormat="1"/>
    <row r="1880" s="34" customFormat="1"/>
    <row r="1881" s="34" customFormat="1"/>
    <row r="1882" s="34" customFormat="1"/>
    <row r="1883" s="34" customFormat="1"/>
    <row r="1884" s="34" customFormat="1"/>
    <row r="1885" s="34" customFormat="1"/>
    <row r="1886" s="34" customFormat="1"/>
    <row r="1887" s="34" customFormat="1"/>
    <row r="1888" s="34" customFormat="1"/>
    <row r="1889" s="34" customFormat="1"/>
    <row r="1890" s="34" customFormat="1"/>
    <row r="1891" s="34" customFormat="1"/>
    <row r="1892" s="34" customFormat="1"/>
    <row r="1893" s="34" customFormat="1"/>
    <row r="1894" s="34" customFormat="1"/>
    <row r="1895" s="34" customFormat="1"/>
    <row r="1896" s="34" customFormat="1"/>
    <row r="1897" s="34" customFormat="1"/>
    <row r="1898" s="34" customFormat="1"/>
    <row r="1899" s="34" customFormat="1"/>
    <row r="1900" s="34" customFormat="1"/>
    <row r="1901" s="34" customFormat="1"/>
    <row r="1902" s="34" customFormat="1"/>
    <row r="1903" s="34" customFormat="1"/>
    <row r="1904" s="34" customFormat="1"/>
    <row r="1905" s="34" customFormat="1"/>
    <row r="1906" s="34" customFormat="1"/>
    <row r="1907" s="34" customFormat="1"/>
    <row r="1908" s="34" customFormat="1"/>
    <row r="1909" s="34" customFormat="1"/>
    <row r="1910" s="34" customFormat="1"/>
    <row r="1911" s="34" customFormat="1"/>
    <row r="1912" s="34" customFormat="1"/>
    <row r="1913" s="34" customFormat="1"/>
    <row r="1914" s="34" customFormat="1"/>
    <row r="1915" s="34" customFormat="1"/>
    <row r="1916" s="34" customFormat="1"/>
    <row r="1917" s="34" customFormat="1"/>
    <row r="1918" s="34" customFormat="1"/>
    <row r="1919" s="34" customFormat="1"/>
    <row r="1920" s="34" customFormat="1"/>
    <row r="1921" s="34" customFormat="1"/>
    <row r="1922" s="34" customFormat="1"/>
    <row r="1923" s="34" customFormat="1"/>
    <row r="1924" s="34" customFormat="1"/>
    <row r="1925" s="34" customFormat="1"/>
    <row r="1926" s="34" customFormat="1"/>
    <row r="1927" s="34" customFormat="1"/>
    <row r="1928" s="34" customFormat="1"/>
    <row r="1929" s="34" customFormat="1"/>
    <row r="1930" s="34" customFormat="1"/>
    <row r="1931" s="34" customFormat="1"/>
    <row r="1932" s="34" customFormat="1"/>
    <row r="1933" s="34" customFormat="1"/>
    <row r="1934" s="34" customFormat="1"/>
    <row r="1935" s="34" customFormat="1"/>
    <row r="1936" s="34" customFormat="1"/>
    <row r="1937" s="34" customFormat="1"/>
    <row r="1938" s="34" customFormat="1"/>
    <row r="1939" s="34" customFormat="1"/>
    <row r="1940" s="34" customFormat="1"/>
    <row r="1941" s="34" customFormat="1"/>
    <row r="1942" s="34" customFormat="1"/>
    <row r="1943" s="34" customFormat="1"/>
    <row r="1944" s="34" customFormat="1"/>
    <row r="1945" s="34" customFormat="1"/>
    <row r="1946" s="34" customFormat="1"/>
    <row r="1947" s="34" customFormat="1"/>
    <row r="1948" s="34" customFormat="1"/>
    <row r="1949" s="34" customFormat="1"/>
    <row r="1950" s="34" customFormat="1"/>
    <row r="1951" s="34" customFormat="1"/>
    <row r="1952" s="34" customFormat="1"/>
    <row r="1953" s="34" customFormat="1"/>
    <row r="1954" s="34" customFormat="1"/>
    <row r="1955" s="34" customFormat="1"/>
    <row r="1956" s="34" customFormat="1"/>
    <row r="1957" s="34" customFormat="1"/>
    <row r="1958" s="34" customFormat="1"/>
    <row r="1959" s="34" customFormat="1"/>
    <row r="1960" s="34" customFormat="1"/>
    <row r="1961" s="34" customFormat="1"/>
    <row r="1962" s="34" customFormat="1"/>
    <row r="1963" s="34" customFormat="1"/>
    <row r="1964" s="34" customFormat="1"/>
    <row r="1965" s="34" customFormat="1"/>
    <row r="1966" s="34" customFormat="1"/>
    <row r="1967" s="34" customFormat="1"/>
    <row r="1968" s="34" customFormat="1"/>
    <row r="1969" s="34" customFormat="1"/>
    <row r="1970" s="34" customFormat="1"/>
    <row r="1971" s="34" customFormat="1"/>
    <row r="1972" s="34" customFormat="1"/>
    <row r="1973" s="34" customFormat="1"/>
    <row r="1974" s="34" customFormat="1"/>
    <row r="1975" s="34" customFormat="1"/>
    <row r="1976" s="34" customFormat="1"/>
    <row r="1977" s="34" customFormat="1"/>
    <row r="1978" s="34" customFormat="1"/>
    <row r="1979" s="34" customFormat="1"/>
    <row r="1980" s="34" customFormat="1"/>
    <row r="1981" s="34" customFormat="1"/>
    <row r="1982" s="34" customFormat="1"/>
    <row r="1983" s="34" customFormat="1"/>
    <row r="1984" s="34" customFormat="1"/>
    <row r="1985" s="34" customFormat="1"/>
    <row r="1986" s="34" customFormat="1"/>
    <row r="1987" s="34" customFormat="1"/>
    <row r="1988" s="34" customFormat="1"/>
    <row r="1989" s="34" customFormat="1"/>
    <row r="1990" s="34" customFormat="1"/>
    <row r="1991" s="34" customFormat="1"/>
    <row r="1992" s="34" customFormat="1"/>
    <row r="1993" s="34" customFormat="1"/>
    <row r="1994" s="34" customFormat="1"/>
    <row r="1995" s="34" customFormat="1"/>
    <row r="1996" s="34" customFormat="1"/>
    <row r="1997" s="34" customFormat="1"/>
    <row r="1998" s="34" customFormat="1"/>
    <row r="1999" s="34" customFormat="1"/>
    <row r="2000" s="34" customFormat="1"/>
    <row r="2001" s="34" customFormat="1"/>
    <row r="2002" s="34" customFormat="1"/>
    <row r="2003" s="34" customFormat="1"/>
    <row r="2004" s="34" customFormat="1"/>
    <row r="2005" s="34" customFormat="1"/>
    <row r="2006" s="34" customFormat="1"/>
    <row r="2007" s="34" customFormat="1"/>
    <row r="2008" s="34" customFormat="1"/>
    <row r="2009" s="34" customFormat="1"/>
    <row r="2010" s="34" customFormat="1"/>
    <row r="2011" s="34" customFormat="1"/>
    <row r="2012" s="34" customFormat="1"/>
    <row r="2013" s="34" customFormat="1"/>
    <row r="2014" s="34" customFormat="1"/>
    <row r="2015" s="34" customFormat="1"/>
    <row r="2016" s="34" customFormat="1"/>
    <row r="2017" s="34" customFormat="1"/>
    <row r="2018" s="34" customFormat="1"/>
    <row r="2019" s="34" customFormat="1"/>
    <row r="2020" s="34" customFormat="1"/>
    <row r="2021" s="34" customFormat="1"/>
    <row r="2022" s="34" customFormat="1"/>
    <row r="2023" s="34" customFormat="1"/>
    <row r="2024" s="34" customFormat="1"/>
    <row r="2025" s="34" customFormat="1"/>
    <row r="2026" s="34" customFormat="1"/>
    <row r="2027" s="34" customFormat="1"/>
    <row r="2028" s="34" customFormat="1"/>
    <row r="2029" s="34" customFormat="1"/>
    <row r="2030" s="34" customFormat="1"/>
    <row r="2031" s="34" customFormat="1"/>
    <row r="2032" s="34" customFormat="1"/>
    <row r="2033" s="34" customFormat="1"/>
    <row r="2034" s="34" customFormat="1"/>
    <row r="2035" s="34" customFormat="1"/>
    <row r="2036" s="34" customFormat="1"/>
    <row r="2037" s="34" customFormat="1"/>
    <row r="2038" s="34" customFormat="1"/>
    <row r="2039" s="34" customFormat="1"/>
    <row r="2040" s="34" customFormat="1"/>
    <row r="2041" s="34" customFormat="1"/>
    <row r="2042" s="34" customFormat="1"/>
    <row r="2043" s="34" customFormat="1"/>
    <row r="2044" s="34" customFormat="1"/>
    <row r="2045" s="34" customFormat="1"/>
    <row r="2046" s="34" customFormat="1"/>
    <row r="2047" s="34" customFormat="1"/>
    <row r="2048" s="34" customFormat="1"/>
    <row r="2049" s="34" customFormat="1"/>
    <row r="2050" s="34" customFormat="1"/>
    <row r="2051" s="34" customFormat="1"/>
    <row r="2052" s="34" customFormat="1"/>
    <row r="2053" s="34" customFormat="1"/>
    <row r="2054" s="34" customFormat="1"/>
    <row r="2055" s="34" customFormat="1"/>
    <row r="2056" s="34" customFormat="1"/>
    <row r="2057" s="34" customFormat="1"/>
    <row r="2058" s="34" customFormat="1"/>
    <row r="2059" s="34" customFormat="1"/>
    <row r="2060" s="34" customFormat="1"/>
    <row r="2061" s="34" customFormat="1"/>
    <row r="2062" s="34" customFormat="1"/>
    <row r="2063" s="34" customFormat="1"/>
    <row r="2064" s="34" customFormat="1"/>
    <row r="2065" s="34" customFormat="1"/>
    <row r="2066" s="34" customFormat="1"/>
    <row r="2067" s="34" customFormat="1"/>
    <row r="2068" s="34" customFormat="1"/>
    <row r="2069" s="34" customFormat="1"/>
    <row r="2070" s="34" customFormat="1"/>
    <row r="2071" s="34" customFormat="1"/>
    <row r="2072" s="34" customFormat="1"/>
    <row r="2073" s="34" customFormat="1"/>
    <row r="2074" s="34" customFormat="1"/>
    <row r="2075" s="34" customFormat="1"/>
    <row r="2076" s="34" customFormat="1"/>
    <row r="2077" s="34" customFormat="1"/>
    <row r="2078" s="34" customFormat="1"/>
    <row r="2079" s="34" customFormat="1"/>
    <row r="2080" s="34" customFormat="1"/>
    <row r="2081" s="34" customFormat="1"/>
    <row r="2082" s="34" customFormat="1"/>
    <row r="2083" s="34" customFormat="1"/>
    <row r="2084" s="34" customFormat="1"/>
    <row r="2085" s="34" customFormat="1"/>
    <row r="2086" s="34" customFormat="1"/>
    <row r="2087" s="34" customFormat="1"/>
    <row r="2088" s="34" customFormat="1"/>
    <row r="2089" s="34" customFormat="1"/>
    <row r="2090" s="34" customFormat="1"/>
    <row r="2091" s="34" customFormat="1"/>
    <row r="2092" s="34" customFormat="1"/>
    <row r="2093" s="34" customFormat="1"/>
    <row r="2094" s="34" customFormat="1"/>
    <row r="2095" s="34" customFormat="1"/>
    <row r="2096" s="34" customFormat="1"/>
    <row r="2097" s="34" customFormat="1"/>
    <row r="2098" s="34" customFormat="1"/>
    <row r="2099" s="34" customFormat="1"/>
    <row r="2100" s="34" customFormat="1"/>
    <row r="2101" s="34" customFormat="1"/>
    <row r="2102" s="34" customFormat="1"/>
    <row r="2103" s="34" customFormat="1"/>
    <row r="2104" s="34" customFormat="1"/>
    <row r="2105" s="34" customFormat="1"/>
    <row r="2106" s="34" customFormat="1"/>
    <row r="2107" s="34" customFormat="1"/>
    <row r="2108" s="34" customFormat="1"/>
    <row r="2109" s="34" customFormat="1"/>
    <row r="2110" s="34" customFormat="1"/>
    <row r="2111" s="34" customFormat="1"/>
    <row r="2112" s="34" customFormat="1"/>
    <row r="2113" s="34" customFormat="1"/>
    <row r="2114" s="34" customFormat="1"/>
    <row r="2115" s="34" customFormat="1"/>
    <row r="2116" s="34" customFormat="1"/>
    <row r="2117" s="34" customFormat="1"/>
    <row r="2118" s="34" customFormat="1"/>
    <row r="2119" s="34" customFormat="1"/>
    <row r="2120" s="34" customFormat="1"/>
    <row r="2121" s="34" customFormat="1"/>
    <row r="2122" s="34" customFormat="1"/>
    <row r="2123" s="34" customFormat="1"/>
    <row r="2124" s="34" customFormat="1"/>
    <row r="2125" s="34" customFormat="1"/>
    <row r="2126" s="34" customFormat="1"/>
    <row r="2127" s="34" customFormat="1"/>
    <row r="2128" s="34" customFormat="1"/>
    <row r="2129" s="34" customFormat="1"/>
    <row r="2130" s="34" customFormat="1"/>
    <row r="2131" s="34" customFormat="1"/>
    <row r="2132" s="34" customFormat="1"/>
    <row r="2133" s="34" customFormat="1"/>
    <row r="2134" s="34" customFormat="1"/>
    <row r="2135" s="34" customFormat="1"/>
    <row r="2136" s="34" customFormat="1"/>
    <row r="2137" s="34" customFormat="1"/>
    <row r="2138" s="34" customFormat="1"/>
    <row r="2139" s="34" customFormat="1"/>
    <row r="2140" s="34" customFormat="1"/>
    <row r="2141" s="34" customFormat="1"/>
    <row r="2142" s="34" customFormat="1"/>
    <row r="2143" s="34" customFormat="1"/>
    <row r="2144" s="34" customFormat="1"/>
    <row r="2145" s="34" customFormat="1"/>
    <row r="2146" s="34" customFormat="1"/>
    <row r="2147" s="34" customFormat="1"/>
    <row r="2148" s="34" customFormat="1"/>
    <row r="2149" s="34" customFormat="1"/>
    <row r="2150" s="34" customFormat="1"/>
    <row r="2151" s="34" customFormat="1"/>
    <row r="2152" s="34" customFormat="1"/>
    <row r="2153" s="34" customFormat="1"/>
    <row r="2154" s="34" customFormat="1"/>
    <row r="2155" s="34" customFormat="1"/>
    <row r="2156" s="34" customFormat="1"/>
    <row r="2157" s="34" customFormat="1"/>
    <row r="2158" s="34" customFormat="1"/>
    <row r="2159" s="34" customFormat="1"/>
    <row r="2160" s="34" customFormat="1"/>
    <row r="2161" s="34" customFormat="1"/>
    <row r="2162" s="34" customFormat="1"/>
    <row r="2163" s="34" customFormat="1"/>
    <row r="2164" s="34" customFormat="1"/>
    <row r="2165" s="34" customFormat="1"/>
    <row r="2166" s="34" customFormat="1"/>
    <row r="2167" s="34" customFormat="1"/>
    <row r="2168" s="34" customFormat="1"/>
    <row r="2169" s="34" customFormat="1"/>
    <row r="2170" s="34" customFormat="1"/>
    <row r="2171" s="34" customFormat="1"/>
    <row r="2172" s="34" customFormat="1"/>
    <row r="2173" s="34" customFormat="1"/>
    <row r="2174" s="34" customFormat="1"/>
    <row r="2175" s="34" customFormat="1"/>
    <row r="2176" s="34" customFormat="1"/>
    <row r="2177" s="34" customFormat="1"/>
    <row r="2178" s="34" customFormat="1"/>
    <row r="2179" s="34" customFormat="1"/>
    <row r="2180" s="34" customFormat="1"/>
    <row r="2181" s="34" customFormat="1"/>
    <row r="2182" s="34" customFormat="1"/>
    <row r="2183" s="34" customFormat="1"/>
    <row r="2184" s="34" customFormat="1"/>
    <row r="2185" s="34" customFormat="1"/>
    <row r="2186" s="34" customFormat="1"/>
    <row r="2187" s="34" customFormat="1"/>
    <row r="2188" s="34" customFormat="1"/>
    <row r="2189" s="34" customFormat="1"/>
    <row r="2190" s="34" customFormat="1"/>
    <row r="2191" s="34" customFormat="1"/>
    <row r="2192" s="34" customFormat="1"/>
    <row r="2193" s="34" customFormat="1"/>
    <row r="2194" s="34" customFormat="1"/>
    <row r="2195" s="34" customFormat="1"/>
    <row r="2196" s="34" customFormat="1"/>
    <row r="2197" s="34" customFormat="1"/>
    <row r="2198" s="34" customFormat="1"/>
    <row r="2199" s="34" customFormat="1"/>
    <row r="2200" s="34" customFormat="1"/>
    <row r="2201" s="34" customFormat="1"/>
    <row r="2202" s="34" customFormat="1"/>
    <row r="2203" s="34" customFormat="1"/>
    <row r="2204" s="34" customFormat="1"/>
    <row r="2205" s="34" customFormat="1"/>
    <row r="2206" s="34" customFormat="1"/>
    <row r="2207" s="34" customFormat="1"/>
    <row r="2208" s="34" customFormat="1"/>
    <row r="2209" s="34" customFormat="1"/>
    <row r="2210" s="34" customFormat="1"/>
    <row r="2211" s="34" customFormat="1"/>
    <row r="2212" s="34" customFormat="1"/>
    <row r="2213" s="34" customFormat="1"/>
    <row r="2214" s="34" customFormat="1"/>
    <row r="2215" s="34" customFormat="1"/>
    <row r="2216" s="34" customFormat="1"/>
    <row r="2217" s="34" customFormat="1"/>
    <row r="2218" s="34" customFormat="1"/>
    <row r="2219" s="34" customFormat="1"/>
    <row r="2220" s="34" customFormat="1"/>
    <row r="2221" s="34" customFormat="1"/>
    <row r="2222" s="34" customFormat="1"/>
    <row r="2223" s="34" customFormat="1"/>
    <row r="2224" s="34" customFormat="1"/>
    <row r="2225" s="34" customFormat="1"/>
    <row r="2226" s="34" customFormat="1"/>
    <row r="2227" s="34" customFormat="1"/>
    <row r="2228" s="34" customFormat="1"/>
    <row r="2229" s="34" customFormat="1"/>
    <row r="2230" s="34" customFormat="1"/>
    <row r="2231" s="34" customFormat="1"/>
    <row r="2232" s="34" customFormat="1"/>
    <row r="2233" s="34" customFormat="1"/>
    <row r="2234" s="34" customFormat="1"/>
    <row r="2235" s="34" customFormat="1"/>
    <row r="2236" s="34" customFormat="1"/>
    <row r="2237" s="34" customFormat="1"/>
    <row r="2238" s="34" customFormat="1"/>
    <row r="2239" s="34" customFormat="1"/>
    <row r="2240" s="34" customFormat="1"/>
    <row r="2241" s="34" customFormat="1"/>
    <row r="2242" s="34" customFormat="1"/>
    <row r="2243" s="34" customFormat="1"/>
    <row r="2244" s="34" customFormat="1"/>
    <row r="2245" s="34" customFormat="1"/>
    <row r="2246" s="34" customFormat="1"/>
    <row r="2247" s="34" customFormat="1"/>
    <row r="2248" s="34" customFormat="1"/>
    <row r="2249" s="34" customFormat="1"/>
    <row r="2250" s="34" customFormat="1"/>
  </sheetData>
  <sheetProtection password="8B10" sheet="1" objects="1" scenarios="1"/>
  <phoneticPr fontId="3" type="noConversion"/>
  <pageMargins left="0.70866141732283472" right="0.70866141732283472" top="1.0236220472440944" bottom="1.0236220472440944" header="0.39370078740157483" footer="0.39370078740157483"/>
  <pageSetup paperSize="9" scale="69" orientation="landscape" r:id="rId1"/>
  <headerFooter alignWithMargins="0">
    <oddFooter>&amp;L&amp;"Frutiger 57Cn,Standard"&amp;8
Santander Consumer Bank AG
Santander-Platz 1
41061 Mönchengladbach
Tel.: +49 180 / 5556 - 499
Fax.: +49 180 / 5556 - 498</oddFooter>
  </headerFooter>
  <rowBreaks count="1" manualBreakCount="1">
    <brk id="52" max="11" man="1"/>
  </rowBreaks>
  <colBreaks count="1" manualBreakCount="1">
    <brk id="1" max="46" man="1"/>
  </col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224"/>
  <sheetViews>
    <sheetView view="pageBreakPreview" zoomScale="75" zoomScaleNormal="100" zoomScaleSheetLayoutView="70" workbookViewId="0">
      <selection activeCell="B3" sqref="B3"/>
    </sheetView>
  </sheetViews>
  <sheetFormatPr defaultRowHeight="12.75"/>
  <cols>
    <col min="1" max="1" width="1.28515625" style="31" customWidth="1"/>
    <col min="2" max="2" width="26" style="31" customWidth="1"/>
    <col min="3" max="3" width="18.140625" style="31" customWidth="1"/>
    <col min="4" max="4" width="29.28515625" style="31" customWidth="1"/>
    <col min="5" max="5" width="24.85546875" style="31" bestFit="1" customWidth="1"/>
    <col min="6" max="6" width="23.42578125" style="31" bestFit="1" customWidth="1"/>
    <col min="7" max="7" width="19.42578125" style="31" customWidth="1"/>
    <col min="8" max="8" width="21.5703125" style="31" bestFit="1" customWidth="1"/>
    <col min="9" max="9" width="10.140625" style="31" customWidth="1"/>
    <col min="10" max="10" width="17.7109375" style="31" customWidth="1"/>
    <col min="11" max="11" width="1.28515625" style="31" customWidth="1"/>
    <col min="12" max="12" width="3" style="31" customWidth="1"/>
    <col min="13" max="13" width="22.140625" style="34" customWidth="1"/>
    <col min="14" max="14" width="24.85546875" style="34" bestFit="1" customWidth="1"/>
    <col min="15" max="15" width="23.42578125" style="34" bestFit="1" customWidth="1"/>
    <col min="16" max="16" width="18.28515625" style="34" bestFit="1" customWidth="1"/>
    <col min="17" max="17" width="21.5703125" style="34" bestFit="1" customWidth="1"/>
    <col min="18" max="256" width="11.42578125" style="31" customWidth="1"/>
    <col min="257" max="16384" width="9.140625" style="31"/>
  </cols>
  <sheetData>
    <row r="1" spans="1:17" ht="6" customHeight="1">
      <c r="A1" s="35"/>
      <c r="B1" s="36"/>
      <c r="C1" s="36"/>
      <c r="D1" s="36"/>
      <c r="E1" s="36"/>
      <c r="F1" s="36"/>
      <c r="G1" s="36"/>
      <c r="H1" s="36"/>
      <c r="I1" s="36"/>
      <c r="J1" s="36"/>
      <c r="K1" s="37"/>
    </row>
    <row r="2" spans="1:17" s="27" customFormat="1" ht="18">
      <c r="A2" s="5"/>
      <c r="B2" s="7" t="str">
        <f>'Cover Sheet'!B2</f>
        <v>SC Germany Auto 10-1</v>
      </c>
      <c r="C2" s="7"/>
      <c r="D2" s="108" t="s">
        <v>54</v>
      </c>
      <c r="E2" s="109"/>
      <c r="F2" s="110">
        <f>'Cover Sheet'!F2</f>
        <v>41191</v>
      </c>
      <c r="G2" s="109"/>
      <c r="H2" s="109"/>
      <c r="I2" s="109"/>
      <c r="J2" s="111"/>
      <c r="K2" s="8"/>
      <c r="M2" s="28"/>
      <c r="N2" s="34"/>
      <c r="O2" s="372"/>
      <c r="P2" s="34"/>
      <c r="Q2" s="34"/>
    </row>
    <row r="3" spans="1:17" s="27" customFormat="1" ht="18">
      <c r="A3" s="5"/>
      <c r="B3" s="7" t="str">
        <f>'Cover Sheet'!B3</f>
        <v>Monthly Investor Report</v>
      </c>
      <c r="C3" s="7"/>
      <c r="D3" s="112" t="s">
        <v>4</v>
      </c>
      <c r="E3" s="113"/>
      <c r="F3" s="114">
        <f>'Cover Sheet'!F3</f>
        <v>41197</v>
      </c>
      <c r="G3" s="113"/>
      <c r="H3" s="113"/>
      <c r="I3" s="113"/>
      <c r="J3" s="115"/>
      <c r="K3" s="8"/>
      <c r="M3" s="28"/>
      <c r="N3" s="34"/>
      <c r="O3" s="372"/>
      <c r="P3" s="34"/>
      <c r="Q3" s="34"/>
    </row>
    <row r="4" spans="1:17" s="27" customFormat="1">
      <c r="A4" s="5"/>
      <c r="B4" s="42"/>
      <c r="C4" s="12"/>
      <c r="D4" s="112" t="s">
        <v>5</v>
      </c>
      <c r="E4" s="113"/>
      <c r="F4" s="122">
        <f>'Cover Sheet'!F4</f>
        <v>27</v>
      </c>
      <c r="G4" s="113"/>
      <c r="H4" s="117"/>
      <c r="I4" s="113"/>
      <c r="J4" s="118"/>
      <c r="K4" s="8"/>
      <c r="M4" s="28"/>
      <c r="N4" s="34"/>
      <c r="O4" s="45"/>
      <c r="P4" s="34"/>
      <c r="Q4" s="28"/>
    </row>
    <row r="5" spans="1:17" s="27" customFormat="1" ht="18">
      <c r="A5" s="5"/>
      <c r="B5" s="105" t="s">
        <v>393</v>
      </c>
      <c r="C5" s="14"/>
      <c r="D5" s="112" t="s">
        <v>3</v>
      </c>
      <c r="E5" s="113"/>
      <c r="F5" s="123">
        <f>'Cover Sheet'!F5</f>
        <v>41197</v>
      </c>
      <c r="G5" s="113"/>
      <c r="H5" s="117"/>
      <c r="I5" s="113"/>
      <c r="J5" s="118"/>
      <c r="K5" s="8"/>
      <c r="M5" s="28"/>
      <c r="N5" s="34"/>
      <c r="O5" s="373"/>
      <c r="P5" s="34"/>
      <c r="Q5" s="28"/>
    </row>
    <row r="6" spans="1:17" s="27" customFormat="1" ht="15" customHeight="1">
      <c r="A6" s="5"/>
      <c r="B6" s="43"/>
      <c r="C6" s="89"/>
      <c r="D6" s="552" t="str">
        <f>'Cover Sheet'!D6</f>
        <v>Interest Period</v>
      </c>
      <c r="E6" s="114" t="s">
        <v>38</v>
      </c>
      <c r="F6" s="114">
        <f>'Cover Sheet'!F6</f>
        <v>41164</v>
      </c>
      <c r="G6" s="116" t="s">
        <v>6</v>
      </c>
      <c r="H6" s="114">
        <f>'Cover Sheet'!H6</f>
        <v>41197</v>
      </c>
      <c r="I6" s="116" t="s">
        <v>18</v>
      </c>
      <c r="J6" s="542" t="str">
        <f>'Cover Sheet'!J6</f>
        <v>33 days</v>
      </c>
      <c r="K6" s="215"/>
      <c r="M6" s="28"/>
      <c r="N6" s="45"/>
      <c r="O6" s="372"/>
      <c r="P6" s="45"/>
      <c r="Q6" s="372"/>
    </row>
    <row r="7" spans="1:17" s="27" customFormat="1">
      <c r="A7" s="5"/>
      <c r="B7" s="4"/>
      <c r="C7" s="4"/>
      <c r="D7" s="553" t="str">
        <f>'Cover Sheet'!D7</f>
        <v>Collection Period</v>
      </c>
      <c r="E7" s="121" t="s">
        <v>38</v>
      </c>
      <c r="F7" s="121" t="str">
        <f>'Cover Sheet'!F7</f>
        <v>01.09.2012</v>
      </c>
      <c r="G7" s="120" t="s">
        <v>6</v>
      </c>
      <c r="H7" s="121">
        <f>'Cover Sheet'!H7</f>
        <v>41182</v>
      </c>
      <c r="I7" s="543"/>
      <c r="J7" s="544"/>
      <c r="K7" s="8"/>
      <c r="M7" s="28"/>
      <c r="N7" s="34"/>
      <c r="O7" s="374"/>
      <c r="P7" s="45"/>
      <c r="Q7" s="372"/>
    </row>
    <row r="8" spans="1:17" s="27" customFormat="1">
      <c r="A8" s="5"/>
      <c r="B8" s="4"/>
      <c r="C8" s="4"/>
      <c r="D8" s="4"/>
      <c r="E8" s="9"/>
      <c r="F8" s="15"/>
      <c r="G8" s="9"/>
      <c r="H8" s="4"/>
      <c r="I8" s="16"/>
      <c r="J8" s="4"/>
      <c r="K8" s="8"/>
      <c r="M8" s="34"/>
      <c r="N8" s="44"/>
      <c r="O8" s="45"/>
      <c r="P8" s="44"/>
      <c r="Q8" s="34"/>
    </row>
    <row r="9" spans="1:17" s="27" customFormat="1">
      <c r="A9" s="5"/>
      <c r="B9" s="4"/>
      <c r="C9" s="4"/>
      <c r="D9" s="4"/>
      <c r="E9" s="4"/>
      <c r="F9" s="4"/>
      <c r="G9" s="4"/>
      <c r="H9" s="4"/>
      <c r="I9" s="4"/>
      <c r="J9" s="4"/>
      <c r="K9" s="216"/>
      <c r="M9" s="34"/>
      <c r="N9" s="34"/>
      <c r="O9" s="34"/>
      <c r="P9" s="34"/>
      <c r="Q9" s="34"/>
    </row>
    <row r="10" spans="1:17" s="27" customFormat="1">
      <c r="A10" s="5"/>
      <c r="B10" s="4"/>
      <c r="C10" s="4"/>
      <c r="D10" s="4"/>
      <c r="E10" s="4"/>
      <c r="F10" s="18"/>
      <c r="G10" s="4"/>
      <c r="H10" s="4"/>
      <c r="I10" s="34"/>
      <c r="J10" s="34"/>
      <c r="K10" s="8"/>
      <c r="M10" s="34"/>
      <c r="N10" s="34"/>
      <c r="O10" s="102"/>
      <c r="P10" s="34"/>
      <c r="Q10" s="34"/>
    </row>
    <row r="11" spans="1:17" s="27" customFormat="1" ht="18">
      <c r="A11" s="5"/>
      <c r="B11" s="125"/>
      <c r="C11" s="4"/>
      <c r="D11" s="4"/>
      <c r="E11" s="4"/>
      <c r="F11" s="34"/>
      <c r="G11" s="100"/>
      <c r="H11" s="100"/>
      <c r="I11" s="34"/>
      <c r="J11" s="4"/>
      <c r="K11" s="103"/>
      <c r="M11" s="47"/>
      <c r="N11" s="34"/>
      <c r="O11" s="34"/>
      <c r="P11" s="137"/>
      <c r="Q11" s="137"/>
    </row>
    <row r="12" spans="1:17" s="27" customFormat="1" ht="13.5" thickBot="1">
      <c r="A12" s="5"/>
      <c r="B12" s="4"/>
      <c r="C12" s="4"/>
      <c r="D12" s="34"/>
      <c r="E12" s="34"/>
      <c r="F12" s="34"/>
      <c r="G12" s="137"/>
      <c r="H12" s="137"/>
      <c r="I12" s="34"/>
      <c r="J12" s="4"/>
      <c r="K12" s="103"/>
      <c r="M12" s="34"/>
      <c r="N12" s="34"/>
      <c r="O12" s="34"/>
      <c r="P12" s="137"/>
      <c r="Q12" s="137"/>
    </row>
    <row r="13" spans="1:17" s="27" customFormat="1" ht="28.5">
      <c r="A13" s="5"/>
      <c r="D13" s="286" t="s">
        <v>77</v>
      </c>
      <c r="E13" s="287" t="s">
        <v>91</v>
      </c>
      <c r="F13" s="287" t="s">
        <v>70</v>
      </c>
      <c r="G13" s="287" t="s">
        <v>71</v>
      </c>
      <c r="H13" s="499" t="s">
        <v>72</v>
      </c>
      <c r="I13" s="173"/>
      <c r="J13" s="173"/>
      <c r="K13" s="103"/>
      <c r="M13" s="317"/>
      <c r="N13" s="329"/>
      <c r="O13" s="329"/>
      <c r="P13" s="329"/>
      <c r="Q13" s="329"/>
    </row>
    <row r="14" spans="1:17">
      <c r="A14" s="40"/>
      <c r="D14" s="204" t="s">
        <v>73</v>
      </c>
      <c r="E14" s="205">
        <v>145404897.3599993</v>
      </c>
      <c r="F14" s="206">
        <v>0.66836375690966854</v>
      </c>
      <c r="G14" s="207">
        <v>33075</v>
      </c>
      <c r="H14" s="208">
        <v>0.78538693515066604</v>
      </c>
      <c r="I14" s="173"/>
      <c r="J14" s="173"/>
      <c r="K14" s="103"/>
      <c r="M14" s="392"/>
      <c r="N14" s="393"/>
      <c r="O14" s="394"/>
      <c r="P14" s="395"/>
      <c r="Q14" s="394"/>
    </row>
    <row r="15" spans="1:17">
      <c r="A15" s="40"/>
      <c r="D15" s="204" t="s">
        <v>76</v>
      </c>
      <c r="E15" s="205">
        <v>72148636.709999651</v>
      </c>
      <c r="F15" s="206">
        <v>0.33163624309033679</v>
      </c>
      <c r="G15" s="207">
        <v>9038</v>
      </c>
      <c r="H15" s="208">
        <v>0.21461306484933393</v>
      </c>
      <c r="I15" s="173"/>
      <c r="J15" s="173"/>
      <c r="K15" s="103"/>
      <c r="M15" s="392"/>
      <c r="N15" s="393"/>
      <c r="O15" s="394"/>
      <c r="P15" s="395"/>
      <c r="Q15" s="394"/>
    </row>
    <row r="16" spans="1:17">
      <c r="A16" s="40"/>
      <c r="D16" s="214" t="s">
        <v>78</v>
      </c>
      <c r="E16" s="205">
        <f>E29</f>
        <v>51126494.559999973</v>
      </c>
      <c r="F16" s="206">
        <f>E16/E18</f>
        <v>0.2350064997958147</v>
      </c>
      <c r="G16" s="207"/>
      <c r="H16" s="208"/>
      <c r="I16" s="173"/>
      <c r="J16" s="173"/>
      <c r="K16" s="103"/>
      <c r="M16" s="397"/>
      <c r="N16" s="393"/>
      <c r="O16" s="394"/>
      <c r="P16" s="395"/>
      <c r="Q16" s="394"/>
    </row>
    <row r="17" spans="1:17" ht="15.75" customHeight="1" thickBot="1">
      <c r="A17" s="40"/>
      <c r="D17" s="472" t="s">
        <v>157</v>
      </c>
      <c r="E17" s="353">
        <f>F17*E18</f>
        <v>21022142.150000066</v>
      </c>
      <c r="F17" s="206">
        <f>F15-F16</f>
        <v>9.6629743294522091E-2</v>
      </c>
      <c r="G17" s="207"/>
      <c r="H17" s="208"/>
      <c r="I17" s="173"/>
      <c r="J17" s="173"/>
      <c r="K17" s="103"/>
      <c r="M17" s="398"/>
      <c r="N17" s="393"/>
      <c r="O17" s="394"/>
      <c r="P17" s="395"/>
      <c r="Q17" s="394"/>
    </row>
    <row r="18" spans="1:17" ht="14.25" thickTop="1" thickBot="1">
      <c r="A18" s="40"/>
      <c r="D18" s="278" t="s">
        <v>40</v>
      </c>
      <c r="E18" s="279">
        <f>SUM(E14:E15)</f>
        <v>217553534.06999895</v>
      </c>
      <c r="F18" s="280">
        <f>SUM(F14:F15)</f>
        <v>1.0000000000000053</v>
      </c>
      <c r="G18" s="296">
        <f>SUM(G14:G15)</f>
        <v>42113</v>
      </c>
      <c r="H18" s="297">
        <f>SUM(H14:H15)</f>
        <v>1</v>
      </c>
      <c r="I18" s="173"/>
      <c r="J18" s="173"/>
      <c r="K18" s="103"/>
      <c r="M18" s="378"/>
      <c r="N18" s="379"/>
      <c r="O18" s="341"/>
      <c r="P18" s="340"/>
      <c r="Q18" s="341"/>
    </row>
    <row r="19" spans="1:17">
      <c r="A19" s="40"/>
      <c r="B19" s="212"/>
      <c r="C19" s="136"/>
      <c r="D19" s="135"/>
      <c r="E19" s="133"/>
      <c r="F19" s="173"/>
      <c r="G19" s="173"/>
      <c r="H19" s="173"/>
      <c r="I19" s="173"/>
      <c r="J19" s="173"/>
      <c r="K19" s="103"/>
      <c r="M19" s="143"/>
      <c r="N19" s="142"/>
      <c r="O19" s="148"/>
      <c r="P19" s="148"/>
      <c r="Q19" s="148"/>
    </row>
    <row r="20" spans="1:17">
      <c r="A20" s="40"/>
      <c r="B20" s="212"/>
      <c r="C20" s="136"/>
      <c r="D20" s="135"/>
      <c r="E20" s="133"/>
      <c r="F20" s="148"/>
      <c r="G20" s="148"/>
      <c r="H20" s="173"/>
      <c r="I20" s="173"/>
      <c r="J20" s="173"/>
      <c r="K20" s="103"/>
      <c r="M20" s="143"/>
      <c r="N20" s="142"/>
      <c r="O20" s="148"/>
      <c r="P20" s="148"/>
      <c r="Q20" s="148"/>
    </row>
    <row r="21" spans="1:17">
      <c r="A21" s="40"/>
      <c r="B21" s="134"/>
      <c r="C21" s="821"/>
      <c r="D21" s="821"/>
      <c r="E21" s="821"/>
      <c r="F21" s="821"/>
      <c r="G21" s="821"/>
      <c r="H21" s="821"/>
      <c r="I21" s="821"/>
      <c r="J21" s="821"/>
      <c r="K21" s="103"/>
    </row>
    <row r="22" spans="1:17" ht="15" thickBot="1">
      <c r="A22" s="40"/>
      <c r="B22" s="317"/>
      <c r="C22" s="350"/>
      <c r="D22" s="350"/>
      <c r="E22" s="350"/>
      <c r="F22" s="350"/>
      <c r="G22" s="350"/>
      <c r="H22" s="350"/>
      <c r="I22" s="350"/>
      <c r="J22" s="350"/>
      <c r="K22" s="103"/>
      <c r="M22" s="350"/>
      <c r="N22" s="350"/>
      <c r="O22" s="350"/>
      <c r="P22" s="350"/>
      <c r="Q22" s="350"/>
    </row>
    <row r="23" spans="1:17" ht="30" customHeight="1">
      <c r="A23" s="40"/>
      <c r="B23" s="351"/>
      <c r="C23" s="352"/>
      <c r="D23" s="286" t="s">
        <v>285</v>
      </c>
      <c r="E23" s="287" t="s">
        <v>288</v>
      </c>
      <c r="F23" s="288" t="s">
        <v>289</v>
      </c>
      <c r="G23" s="289" t="s">
        <v>291</v>
      </c>
      <c r="H23" s="290" t="s">
        <v>287</v>
      </c>
      <c r="I23" s="352"/>
      <c r="J23" s="352"/>
      <c r="K23" s="103"/>
      <c r="M23" s="317"/>
      <c r="N23" s="329"/>
      <c r="O23" s="327"/>
      <c r="P23" s="328"/>
      <c r="Q23" s="328"/>
    </row>
    <row r="24" spans="1:17">
      <c r="A24" s="40"/>
      <c r="B24" s="351"/>
      <c r="C24" s="352"/>
      <c r="D24" s="592" t="s">
        <v>563</v>
      </c>
      <c r="E24" s="205">
        <v>7385128.8199999975</v>
      </c>
      <c r="F24" s="206">
        <v>0.14444817473908927</v>
      </c>
      <c r="G24" s="207">
        <v>1572</v>
      </c>
      <c r="H24" s="208">
        <v>0.17393228590396106</v>
      </c>
      <c r="I24" s="352"/>
      <c r="J24" s="352"/>
      <c r="K24" s="103"/>
      <c r="M24" s="392"/>
      <c r="N24" s="395"/>
      <c r="O24" s="394"/>
      <c r="P24" s="393"/>
      <c r="Q24" s="394"/>
    </row>
    <row r="25" spans="1:17">
      <c r="A25" s="40"/>
      <c r="B25" s="351"/>
      <c r="C25" s="352"/>
      <c r="D25" s="592" t="s">
        <v>564</v>
      </c>
      <c r="E25" s="205">
        <v>23268961.410000037</v>
      </c>
      <c r="F25" s="206">
        <v>0.45512530460488454</v>
      </c>
      <c r="G25" s="207">
        <v>4048</v>
      </c>
      <c r="H25" s="208">
        <v>0.44788670059747732</v>
      </c>
      <c r="I25" s="352"/>
      <c r="J25" s="352"/>
      <c r="K25" s="103"/>
      <c r="M25" s="392"/>
      <c r="N25" s="395"/>
      <c r="O25" s="394"/>
      <c r="P25" s="393"/>
      <c r="Q25" s="394"/>
    </row>
    <row r="26" spans="1:17">
      <c r="A26" s="40"/>
      <c r="B26" s="351"/>
      <c r="C26" s="352"/>
      <c r="D26" s="592" t="s">
        <v>565</v>
      </c>
      <c r="E26" s="205">
        <v>20387057.219999943</v>
      </c>
      <c r="F26" s="206">
        <v>0.39875718833166734</v>
      </c>
      <c r="G26" s="207">
        <v>3409</v>
      </c>
      <c r="H26" s="208">
        <v>0.37718521796857712</v>
      </c>
      <c r="I26" s="352"/>
      <c r="J26" s="352"/>
      <c r="K26" s="103"/>
      <c r="M26" s="392"/>
      <c r="N26" s="395"/>
      <c r="O26" s="394"/>
      <c r="P26" s="393"/>
      <c r="Q26" s="394"/>
    </row>
    <row r="27" spans="1:17">
      <c r="A27" s="40"/>
      <c r="B27" s="351"/>
      <c r="C27" s="352"/>
      <c r="D27" s="592" t="s">
        <v>574</v>
      </c>
      <c r="E27" s="205">
        <v>50686.86</v>
      </c>
      <c r="F27" s="206">
        <v>9.9140104237961787E-4</v>
      </c>
      <c r="G27" s="207">
        <v>5</v>
      </c>
      <c r="H27" s="208">
        <v>5.5321973888028321E-4</v>
      </c>
      <c r="I27" s="352"/>
      <c r="J27" s="352"/>
      <c r="K27" s="103"/>
      <c r="M27" s="392"/>
      <c r="N27" s="395"/>
      <c r="O27" s="394"/>
      <c r="P27" s="393"/>
      <c r="Q27" s="394"/>
    </row>
    <row r="28" spans="1:17" ht="13.5" thickBot="1">
      <c r="A28" s="40"/>
      <c r="B28" s="351"/>
      <c r="C28" s="352"/>
      <c r="D28" s="592" t="s">
        <v>575</v>
      </c>
      <c r="E28" s="205">
        <v>34660.25</v>
      </c>
      <c r="F28" s="206">
        <v>6.7793128197600222E-4</v>
      </c>
      <c r="G28" s="207">
        <v>4</v>
      </c>
      <c r="H28" s="208">
        <v>4.4257579110422663E-4</v>
      </c>
      <c r="I28" s="352"/>
      <c r="J28" s="352"/>
      <c r="K28" s="103"/>
      <c r="M28" s="392"/>
      <c r="N28" s="395"/>
      <c r="O28" s="394"/>
      <c r="P28" s="393"/>
      <c r="Q28" s="394"/>
    </row>
    <row r="29" spans="1:17" ht="14.25" thickTop="1" thickBot="1">
      <c r="A29" s="40"/>
      <c r="B29" s="351"/>
      <c r="C29" s="352"/>
      <c r="D29" s="278" t="s">
        <v>40</v>
      </c>
      <c r="E29" s="279">
        <f>SUM(E24:E28)</f>
        <v>51126494.559999973</v>
      </c>
      <c r="F29" s="500">
        <f>SUM(F24:F28)</f>
        <v>0.99999999999999678</v>
      </c>
      <c r="G29" s="296">
        <f>SUM(G24:G28)</f>
        <v>9038</v>
      </c>
      <c r="H29" s="503">
        <f>SUM(H24:H28)</f>
        <v>1</v>
      </c>
      <c r="I29" s="352"/>
      <c r="J29" s="352"/>
      <c r="K29" s="41"/>
      <c r="M29" s="378"/>
      <c r="N29" s="340"/>
      <c r="O29" s="399"/>
      <c r="P29" s="340"/>
      <c r="Q29" s="334"/>
    </row>
    <row r="30" spans="1:17">
      <c r="A30" s="40"/>
      <c r="B30" s="351"/>
      <c r="C30" s="352"/>
      <c r="D30" s="352"/>
      <c r="E30" s="352"/>
      <c r="F30" s="352"/>
      <c r="G30" s="352"/>
      <c r="H30" s="352"/>
      <c r="I30" s="352"/>
      <c r="J30" s="352"/>
      <c r="K30" s="41"/>
      <c r="M30" s="352"/>
      <c r="N30" s="352"/>
      <c r="O30" s="352"/>
      <c r="P30" s="352"/>
      <c r="Q30" s="352"/>
    </row>
    <row r="31" spans="1:17">
      <c r="A31" s="40"/>
      <c r="B31" s="351"/>
      <c r="C31" s="352"/>
      <c r="D31" s="352"/>
      <c r="E31" s="352"/>
      <c r="F31" s="352"/>
      <c r="G31" s="352"/>
      <c r="H31" s="352"/>
      <c r="I31" s="352"/>
      <c r="J31" s="352"/>
      <c r="K31" s="41"/>
      <c r="M31" s="352"/>
      <c r="N31" s="352"/>
      <c r="O31" s="352"/>
      <c r="P31" s="352"/>
      <c r="Q31" s="352"/>
    </row>
    <row r="32" spans="1:17">
      <c r="A32" s="40"/>
      <c r="B32" s="351"/>
      <c r="C32" s="352"/>
      <c r="D32" s="352"/>
      <c r="E32" s="352"/>
      <c r="F32" s="352"/>
      <c r="G32" s="352"/>
      <c r="H32" s="352"/>
      <c r="I32" s="352"/>
      <c r="J32" s="352"/>
      <c r="K32" s="41"/>
      <c r="M32" s="352"/>
      <c r="N32" s="352"/>
      <c r="O32" s="352"/>
      <c r="P32" s="352"/>
      <c r="Q32" s="352"/>
    </row>
    <row r="33" spans="1:17" ht="13.5" thickBot="1">
      <c r="A33" s="40"/>
      <c r="B33" s="351"/>
      <c r="C33" s="352"/>
      <c r="D33" s="352"/>
      <c r="E33" s="352"/>
      <c r="F33" s="352"/>
      <c r="G33" s="352"/>
      <c r="H33" s="352"/>
      <c r="I33" s="352"/>
      <c r="J33" s="352"/>
      <c r="K33" s="41"/>
      <c r="M33" s="352"/>
      <c r="N33" s="352"/>
      <c r="O33" s="352"/>
      <c r="P33" s="352"/>
      <c r="Q33" s="352"/>
    </row>
    <row r="34" spans="1:17" ht="28.5">
      <c r="A34" s="40"/>
      <c r="B34" s="351"/>
      <c r="C34" s="352"/>
      <c r="D34" s="502" t="s">
        <v>286</v>
      </c>
      <c r="E34" s="287" t="s">
        <v>288</v>
      </c>
      <c r="F34" s="288" t="s">
        <v>289</v>
      </c>
      <c r="G34" s="289" t="s">
        <v>291</v>
      </c>
      <c r="H34" s="290" t="s">
        <v>287</v>
      </c>
      <c r="I34" s="352"/>
      <c r="J34" s="352"/>
      <c r="K34" s="41"/>
      <c r="M34" s="317"/>
      <c r="N34" s="329"/>
      <c r="O34" s="327"/>
      <c r="P34" s="328"/>
      <c r="Q34" s="328"/>
    </row>
    <row r="35" spans="1:17">
      <c r="A35" s="40"/>
      <c r="B35" s="148"/>
      <c r="C35" s="148"/>
      <c r="D35" s="592" t="s">
        <v>576</v>
      </c>
      <c r="E35" s="205">
        <v>17234374.129999992</v>
      </c>
      <c r="F35" s="206">
        <v>0.33709281808425912</v>
      </c>
      <c r="G35" s="207">
        <v>3512</v>
      </c>
      <c r="H35" s="208">
        <v>0.38858154458951094</v>
      </c>
      <c r="I35" s="148"/>
      <c r="J35" s="148"/>
      <c r="K35" s="41"/>
      <c r="M35" s="392"/>
      <c r="N35" s="395"/>
      <c r="O35" s="394"/>
      <c r="P35" s="393"/>
      <c r="Q35" s="394"/>
    </row>
    <row r="36" spans="1:17">
      <c r="A36" s="40"/>
      <c r="B36" s="148"/>
      <c r="C36" s="148"/>
      <c r="D36" s="592" t="s">
        <v>562</v>
      </c>
      <c r="E36" s="205">
        <v>24911387.200000014</v>
      </c>
      <c r="F36" s="206">
        <v>0.48725005331169224</v>
      </c>
      <c r="G36" s="207">
        <v>4164</v>
      </c>
      <c r="H36" s="208">
        <v>0.46072139853949989</v>
      </c>
      <c r="I36" s="148"/>
      <c r="J36" s="148"/>
      <c r="K36" s="41"/>
      <c r="M36" s="392"/>
      <c r="N36" s="395"/>
      <c r="O36" s="394"/>
      <c r="P36" s="393"/>
      <c r="Q36" s="394"/>
    </row>
    <row r="37" spans="1:17">
      <c r="A37" s="40"/>
      <c r="B37" s="148"/>
      <c r="C37" s="148"/>
      <c r="D37" s="592" t="s">
        <v>563</v>
      </c>
      <c r="E37" s="205">
        <v>8968781.230000006</v>
      </c>
      <c r="F37" s="206">
        <v>0.17542335548693994</v>
      </c>
      <c r="G37" s="207">
        <v>1360</v>
      </c>
      <c r="H37" s="208">
        <v>0.15047576897543705</v>
      </c>
      <c r="I37" s="148"/>
      <c r="J37" s="148"/>
      <c r="K37" s="41"/>
      <c r="M37" s="392"/>
      <c r="N37" s="395"/>
      <c r="O37" s="394"/>
      <c r="P37" s="393"/>
      <c r="Q37" s="394"/>
    </row>
    <row r="38" spans="1:17">
      <c r="A38" s="40"/>
      <c r="B38" s="148"/>
      <c r="C38" s="148"/>
      <c r="D38" s="592" t="s">
        <v>564</v>
      </c>
      <c r="E38" s="205">
        <v>3996</v>
      </c>
      <c r="F38" s="206">
        <v>7.8159084333670549E-5</v>
      </c>
      <c r="G38" s="207">
        <v>1</v>
      </c>
      <c r="H38" s="208">
        <v>1.1064394777605666E-4</v>
      </c>
      <c r="I38" s="148"/>
      <c r="J38" s="148"/>
      <c r="K38" s="41"/>
      <c r="M38" s="392"/>
      <c r="N38" s="395"/>
      <c r="O38" s="394"/>
      <c r="P38" s="393"/>
      <c r="Q38" s="394"/>
    </row>
    <row r="39" spans="1:17" ht="13.5" thickBot="1">
      <c r="A39" s="40"/>
      <c r="B39" s="148"/>
      <c r="C39" s="148"/>
      <c r="D39" s="592" t="s">
        <v>575</v>
      </c>
      <c r="E39" s="205">
        <v>7956</v>
      </c>
      <c r="F39" s="206">
        <v>1.5561403277244317E-4</v>
      </c>
      <c r="G39" s="207">
        <v>1</v>
      </c>
      <c r="H39" s="208">
        <v>1.1064394777605666E-4</v>
      </c>
      <c r="I39" s="148"/>
      <c r="J39" s="148"/>
      <c r="K39" s="41"/>
      <c r="M39" s="392"/>
      <c r="N39" s="395"/>
      <c r="O39" s="394"/>
      <c r="P39" s="393"/>
      <c r="Q39" s="394"/>
    </row>
    <row r="40" spans="1:17" s="4" customFormat="1" ht="15" customHeight="1" thickTop="1" thickBot="1">
      <c r="A40" s="5"/>
      <c r="B40" s="351"/>
      <c r="C40" s="352"/>
      <c r="D40" s="278" t="s">
        <v>40</v>
      </c>
      <c r="E40" s="279">
        <f>SUM(E35:E39)</f>
        <v>51126494.56000001</v>
      </c>
      <c r="F40" s="500">
        <f>SUM(F35:F39)</f>
        <v>0.99999999999999734</v>
      </c>
      <c r="G40" s="296">
        <f>SUM(G35:G39)</f>
        <v>9038</v>
      </c>
      <c r="H40" s="503">
        <f>SUM(H35:H39)</f>
        <v>1</v>
      </c>
      <c r="I40" s="352"/>
      <c r="J40" s="352"/>
      <c r="K40" s="8"/>
      <c r="M40" s="378"/>
      <c r="N40" s="340"/>
      <c r="O40" s="399"/>
      <c r="P40" s="340"/>
      <c r="Q40" s="334"/>
    </row>
    <row r="41" spans="1:17" s="34" customFormat="1">
      <c r="A41" s="60"/>
      <c r="B41" s="167"/>
      <c r="C41" s="168"/>
      <c r="D41" s="169"/>
      <c r="E41" s="170"/>
      <c r="F41" s="171"/>
      <c r="G41" s="172"/>
      <c r="H41" s="171"/>
      <c r="I41" s="126"/>
      <c r="J41" s="61"/>
      <c r="K41" s="79"/>
      <c r="M41" s="156"/>
      <c r="N41" s="157"/>
      <c r="O41" s="141"/>
      <c r="P41" s="158"/>
      <c r="Q41" s="141"/>
    </row>
    <row r="42" spans="1:17" s="34" customFormat="1">
      <c r="B42" s="139"/>
      <c r="C42" s="140"/>
      <c r="D42" s="156"/>
      <c r="E42" s="157"/>
      <c r="F42" s="141"/>
      <c r="G42" s="158"/>
      <c r="H42" s="141"/>
      <c r="I42" s="102"/>
      <c r="M42" s="156"/>
      <c r="N42" s="157"/>
      <c r="O42" s="141"/>
      <c r="P42" s="158"/>
      <c r="Q42" s="141"/>
    </row>
    <row r="43" spans="1:17" s="34" customFormat="1">
      <c r="B43" s="139"/>
      <c r="C43" s="140"/>
      <c r="D43" s="156"/>
      <c r="E43" s="157"/>
      <c r="F43" s="141"/>
      <c r="G43" s="158"/>
      <c r="H43" s="141"/>
      <c r="I43" s="102"/>
      <c r="M43" s="156"/>
      <c r="N43" s="157"/>
      <c r="O43" s="141"/>
      <c r="P43" s="158"/>
      <c r="Q43" s="141"/>
    </row>
    <row r="44" spans="1:17" s="34" customFormat="1">
      <c r="B44" s="139"/>
      <c r="C44" s="140"/>
      <c r="D44" s="156"/>
      <c r="E44" s="157"/>
      <c r="F44" s="141"/>
      <c r="G44" s="158"/>
      <c r="H44" s="141"/>
      <c r="I44" s="102"/>
      <c r="M44" s="156"/>
      <c r="N44" s="157"/>
      <c r="O44" s="141"/>
      <c r="P44" s="158"/>
      <c r="Q44" s="141"/>
    </row>
    <row r="45" spans="1:17" s="34" customFormat="1">
      <c r="B45" s="139"/>
      <c r="C45" s="140"/>
      <c r="D45" s="156"/>
      <c r="E45" s="157"/>
      <c r="F45" s="141"/>
      <c r="G45" s="158"/>
      <c r="H45" s="141"/>
      <c r="I45" s="102"/>
      <c r="M45" s="156"/>
      <c r="N45" s="157"/>
      <c r="O45" s="141"/>
      <c r="P45" s="158"/>
      <c r="Q45" s="141"/>
    </row>
    <row r="46" spans="1:17" s="34" customFormat="1">
      <c r="B46" s="139"/>
      <c r="C46" s="140"/>
      <c r="D46" s="156"/>
      <c r="E46" s="157"/>
      <c r="F46" s="141"/>
      <c r="G46" s="158"/>
      <c r="H46" s="141"/>
      <c r="I46" s="102"/>
      <c r="M46" s="156"/>
      <c r="N46" s="157"/>
      <c r="O46" s="141"/>
      <c r="P46" s="158"/>
      <c r="Q46" s="141"/>
    </row>
    <row r="47" spans="1:17" s="34" customFormat="1">
      <c r="B47" s="139"/>
      <c r="C47" s="140"/>
      <c r="D47" s="156"/>
      <c r="E47" s="157"/>
      <c r="F47" s="141"/>
      <c r="G47" s="158"/>
      <c r="H47" s="141"/>
      <c r="I47" s="102"/>
      <c r="M47" s="156"/>
      <c r="N47" s="157"/>
      <c r="O47" s="141"/>
      <c r="P47" s="158"/>
      <c r="Q47" s="141"/>
    </row>
    <row r="48" spans="1:17" s="34" customFormat="1">
      <c r="B48" s="139"/>
      <c r="C48" s="140"/>
      <c r="D48" s="156"/>
      <c r="E48" s="157"/>
      <c r="F48" s="141"/>
      <c r="G48" s="158"/>
      <c r="H48" s="141"/>
      <c r="I48" s="102"/>
      <c r="M48" s="156"/>
      <c r="N48" s="157"/>
      <c r="O48" s="141"/>
      <c r="P48" s="158"/>
      <c r="Q48" s="141"/>
    </row>
    <row r="49" spans="2:17" s="34" customFormat="1">
      <c r="B49" s="139"/>
      <c r="C49" s="140"/>
      <c r="D49" s="156"/>
      <c r="E49" s="157"/>
      <c r="F49" s="141"/>
      <c r="G49" s="158"/>
      <c r="H49" s="141"/>
      <c r="I49" s="102"/>
      <c r="M49" s="156"/>
      <c r="N49" s="157"/>
      <c r="O49" s="141"/>
      <c r="P49" s="158"/>
      <c r="Q49" s="141"/>
    </row>
    <row r="50" spans="2:17" s="34" customFormat="1">
      <c r="B50" s="139"/>
      <c r="C50" s="140"/>
      <c r="D50" s="156"/>
      <c r="E50" s="157"/>
      <c r="F50" s="141"/>
      <c r="G50" s="158"/>
      <c r="H50" s="141"/>
      <c r="I50" s="102"/>
      <c r="M50" s="156"/>
      <c r="N50" s="157"/>
      <c r="O50" s="141"/>
      <c r="P50" s="158"/>
      <c r="Q50" s="141"/>
    </row>
    <row r="51" spans="2:17" s="34" customFormat="1">
      <c r="B51" s="139"/>
      <c r="C51" s="140"/>
      <c r="D51" s="156"/>
      <c r="E51" s="157"/>
      <c r="F51" s="141"/>
      <c r="G51" s="158"/>
      <c r="H51" s="141"/>
      <c r="I51" s="102"/>
      <c r="M51" s="156"/>
      <c r="N51" s="157"/>
      <c r="O51" s="141"/>
      <c r="P51" s="158"/>
      <c r="Q51" s="141"/>
    </row>
    <row r="52" spans="2:17" s="34" customFormat="1">
      <c r="B52" s="139"/>
      <c r="C52" s="140"/>
      <c r="D52" s="156"/>
      <c r="E52" s="157"/>
      <c r="F52" s="141"/>
      <c r="G52" s="158"/>
      <c r="H52" s="141"/>
      <c r="I52" s="102"/>
      <c r="M52" s="156"/>
      <c r="N52" s="157"/>
      <c r="O52" s="141"/>
      <c r="P52" s="158"/>
      <c r="Q52" s="141"/>
    </row>
    <row r="53" spans="2:17" s="34" customFormat="1">
      <c r="B53" s="139"/>
      <c r="C53" s="140"/>
      <c r="D53" s="156"/>
      <c r="E53" s="157"/>
      <c r="F53" s="141"/>
      <c r="G53" s="158"/>
      <c r="H53" s="141"/>
      <c r="I53" s="102"/>
      <c r="M53" s="156"/>
      <c r="N53" s="157"/>
      <c r="O53" s="141"/>
      <c r="P53" s="158"/>
      <c r="Q53" s="141"/>
    </row>
    <row r="54" spans="2:17" s="34" customFormat="1">
      <c r="B54" s="139"/>
      <c r="C54" s="140"/>
      <c r="D54" s="156"/>
      <c r="E54" s="157"/>
      <c r="F54" s="141"/>
      <c r="G54" s="158"/>
      <c r="H54" s="141"/>
      <c r="I54" s="102"/>
      <c r="M54" s="156"/>
      <c r="N54" s="157"/>
      <c r="O54" s="141"/>
      <c r="P54" s="158"/>
      <c r="Q54" s="141"/>
    </row>
    <row r="55" spans="2:17" s="34" customFormat="1">
      <c r="B55" s="139"/>
      <c r="C55" s="140"/>
      <c r="D55" s="142"/>
      <c r="E55" s="134"/>
      <c r="F55" s="143"/>
      <c r="G55" s="144"/>
      <c r="H55" s="143"/>
      <c r="I55" s="102"/>
      <c r="M55" s="142"/>
      <c r="N55" s="134"/>
      <c r="O55" s="143"/>
      <c r="P55" s="144"/>
      <c r="Q55" s="143"/>
    </row>
    <row r="56" spans="2:17" s="34" customFormat="1">
      <c r="B56" s="139"/>
      <c r="C56" s="140"/>
      <c r="D56" s="142"/>
      <c r="E56" s="142"/>
      <c r="F56" s="142"/>
      <c r="G56" s="142"/>
      <c r="H56" s="142"/>
      <c r="I56" s="102"/>
      <c r="M56" s="142"/>
      <c r="N56" s="142"/>
      <c r="O56" s="142"/>
      <c r="P56" s="142"/>
      <c r="Q56" s="142"/>
    </row>
    <row r="57" spans="2:17" s="34" customFormat="1">
      <c r="B57" s="139"/>
      <c r="C57" s="140"/>
      <c r="D57" s="142"/>
      <c r="E57" s="142"/>
      <c r="F57" s="142"/>
      <c r="G57" s="142"/>
      <c r="H57" s="142"/>
      <c r="I57" s="102"/>
      <c r="M57" s="142"/>
      <c r="N57" s="142"/>
      <c r="O57" s="142"/>
      <c r="P57" s="142"/>
      <c r="Q57" s="142"/>
    </row>
    <row r="58" spans="2:17" s="34" customFormat="1">
      <c r="B58" s="139"/>
      <c r="C58" s="140"/>
      <c r="D58" s="145"/>
      <c r="E58" s="146"/>
      <c r="F58" s="142"/>
      <c r="G58" s="142"/>
      <c r="H58" s="142"/>
      <c r="I58" s="102"/>
      <c r="M58" s="145"/>
      <c r="N58" s="146"/>
      <c r="O58" s="142"/>
      <c r="P58" s="142"/>
      <c r="Q58" s="142"/>
    </row>
    <row r="59" spans="2:17" s="34" customFormat="1">
      <c r="B59" s="139"/>
      <c r="C59" s="140"/>
      <c r="D59" s="134"/>
      <c r="E59" s="146"/>
      <c r="F59" s="142"/>
      <c r="G59" s="142"/>
      <c r="H59" s="142"/>
      <c r="I59" s="102"/>
      <c r="M59" s="134"/>
      <c r="N59" s="146"/>
      <c r="O59" s="142"/>
      <c r="P59" s="142"/>
      <c r="Q59" s="142"/>
    </row>
    <row r="60" spans="2:17" s="34" customFormat="1">
      <c r="B60" s="139"/>
      <c r="C60" s="140"/>
      <c r="D60" s="142"/>
      <c r="E60" s="146"/>
      <c r="F60" s="142"/>
      <c r="G60" s="142"/>
      <c r="H60" s="142"/>
      <c r="I60" s="102"/>
      <c r="M60" s="142"/>
      <c r="N60" s="146"/>
      <c r="O60" s="142"/>
      <c r="P60" s="142"/>
      <c r="Q60" s="142"/>
    </row>
    <row r="61" spans="2:17" s="34" customFormat="1" ht="14.25">
      <c r="B61" s="142"/>
      <c r="C61" s="134"/>
      <c r="D61" s="150"/>
      <c r="E61" s="150"/>
      <c r="F61" s="150"/>
      <c r="G61" s="150"/>
      <c r="H61" s="150"/>
      <c r="I61" s="102"/>
      <c r="M61" s="150"/>
      <c r="N61" s="150"/>
      <c r="O61" s="150"/>
      <c r="P61" s="150"/>
      <c r="Q61" s="150"/>
    </row>
    <row r="62" spans="2:17" s="34" customFormat="1" ht="14.25">
      <c r="B62" s="173"/>
      <c r="C62" s="173"/>
      <c r="D62" s="150"/>
      <c r="E62" s="150"/>
      <c r="F62" s="150"/>
      <c r="G62" s="150"/>
      <c r="H62" s="150"/>
      <c r="I62" s="102"/>
      <c r="M62" s="150"/>
      <c r="N62" s="150"/>
      <c r="O62" s="150"/>
      <c r="P62" s="150"/>
      <c r="Q62" s="150"/>
    </row>
    <row r="63" spans="2:17" s="34" customFormat="1" ht="14.25">
      <c r="B63" s="173"/>
      <c r="C63" s="173"/>
      <c r="D63" s="151"/>
      <c r="E63" s="152"/>
      <c r="F63" s="150"/>
      <c r="G63" s="150"/>
      <c r="H63" s="150"/>
      <c r="I63" s="102"/>
      <c r="M63" s="151"/>
      <c r="N63" s="152"/>
      <c r="O63" s="150"/>
      <c r="P63" s="150"/>
      <c r="Q63" s="150"/>
    </row>
    <row r="64" spans="2:17" s="34" customFormat="1" ht="14.25">
      <c r="B64" s="145"/>
      <c r="C64" s="146"/>
      <c r="D64" s="153"/>
      <c r="E64" s="152"/>
      <c r="F64" s="150"/>
      <c r="G64" s="150"/>
      <c r="H64" s="150"/>
      <c r="I64" s="102"/>
      <c r="M64" s="153"/>
      <c r="N64" s="152"/>
      <c r="O64" s="150"/>
      <c r="P64" s="150"/>
      <c r="Q64" s="150"/>
    </row>
    <row r="65" spans="2:17" s="34" customFormat="1" ht="14.25">
      <c r="B65" s="147"/>
      <c r="C65" s="146"/>
      <c r="D65" s="150"/>
      <c r="E65" s="152"/>
      <c r="F65" s="150"/>
      <c r="G65" s="150"/>
      <c r="H65" s="150"/>
      <c r="I65" s="102"/>
      <c r="M65" s="150"/>
      <c r="N65" s="152"/>
      <c r="O65" s="150"/>
      <c r="P65" s="150"/>
      <c r="Q65" s="150"/>
    </row>
    <row r="66" spans="2:17" s="34" customFormat="1">
      <c r="B66" s="148"/>
      <c r="C66" s="146"/>
      <c r="D66" s="148"/>
      <c r="E66" s="148"/>
      <c r="F66" s="148"/>
      <c r="I66" s="102"/>
      <c r="M66" s="148"/>
      <c r="N66" s="148"/>
      <c r="O66" s="148"/>
    </row>
    <row r="67" spans="2:17" s="34" customFormat="1">
      <c r="I67" s="102"/>
    </row>
    <row r="68" spans="2:17" s="34" customFormat="1">
      <c r="I68" s="102"/>
    </row>
    <row r="69" spans="2:17" s="34" customFormat="1">
      <c r="I69" s="102"/>
    </row>
    <row r="70" spans="2:17" s="34" customFormat="1">
      <c r="I70" s="102"/>
    </row>
    <row r="71" spans="2:17" s="34" customFormat="1">
      <c r="I71" s="102"/>
    </row>
    <row r="72" spans="2:17" s="34" customFormat="1">
      <c r="I72" s="102"/>
    </row>
    <row r="73" spans="2:17" s="34" customFormat="1">
      <c r="I73" s="102"/>
    </row>
    <row r="74" spans="2:17" s="34" customFormat="1">
      <c r="I74" s="102"/>
    </row>
    <row r="75" spans="2:17" s="34" customFormat="1">
      <c r="I75" s="102"/>
    </row>
    <row r="76" spans="2:17" s="34" customFormat="1">
      <c r="I76" s="102"/>
    </row>
    <row r="77" spans="2:17" s="34" customFormat="1">
      <c r="I77" s="102"/>
    </row>
    <row r="78" spans="2:17" s="34" customFormat="1">
      <c r="I78" s="102"/>
    </row>
    <row r="79" spans="2:17" s="34" customFormat="1">
      <c r="I79" s="102"/>
    </row>
    <row r="80" spans="2:17" s="34" customFormat="1">
      <c r="I80" s="102"/>
    </row>
    <row r="81" spans="9:9" s="34" customFormat="1">
      <c r="I81" s="102"/>
    </row>
    <row r="82" spans="9:9" s="34" customFormat="1">
      <c r="I82" s="102"/>
    </row>
    <row r="83" spans="9:9" s="34" customFormat="1">
      <c r="I83" s="102"/>
    </row>
    <row r="84" spans="9:9" s="34" customFormat="1">
      <c r="I84" s="102"/>
    </row>
    <row r="85" spans="9:9" s="34" customFormat="1">
      <c r="I85" s="102"/>
    </row>
    <row r="86" spans="9:9" s="34" customFormat="1">
      <c r="I86" s="102"/>
    </row>
    <row r="87" spans="9:9" s="34" customFormat="1">
      <c r="I87" s="102"/>
    </row>
    <row r="88" spans="9:9" s="34" customFormat="1">
      <c r="I88" s="102"/>
    </row>
    <row r="89" spans="9:9" s="34" customFormat="1">
      <c r="I89" s="102"/>
    </row>
    <row r="90" spans="9:9" s="34" customFormat="1">
      <c r="I90" s="102"/>
    </row>
    <row r="91" spans="9:9" s="34" customFormat="1">
      <c r="I91" s="102"/>
    </row>
    <row r="92" spans="9:9" s="34" customFormat="1">
      <c r="I92" s="102"/>
    </row>
    <row r="93" spans="9:9" s="34" customFormat="1">
      <c r="I93" s="102"/>
    </row>
    <row r="94" spans="9:9" s="34" customFormat="1">
      <c r="I94" s="102"/>
    </row>
    <row r="95" spans="9:9" s="34" customFormat="1">
      <c r="I95" s="102"/>
    </row>
    <row r="96" spans="9:9" s="34" customFormat="1">
      <c r="I96" s="102"/>
    </row>
    <row r="97" spans="9:9" s="34" customFormat="1">
      <c r="I97" s="102"/>
    </row>
    <row r="98" spans="9:9" s="34" customFormat="1">
      <c r="I98" s="102"/>
    </row>
    <row r="99" spans="9:9" s="34" customFormat="1">
      <c r="I99" s="102"/>
    </row>
    <row r="100" spans="9:9" s="34" customFormat="1">
      <c r="I100" s="102"/>
    </row>
    <row r="101" spans="9:9" s="34" customFormat="1">
      <c r="I101" s="102"/>
    </row>
    <row r="102" spans="9:9" s="34" customFormat="1">
      <c r="I102" s="102"/>
    </row>
    <row r="103" spans="9:9" s="34" customFormat="1">
      <c r="I103" s="102"/>
    </row>
    <row r="104" spans="9:9" s="34" customFormat="1">
      <c r="I104" s="102"/>
    </row>
    <row r="105" spans="9:9" s="34" customFormat="1">
      <c r="I105" s="102"/>
    </row>
    <row r="106" spans="9:9" s="34" customFormat="1">
      <c r="I106" s="102"/>
    </row>
    <row r="107" spans="9:9" s="34" customFormat="1">
      <c r="I107" s="102"/>
    </row>
    <row r="108" spans="9:9" s="34" customFormat="1">
      <c r="I108" s="102"/>
    </row>
    <row r="109" spans="9:9" s="34" customFormat="1">
      <c r="I109" s="102"/>
    </row>
    <row r="110" spans="9:9" s="34" customFormat="1">
      <c r="I110" s="102"/>
    </row>
    <row r="111" spans="9:9" s="34" customFormat="1">
      <c r="I111" s="102"/>
    </row>
    <row r="112" spans="9:9" s="34" customFormat="1">
      <c r="I112" s="102"/>
    </row>
    <row r="113" spans="9:9" s="34" customFormat="1">
      <c r="I113" s="102"/>
    </row>
    <row r="114" spans="9:9" s="34" customFormat="1">
      <c r="I114" s="102"/>
    </row>
    <row r="115" spans="9:9" s="34" customFormat="1">
      <c r="I115" s="102"/>
    </row>
    <row r="116" spans="9:9" s="34" customFormat="1">
      <c r="I116" s="102"/>
    </row>
    <row r="117" spans="9:9" s="34" customFormat="1">
      <c r="I117" s="102"/>
    </row>
    <row r="118" spans="9:9" s="34" customFormat="1">
      <c r="I118" s="102"/>
    </row>
    <row r="119" spans="9:9" s="34" customFormat="1">
      <c r="I119" s="102"/>
    </row>
    <row r="120" spans="9:9" s="34" customFormat="1">
      <c r="I120" s="102"/>
    </row>
    <row r="121" spans="9:9" s="34" customFormat="1">
      <c r="I121" s="102"/>
    </row>
    <row r="122" spans="9:9" s="34" customFormat="1">
      <c r="I122" s="102"/>
    </row>
    <row r="123" spans="9:9" s="34" customFormat="1">
      <c r="I123" s="102"/>
    </row>
    <row r="124" spans="9:9" s="34" customFormat="1">
      <c r="I124" s="102"/>
    </row>
    <row r="125" spans="9:9" s="34" customFormat="1">
      <c r="I125" s="102"/>
    </row>
    <row r="126" spans="9:9" s="34" customFormat="1">
      <c r="I126" s="102"/>
    </row>
    <row r="127" spans="9:9" s="34" customFormat="1">
      <c r="I127" s="102"/>
    </row>
    <row r="128" spans="9:9" s="34" customFormat="1">
      <c r="I128" s="102"/>
    </row>
    <row r="129" spans="9:9" s="34" customFormat="1">
      <c r="I129" s="102"/>
    </row>
    <row r="130" spans="9:9" s="34" customFormat="1">
      <c r="I130" s="102"/>
    </row>
    <row r="131" spans="9:9" s="34" customFormat="1">
      <c r="I131" s="102"/>
    </row>
    <row r="132" spans="9:9" s="34" customFormat="1">
      <c r="I132" s="102"/>
    </row>
    <row r="133" spans="9:9" s="34" customFormat="1">
      <c r="I133" s="102"/>
    </row>
    <row r="134" spans="9:9" s="34" customFormat="1">
      <c r="I134" s="102"/>
    </row>
    <row r="135" spans="9:9" s="34" customFormat="1">
      <c r="I135" s="102"/>
    </row>
    <row r="136" spans="9:9" s="34" customFormat="1">
      <c r="I136" s="102"/>
    </row>
    <row r="137" spans="9:9" s="34" customFormat="1">
      <c r="I137" s="102"/>
    </row>
    <row r="138" spans="9:9" s="34" customFormat="1">
      <c r="I138" s="102"/>
    </row>
    <row r="139" spans="9:9" s="34" customFormat="1">
      <c r="I139" s="102"/>
    </row>
    <row r="140" spans="9:9" s="34" customFormat="1">
      <c r="I140" s="102"/>
    </row>
    <row r="141" spans="9:9" s="34" customFormat="1">
      <c r="I141" s="102"/>
    </row>
    <row r="142" spans="9:9" s="34" customFormat="1">
      <c r="I142" s="102"/>
    </row>
    <row r="143" spans="9:9" s="34" customFormat="1">
      <c r="I143" s="102"/>
    </row>
    <row r="144" spans="9:9" s="34" customFormat="1">
      <c r="I144" s="102"/>
    </row>
    <row r="145" spans="9:9" s="34" customFormat="1">
      <c r="I145" s="102"/>
    </row>
    <row r="146" spans="9:9" s="34" customFormat="1">
      <c r="I146" s="102"/>
    </row>
    <row r="147" spans="9:9" s="34" customFormat="1">
      <c r="I147" s="102"/>
    </row>
    <row r="148" spans="9:9" s="34" customFormat="1">
      <c r="I148" s="102"/>
    </row>
    <row r="149" spans="9:9" s="34" customFormat="1">
      <c r="I149" s="102"/>
    </row>
    <row r="150" spans="9:9" s="34" customFormat="1">
      <c r="I150" s="102"/>
    </row>
    <row r="151" spans="9:9" s="34" customFormat="1">
      <c r="I151" s="102"/>
    </row>
    <row r="152" spans="9:9" s="34" customFormat="1">
      <c r="I152" s="102"/>
    </row>
    <row r="153" spans="9:9" s="34" customFormat="1">
      <c r="I153" s="102"/>
    </row>
    <row r="154" spans="9:9" s="34" customFormat="1">
      <c r="I154" s="102"/>
    </row>
    <row r="155" spans="9:9" s="34" customFormat="1">
      <c r="I155" s="102"/>
    </row>
    <row r="156" spans="9:9" s="34" customFormat="1">
      <c r="I156" s="102"/>
    </row>
    <row r="157" spans="9:9" s="34" customFormat="1">
      <c r="I157" s="102"/>
    </row>
    <row r="158" spans="9:9" s="34" customFormat="1">
      <c r="I158" s="102"/>
    </row>
    <row r="159" spans="9:9" s="34" customFormat="1">
      <c r="I159" s="102"/>
    </row>
    <row r="160" spans="9:9" s="34" customFormat="1">
      <c r="I160" s="102"/>
    </row>
    <row r="161" spans="9:9" s="34" customFormat="1">
      <c r="I161" s="102"/>
    </row>
    <row r="162" spans="9:9" s="34" customFormat="1">
      <c r="I162" s="102"/>
    </row>
    <row r="163" spans="9:9" s="34" customFormat="1">
      <c r="I163" s="102"/>
    </row>
    <row r="164" spans="9:9" s="34" customFormat="1">
      <c r="I164" s="102"/>
    </row>
    <row r="165" spans="9:9" s="34" customFormat="1">
      <c r="I165" s="102"/>
    </row>
    <row r="166" spans="9:9" s="34" customFormat="1">
      <c r="I166" s="102"/>
    </row>
    <row r="167" spans="9:9" s="34" customFormat="1">
      <c r="I167" s="102"/>
    </row>
    <row r="168" spans="9:9" s="34" customFormat="1">
      <c r="I168" s="102"/>
    </row>
    <row r="169" spans="9:9" s="34" customFormat="1">
      <c r="I169" s="102"/>
    </row>
    <row r="170" spans="9:9" s="34" customFormat="1">
      <c r="I170" s="102"/>
    </row>
    <row r="171" spans="9:9" s="34" customFormat="1">
      <c r="I171" s="102"/>
    </row>
    <row r="172" spans="9:9" s="34" customFormat="1">
      <c r="I172" s="102"/>
    </row>
    <row r="173" spans="9:9" s="34" customFormat="1">
      <c r="I173" s="102"/>
    </row>
    <row r="174" spans="9:9" s="34" customFormat="1">
      <c r="I174" s="102"/>
    </row>
    <row r="175" spans="9:9" s="34" customFormat="1">
      <c r="I175" s="102"/>
    </row>
    <row r="176" spans="9:9" s="34" customFormat="1">
      <c r="I176" s="102"/>
    </row>
    <row r="177" spans="9:9" s="34" customFormat="1">
      <c r="I177" s="102"/>
    </row>
    <row r="178" spans="9:9" s="34" customFormat="1">
      <c r="I178" s="102"/>
    </row>
    <row r="179" spans="9:9" s="34" customFormat="1">
      <c r="I179" s="102"/>
    </row>
    <row r="180" spans="9:9" s="34" customFormat="1">
      <c r="I180" s="102"/>
    </row>
    <row r="181" spans="9:9" s="34" customFormat="1">
      <c r="I181" s="102"/>
    </row>
    <row r="182" spans="9:9" s="34" customFormat="1">
      <c r="I182" s="102"/>
    </row>
    <row r="183" spans="9:9" s="34" customFormat="1">
      <c r="I183" s="102"/>
    </row>
    <row r="184" spans="9:9" s="34" customFormat="1">
      <c r="I184" s="102"/>
    </row>
    <row r="185" spans="9:9" s="34" customFormat="1">
      <c r="I185" s="102"/>
    </row>
    <row r="186" spans="9:9" s="34" customFormat="1">
      <c r="I186" s="102"/>
    </row>
    <row r="187" spans="9:9" s="34" customFormat="1">
      <c r="I187" s="102"/>
    </row>
    <row r="188" spans="9:9" s="34" customFormat="1">
      <c r="I188" s="102"/>
    </row>
    <row r="189" spans="9:9" s="34" customFormat="1">
      <c r="I189" s="102"/>
    </row>
    <row r="190" spans="9:9" s="34" customFormat="1">
      <c r="I190" s="102"/>
    </row>
    <row r="191" spans="9:9" s="34" customFormat="1">
      <c r="I191" s="102"/>
    </row>
    <row r="192" spans="9:9" s="34" customFormat="1">
      <c r="I192" s="102"/>
    </row>
    <row r="193" spans="9:9" s="34" customFormat="1">
      <c r="I193" s="102"/>
    </row>
    <row r="194" spans="9:9" s="34" customFormat="1">
      <c r="I194" s="102"/>
    </row>
    <row r="195" spans="9:9" s="34" customFormat="1">
      <c r="I195" s="102"/>
    </row>
    <row r="196" spans="9:9" s="34" customFormat="1">
      <c r="I196" s="102"/>
    </row>
    <row r="197" spans="9:9" s="34" customFormat="1">
      <c r="I197" s="102"/>
    </row>
    <row r="198" spans="9:9" s="34" customFormat="1">
      <c r="I198" s="102"/>
    </row>
    <row r="199" spans="9:9" s="34" customFormat="1">
      <c r="I199" s="102"/>
    </row>
    <row r="200" spans="9:9" s="34" customFormat="1">
      <c r="I200" s="102"/>
    </row>
    <row r="201" spans="9:9" s="34" customFormat="1">
      <c r="I201" s="102"/>
    </row>
    <row r="202" spans="9:9" s="34" customFormat="1">
      <c r="I202" s="102"/>
    </row>
    <row r="203" spans="9:9" s="34" customFormat="1">
      <c r="I203" s="102"/>
    </row>
    <row r="204" spans="9:9" s="34" customFormat="1">
      <c r="I204" s="102"/>
    </row>
    <row r="205" spans="9:9" s="34" customFormat="1">
      <c r="I205" s="102"/>
    </row>
    <row r="206" spans="9:9" s="34" customFormat="1">
      <c r="I206" s="102"/>
    </row>
    <row r="207" spans="9:9" s="34" customFormat="1">
      <c r="I207" s="102"/>
    </row>
    <row r="208" spans="9:9" s="34" customFormat="1">
      <c r="I208" s="102"/>
    </row>
    <row r="209" spans="9:9" s="34" customFormat="1">
      <c r="I209" s="102"/>
    </row>
    <row r="210" spans="9:9" s="34" customFormat="1">
      <c r="I210" s="102"/>
    </row>
    <row r="211" spans="9:9" s="34" customFormat="1">
      <c r="I211" s="102"/>
    </row>
    <row r="212" spans="9:9" s="34" customFormat="1">
      <c r="I212" s="102"/>
    </row>
    <row r="213" spans="9:9" s="34" customFormat="1">
      <c r="I213" s="102"/>
    </row>
    <row r="214" spans="9:9" s="34" customFormat="1">
      <c r="I214" s="102"/>
    </row>
    <row r="215" spans="9:9" s="34" customFormat="1">
      <c r="I215" s="102"/>
    </row>
    <row r="216" spans="9:9" s="34" customFormat="1">
      <c r="I216" s="102"/>
    </row>
    <row r="217" spans="9:9" s="34" customFormat="1">
      <c r="I217" s="102"/>
    </row>
    <row r="218" spans="9:9" s="34" customFormat="1">
      <c r="I218" s="102"/>
    </row>
    <row r="219" spans="9:9" s="34" customFormat="1">
      <c r="I219" s="102"/>
    </row>
    <row r="220" spans="9:9" s="34" customFormat="1">
      <c r="I220" s="102"/>
    </row>
    <row r="221" spans="9:9" s="34" customFormat="1">
      <c r="I221" s="102"/>
    </row>
    <row r="222" spans="9:9" s="34" customFormat="1">
      <c r="I222" s="102"/>
    </row>
    <row r="223" spans="9:9" s="34" customFormat="1">
      <c r="I223" s="102"/>
    </row>
    <row r="224" spans="9:9" s="34" customFormat="1">
      <c r="I224" s="102"/>
    </row>
    <row r="225" spans="9:9" s="34" customFormat="1">
      <c r="I225" s="102"/>
    </row>
    <row r="226" spans="9:9" s="34" customFormat="1">
      <c r="I226" s="102"/>
    </row>
    <row r="227" spans="9:9" s="34" customFormat="1">
      <c r="I227" s="102"/>
    </row>
    <row r="228" spans="9:9" s="34" customFormat="1">
      <c r="I228" s="102"/>
    </row>
    <row r="229" spans="9:9" s="34" customFormat="1">
      <c r="I229" s="102"/>
    </row>
    <row r="230" spans="9:9" s="34" customFormat="1">
      <c r="I230" s="102"/>
    </row>
    <row r="231" spans="9:9" s="34" customFormat="1">
      <c r="I231" s="102"/>
    </row>
    <row r="232" spans="9:9" s="34" customFormat="1">
      <c r="I232" s="102"/>
    </row>
    <row r="233" spans="9:9" s="34" customFormat="1">
      <c r="I233" s="102"/>
    </row>
    <row r="234" spans="9:9" s="34" customFormat="1">
      <c r="I234" s="102"/>
    </row>
    <row r="235" spans="9:9" s="34" customFormat="1">
      <c r="I235" s="102"/>
    </row>
    <row r="236" spans="9:9" s="34" customFormat="1">
      <c r="I236" s="102"/>
    </row>
    <row r="237" spans="9:9" s="34" customFormat="1">
      <c r="I237" s="102"/>
    </row>
    <row r="238" spans="9:9" s="34" customFormat="1">
      <c r="I238" s="102"/>
    </row>
    <row r="239" spans="9:9" s="34" customFormat="1">
      <c r="I239" s="102"/>
    </row>
    <row r="240" spans="9:9" s="34" customFormat="1">
      <c r="I240" s="102"/>
    </row>
    <row r="241" spans="9:9" s="34" customFormat="1">
      <c r="I241" s="102"/>
    </row>
    <row r="242" spans="9:9" s="34" customFormat="1">
      <c r="I242" s="102"/>
    </row>
    <row r="243" spans="9:9" s="34" customFormat="1">
      <c r="I243" s="102"/>
    </row>
    <row r="244" spans="9:9" s="34" customFormat="1">
      <c r="I244" s="102"/>
    </row>
    <row r="245" spans="9:9" s="34" customFormat="1">
      <c r="I245" s="102"/>
    </row>
    <row r="246" spans="9:9" s="34" customFormat="1">
      <c r="I246" s="102"/>
    </row>
    <row r="247" spans="9:9" s="34" customFormat="1">
      <c r="I247" s="102"/>
    </row>
    <row r="248" spans="9:9" s="34" customFormat="1">
      <c r="I248" s="102"/>
    </row>
    <row r="249" spans="9:9" s="34" customFormat="1">
      <c r="I249" s="102"/>
    </row>
    <row r="250" spans="9:9" s="34" customFormat="1">
      <c r="I250" s="102"/>
    </row>
    <row r="251" spans="9:9" s="34" customFormat="1">
      <c r="I251" s="102"/>
    </row>
    <row r="252" spans="9:9" s="34" customFormat="1">
      <c r="I252" s="102"/>
    </row>
    <row r="253" spans="9:9" s="34" customFormat="1">
      <c r="I253" s="102"/>
    </row>
    <row r="254" spans="9:9" s="34" customFormat="1">
      <c r="I254" s="102"/>
    </row>
    <row r="255" spans="9:9" s="34" customFormat="1">
      <c r="I255" s="102"/>
    </row>
    <row r="256" spans="9:9" s="34" customFormat="1">
      <c r="I256" s="102"/>
    </row>
    <row r="257" spans="9:9" s="34" customFormat="1">
      <c r="I257" s="102"/>
    </row>
    <row r="258" spans="9:9" s="34" customFormat="1">
      <c r="I258" s="102"/>
    </row>
    <row r="259" spans="9:9" s="34" customFormat="1">
      <c r="I259" s="102"/>
    </row>
    <row r="260" spans="9:9" s="34" customFormat="1">
      <c r="I260" s="102"/>
    </row>
    <row r="261" spans="9:9" s="34" customFormat="1">
      <c r="I261" s="102"/>
    </row>
    <row r="262" spans="9:9" s="34" customFormat="1">
      <c r="I262" s="102"/>
    </row>
    <row r="263" spans="9:9" s="34" customFormat="1">
      <c r="I263" s="102"/>
    </row>
    <row r="264" spans="9:9" s="34" customFormat="1">
      <c r="I264" s="102"/>
    </row>
    <row r="265" spans="9:9" s="34" customFormat="1">
      <c r="I265" s="102"/>
    </row>
    <row r="266" spans="9:9" s="34" customFormat="1">
      <c r="I266" s="102"/>
    </row>
    <row r="267" spans="9:9" s="34" customFormat="1">
      <c r="I267" s="102"/>
    </row>
    <row r="268" spans="9:9" s="34" customFormat="1">
      <c r="I268" s="102"/>
    </row>
    <row r="269" spans="9:9" s="34" customFormat="1">
      <c r="I269" s="102"/>
    </row>
    <row r="270" spans="9:9" s="34" customFormat="1">
      <c r="I270" s="102"/>
    </row>
    <row r="271" spans="9:9" s="34" customFormat="1">
      <c r="I271" s="102"/>
    </row>
    <row r="272" spans="9:9" s="34" customFormat="1">
      <c r="I272" s="102"/>
    </row>
    <row r="273" spans="9:9" s="34" customFormat="1">
      <c r="I273" s="102"/>
    </row>
    <row r="274" spans="9:9" s="34" customFormat="1">
      <c r="I274" s="102"/>
    </row>
    <row r="275" spans="9:9" s="34" customFormat="1">
      <c r="I275" s="102"/>
    </row>
    <row r="276" spans="9:9" s="34" customFormat="1">
      <c r="I276" s="102"/>
    </row>
    <row r="277" spans="9:9" s="34" customFormat="1">
      <c r="I277" s="102"/>
    </row>
    <row r="278" spans="9:9" s="34" customFormat="1">
      <c r="I278" s="102"/>
    </row>
    <row r="279" spans="9:9" s="34" customFormat="1">
      <c r="I279" s="102"/>
    </row>
    <row r="280" spans="9:9" s="34" customFormat="1">
      <c r="I280" s="102"/>
    </row>
    <row r="281" spans="9:9" s="34" customFormat="1">
      <c r="I281" s="102"/>
    </row>
    <row r="282" spans="9:9" s="34" customFormat="1">
      <c r="I282" s="102"/>
    </row>
    <row r="283" spans="9:9" s="34" customFormat="1">
      <c r="I283" s="102"/>
    </row>
    <row r="284" spans="9:9" s="34" customFormat="1">
      <c r="I284" s="102"/>
    </row>
    <row r="285" spans="9:9" s="34" customFormat="1"/>
    <row r="286" spans="9:9" s="34" customFormat="1"/>
    <row r="287" spans="9:9" s="34" customFormat="1"/>
    <row r="288" spans="9:9" s="34" customFormat="1"/>
    <row r="289" s="34" customFormat="1"/>
    <row r="290" s="34" customFormat="1"/>
    <row r="291" s="34" customFormat="1"/>
    <row r="292" s="34" customFormat="1"/>
    <row r="293" s="34" customFormat="1"/>
    <row r="294" s="34" customFormat="1"/>
    <row r="295" s="34" customFormat="1"/>
    <row r="296" s="34" customFormat="1"/>
    <row r="297" s="34" customFormat="1"/>
    <row r="298" s="34" customFormat="1"/>
    <row r="299" s="34" customFormat="1"/>
    <row r="300" s="34" customFormat="1"/>
    <row r="301" s="34" customFormat="1"/>
    <row r="302" s="34" customFormat="1"/>
    <row r="303" s="34" customFormat="1"/>
    <row r="304" s="34" customFormat="1"/>
    <row r="305" s="34" customFormat="1"/>
    <row r="306" s="34" customFormat="1"/>
    <row r="307" s="34" customFormat="1"/>
    <row r="308" s="34" customFormat="1"/>
    <row r="309" s="34" customFormat="1"/>
    <row r="310" s="34" customFormat="1"/>
    <row r="311" s="34" customFormat="1"/>
    <row r="312" s="34" customFormat="1"/>
    <row r="313" s="34" customFormat="1"/>
    <row r="314" s="34" customFormat="1"/>
    <row r="315" s="34" customFormat="1"/>
    <row r="316" s="34" customFormat="1"/>
    <row r="317" s="34" customFormat="1"/>
    <row r="318" s="34" customFormat="1"/>
    <row r="319" s="34" customFormat="1"/>
    <row r="320" s="34" customFormat="1"/>
    <row r="321" s="34" customFormat="1"/>
    <row r="322" s="34" customFormat="1"/>
    <row r="323" s="34" customFormat="1"/>
    <row r="324" s="34" customFormat="1"/>
    <row r="325" s="34" customFormat="1"/>
    <row r="326" s="34" customFormat="1"/>
    <row r="327" s="34" customFormat="1"/>
    <row r="328" s="34" customFormat="1"/>
    <row r="329" s="34" customFormat="1"/>
    <row r="330" s="34" customFormat="1"/>
    <row r="331" s="34" customFormat="1"/>
    <row r="332" s="34" customFormat="1"/>
    <row r="333" s="34" customFormat="1"/>
    <row r="334" s="34" customFormat="1"/>
    <row r="335" s="34" customFormat="1"/>
    <row r="336" s="34" customFormat="1"/>
    <row r="337" s="34" customFormat="1"/>
    <row r="338" s="34" customFormat="1"/>
    <row r="339" s="34" customFormat="1"/>
    <row r="340" s="34" customFormat="1"/>
    <row r="341" s="34" customFormat="1"/>
    <row r="342" s="34" customFormat="1"/>
    <row r="343" s="34" customFormat="1"/>
    <row r="344" s="34" customFormat="1"/>
    <row r="345" s="34" customFormat="1"/>
    <row r="346" s="34" customFormat="1"/>
    <row r="347" s="34" customFormat="1"/>
    <row r="348" s="34" customFormat="1"/>
    <row r="349" s="34" customFormat="1"/>
    <row r="350" s="34" customFormat="1"/>
    <row r="351" s="34" customFormat="1"/>
    <row r="352" s="34" customFormat="1"/>
    <row r="353" s="34" customFormat="1"/>
    <row r="354" s="34" customFormat="1"/>
    <row r="355" s="34" customFormat="1"/>
    <row r="356" s="34" customFormat="1"/>
    <row r="357" s="34" customFormat="1"/>
    <row r="358" s="34" customFormat="1"/>
    <row r="359" s="34" customFormat="1"/>
    <row r="360" s="34" customFormat="1"/>
    <row r="361" s="34" customFormat="1"/>
    <row r="362" s="34" customFormat="1"/>
    <row r="363" s="34" customFormat="1"/>
    <row r="364" s="34" customFormat="1"/>
    <row r="365" s="34" customFormat="1"/>
    <row r="366" s="34" customFormat="1"/>
    <row r="367" s="34" customFormat="1"/>
    <row r="368" s="34" customFormat="1"/>
    <row r="369" s="34" customFormat="1"/>
    <row r="370" s="34" customFormat="1"/>
    <row r="371" s="34" customFormat="1"/>
    <row r="372" s="34" customFormat="1"/>
    <row r="373" s="34" customFormat="1"/>
    <row r="374" s="34" customFormat="1"/>
    <row r="375" s="34" customFormat="1"/>
    <row r="376" s="34" customFormat="1"/>
    <row r="377" s="34" customFormat="1"/>
    <row r="378" s="34" customFormat="1"/>
    <row r="379" s="34" customFormat="1"/>
    <row r="380" s="34" customFormat="1"/>
    <row r="381" s="34" customFormat="1"/>
    <row r="382" s="34" customFormat="1"/>
    <row r="383" s="34" customFormat="1"/>
    <row r="384" s="34" customFormat="1"/>
    <row r="385" s="34" customFormat="1"/>
    <row r="386" s="34" customFormat="1"/>
    <row r="387" s="34" customFormat="1"/>
    <row r="388" s="34" customFormat="1"/>
    <row r="389" s="34" customFormat="1"/>
    <row r="390" s="34" customFormat="1"/>
    <row r="391" s="34" customFormat="1"/>
    <row r="392" s="34" customFormat="1"/>
    <row r="393" s="34" customFormat="1"/>
    <row r="394" s="34" customFormat="1"/>
    <row r="395" s="34" customFormat="1"/>
    <row r="396" s="34" customFormat="1"/>
    <row r="397" s="34" customFormat="1"/>
    <row r="398" s="34" customFormat="1"/>
    <row r="399" s="34" customFormat="1"/>
    <row r="400" s="34" customFormat="1"/>
    <row r="401" s="34" customFormat="1"/>
    <row r="402" s="34" customFormat="1"/>
    <row r="403" s="34" customFormat="1"/>
    <row r="404" s="34" customFormat="1"/>
    <row r="405" s="34" customFormat="1"/>
    <row r="406" s="34" customFormat="1"/>
    <row r="407" s="34" customFormat="1"/>
    <row r="408" s="34" customFormat="1"/>
    <row r="409" s="34" customFormat="1"/>
    <row r="410" s="34" customFormat="1"/>
    <row r="411" s="34" customFormat="1"/>
    <row r="412" s="34" customFormat="1"/>
    <row r="413" s="34" customFormat="1"/>
    <row r="414" s="34" customFormat="1"/>
    <row r="415" s="34" customFormat="1"/>
    <row r="416" s="34" customFormat="1"/>
    <row r="417" s="34" customFormat="1"/>
    <row r="418" s="34" customFormat="1"/>
    <row r="419" s="34" customFormat="1"/>
    <row r="420" s="34" customFormat="1"/>
    <row r="421" s="34" customFormat="1"/>
    <row r="422" s="34" customFormat="1"/>
    <row r="423" s="34" customFormat="1"/>
    <row r="424" s="34" customFormat="1"/>
    <row r="425" s="34" customFormat="1"/>
    <row r="426" s="34" customFormat="1"/>
    <row r="427" s="34" customFormat="1"/>
    <row r="428" s="34" customFormat="1"/>
    <row r="429" s="34" customFormat="1"/>
    <row r="430" s="34" customFormat="1"/>
    <row r="431" s="34" customFormat="1"/>
    <row r="432" s="34" customFormat="1"/>
    <row r="433" s="34" customFormat="1"/>
    <row r="434" s="34" customFormat="1"/>
    <row r="435" s="34" customFormat="1"/>
    <row r="436" s="34" customFormat="1"/>
    <row r="437" s="34" customFormat="1"/>
    <row r="438" s="34" customFormat="1"/>
    <row r="439" s="34" customFormat="1"/>
    <row r="440" s="34" customFormat="1"/>
    <row r="441" s="34" customFormat="1"/>
    <row r="442" s="34" customFormat="1"/>
    <row r="443" s="34" customFormat="1"/>
    <row r="444" s="34" customFormat="1"/>
    <row r="445" s="34" customFormat="1"/>
    <row r="446" s="34" customFormat="1"/>
    <row r="447" s="34" customFormat="1"/>
    <row r="448" s="34" customFormat="1"/>
    <row r="449" s="34" customFormat="1"/>
    <row r="450" s="34" customFormat="1"/>
    <row r="451" s="34" customFormat="1"/>
    <row r="452" s="34" customFormat="1"/>
    <row r="453" s="34" customFormat="1"/>
    <row r="454" s="34" customFormat="1"/>
    <row r="455" s="34" customFormat="1"/>
    <row r="456" s="34" customFormat="1"/>
    <row r="457" s="34" customFormat="1"/>
    <row r="458" s="34" customFormat="1"/>
    <row r="459" s="34" customFormat="1"/>
    <row r="460" s="34" customFormat="1"/>
    <row r="461" s="34" customFormat="1"/>
    <row r="462" s="34" customFormat="1"/>
    <row r="463" s="34" customFormat="1"/>
    <row r="464" s="34" customFormat="1"/>
    <row r="465" s="34" customFormat="1"/>
    <row r="466" s="34" customFormat="1"/>
    <row r="467" s="34" customFormat="1"/>
    <row r="468" s="34" customFormat="1"/>
    <row r="469" s="34" customFormat="1"/>
    <row r="470" s="34" customFormat="1"/>
    <row r="471" s="34" customFormat="1"/>
    <row r="472" s="34" customFormat="1"/>
    <row r="473" s="34" customFormat="1"/>
    <row r="474" s="34" customFormat="1"/>
    <row r="475" s="34" customFormat="1"/>
    <row r="476" s="34" customFormat="1"/>
    <row r="477" s="34" customFormat="1"/>
    <row r="478" s="34" customFormat="1"/>
    <row r="479" s="34" customFormat="1"/>
    <row r="480" s="34" customFormat="1"/>
    <row r="481" s="34" customFormat="1"/>
    <row r="482" s="34" customFormat="1"/>
    <row r="483" s="34" customFormat="1"/>
    <row r="484" s="34" customFormat="1"/>
    <row r="485" s="34" customFormat="1"/>
    <row r="486" s="34" customFormat="1"/>
    <row r="487" s="34" customFormat="1"/>
    <row r="488" s="34" customFormat="1"/>
    <row r="489" s="34" customFormat="1"/>
    <row r="490" s="34" customFormat="1"/>
    <row r="491" s="34" customFormat="1"/>
    <row r="492" s="34" customFormat="1"/>
    <row r="493" s="34" customFormat="1"/>
    <row r="494" s="34" customFormat="1"/>
    <row r="495" s="34" customFormat="1"/>
    <row r="496" s="34" customFormat="1"/>
    <row r="497" s="34" customFormat="1"/>
    <row r="498" s="34" customFormat="1"/>
    <row r="499" s="34" customFormat="1"/>
    <row r="500" s="34" customFormat="1"/>
    <row r="501" s="34" customFormat="1"/>
    <row r="502" s="34" customFormat="1"/>
    <row r="503" s="34" customFormat="1"/>
    <row r="504" s="34" customFormat="1"/>
    <row r="505" s="34" customFormat="1"/>
    <row r="506" s="34" customFormat="1"/>
    <row r="507" s="34" customFormat="1"/>
    <row r="508" s="34" customFormat="1"/>
    <row r="509" s="34" customFormat="1"/>
    <row r="510" s="34" customFormat="1"/>
    <row r="511" s="34" customFormat="1"/>
    <row r="512" s="34" customFormat="1"/>
    <row r="513" s="34" customFormat="1"/>
    <row r="514" s="34" customFormat="1"/>
    <row r="515" s="34" customFormat="1"/>
    <row r="516" s="34" customFormat="1"/>
    <row r="517" s="34" customFormat="1"/>
    <row r="518" s="34" customFormat="1"/>
    <row r="519" s="34" customFormat="1"/>
    <row r="520" s="34" customFormat="1"/>
    <row r="521" s="34" customFormat="1"/>
    <row r="522" s="34" customFormat="1"/>
    <row r="523" s="34" customFormat="1"/>
    <row r="524" s="34" customFormat="1"/>
    <row r="525" s="34" customFormat="1"/>
    <row r="526" s="34" customFormat="1"/>
    <row r="527" s="34" customFormat="1"/>
    <row r="528" s="34" customFormat="1"/>
    <row r="529" s="34" customFormat="1"/>
    <row r="530" s="34" customFormat="1"/>
    <row r="531" s="34" customFormat="1"/>
    <row r="532" s="34" customFormat="1"/>
    <row r="533" s="34" customFormat="1"/>
    <row r="534" s="34" customFormat="1"/>
    <row r="535" s="34" customFormat="1"/>
    <row r="536" s="34" customFormat="1"/>
    <row r="537" s="34" customFormat="1"/>
    <row r="538" s="34" customFormat="1"/>
    <row r="539" s="34" customFormat="1"/>
    <row r="540" s="34" customFormat="1"/>
    <row r="541" s="34" customFormat="1"/>
    <row r="542" s="34" customFormat="1"/>
    <row r="543" s="34" customFormat="1"/>
    <row r="544" s="34" customFormat="1"/>
    <row r="545" s="34" customFormat="1"/>
    <row r="546" s="34" customFormat="1"/>
    <row r="547" s="34" customFormat="1"/>
    <row r="548" s="34" customFormat="1"/>
    <row r="549" s="34" customFormat="1"/>
    <row r="550" s="34" customFormat="1"/>
    <row r="551" s="34" customFormat="1"/>
    <row r="552" s="34" customFormat="1"/>
    <row r="553" s="34" customFormat="1"/>
    <row r="554" s="34" customFormat="1"/>
    <row r="555" s="34" customFormat="1"/>
    <row r="556" s="34" customFormat="1"/>
    <row r="557" s="34" customFormat="1"/>
    <row r="558" s="34" customFormat="1"/>
    <row r="559" s="34" customFormat="1"/>
    <row r="560" s="34" customFormat="1"/>
    <row r="561" s="34" customFormat="1"/>
    <row r="562" s="34" customFormat="1"/>
    <row r="563" s="34" customFormat="1"/>
    <row r="564" s="34" customFormat="1"/>
    <row r="565" s="34" customFormat="1"/>
    <row r="566" s="34" customFormat="1"/>
    <row r="567" s="34" customFormat="1"/>
    <row r="568" s="34" customFormat="1"/>
    <row r="569" s="34" customFormat="1"/>
    <row r="570" s="34" customFormat="1"/>
    <row r="571" s="34" customFormat="1"/>
    <row r="572" s="34" customFormat="1"/>
    <row r="573" s="34" customFormat="1"/>
    <row r="574" s="34" customFormat="1"/>
    <row r="575" s="34" customFormat="1"/>
    <row r="576" s="34" customFormat="1"/>
    <row r="577" s="34" customFormat="1"/>
    <row r="578" s="34" customFormat="1"/>
    <row r="579" s="34" customFormat="1"/>
    <row r="580" s="34" customFormat="1"/>
    <row r="581" s="34" customFormat="1"/>
    <row r="582" s="34" customFormat="1"/>
    <row r="583" s="34" customFormat="1"/>
    <row r="584" s="34" customFormat="1"/>
    <row r="585" s="34" customFormat="1"/>
    <row r="586" s="34" customFormat="1"/>
    <row r="587" s="34" customFormat="1"/>
    <row r="588" s="34" customFormat="1"/>
    <row r="589" s="34" customFormat="1"/>
    <row r="590" s="34" customFormat="1"/>
    <row r="591" s="34" customFormat="1"/>
    <row r="592" s="34" customFormat="1"/>
    <row r="593" s="34" customFormat="1"/>
    <row r="594" s="34" customFormat="1"/>
    <row r="595" s="34" customFormat="1"/>
    <row r="596" s="34" customFormat="1"/>
    <row r="597" s="34" customFormat="1"/>
    <row r="598" s="34" customFormat="1"/>
    <row r="599" s="34" customFormat="1"/>
    <row r="600" s="34" customFormat="1"/>
    <row r="601" s="34" customFormat="1"/>
    <row r="602" s="34" customFormat="1"/>
    <row r="603" s="34" customFormat="1"/>
    <row r="604" s="34" customFormat="1"/>
    <row r="605" s="34" customFormat="1"/>
    <row r="606" s="34" customFormat="1"/>
    <row r="607" s="34" customFormat="1"/>
    <row r="608" s="34" customFormat="1"/>
    <row r="609" s="34" customFormat="1"/>
    <row r="610" s="34" customFormat="1"/>
    <row r="611" s="34" customFormat="1"/>
    <row r="612" s="34" customFormat="1"/>
    <row r="613" s="34" customFormat="1"/>
    <row r="614" s="34" customFormat="1"/>
    <row r="615" s="34" customFormat="1"/>
    <row r="616" s="34" customFormat="1"/>
    <row r="617" s="34" customFormat="1"/>
    <row r="618" s="34" customFormat="1"/>
    <row r="619" s="34" customFormat="1"/>
    <row r="620" s="34" customFormat="1"/>
    <row r="621" s="34" customFormat="1"/>
    <row r="622" s="34" customFormat="1"/>
    <row r="623" s="34" customFormat="1"/>
    <row r="624" s="34" customFormat="1"/>
    <row r="625" s="34" customFormat="1"/>
    <row r="626" s="34" customFormat="1"/>
    <row r="627" s="34" customFormat="1"/>
    <row r="628" s="34" customFormat="1"/>
    <row r="629" s="34" customFormat="1"/>
    <row r="630" s="34" customFormat="1"/>
    <row r="631" s="34" customFormat="1"/>
    <row r="632" s="34" customFormat="1"/>
    <row r="633" s="34" customFormat="1"/>
    <row r="634" s="34" customFormat="1"/>
    <row r="635" s="34" customFormat="1"/>
    <row r="636" s="34" customFormat="1"/>
    <row r="637" s="34" customFormat="1"/>
    <row r="638" s="34" customFormat="1"/>
    <row r="639" s="34" customFormat="1"/>
    <row r="640" s="34" customFormat="1"/>
    <row r="641" s="34" customFormat="1"/>
    <row r="642" s="34" customFormat="1"/>
    <row r="643" s="34" customFormat="1"/>
    <row r="644" s="34" customFormat="1"/>
    <row r="645" s="34" customFormat="1"/>
    <row r="646" s="34" customFormat="1"/>
    <row r="647" s="34" customFormat="1"/>
    <row r="648" s="34" customFormat="1"/>
    <row r="649" s="34" customFormat="1"/>
    <row r="650" s="34" customFormat="1"/>
    <row r="651" s="34" customFormat="1"/>
    <row r="652" s="34" customFormat="1"/>
    <row r="653" s="34" customFormat="1"/>
    <row r="654" s="34" customFormat="1"/>
    <row r="655" s="34" customFormat="1"/>
    <row r="656" s="34" customFormat="1"/>
    <row r="657" s="34" customFormat="1"/>
    <row r="658" s="34" customFormat="1"/>
    <row r="659" s="34" customFormat="1"/>
    <row r="660" s="34" customFormat="1"/>
    <row r="661" s="34" customFormat="1"/>
    <row r="662" s="34" customFormat="1"/>
    <row r="663" s="34" customFormat="1"/>
    <row r="664" s="34" customFormat="1"/>
    <row r="665" s="34" customFormat="1"/>
    <row r="666" s="34" customFormat="1"/>
    <row r="667" s="34" customFormat="1"/>
    <row r="668" s="34" customFormat="1"/>
    <row r="669" s="34" customFormat="1"/>
    <row r="670" s="34" customFormat="1"/>
    <row r="671" s="34" customFormat="1"/>
    <row r="672" s="34" customFormat="1"/>
    <row r="673" s="34" customFormat="1"/>
    <row r="674" s="34" customFormat="1"/>
    <row r="675" s="34" customFormat="1"/>
    <row r="676" s="34" customFormat="1"/>
    <row r="677" s="34" customFormat="1"/>
    <row r="678" s="34" customFormat="1"/>
    <row r="679" s="34" customFormat="1"/>
    <row r="680" s="34" customFormat="1"/>
    <row r="681" s="34" customFormat="1"/>
    <row r="682" s="34" customFormat="1"/>
    <row r="683" s="34" customFormat="1"/>
    <row r="684" s="34" customFormat="1"/>
    <row r="685" s="34" customFormat="1"/>
    <row r="686" s="34" customFormat="1"/>
    <row r="687" s="34" customFormat="1"/>
    <row r="688" s="34" customFormat="1"/>
    <row r="689" s="34" customFormat="1"/>
    <row r="690" s="34" customFormat="1"/>
    <row r="691" s="34" customFormat="1"/>
    <row r="692" s="34" customFormat="1"/>
    <row r="693" s="34" customFormat="1"/>
    <row r="694" s="34" customFormat="1"/>
    <row r="695" s="34" customFormat="1"/>
    <row r="696" s="34" customFormat="1"/>
    <row r="697" s="34" customFormat="1"/>
    <row r="698" s="34" customFormat="1"/>
    <row r="699" s="34" customFormat="1"/>
    <row r="700" s="34" customFormat="1"/>
    <row r="701" s="34" customFormat="1"/>
    <row r="702" s="34" customFormat="1"/>
    <row r="703" s="34" customFormat="1"/>
    <row r="704" s="34" customFormat="1"/>
    <row r="705" s="34" customFormat="1"/>
    <row r="706" s="34" customFormat="1"/>
    <row r="707" s="34" customFormat="1"/>
    <row r="708" s="34" customFormat="1"/>
    <row r="709" s="34" customFormat="1"/>
    <row r="710" s="34" customFormat="1"/>
    <row r="711" s="34" customFormat="1"/>
    <row r="712" s="34" customFormat="1"/>
    <row r="713" s="34" customFormat="1"/>
    <row r="714" s="34" customFormat="1"/>
    <row r="715" s="34" customFormat="1"/>
    <row r="716" s="34" customFormat="1"/>
    <row r="717" s="34" customFormat="1"/>
    <row r="718" s="34" customFormat="1"/>
    <row r="719" s="34" customFormat="1"/>
    <row r="720" s="34" customFormat="1"/>
    <row r="721" s="34" customFormat="1"/>
    <row r="722" s="34" customFormat="1"/>
    <row r="723" s="34" customFormat="1"/>
    <row r="724" s="34" customFormat="1"/>
    <row r="725" s="34" customFormat="1"/>
    <row r="726" s="34" customFormat="1"/>
    <row r="727" s="34" customFormat="1"/>
    <row r="728" s="34" customFormat="1"/>
    <row r="729" s="34" customFormat="1"/>
    <row r="730" s="34" customFormat="1"/>
    <row r="731" s="34" customFormat="1"/>
    <row r="732" s="34" customFormat="1"/>
    <row r="733" s="34" customFormat="1"/>
    <row r="734" s="34" customFormat="1"/>
    <row r="735" s="34" customFormat="1"/>
    <row r="736" s="34" customFormat="1"/>
    <row r="737" s="34" customFormat="1"/>
    <row r="738" s="34" customFormat="1"/>
    <row r="739" s="34" customFormat="1"/>
    <row r="740" s="34" customFormat="1"/>
    <row r="741" s="34" customFormat="1"/>
    <row r="742" s="34" customFormat="1"/>
    <row r="743" s="34" customFormat="1"/>
    <row r="744" s="34" customFormat="1"/>
    <row r="745" s="34" customFormat="1"/>
    <row r="746" s="34" customFormat="1"/>
    <row r="747" s="34" customFormat="1"/>
    <row r="748" s="34" customFormat="1"/>
    <row r="749" s="34" customFormat="1"/>
    <row r="750" s="34" customFormat="1"/>
    <row r="751" s="34" customFormat="1"/>
    <row r="752" s="34" customFormat="1"/>
    <row r="753" s="34" customFormat="1"/>
    <row r="754" s="34" customFormat="1"/>
    <row r="755" s="34" customFormat="1"/>
    <row r="756" s="34" customFormat="1"/>
    <row r="757" s="34" customFormat="1"/>
    <row r="758" s="34" customFormat="1"/>
    <row r="759" s="34" customFormat="1"/>
    <row r="760" s="34" customFormat="1"/>
    <row r="761" s="34" customFormat="1"/>
    <row r="762" s="34" customFormat="1"/>
    <row r="763" s="34" customFormat="1"/>
    <row r="764" s="34" customFormat="1"/>
    <row r="765" s="34" customFormat="1"/>
    <row r="766" s="34" customFormat="1"/>
    <row r="767" s="34" customFormat="1"/>
    <row r="768" s="34" customFormat="1"/>
    <row r="769" s="34" customFormat="1"/>
    <row r="770" s="34" customFormat="1"/>
    <row r="771" s="34" customFormat="1"/>
    <row r="772" s="34" customFormat="1"/>
    <row r="773" s="34" customFormat="1"/>
    <row r="774" s="34" customFormat="1"/>
    <row r="775" s="34" customFormat="1"/>
    <row r="776" s="34" customFormat="1"/>
    <row r="777" s="34" customFormat="1"/>
    <row r="778" s="34" customFormat="1"/>
    <row r="779" s="34" customFormat="1"/>
    <row r="780" s="34" customFormat="1"/>
    <row r="781" s="34" customFormat="1"/>
    <row r="782" s="34" customFormat="1"/>
    <row r="783" s="34" customFormat="1"/>
    <row r="784" s="34" customFormat="1"/>
    <row r="785" s="34" customFormat="1"/>
    <row r="786" s="34" customFormat="1"/>
    <row r="787" s="34" customFormat="1"/>
    <row r="788" s="34" customFormat="1"/>
    <row r="789" s="34" customFormat="1"/>
    <row r="790" s="34" customFormat="1"/>
    <row r="791" s="34" customFormat="1"/>
    <row r="792" s="34" customFormat="1"/>
    <row r="793" s="34" customFormat="1"/>
    <row r="794" s="34" customFormat="1"/>
    <row r="795" s="34" customFormat="1"/>
    <row r="796" s="34" customFormat="1"/>
    <row r="797" s="34" customFormat="1"/>
    <row r="798" s="34" customFormat="1"/>
    <row r="799" s="34" customFormat="1"/>
    <row r="800" s="34" customFormat="1"/>
    <row r="801" s="34" customFormat="1"/>
    <row r="802" s="34" customFormat="1"/>
    <row r="803" s="34" customFormat="1"/>
    <row r="804" s="34" customFormat="1"/>
    <row r="805" s="34" customFormat="1"/>
    <row r="806" s="34" customFormat="1"/>
    <row r="807" s="34" customFormat="1"/>
    <row r="808" s="34" customFormat="1"/>
    <row r="809" s="34" customFormat="1"/>
    <row r="810" s="34" customFormat="1"/>
    <row r="811" s="34" customFormat="1"/>
    <row r="812" s="34" customFormat="1"/>
    <row r="813" s="34" customFormat="1"/>
    <row r="814" s="34" customFormat="1"/>
    <row r="815" s="34" customFormat="1"/>
    <row r="816" s="34" customFormat="1"/>
    <row r="817" s="34" customFormat="1"/>
    <row r="818" s="34" customFormat="1"/>
    <row r="819" s="34" customFormat="1"/>
    <row r="820" s="34" customFormat="1"/>
    <row r="821" s="34" customFormat="1"/>
    <row r="822" s="34" customFormat="1"/>
    <row r="823" s="34" customFormat="1"/>
    <row r="824" s="34" customFormat="1"/>
    <row r="825" s="34" customFormat="1"/>
    <row r="826" s="34" customFormat="1"/>
    <row r="827" s="34" customFormat="1"/>
    <row r="828" s="34" customFormat="1"/>
    <row r="829" s="34" customFormat="1"/>
    <row r="830" s="34" customFormat="1"/>
    <row r="831" s="34" customFormat="1"/>
    <row r="832" s="34" customFormat="1"/>
    <row r="833" s="34" customFormat="1"/>
    <row r="834" s="34" customFormat="1"/>
    <row r="835" s="34" customFormat="1"/>
    <row r="836" s="34" customFormat="1"/>
    <row r="837" s="34" customFormat="1"/>
    <row r="838" s="34" customFormat="1"/>
    <row r="839" s="34" customFormat="1"/>
    <row r="840" s="34" customFormat="1"/>
    <row r="841" s="34" customFormat="1"/>
    <row r="842" s="34" customFormat="1"/>
    <row r="843" s="34" customFormat="1"/>
    <row r="844" s="34" customFormat="1"/>
    <row r="845" s="34" customFormat="1"/>
    <row r="846" s="34" customFormat="1"/>
    <row r="847" s="34" customFormat="1"/>
    <row r="848" s="34" customFormat="1"/>
    <row r="849" s="34" customFormat="1"/>
    <row r="850" s="34" customFormat="1"/>
    <row r="851" s="34" customFormat="1"/>
    <row r="852" s="34" customFormat="1"/>
    <row r="853" s="34" customFormat="1"/>
    <row r="854" s="34" customFormat="1"/>
    <row r="855" s="34" customFormat="1"/>
    <row r="856" s="34" customFormat="1"/>
    <row r="857" s="34" customFormat="1"/>
    <row r="858" s="34" customFormat="1"/>
    <row r="859" s="34" customFormat="1"/>
    <row r="860" s="34" customFormat="1"/>
    <row r="861" s="34" customFormat="1"/>
    <row r="862" s="34" customFormat="1"/>
    <row r="863" s="34" customFormat="1"/>
    <row r="864" s="34" customFormat="1"/>
    <row r="865" s="34" customFormat="1"/>
    <row r="866" s="34" customFormat="1"/>
    <row r="867" s="34" customFormat="1"/>
    <row r="868" s="34" customFormat="1"/>
    <row r="869" s="34" customFormat="1"/>
    <row r="870" s="34" customFormat="1"/>
    <row r="871" s="34" customFormat="1"/>
    <row r="872" s="34" customFormat="1"/>
    <row r="873" s="34" customFormat="1"/>
    <row r="874" s="34" customFormat="1"/>
    <row r="875" s="34" customFormat="1"/>
    <row r="876" s="34" customFormat="1"/>
    <row r="877" s="34" customFormat="1"/>
    <row r="878" s="34" customFormat="1"/>
    <row r="879" s="34" customFormat="1"/>
    <row r="880" s="34" customFormat="1"/>
    <row r="881" s="34" customFormat="1"/>
    <row r="882" s="34" customFormat="1"/>
    <row r="883" s="34" customFormat="1"/>
    <row r="884" s="34" customFormat="1"/>
    <row r="885" s="34" customFormat="1"/>
    <row r="886" s="34" customFormat="1"/>
    <row r="887" s="34" customFormat="1"/>
    <row r="888" s="34" customFormat="1"/>
    <row r="889" s="34" customFormat="1"/>
    <row r="890" s="34" customFormat="1"/>
    <row r="891" s="34" customFormat="1"/>
    <row r="892" s="34" customFormat="1"/>
    <row r="893" s="34" customFormat="1"/>
    <row r="894" s="34" customFormat="1"/>
    <row r="895" s="34" customFormat="1"/>
    <row r="896" s="34" customFormat="1"/>
    <row r="897" s="34" customFormat="1"/>
    <row r="898" s="34" customFormat="1"/>
    <row r="899" s="34" customFormat="1"/>
    <row r="900" s="34" customFormat="1"/>
    <row r="901" s="34" customFormat="1"/>
    <row r="902" s="34" customFormat="1"/>
    <row r="903" s="34" customFormat="1"/>
    <row r="904" s="34" customFormat="1"/>
    <row r="905" s="34" customFormat="1"/>
    <row r="906" s="34" customFormat="1"/>
    <row r="907" s="34" customFormat="1"/>
    <row r="908" s="34" customFormat="1"/>
    <row r="909" s="34" customFormat="1"/>
    <row r="910" s="34" customFormat="1"/>
    <row r="911" s="34" customFormat="1"/>
    <row r="912" s="34" customFormat="1"/>
    <row r="913" s="34" customFormat="1"/>
    <row r="914" s="34" customFormat="1"/>
    <row r="915" s="34" customFormat="1"/>
    <row r="916" s="34" customFormat="1"/>
    <row r="917" s="34" customFormat="1"/>
    <row r="918" s="34" customFormat="1"/>
    <row r="919" s="34" customFormat="1"/>
    <row r="920" s="34" customFormat="1"/>
    <row r="921" s="34" customFormat="1"/>
    <row r="922" s="34" customFormat="1"/>
    <row r="923" s="34" customFormat="1"/>
    <row r="924" s="34" customFormat="1"/>
    <row r="925" s="34" customFormat="1"/>
    <row r="926" s="34" customFormat="1"/>
    <row r="927" s="34" customFormat="1"/>
    <row r="928" s="34" customFormat="1"/>
    <row r="929" s="34" customFormat="1"/>
    <row r="930" s="34" customFormat="1"/>
    <row r="931" s="34" customFormat="1"/>
    <row r="932" s="34" customFormat="1"/>
    <row r="933" s="34" customFormat="1"/>
    <row r="934" s="34" customFormat="1"/>
    <row r="935" s="34" customFormat="1"/>
    <row r="936" s="34" customFormat="1"/>
    <row r="937" s="34" customFormat="1"/>
    <row r="938" s="34" customFormat="1"/>
    <row r="939" s="34" customFormat="1"/>
    <row r="940" s="34" customFormat="1"/>
    <row r="941" s="34" customFormat="1"/>
    <row r="942" s="34" customFormat="1"/>
    <row r="943" s="34" customFormat="1"/>
    <row r="944" s="34" customFormat="1"/>
    <row r="945" s="34" customFormat="1"/>
    <row r="946" s="34" customFormat="1"/>
    <row r="947" s="34" customFormat="1"/>
    <row r="948" s="34" customFormat="1"/>
    <row r="949" s="34" customFormat="1"/>
    <row r="950" s="34" customFormat="1"/>
    <row r="951" s="34" customFormat="1"/>
    <row r="952" s="34" customFormat="1"/>
    <row r="953" s="34" customFormat="1"/>
    <row r="954" s="34" customFormat="1"/>
    <row r="955" s="34" customFormat="1"/>
    <row r="956" s="34" customFormat="1"/>
    <row r="957" s="34" customFormat="1"/>
    <row r="958" s="34" customFormat="1"/>
    <row r="959" s="34" customFormat="1"/>
    <row r="960" s="34" customFormat="1"/>
    <row r="961" s="34" customFormat="1"/>
    <row r="962" s="34" customFormat="1"/>
    <row r="963" s="34" customFormat="1"/>
    <row r="964" s="34" customFormat="1"/>
    <row r="965" s="34" customFormat="1"/>
    <row r="966" s="34" customFormat="1"/>
    <row r="967" s="34" customFormat="1"/>
    <row r="968" s="34" customFormat="1"/>
    <row r="969" s="34" customFormat="1"/>
    <row r="970" s="34" customFormat="1"/>
    <row r="971" s="34" customFormat="1"/>
    <row r="972" s="34" customFormat="1"/>
    <row r="973" s="34" customFormat="1"/>
    <row r="974" s="34" customFormat="1"/>
    <row r="975" s="34" customFormat="1"/>
    <row r="976" s="34" customFormat="1"/>
    <row r="977" s="34" customFormat="1"/>
    <row r="978" s="34" customFormat="1"/>
    <row r="979" s="34" customFormat="1"/>
    <row r="980" s="34" customFormat="1"/>
    <row r="981" s="34" customFormat="1"/>
    <row r="982" s="34" customFormat="1"/>
    <row r="983" s="34" customFormat="1"/>
    <row r="984" s="34" customFormat="1"/>
    <row r="985" s="34" customFormat="1"/>
    <row r="986" s="34" customFormat="1"/>
    <row r="987" s="34" customFormat="1"/>
    <row r="988" s="34" customFormat="1"/>
    <row r="989" s="34" customFormat="1"/>
    <row r="990" s="34" customFormat="1"/>
    <row r="991" s="34" customFormat="1"/>
    <row r="992" s="34" customFormat="1"/>
    <row r="993" s="34" customFormat="1"/>
    <row r="994" s="34" customFormat="1"/>
    <row r="995" s="34" customFormat="1"/>
    <row r="996" s="34" customFormat="1"/>
    <row r="997" s="34" customFormat="1"/>
    <row r="998" s="34" customFormat="1"/>
    <row r="999" s="34" customFormat="1"/>
    <row r="1000" s="34" customFormat="1"/>
    <row r="1001" s="34" customFormat="1"/>
    <row r="1002" s="34" customFormat="1"/>
    <row r="1003" s="34" customFormat="1"/>
    <row r="1004" s="34" customFormat="1"/>
    <row r="1005" s="34" customFormat="1"/>
    <row r="1006" s="34" customFormat="1"/>
    <row r="1007" s="34" customFormat="1"/>
    <row r="1008" s="34" customFormat="1"/>
    <row r="1009" s="34" customFormat="1"/>
    <row r="1010" s="34" customFormat="1"/>
    <row r="1011" s="34" customFormat="1"/>
    <row r="1012" s="34" customFormat="1"/>
    <row r="1013" s="34" customFormat="1"/>
    <row r="1014" s="34" customFormat="1"/>
    <row r="1015" s="34" customFormat="1"/>
    <row r="1016" s="34" customFormat="1"/>
    <row r="1017" s="34" customFormat="1"/>
    <row r="1018" s="34" customFormat="1"/>
    <row r="1019" s="34" customFormat="1"/>
    <row r="1020" s="34" customFormat="1"/>
    <row r="1021" s="34" customFormat="1"/>
    <row r="1022" s="34" customFormat="1"/>
    <row r="1023" s="34" customFormat="1"/>
    <row r="1024" s="34" customFormat="1"/>
    <row r="1025" s="34" customFormat="1"/>
    <row r="1026" s="34" customFormat="1"/>
    <row r="1027" s="34" customFormat="1"/>
    <row r="1028" s="34" customFormat="1"/>
    <row r="1029" s="34" customFormat="1"/>
    <row r="1030" s="34" customFormat="1"/>
    <row r="1031" s="34" customFormat="1"/>
    <row r="1032" s="34" customFormat="1"/>
    <row r="1033" s="34" customFormat="1"/>
    <row r="1034" s="34" customFormat="1"/>
    <row r="1035" s="34" customFormat="1"/>
    <row r="1036" s="34" customFormat="1"/>
    <row r="1037" s="34" customFormat="1"/>
    <row r="1038" s="34" customFormat="1"/>
    <row r="1039" s="34" customFormat="1"/>
    <row r="1040" s="34" customFormat="1"/>
    <row r="1041" s="34" customFormat="1"/>
    <row r="1042" s="34" customFormat="1"/>
    <row r="1043" s="34" customFormat="1"/>
    <row r="1044" s="34" customFormat="1"/>
    <row r="1045" s="34" customFormat="1"/>
    <row r="1046" s="34" customFormat="1"/>
    <row r="1047" s="34" customFormat="1"/>
    <row r="1048" s="34" customFormat="1"/>
    <row r="1049" s="34" customFormat="1"/>
    <row r="1050" s="34" customFormat="1"/>
    <row r="1051" s="34" customFormat="1"/>
    <row r="1052" s="34" customFormat="1"/>
    <row r="1053" s="34" customFormat="1"/>
    <row r="1054" s="34" customFormat="1"/>
    <row r="1055" s="34" customFormat="1"/>
    <row r="1056" s="34" customFormat="1"/>
    <row r="1057" s="34" customFormat="1"/>
    <row r="1058" s="34" customFormat="1"/>
    <row r="1059" s="34" customFormat="1"/>
    <row r="1060" s="34" customFormat="1"/>
    <row r="1061" s="34" customFormat="1"/>
    <row r="1062" s="34" customFormat="1"/>
    <row r="1063" s="34" customFormat="1"/>
    <row r="1064" s="34" customFormat="1"/>
    <row r="1065" s="34" customFormat="1"/>
    <row r="1066" s="34" customFormat="1"/>
    <row r="1067" s="34" customFormat="1"/>
    <row r="1068" s="34" customFormat="1"/>
    <row r="1069" s="34" customFormat="1"/>
    <row r="1070" s="34" customFormat="1"/>
    <row r="1071" s="34" customFormat="1"/>
    <row r="1072" s="34" customFormat="1"/>
    <row r="1073" s="34" customFormat="1"/>
    <row r="1074" s="34" customFormat="1"/>
    <row r="1075" s="34" customFormat="1"/>
    <row r="1076" s="34" customFormat="1"/>
    <row r="1077" s="34" customFormat="1"/>
    <row r="1078" s="34" customFormat="1"/>
    <row r="1079" s="34" customFormat="1"/>
    <row r="1080" s="34" customFormat="1"/>
    <row r="1081" s="34" customFormat="1"/>
    <row r="1082" s="34" customFormat="1"/>
    <row r="1083" s="34" customFormat="1"/>
    <row r="1084" s="34" customFormat="1"/>
    <row r="1085" s="34" customFormat="1"/>
    <row r="1086" s="34" customFormat="1"/>
    <row r="1087" s="34" customFormat="1"/>
    <row r="1088" s="34" customFormat="1"/>
    <row r="1089" s="34" customFormat="1"/>
    <row r="1090" s="34" customFormat="1"/>
    <row r="1091" s="34" customFormat="1"/>
    <row r="1092" s="34" customFormat="1"/>
    <row r="1093" s="34" customFormat="1"/>
    <row r="1094" s="34" customFormat="1"/>
    <row r="1095" s="34" customFormat="1"/>
    <row r="1096" s="34" customFormat="1"/>
    <row r="1097" s="34" customFormat="1"/>
    <row r="1098" s="34" customFormat="1"/>
    <row r="1099" s="34" customFormat="1"/>
    <row r="1100" s="34" customFormat="1"/>
    <row r="1101" s="34" customFormat="1"/>
    <row r="1102" s="34" customFormat="1"/>
    <row r="1103" s="34" customFormat="1"/>
    <row r="1104" s="34" customFormat="1"/>
    <row r="1105" s="34" customFormat="1"/>
    <row r="1106" s="34" customFormat="1"/>
    <row r="1107" s="34" customFormat="1"/>
    <row r="1108" s="34" customFormat="1"/>
    <row r="1109" s="34" customFormat="1"/>
    <row r="1110" s="34" customFormat="1"/>
    <row r="1111" s="34" customFormat="1"/>
    <row r="1112" s="34" customFormat="1"/>
    <row r="1113" s="34" customFormat="1"/>
    <row r="1114" s="34" customFormat="1"/>
    <row r="1115" s="34" customFormat="1"/>
    <row r="1116" s="34" customFormat="1"/>
    <row r="1117" s="34" customFormat="1"/>
    <row r="1118" s="34" customFormat="1"/>
    <row r="1119" s="34" customFormat="1"/>
    <row r="1120" s="34" customFormat="1"/>
    <row r="1121" s="34" customFormat="1"/>
    <row r="1122" s="34" customFormat="1"/>
    <row r="1123" s="34" customFormat="1"/>
    <row r="1124" s="34" customFormat="1"/>
    <row r="1125" s="34" customFormat="1"/>
    <row r="1126" s="34" customFormat="1"/>
    <row r="1127" s="34" customFormat="1"/>
    <row r="1128" s="34" customFormat="1"/>
    <row r="1129" s="34" customFormat="1"/>
    <row r="1130" s="34" customFormat="1"/>
    <row r="1131" s="34" customFormat="1"/>
    <row r="1132" s="34" customFormat="1"/>
    <row r="1133" s="34" customFormat="1"/>
    <row r="1134" s="34" customFormat="1"/>
    <row r="1135" s="34" customFormat="1"/>
    <row r="1136" s="34" customFormat="1"/>
    <row r="1137" s="34" customFormat="1"/>
    <row r="1138" s="34" customFormat="1"/>
    <row r="1139" s="34" customFormat="1"/>
    <row r="1140" s="34" customFormat="1"/>
    <row r="1141" s="34" customFormat="1"/>
    <row r="1142" s="34" customFormat="1"/>
    <row r="1143" s="34" customFormat="1"/>
    <row r="1144" s="34" customFormat="1"/>
    <row r="1145" s="34" customFormat="1"/>
    <row r="1146" s="34" customFormat="1"/>
    <row r="1147" s="34" customFormat="1"/>
    <row r="1148" s="34" customFormat="1"/>
    <row r="1149" s="34" customFormat="1"/>
    <row r="1150" s="34" customFormat="1"/>
    <row r="1151" s="34" customFormat="1"/>
    <row r="1152" s="34" customFormat="1"/>
    <row r="1153" s="34" customFormat="1"/>
    <row r="1154" s="34" customFormat="1"/>
    <row r="1155" s="34" customFormat="1"/>
    <row r="1156" s="34" customFormat="1"/>
    <row r="1157" s="34" customFormat="1"/>
    <row r="1158" s="34" customFormat="1"/>
    <row r="1159" s="34" customFormat="1"/>
    <row r="1160" s="34" customFormat="1"/>
    <row r="1161" s="34" customFormat="1"/>
    <row r="1162" s="34" customFormat="1"/>
    <row r="1163" s="34" customFormat="1"/>
    <row r="1164" s="34" customFormat="1"/>
    <row r="1165" s="34" customFormat="1"/>
    <row r="1166" s="34" customFormat="1"/>
    <row r="1167" s="34" customFormat="1"/>
    <row r="1168" s="34" customFormat="1"/>
    <row r="1169" s="34" customFormat="1"/>
    <row r="1170" s="34" customFormat="1"/>
    <row r="1171" s="34" customFormat="1"/>
    <row r="1172" s="34" customFormat="1"/>
    <row r="1173" s="34" customFormat="1"/>
    <row r="1174" s="34" customFormat="1"/>
    <row r="1175" s="34" customFormat="1"/>
    <row r="1176" s="34" customFormat="1"/>
    <row r="1177" s="34" customFormat="1"/>
    <row r="1178" s="34" customFormat="1"/>
    <row r="1179" s="34" customFormat="1"/>
    <row r="1180" s="34" customFormat="1"/>
    <row r="1181" s="34" customFormat="1"/>
    <row r="1182" s="34" customFormat="1"/>
    <row r="1183" s="34" customFormat="1"/>
    <row r="1184" s="34" customFormat="1"/>
    <row r="1185" s="34" customFormat="1"/>
    <row r="1186" s="34" customFormat="1"/>
    <row r="1187" s="34" customFormat="1"/>
    <row r="1188" s="34" customFormat="1"/>
    <row r="1189" s="34" customFormat="1"/>
    <row r="1190" s="34" customFormat="1"/>
    <row r="1191" s="34" customFormat="1"/>
    <row r="1192" s="34" customFormat="1"/>
    <row r="1193" s="34" customFormat="1"/>
    <row r="1194" s="34" customFormat="1"/>
    <row r="1195" s="34" customFormat="1"/>
    <row r="1196" s="34" customFormat="1"/>
    <row r="1197" s="34" customFormat="1"/>
    <row r="1198" s="34" customFormat="1"/>
    <row r="1199" s="34" customFormat="1"/>
    <row r="1200" s="34" customFormat="1"/>
    <row r="1201" s="34" customFormat="1"/>
    <row r="1202" s="34" customFormat="1"/>
    <row r="1203" s="34" customFormat="1"/>
    <row r="1204" s="34" customFormat="1"/>
    <row r="1205" s="34" customFormat="1"/>
    <row r="1206" s="34" customFormat="1"/>
    <row r="1207" s="34" customFormat="1"/>
    <row r="1208" s="34" customFormat="1"/>
    <row r="1209" s="34" customFormat="1"/>
    <row r="1210" s="34" customFormat="1"/>
    <row r="1211" s="34" customFormat="1"/>
    <row r="1212" s="34" customFormat="1"/>
    <row r="1213" s="34" customFormat="1"/>
    <row r="1214" s="34" customFormat="1"/>
    <row r="1215" s="34" customFormat="1"/>
    <row r="1216" s="34" customFormat="1"/>
    <row r="1217" s="34" customFormat="1"/>
    <row r="1218" s="34" customFormat="1"/>
    <row r="1219" s="34" customFormat="1"/>
    <row r="1220" s="34" customFormat="1"/>
    <row r="1221" s="34" customFormat="1"/>
    <row r="1222" s="34" customFormat="1"/>
    <row r="1223" s="34" customFormat="1"/>
    <row r="1224" s="34" customFormat="1"/>
    <row r="1225" s="34" customFormat="1"/>
    <row r="1226" s="34" customFormat="1"/>
    <row r="1227" s="34" customFormat="1"/>
    <row r="1228" s="34" customFormat="1"/>
    <row r="1229" s="34" customFormat="1"/>
    <row r="1230" s="34" customFormat="1"/>
    <row r="1231" s="34" customFormat="1"/>
    <row r="1232" s="34" customFormat="1"/>
    <row r="1233" s="34" customFormat="1"/>
    <row r="1234" s="34" customFormat="1"/>
    <row r="1235" s="34" customFormat="1"/>
    <row r="1236" s="34" customFormat="1"/>
    <row r="1237" s="34" customFormat="1"/>
    <row r="1238" s="34" customFormat="1"/>
    <row r="1239" s="34" customFormat="1"/>
    <row r="1240" s="34" customFormat="1"/>
    <row r="1241" s="34" customFormat="1"/>
    <row r="1242" s="34" customFormat="1"/>
    <row r="1243" s="34" customFormat="1"/>
    <row r="1244" s="34" customFormat="1"/>
    <row r="1245" s="34" customFormat="1"/>
    <row r="1246" s="34" customFormat="1"/>
    <row r="1247" s="34" customFormat="1"/>
    <row r="1248" s="34" customFormat="1"/>
    <row r="1249" s="34" customFormat="1"/>
    <row r="1250" s="34" customFormat="1"/>
    <row r="1251" s="34" customFormat="1"/>
    <row r="1252" s="34" customFormat="1"/>
    <row r="1253" s="34" customFormat="1"/>
    <row r="1254" s="34" customFormat="1"/>
    <row r="1255" s="34" customFormat="1"/>
    <row r="1256" s="34" customFormat="1"/>
    <row r="1257" s="34" customFormat="1"/>
    <row r="1258" s="34" customFormat="1"/>
    <row r="1259" s="34" customFormat="1"/>
    <row r="1260" s="34" customFormat="1"/>
    <row r="1261" s="34" customFormat="1"/>
    <row r="1262" s="34" customFormat="1"/>
    <row r="1263" s="34" customFormat="1"/>
    <row r="1264" s="34" customFormat="1"/>
    <row r="1265" s="34" customFormat="1"/>
    <row r="1266" s="34" customFormat="1"/>
    <row r="1267" s="34" customFormat="1"/>
    <row r="1268" s="34" customFormat="1"/>
    <row r="1269" s="34" customFormat="1"/>
    <row r="1270" s="34" customFormat="1"/>
    <row r="1271" s="34" customFormat="1"/>
    <row r="1272" s="34" customFormat="1"/>
    <row r="1273" s="34" customFormat="1"/>
    <row r="1274" s="34" customFormat="1"/>
    <row r="1275" s="34" customFormat="1"/>
    <row r="1276" s="34" customFormat="1"/>
    <row r="1277" s="34" customFormat="1"/>
    <row r="1278" s="34" customFormat="1"/>
    <row r="1279" s="34" customFormat="1"/>
    <row r="1280" s="34" customFormat="1"/>
    <row r="1281" s="34" customFormat="1"/>
    <row r="1282" s="34" customFormat="1"/>
    <row r="1283" s="34" customFormat="1"/>
    <row r="1284" s="34" customFormat="1"/>
    <row r="1285" s="34" customFormat="1"/>
    <row r="1286" s="34" customFormat="1"/>
    <row r="1287" s="34" customFormat="1"/>
    <row r="1288" s="34" customFormat="1"/>
    <row r="1289" s="34" customFormat="1"/>
    <row r="1290" s="34" customFormat="1"/>
    <row r="1291" s="34" customFormat="1"/>
    <row r="1292" s="34" customFormat="1"/>
    <row r="1293" s="34" customFormat="1"/>
    <row r="1294" s="34" customFormat="1"/>
    <row r="1295" s="34" customFormat="1"/>
    <row r="1296" s="34" customFormat="1"/>
    <row r="1297" s="34" customFormat="1"/>
    <row r="1298" s="34" customFormat="1"/>
    <row r="1299" s="34" customFormat="1"/>
    <row r="1300" s="34" customFormat="1"/>
    <row r="1301" s="34" customFormat="1"/>
    <row r="1302" s="34" customFormat="1"/>
    <row r="1303" s="34" customFormat="1"/>
    <row r="1304" s="34" customFormat="1"/>
    <row r="1305" s="34" customFormat="1"/>
    <row r="1306" s="34" customFormat="1"/>
    <row r="1307" s="34" customFormat="1"/>
    <row r="1308" s="34" customFormat="1"/>
    <row r="1309" s="34" customFormat="1"/>
    <row r="1310" s="34" customFormat="1"/>
    <row r="1311" s="34" customFormat="1"/>
    <row r="1312" s="34" customFormat="1"/>
    <row r="1313" s="34" customFormat="1"/>
    <row r="1314" s="34" customFormat="1"/>
    <row r="1315" s="34" customFormat="1"/>
    <row r="1316" s="34" customFormat="1"/>
    <row r="1317" s="34" customFormat="1"/>
    <row r="1318" s="34" customFormat="1"/>
    <row r="1319" s="34" customFormat="1"/>
    <row r="1320" s="34" customFormat="1"/>
    <row r="1321" s="34" customFormat="1"/>
    <row r="1322" s="34" customFormat="1"/>
    <row r="1323" s="34" customFormat="1"/>
    <row r="1324" s="34" customFormat="1"/>
    <row r="1325" s="34" customFormat="1"/>
    <row r="1326" s="34" customFormat="1"/>
    <row r="1327" s="34" customFormat="1"/>
    <row r="1328" s="34" customFormat="1"/>
    <row r="1329" s="34" customFormat="1"/>
    <row r="1330" s="34" customFormat="1"/>
    <row r="1331" s="34" customFormat="1"/>
    <row r="1332" s="34" customFormat="1"/>
    <row r="1333" s="34" customFormat="1"/>
    <row r="1334" s="34" customFormat="1"/>
    <row r="1335" s="34" customFormat="1"/>
    <row r="1336" s="34" customFormat="1"/>
    <row r="1337" s="34" customFormat="1"/>
    <row r="1338" s="34" customFormat="1"/>
    <row r="1339" s="34" customFormat="1"/>
    <row r="1340" s="34" customFormat="1"/>
    <row r="1341" s="34" customFormat="1"/>
    <row r="1342" s="34" customFormat="1"/>
    <row r="1343" s="34" customFormat="1"/>
    <row r="1344" s="34" customFormat="1"/>
    <row r="1345" s="34" customFormat="1"/>
    <row r="1346" s="34" customFormat="1"/>
    <row r="1347" s="34" customFormat="1"/>
    <row r="1348" s="34" customFormat="1"/>
    <row r="1349" s="34" customFormat="1"/>
    <row r="1350" s="34" customFormat="1"/>
    <row r="1351" s="34" customFormat="1"/>
    <row r="1352" s="34" customFormat="1"/>
    <row r="1353" s="34" customFormat="1"/>
    <row r="1354" s="34" customFormat="1"/>
    <row r="1355" s="34" customFormat="1"/>
    <row r="1356" s="34" customFormat="1"/>
    <row r="1357" s="34" customFormat="1"/>
    <row r="1358" s="34" customFormat="1"/>
    <row r="1359" s="34" customFormat="1"/>
    <row r="1360" s="34" customFormat="1"/>
    <row r="1361" s="34" customFormat="1"/>
    <row r="1362" s="34" customFormat="1"/>
    <row r="1363" s="34" customFormat="1"/>
    <row r="1364" s="34" customFormat="1"/>
    <row r="1365" s="34" customFormat="1"/>
    <row r="1366" s="34" customFormat="1"/>
    <row r="1367" s="34" customFormat="1"/>
    <row r="1368" s="34" customFormat="1"/>
    <row r="1369" s="34" customFormat="1"/>
    <row r="1370" s="34" customFormat="1"/>
    <row r="1371" s="34" customFormat="1"/>
    <row r="1372" s="34" customFormat="1"/>
    <row r="1373" s="34" customFormat="1"/>
    <row r="1374" s="34" customFormat="1"/>
    <row r="1375" s="34" customFormat="1"/>
    <row r="1376" s="34" customFormat="1"/>
    <row r="1377" s="34" customFormat="1"/>
    <row r="1378" s="34" customFormat="1"/>
    <row r="1379" s="34" customFormat="1"/>
    <row r="1380" s="34" customFormat="1"/>
    <row r="1381" s="34" customFormat="1"/>
    <row r="1382" s="34" customFormat="1"/>
    <row r="1383" s="34" customFormat="1"/>
    <row r="1384" s="34" customFormat="1"/>
    <row r="1385" s="34" customFormat="1"/>
    <row r="1386" s="34" customFormat="1"/>
    <row r="1387" s="34" customFormat="1"/>
    <row r="1388" s="34" customFormat="1"/>
    <row r="1389" s="34" customFormat="1"/>
    <row r="1390" s="34" customFormat="1"/>
    <row r="1391" s="34" customFormat="1"/>
    <row r="1392" s="34" customFormat="1"/>
    <row r="1393" s="34" customFormat="1"/>
    <row r="1394" s="34" customFormat="1"/>
    <row r="1395" s="34" customFormat="1"/>
    <row r="1396" s="34" customFormat="1"/>
    <row r="1397" s="34" customFormat="1"/>
    <row r="1398" s="34" customFormat="1"/>
    <row r="1399" s="34" customFormat="1"/>
    <row r="1400" s="34" customFormat="1"/>
    <row r="1401" s="34" customFormat="1"/>
    <row r="1402" s="34" customFormat="1"/>
    <row r="1403" s="34" customFormat="1"/>
    <row r="1404" s="34" customFormat="1"/>
    <row r="1405" s="34" customFormat="1"/>
    <row r="1406" s="34" customFormat="1"/>
    <row r="1407" s="34" customFormat="1"/>
    <row r="1408" s="34" customFormat="1"/>
    <row r="1409" s="34" customFormat="1"/>
    <row r="1410" s="34" customFormat="1"/>
    <row r="1411" s="34" customFormat="1"/>
    <row r="1412" s="34" customFormat="1"/>
    <row r="1413" s="34" customFormat="1"/>
    <row r="1414" s="34" customFormat="1"/>
    <row r="1415" s="34" customFormat="1"/>
    <row r="1416" s="34" customFormat="1"/>
    <row r="1417" s="34" customFormat="1"/>
    <row r="1418" s="34" customFormat="1"/>
    <row r="1419" s="34" customFormat="1"/>
    <row r="1420" s="34" customFormat="1"/>
    <row r="1421" s="34" customFormat="1"/>
    <row r="1422" s="34" customFormat="1"/>
    <row r="1423" s="34" customFormat="1"/>
    <row r="1424" s="34" customFormat="1"/>
    <row r="1425" s="34" customFormat="1"/>
    <row r="1426" s="34" customFormat="1"/>
    <row r="1427" s="34" customFormat="1"/>
    <row r="1428" s="34" customFormat="1"/>
    <row r="1429" s="34" customFormat="1"/>
    <row r="1430" s="34" customFormat="1"/>
    <row r="1431" s="34" customFormat="1"/>
    <row r="1432" s="34" customFormat="1"/>
    <row r="1433" s="34" customFormat="1"/>
    <row r="1434" s="34" customFormat="1"/>
    <row r="1435" s="34" customFormat="1"/>
    <row r="1436" s="34" customFormat="1"/>
    <row r="1437" s="34" customFormat="1"/>
    <row r="1438" s="34" customFormat="1"/>
    <row r="1439" s="34" customFormat="1"/>
    <row r="1440" s="34" customFormat="1"/>
    <row r="1441" s="34" customFormat="1"/>
    <row r="1442" s="34" customFormat="1"/>
    <row r="1443" s="34" customFormat="1"/>
    <row r="1444" s="34" customFormat="1"/>
    <row r="1445" s="34" customFormat="1"/>
    <row r="1446" s="34" customFormat="1"/>
    <row r="1447" s="34" customFormat="1"/>
    <row r="1448" s="34" customFormat="1"/>
    <row r="1449" s="34" customFormat="1"/>
    <row r="1450" s="34" customFormat="1"/>
    <row r="1451" s="34" customFormat="1"/>
    <row r="1452" s="34" customFormat="1"/>
    <row r="1453" s="34" customFormat="1"/>
    <row r="1454" s="34" customFormat="1"/>
    <row r="1455" s="34" customFormat="1"/>
    <row r="1456" s="34" customFormat="1"/>
    <row r="1457" s="34" customFormat="1"/>
    <row r="1458" s="34" customFormat="1"/>
    <row r="1459" s="34" customFormat="1"/>
    <row r="1460" s="34" customFormat="1"/>
    <row r="1461" s="34" customFormat="1"/>
    <row r="1462" s="34" customFormat="1"/>
    <row r="1463" s="34" customFormat="1"/>
    <row r="1464" s="34" customFormat="1"/>
    <row r="1465" s="34" customFormat="1"/>
    <row r="1466" s="34" customFormat="1"/>
    <row r="1467" s="34" customFormat="1"/>
    <row r="1468" s="34" customFormat="1"/>
    <row r="1469" s="34" customFormat="1"/>
    <row r="1470" s="34" customFormat="1"/>
    <row r="1471" s="34" customFormat="1"/>
    <row r="1472" s="34" customFormat="1"/>
    <row r="1473" s="34" customFormat="1"/>
    <row r="1474" s="34" customFormat="1"/>
    <row r="1475" s="34" customFormat="1"/>
    <row r="1476" s="34" customFormat="1"/>
    <row r="1477" s="34" customFormat="1"/>
    <row r="1478" s="34" customFormat="1"/>
    <row r="1479" s="34" customFormat="1"/>
    <row r="1480" s="34" customFormat="1"/>
    <row r="1481" s="34" customFormat="1"/>
    <row r="1482" s="34" customFormat="1"/>
    <row r="1483" s="34" customFormat="1"/>
    <row r="1484" s="34" customFormat="1"/>
    <row r="1485" s="34" customFormat="1"/>
    <row r="1486" s="34" customFormat="1"/>
    <row r="1487" s="34" customFormat="1"/>
    <row r="1488" s="34" customFormat="1"/>
    <row r="1489" s="34" customFormat="1"/>
    <row r="1490" s="34" customFormat="1"/>
    <row r="1491" s="34" customFormat="1"/>
    <row r="1492" s="34" customFormat="1"/>
    <row r="1493" s="34" customFormat="1"/>
    <row r="1494" s="34" customFormat="1"/>
    <row r="1495" s="34" customFormat="1"/>
    <row r="1496" s="34" customFormat="1"/>
    <row r="1497" s="34" customFormat="1"/>
    <row r="1498" s="34" customFormat="1"/>
    <row r="1499" s="34" customFormat="1"/>
    <row r="1500" s="34" customFormat="1"/>
    <row r="1501" s="34" customFormat="1"/>
    <row r="1502" s="34" customFormat="1"/>
    <row r="1503" s="34" customFormat="1"/>
    <row r="1504" s="34" customFormat="1"/>
    <row r="1505" s="34" customFormat="1"/>
    <row r="1506" s="34" customFormat="1"/>
    <row r="1507" s="34" customFormat="1"/>
    <row r="1508" s="34" customFormat="1"/>
    <row r="1509" s="34" customFormat="1"/>
    <row r="1510" s="34" customFormat="1"/>
    <row r="1511" s="34" customFormat="1"/>
    <row r="1512" s="34" customFormat="1"/>
    <row r="1513" s="34" customFormat="1"/>
    <row r="1514" s="34" customFormat="1"/>
    <row r="1515" s="34" customFormat="1"/>
    <row r="1516" s="34" customFormat="1"/>
    <row r="1517" s="34" customFormat="1"/>
    <row r="1518" s="34" customFormat="1"/>
    <row r="1519" s="34" customFormat="1"/>
    <row r="1520" s="34" customFormat="1"/>
    <row r="1521" s="34" customFormat="1"/>
    <row r="1522" s="34" customFormat="1"/>
    <row r="1523" s="34" customFormat="1"/>
    <row r="1524" s="34" customFormat="1"/>
    <row r="1525" s="34" customFormat="1"/>
    <row r="1526" s="34" customFormat="1"/>
    <row r="1527" s="34" customFormat="1"/>
    <row r="1528" s="34" customFormat="1"/>
    <row r="1529" s="34" customFormat="1"/>
    <row r="1530" s="34" customFormat="1"/>
    <row r="1531" s="34" customFormat="1"/>
    <row r="1532" s="34" customFormat="1"/>
    <row r="1533" s="34" customFormat="1"/>
    <row r="1534" s="34" customFormat="1"/>
    <row r="1535" s="34" customFormat="1"/>
    <row r="1536" s="34" customFormat="1"/>
    <row r="1537" s="34" customFormat="1"/>
    <row r="1538" s="34" customFormat="1"/>
    <row r="1539" s="34" customFormat="1"/>
    <row r="1540" s="34" customFormat="1"/>
    <row r="1541" s="34" customFormat="1"/>
    <row r="1542" s="34" customFormat="1"/>
    <row r="1543" s="34" customFormat="1"/>
    <row r="1544" s="34" customFormat="1"/>
    <row r="1545" s="34" customFormat="1"/>
    <row r="1546" s="34" customFormat="1"/>
    <row r="1547" s="34" customFormat="1"/>
    <row r="1548" s="34" customFormat="1"/>
    <row r="1549" s="34" customFormat="1"/>
    <row r="1550" s="34" customFormat="1"/>
    <row r="1551" s="34" customFormat="1"/>
    <row r="1552" s="34" customFormat="1"/>
    <row r="1553" s="34" customFormat="1"/>
    <row r="1554" s="34" customFormat="1"/>
    <row r="1555" s="34" customFormat="1"/>
    <row r="1556" s="34" customFormat="1"/>
    <row r="1557" s="34" customFormat="1"/>
    <row r="1558" s="34" customFormat="1"/>
    <row r="1559" s="34" customFormat="1"/>
    <row r="1560" s="34" customFormat="1"/>
    <row r="1561" s="34" customFormat="1"/>
    <row r="1562" s="34" customFormat="1"/>
    <row r="1563" s="34" customFormat="1"/>
    <row r="1564" s="34" customFormat="1"/>
    <row r="1565" s="34" customFormat="1"/>
    <row r="1566" s="34" customFormat="1"/>
    <row r="1567" s="34" customFormat="1"/>
    <row r="1568" s="34" customFormat="1"/>
    <row r="1569" s="34" customFormat="1"/>
    <row r="1570" s="34" customFormat="1"/>
    <row r="1571" s="34" customFormat="1"/>
    <row r="1572" s="34" customFormat="1"/>
    <row r="1573" s="34" customFormat="1"/>
    <row r="1574" s="34" customFormat="1"/>
    <row r="1575" s="34" customFormat="1"/>
    <row r="1576" s="34" customFormat="1"/>
    <row r="1577" s="34" customFormat="1"/>
    <row r="1578" s="34" customFormat="1"/>
    <row r="1579" s="34" customFormat="1"/>
    <row r="1580" s="34" customFormat="1"/>
    <row r="1581" s="34" customFormat="1"/>
    <row r="1582" s="34" customFormat="1"/>
    <row r="1583" s="34" customFormat="1"/>
    <row r="1584" s="34" customFormat="1"/>
    <row r="1585" s="34" customFormat="1"/>
    <row r="1586" s="34" customFormat="1"/>
    <row r="1587" s="34" customFormat="1"/>
    <row r="1588" s="34" customFormat="1"/>
    <row r="1589" s="34" customFormat="1"/>
    <row r="1590" s="34" customFormat="1"/>
    <row r="1591" s="34" customFormat="1"/>
    <row r="1592" s="34" customFormat="1"/>
    <row r="1593" s="34" customFormat="1"/>
    <row r="1594" s="34" customFormat="1"/>
    <row r="1595" s="34" customFormat="1"/>
    <row r="1596" s="34" customFormat="1"/>
    <row r="1597" s="34" customFormat="1"/>
    <row r="1598" s="34" customFormat="1"/>
    <row r="1599" s="34" customFormat="1"/>
    <row r="1600" s="34" customFormat="1"/>
    <row r="1601" s="34" customFormat="1"/>
    <row r="1602" s="34" customFormat="1"/>
    <row r="1603" s="34" customFormat="1"/>
    <row r="1604" s="34" customFormat="1"/>
    <row r="1605" s="34" customFormat="1"/>
    <row r="1606" s="34" customFormat="1"/>
    <row r="1607" s="34" customFormat="1"/>
    <row r="1608" s="34" customFormat="1"/>
    <row r="1609" s="34" customFormat="1"/>
    <row r="1610" s="34" customFormat="1"/>
    <row r="1611" s="34" customFormat="1"/>
    <row r="1612" s="34" customFormat="1"/>
    <row r="1613" s="34" customFormat="1"/>
    <row r="1614" s="34" customFormat="1"/>
    <row r="1615" s="34" customFormat="1"/>
    <row r="1616" s="34" customFormat="1"/>
    <row r="1617" s="34" customFormat="1"/>
    <row r="1618" s="34" customFormat="1"/>
    <row r="1619" s="34" customFormat="1"/>
    <row r="1620" s="34" customFormat="1"/>
    <row r="1621" s="34" customFormat="1"/>
    <row r="1622" s="34" customFormat="1"/>
    <row r="1623" s="34" customFormat="1"/>
    <row r="1624" s="34" customFormat="1"/>
    <row r="1625" s="34" customFormat="1"/>
    <row r="1626" s="34" customFormat="1"/>
    <row r="1627" s="34" customFormat="1"/>
    <row r="1628" s="34" customFormat="1"/>
    <row r="1629" s="34" customFormat="1"/>
    <row r="1630" s="34" customFormat="1"/>
    <row r="1631" s="34" customFormat="1"/>
    <row r="1632" s="34" customFormat="1"/>
    <row r="1633" s="34" customFormat="1"/>
    <row r="1634" s="34" customFormat="1"/>
    <row r="1635" s="34" customFormat="1"/>
    <row r="1636" s="34" customFormat="1"/>
    <row r="1637" s="34" customFormat="1"/>
    <row r="1638" s="34" customFormat="1"/>
    <row r="1639" s="34" customFormat="1"/>
    <row r="1640" s="34" customFormat="1"/>
    <row r="1641" s="34" customFormat="1"/>
    <row r="1642" s="34" customFormat="1"/>
    <row r="1643" s="34" customFormat="1"/>
    <row r="1644" s="34" customFormat="1"/>
    <row r="1645" s="34" customFormat="1"/>
    <row r="1646" s="34" customFormat="1"/>
    <row r="1647" s="34" customFormat="1"/>
    <row r="1648" s="34" customFormat="1"/>
    <row r="1649" s="34" customFormat="1"/>
    <row r="1650" s="34" customFormat="1"/>
    <row r="1651" s="34" customFormat="1"/>
    <row r="1652" s="34" customFormat="1"/>
    <row r="1653" s="34" customFormat="1"/>
    <row r="1654" s="34" customFormat="1"/>
    <row r="1655" s="34" customFormat="1"/>
    <row r="1656" s="34" customFormat="1"/>
    <row r="1657" s="34" customFormat="1"/>
    <row r="1658" s="34" customFormat="1"/>
    <row r="1659" s="34" customFormat="1"/>
    <row r="1660" s="34" customFormat="1"/>
    <row r="1661" s="34" customFormat="1"/>
    <row r="1662" s="34" customFormat="1"/>
    <row r="1663" s="34" customFormat="1"/>
    <row r="1664" s="34" customFormat="1"/>
    <row r="1665" s="34" customFormat="1"/>
    <row r="1666" s="34" customFormat="1"/>
    <row r="1667" s="34" customFormat="1"/>
    <row r="1668" s="34" customFormat="1"/>
    <row r="1669" s="34" customFormat="1"/>
    <row r="1670" s="34" customFormat="1"/>
    <row r="1671" s="34" customFormat="1"/>
    <row r="1672" s="34" customFormat="1"/>
    <row r="1673" s="34" customFormat="1"/>
    <row r="1674" s="34" customFormat="1"/>
    <row r="1675" s="34" customFormat="1"/>
    <row r="1676" s="34" customFormat="1"/>
    <row r="1677" s="34" customFormat="1"/>
    <row r="1678" s="34" customFormat="1"/>
    <row r="1679" s="34" customFormat="1"/>
    <row r="1680" s="34" customFormat="1"/>
    <row r="1681" s="34" customFormat="1"/>
    <row r="1682" s="34" customFormat="1"/>
    <row r="1683" s="34" customFormat="1"/>
    <row r="1684" s="34" customFormat="1"/>
    <row r="1685" s="34" customFormat="1"/>
    <row r="1686" s="34" customFormat="1"/>
    <row r="1687" s="34" customFormat="1"/>
    <row r="1688" s="34" customFormat="1"/>
    <row r="1689" s="34" customFormat="1"/>
    <row r="1690" s="34" customFormat="1"/>
    <row r="1691" s="34" customFormat="1"/>
    <row r="1692" s="34" customFormat="1"/>
    <row r="1693" s="34" customFormat="1"/>
    <row r="1694" s="34" customFormat="1"/>
    <row r="1695" s="34" customFormat="1"/>
    <row r="1696" s="34" customFormat="1"/>
    <row r="1697" s="34" customFormat="1"/>
    <row r="1698" s="34" customFormat="1"/>
    <row r="1699" s="34" customFormat="1"/>
    <row r="1700" s="34" customFormat="1"/>
    <row r="1701" s="34" customFormat="1"/>
    <row r="1702" s="34" customFormat="1"/>
    <row r="1703" s="34" customFormat="1"/>
    <row r="1704" s="34" customFormat="1"/>
    <row r="1705" s="34" customFormat="1"/>
    <row r="1706" s="34" customFormat="1"/>
    <row r="1707" s="34" customFormat="1"/>
    <row r="1708" s="34" customFormat="1"/>
    <row r="1709" s="34" customFormat="1"/>
    <row r="1710" s="34" customFormat="1"/>
    <row r="1711" s="34" customFormat="1"/>
    <row r="1712" s="34" customFormat="1"/>
    <row r="1713" s="34" customFormat="1"/>
    <row r="1714" s="34" customFormat="1"/>
    <row r="1715" s="34" customFormat="1"/>
    <row r="1716" s="34" customFormat="1"/>
    <row r="1717" s="34" customFormat="1"/>
    <row r="1718" s="34" customFormat="1"/>
    <row r="1719" s="34" customFormat="1"/>
    <row r="1720" s="34" customFormat="1"/>
    <row r="1721" s="34" customFormat="1"/>
    <row r="1722" s="34" customFormat="1"/>
    <row r="1723" s="34" customFormat="1"/>
    <row r="1724" s="34" customFormat="1"/>
    <row r="1725" s="34" customFormat="1"/>
    <row r="1726" s="34" customFormat="1"/>
    <row r="1727" s="34" customFormat="1"/>
    <row r="1728" s="34" customFormat="1"/>
    <row r="1729" s="34" customFormat="1"/>
    <row r="1730" s="34" customFormat="1"/>
    <row r="1731" s="34" customFormat="1"/>
    <row r="1732" s="34" customFormat="1"/>
    <row r="1733" s="34" customFormat="1"/>
    <row r="1734" s="34" customFormat="1"/>
    <row r="1735" s="34" customFormat="1"/>
    <row r="1736" s="34" customFormat="1"/>
    <row r="1737" s="34" customFormat="1"/>
    <row r="1738" s="34" customFormat="1"/>
    <row r="1739" s="34" customFormat="1"/>
    <row r="1740" s="34" customFormat="1"/>
    <row r="1741" s="34" customFormat="1"/>
    <row r="1742" s="34" customFormat="1"/>
    <row r="1743" s="34" customFormat="1"/>
    <row r="1744" s="34" customFormat="1"/>
    <row r="1745" s="34" customFormat="1"/>
    <row r="1746" s="34" customFormat="1"/>
    <row r="1747" s="34" customFormat="1"/>
    <row r="1748" s="34" customFormat="1"/>
    <row r="1749" s="34" customFormat="1"/>
    <row r="1750" s="34" customFormat="1"/>
    <row r="1751" s="34" customFormat="1"/>
    <row r="1752" s="34" customFormat="1"/>
    <row r="1753" s="34" customFormat="1"/>
    <row r="1754" s="34" customFormat="1"/>
    <row r="1755" s="34" customFormat="1"/>
    <row r="1756" s="34" customFormat="1"/>
    <row r="1757" s="34" customFormat="1"/>
    <row r="1758" s="34" customFormat="1"/>
    <row r="1759" s="34" customFormat="1"/>
    <row r="1760" s="34" customFormat="1"/>
    <row r="1761" s="34" customFormat="1"/>
    <row r="1762" s="34" customFormat="1"/>
    <row r="1763" s="34" customFormat="1"/>
    <row r="1764" s="34" customFormat="1"/>
    <row r="1765" s="34" customFormat="1"/>
    <row r="1766" s="34" customFormat="1"/>
    <row r="1767" s="34" customFormat="1"/>
    <row r="1768" s="34" customFormat="1"/>
    <row r="1769" s="34" customFormat="1"/>
    <row r="1770" s="34" customFormat="1"/>
    <row r="1771" s="34" customFormat="1"/>
    <row r="1772" s="34" customFormat="1"/>
    <row r="1773" s="34" customFormat="1"/>
    <row r="1774" s="34" customFormat="1"/>
    <row r="1775" s="34" customFormat="1"/>
    <row r="1776" s="34" customFormat="1"/>
    <row r="1777" s="34" customFormat="1"/>
    <row r="1778" s="34" customFormat="1"/>
    <row r="1779" s="34" customFormat="1"/>
    <row r="1780" s="34" customFormat="1"/>
    <row r="1781" s="34" customFormat="1"/>
    <row r="1782" s="34" customFormat="1"/>
    <row r="1783" s="34" customFormat="1"/>
    <row r="1784" s="34" customFormat="1"/>
    <row r="1785" s="34" customFormat="1"/>
    <row r="1786" s="34" customFormat="1"/>
    <row r="1787" s="34" customFormat="1"/>
    <row r="1788" s="34" customFormat="1"/>
    <row r="1789" s="34" customFormat="1"/>
    <row r="1790" s="34" customFormat="1"/>
    <row r="1791" s="34" customFormat="1"/>
    <row r="1792" s="34" customFormat="1"/>
    <row r="1793" s="34" customFormat="1"/>
    <row r="1794" s="34" customFormat="1"/>
    <row r="1795" s="34" customFormat="1"/>
    <row r="1796" s="34" customFormat="1"/>
    <row r="1797" s="34" customFormat="1"/>
    <row r="1798" s="34" customFormat="1"/>
    <row r="1799" s="34" customFormat="1"/>
    <row r="1800" s="34" customFormat="1"/>
    <row r="1801" s="34" customFormat="1"/>
    <row r="1802" s="34" customFormat="1"/>
    <row r="1803" s="34" customFormat="1"/>
    <row r="1804" s="34" customFormat="1"/>
    <row r="1805" s="34" customFormat="1"/>
    <row r="1806" s="34" customFormat="1"/>
    <row r="1807" s="34" customFormat="1"/>
    <row r="1808" s="34" customFormat="1"/>
    <row r="1809" s="34" customFormat="1"/>
    <row r="1810" s="34" customFormat="1"/>
    <row r="1811" s="34" customFormat="1"/>
    <row r="1812" s="34" customFormat="1"/>
    <row r="1813" s="34" customFormat="1"/>
    <row r="1814" s="34" customFormat="1"/>
    <row r="1815" s="34" customFormat="1"/>
    <row r="1816" s="34" customFormat="1"/>
    <row r="1817" s="34" customFormat="1"/>
    <row r="1818" s="34" customFormat="1"/>
    <row r="1819" s="34" customFormat="1"/>
    <row r="1820" s="34" customFormat="1"/>
    <row r="1821" s="34" customFormat="1"/>
    <row r="1822" s="34" customFormat="1"/>
    <row r="1823" s="34" customFormat="1"/>
    <row r="1824" s="34" customFormat="1"/>
    <row r="1825" s="34" customFormat="1"/>
    <row r="1826" s="34" customFormat="1"/>
    <row r="1827" s="34" customFormat="1"/>
    <row r="1828" s="34" customFormat="1"/>
    <row r="1829" s="34" customFormat="1"/>
    <row r="1830" s="34" customFormat="1"/>
    <row r="1831" s="34" customFormat="1"/>
    <row r="1832" s="34" customFormat="1"/>
    <row r="1833" s="34" customFormat="1"/>
    <row r="1834" s="34" customFormat="1"/>
    <row r="1835" s="34" customFormat="1"/>
    <row r="1836" s="34" customFormat="1"/>
    <row r="1837" s="34" customFormat="1"/>
    <row r="1838" s="34" customFormat="1"/>
    <row r="1839" s="34" customFormat="1"/>
    <row r="1840" s="34" customFormat="1"/>
    <row r="1841" s="34" customFormat="1"/>
    <row r="1842" s="34" customFormat="1"/>
    <row r="1843" s="34" customFormat="1"/>
    <row r="1844" s="34" customFormat="1"/>
    <row r="1845" s="34" customFormat="1"/>
    <row r="1846" s="34" customFormat="1"/>
    <row r="1847" s="34" customFormat="1"/>
    <row r="1848" s="34" customFormat="1"/>
    <row r="1849" s="34" customFormat="1"/>
    <row r="1850" s="34" customFormat="1"/>
    <row r="1851" s="34" customFormat="1"/>
    <row r="1852" s="34" customFormat="1"/>
    <row r="1853" s="34" customFormat="1"/>
    <row r="1854" s="34" customFormat="1"/>
    <row r="1855" s="34" customFormat="1"/>
    <row r="1856" s="34" customFormat="1"/>
    <row r="1857" s="34" customFormat="1"/>
    <row r="1858" s="34" customFormat="1"/>
    <row r="1859" s="34" customFormat="1"/>
    <row r="1860" s="34" customFormat="1"/>
    <row r="1861" s="34" customFormat="1"/>
    <row r="1862" s="34" customFormat="1"/>
    <row r="1863" s="34" customFormat="1"/>
    <row r="1864" s="34" customFormat="1"/>
    <row r="1865" s="34" customFormat="1"/>
    <row r="1866" s="34" customFormat="1"/>
    <row r="1867" s="34" customFormat="1"/>
    <row r="1868" s="34" customFormat="1"/>
    <row r="1869" s="34" customFormat="1"/>
    <row r="1870" s="34" customFormat="1"/>
    <row r="1871" s="34" customFormat="1"/>
    <row r="1872" s="34" customFormat="1"/>
    <row r="1873" s="34" customFormat="1"/>
    <row r="1874" s="34" customFormat="1"/>
    <row r="1875" s="34" customFormat="1"/>
    <row r="1876" s="34" customFormat="1"/>
    <row r="1877" s="34" customFormat="1"/>
    <row r="1878" s="34" customFormat="1"/>
    <row r="1879" s="34" customFormat="1"/>
    <row r="1880" s="34" customFormat="1"/>
    <row r="1881" s="34" customFormat="1"/>
    <row r="1882" s="34" customFormat="1"/>
    <row r="1883" s="34" customFormat="1"/>
    <row r="1884" s="34" customFormat="1"/>
    <row r="1885" s="34" customFormat="1"/>
    <row r="1886" s="34" customFormat="1"/>
    <row r="1887" s="34" customFormat="1"/>
    <row r="1888" s="34" customFormat="1"/>
    <row r="1889" s="34" customFormat="1"/>
    <row r="1890" s="34" customFormat="1"/>
    <row r="1891" s="34" customFormat="1"/>
    <row r="1892" s="34" customFormat="1"/>
    <row r="1893" s="34" customFormat="1"/>
    <row r="1894" s="34" customFormat="1"/>
    <row r="1895" s="34" customFormat="1"/>
    <row r="1896" s="34" customFormat="1"/>
    <row r="1897" s="34" customFormat="1"/>
    <row r="1898" s="34" customFormat="1"/>
    <row r="1899" s="34" customFormat="1"/>
    <row r="1900" s="34" customFormat="1"/>
    <row r="1901" s="34" customFormat="1"/>
    <row r="1902" s="34" customFormat="1"/>
    <row r="1903" s="34" customFormat="1"/>
    <row r="1904" s="34" customFormat="1"/>
    <row r="1905" s="34" customFormat="1"/>
    <row r="1906" s="34" customFormat="1"/>
    <row r="1907" s="34" customFormat="1"/>
    <row r="1908" s="34" customFormat="1"/>
    <row r="1909" s="34" customFormat="1"/>
    <row r="1910" s="34" customFormat="1"/>
    <row r="1911" s="34" customFormat="1"/>
    <row r="1912" s="34" customFormat="1"/>
    <row r="1913" s="34" customFormat="1"/>
    <row r="1914" s="34" customFormat="1"/>
    <row r="1915" s="34" customFormat="1"/>
    <row r="1916" s="34" customFormat="1"/>
    <row r="1917" s="34" customFormat="1"/>
    <row r="1918" s="34" customFormat="1"/>
    <row r="1919" s="34" customFormat="1"/>
    <row r="1920" s="34" customFormat="1"/>
    <row r="1921" s="34" customFormat="1"/>
    <row r="1922" s="34" customFormat="1"/>
    <row r="1923" s="34" customFormat="1"/>
    <row r="1924" s="34" customFormat="1"/>
    <row r="1925" s="34" customFormat="1"/>
    <row r="1926" s="34" customFormat="1"/>
    <row r="1927" s="34" customFormat="1"/>
    <row r="1928" s="34" customFormat="1"/>
    <row r="1929" s="34" customFormat="1"/>
    <row r="1930" s="34" customFormat="1"/>
    <row r="1931" s="34" customFormat="1"/>
    <row r="1932" s="34" customFormat="1"/>
    <row r="1933" s="34" customFormat="1"/>
    <row r="1934" s="34" customFormat="1"/>
    <row r="1935" s="34" customFormat="1"/>
    <row r="1936" s="34" customFormat="1"/>
    <row r="1937" s="34" customFormat="1"/>
    <row r="1938" s="34" customFormat="1"/>
    <row r="1939" s="34" customFormat="1"/>
    <row r="1940" s="34" customFormat="1"/>
    <row r="1941" s="34" customFormat="1"/>
    <row r="1942" s="34" customFormat="1"/>
    <row r="1943" s="34" customFormat="1"/>
    <row r="1944" s="34" customFormat="1"/>
    <row r="1945" s="34" customFormat="1"/>
    <row r="1946" s="34" customFormat="1"/>
    <row r="1947" s="34" customFormat="1"/>
    <row r="1948" s="34" customFormat="1"/>
    <row r="1949" s="34" customFormat="1"/>
    <row r="1950" s="34" customFormat="1"/>
    <row r="1951" s="34" customFormat="1"/>
    <row r="1952" s="34" customFormat="1"/>
    <row r="1953" s="34" customFormat="1"/>
    <row r="1954" s="34" customFormat="1"/>
    <row r="1955" s="34" customFormat="1"/>
    <row r="1956" s="34" customFormat="1"/>
    <row r="1957" s="34" customFormat="1"/>
    <row r="1958" s="34" customFormat="1"/>
    <row r="1959" s="34" customFormat="1"/>
    <row r="1960" s="34" customFormat="1"/>
    <row r="1961" s="34" customFormat="1"/>
    <row r="1962" s="34" customFormat="1"/>
    <row r="1963" s="34" customFormat="1"/>
    <row r="1964" s="34" customFormat="1"/>
    <row r="1965" s="34" customFormat="1"/>
    <row r="1966" s="34" customFormat="1"/>
    <row r="1967" s="34" customFormat="1"/>
    <row r="1968" s="34" customFormat="1"/>
    <row r="1969" s="34" customFormat="1"/>
    <row r="1970" s="34" customFormat="1"/>
    <row r="1971" s="34" customFormat="1"/>
    <row r="1972" s="34" customFormat="1"/>
    <row r="1973" s="34" customFormat="1"/>
    <row r="1974" s="34" customFormat="1"/>
    <row r="1975" s="34" customFormat="1"/>
    <row r="1976" s="34" customFormat="1"/>
    <row r="1977" s="34" customFormat="1"/>
    <row r="1978" s="34" customFormat="1"/>
    <row r="1979" s="34" customFormat="1"/>
    <row r="1980" s="34" customFormat="1"/>
    <row r="1981" s="34" customFormat="1"/>
    <row r="1982" s="34" customFormat="1"/>
    <row r="1983" s="34" customFormat="1"/>
    <row r="1984" s="34" customFormat="1"/>
    <row r="1985" s="34" customFormat="1"/>
    <row r="1986" s="34" customFormat="1"/>
    <row r="1987" s="34" customFormat="1"/>
    <row r="1988" s="34" customFormat="1"/>
    <row r="1989" s="34" customFormat="1"/>
    <row r="1990" s="34" customFormat="1"/>
    <row r="1991" s="34" customFormat="1"/>
    <row r="1992" s="34" customFormat="1"/>
    <row r="1993" s="34" customFormat="1"/>
    <row r="1994" s="34" customFormat="1"/>
    <row r="1995" s="34" customFormat="1"/>
    <row r="1996" s="34" customFormat="1"/>
    <row r="1997" s="34" customFormat="1"/>
    <row r="1998" s="34" customFormat="1"/>
    <row r="1999" s="34" customFormat="1"/>
    <row r="2000" s="34" customFormat="1"/>
    <row r="2001" s="34" customFormat="1"/>
    <row r="2002" s="34" customFormat="1"/>
    <row r="2003" s="34" customFormat="1"/>
    <row r="2004" s="34" customFormat="1"/>
    <row r="2005" s="34" customFormat="1"/>
    <row r="2006" s="34" customFormat="1"/>
    <row r="2007" s="34" customFormat="1"/>
    <row r="2008" s="34" customFormat="1"/>
    <row r="2009" s="34" customFormat="1"/>
    <row r="2010" s="34" customFormat="1"/>
    <row r="2011" s="34" customFormat="1"/>
    <row r="2012" s="34" customFormat="1"/>
    <row r="2013" s="34" customFormat="1"/>
    <row r="2014" s="34" customFormat="1"/>
    <row r="2015" s="34" customFormat="1"/>
    <row r="2016" s="34" customFormat="1"/>
    <row r="2017" s="34" customFormat="1"/>
    <row r="2018" s="34" customFormat="1"/>
    <row r="2019" s="34" customFormat="1"/>
    <row r="2020" s="34" customFormat="1"/>
    <row r="2021" s="34" customFormat="1"/>
    <row r="2022" s="34" customFormat="1"/>
    <row r="2023" s="34" customFormat="1"/>
    <row r="2024" s="34" customFormat="1"/>
    <row r="2025" s="34" customFormat="1"/>
    <row r="2026" s="34" customFormat="1"/>
    <row r="2027" s="34" customFormat="1"/>
    <row r="2028" s="34" customFormat="1"/>
    <row r="2029" s="34" customFormat="1"/>
    <row r="2030" s="34" customFormat="1"/>
    <row r="2031" s="34" customFormat="1"/>
    <row r="2032" s="34" customFormat="1"/>
    <row r="2033" s="34" customFormat="1"/>
    <row r="2034" s="34" customFormat="1"/>
    <row r="2035" s="34" customFormat="1"/>
    <row r="2036" s="34" customFormat="1"/>
    <row r="2037" s="34" customFormat="1"/>
    <row r="2038" s="34" customFormat="1"/>
    <row r="2039" s="34" customFormat="1"/>
    <row r="2040" s="34" customFormat="1"/>
    <row r="2041" s="34" customFormat="1"/>
    <row r="2042" s="34" customFormat="1"/>
    <row r="2043" s="34" customFormat="1"/>
    <row r="2044" s="34" customFormat="1"/>
    <row r="2045" s="34" customFormat="1"/>
    <row r="2046" s="34" customFormat="1"/>
    <row r="2047" s="34" customFormat="1"/>
    <row r="2048" s="34" customFormat="1"/>
    <row r="2049" s="34" customFormat="1"/>
    <row r="2050" s="34" customFormat="1"/>
    <row r="2051" s="34" customFormat="1"/>
    <row r="2052" s="34" customFormat="1"/>
    <row r="2053" s="34" customFormat="1"/>
    <row r="2054" s="34" customFormat="1"/>
    <row r="2055" s="34" customFormat="1"/>
    <row r="2056" s="34" customFormat="1"/>
    <row r="2057" s="34" customFormat="1"/>
    <row r="2058" s="34" customFormat="1"/>
    <row r="2059" s="34" customFormat="1"/>
    <row r="2060" s="34" customFormat="1"/>
    <row r="2061" s="34" customFormat="1"/>
    <row r="2062" s="34" customFormat="1"/>
    <row r="2063" s="34" customFormat="1"/>
    <row r="2064" s="34" customFormat="1"/>
    <row r="2065" s="34" customFormat="1"/>
    <row r="2066" s="34" customFormat="1"/>
    <row r="2067" s="34" customFormat="1"/>
    <row r="2068" s="34" customFormat="1"/>
    <row r="2069" s="34" customFormat="1"/>
    <row r="2070" s="34" customFormat="1"/>
    <row r="2071" s="34" customFormat="1"/>
    <row r="2072" s="34" customFormat="1"/>
    <row r="2073" s="34" customFormat="1"/>
    <row r="2074" s="34" customFormat="1"/>
    <row r="2075" s="34" customFormat="1"/>
    <row r="2076" s="34" customFormat="1"/>
    <row r="2077" s="34" customFormat="1"/>
    <row r="2078" s="34" customFormat="1"/>
    <row r="2079" s="34" customFormat="1"/>
    <row r="2080" s="34" customFormat="1"/>
    <row r="2081" s="34" customFormat="1"/>
    <row r="2082" s="34" customFormat="1"/>
    <row r="2083" s="34" customFormat="1"/>
    <row r="2084" s="34" customFormat="1"/>
    <row r="2085" s="34" customFormat="1"/>
    <row r="2086" s="34" customFormat="1"/>
    <row r="2087" s="34" customFormat="1"/>
    <row r="2088" s="34" customFormat="1"/>
    <row r="2089" s="34" customFormat="1"/>
    <row r="2090" s="34" customFormat="1"/>
    <row r="2091" s="34" customFormat="1"/>
    <row r="2092" s="34" customFormat="1"/>
    <row r="2093" s="34" customFormat="1"/>
    <row r="2094" s="34" customFormat="1"/>
    <row r="2095" s="34" customFormat="1"/>
    <row r="2096" s="34" customFormat="1"/>
    <row r="2097" s="34" customFormat="1"/>
    <row r="2098" s="34" customFormat="1"/>
    <row r="2099" s="34" customFormat="1"/>
    <row r="2100" s="34" customFormat="1"/>
    <row r="2101" s="34" customFormat="1"/>
    <row r="2102" s="34" customFormat="1"/>
    <row r="2103" s="34" customFormat="1"/>
    <row r="2104" s="34" customFormat="1"/>
    <row r="2105" s="34" customFormat="1"/>
    <row r="2106" s="34" customFormat="1"/>
    <row r="2107" s="34" customFormat="1"/>
    <row r="2108" s="34" customFormat="1"/>
    <row r="2109" s="34" customFormat="1"/>
    <row r="2110" s="34" customFormat="1"/>
    <row r="2111" s="34" customFormat="1"/>
    <row r="2112" s="34" customFormat="1"/>
    <row r="2113" s="34" customFormat="1"/>
    <row r="2114" s="34" customFormat="1"/>
    <row r="2115" s="34" customFormat="1"/>
    <row r="2116" s="34" customFormat="1"/>
    <row r="2117" s="34" customFormat="1"/>
    <row r="2118" s="34" customFormat="1"/>
    <row r="2119" s="34" customFormat="1"/>
    <row r="2120" s="34" customFormat="1"/>
    <row r="2121" s="34" customFormat="1"/>
    <row r="2122" s="34" customFormat="1"/>
    <row r="2123" s="34" customFormat="1"/>
    <row r="2124" s="34" customFormat="1"/>
    <row r="2125" s="34" customFormat="1"/>
    <row r="2126" s="34" customFormat="1"/>
    <row r="2127" s="34" customFormat="1"/>
    <row r="2128" s="34" customFormat="1"/>
    <row r="2129" s="34" customFormat="1"/>
    <row r="2130" s="34" customFormat="1"/>
    <row r="2131" s="34" customFormat="1"/>
    <row r="2132" s="34" customFormat="1"/>
    <row r="2133" s="34" customFormat="1"/>
    <row r="2134" s="34" customFormat="1"/>
    <row r="2135" s="34" customFormat="1"/>
    <row r="2136" s="34" customFormat="1"/>
    <row r="2137" s="34" customFormat="1"/>
    <row r="2138" s="34" customFormat="1"/>
    <row r="2139" s="34" customFormat="1"/>
    <row r="2140" s="34" customFormat="1"/>
    <row r="2141" s="34" customFormat="1"/>
    <row r="2142" s="34" customFormat="1"/>
    <row r="2143" s="34" customFormat="1"/>
    <row r="2144" s="34" customFormat="1"/>
    <row r="2145" s="34" customFormat="1"/>
    <row r="2146" s="34" customFormat="1"/>
    <row r="2147" s="34" customFormat="1"/>
    <row r="2148" s="34" customFormat="1"/>
    <row r="2149" s="34" customFormat="1"/>
    <row r="2150" s="34" customFormat="1"/>
    <row r="2151" s="34" customFormat="1"/>
    <row r="2152" s="34" customFormat="1"/>
    <row r="2153" s="34" customFormat="1"/>
    <row r="2154" s="34" customFormat="1"/>
    <row r="2155" s="34" customFormat="1"/>
    <row r="2156" s="34" customFormat="1"/>
    <row r="2157" s="34" customFormat="1"/>
    <row r="2158" s="34" customFormat="1"/>
    <row r="2159" s="34" customFormat="1"/>
    <row r="2160" s="34" customFormat="1"/>
    <row r="2161" s="34" customFormat="1"/>
    <row r="2162" s="34" customFormat="1"/>
    <row r="2163" s="34" customFormat="1"/>
    <row r="2164" s="34" customFormat="1"/>
    <row r="2165" s="34" customFormat="1"/>
    <row r="2166" s="34" customFormat="1"/>
    <row r="2167" s="34" customFormat="1"/>
    <row r="2168" s="34" customFormat="1"/>
    <row r="2169" s="34" customFormat="1"/>
    <row r="2170" s="34" customFormat="1"/>
    <row r="2171" s="34" customFormat="1"/>
    <row r="2172" s="34" customFormat="1"/>
    <row r="2173" s="34" customFormat="1"/>
    <row r="2174" s="34" customFormat="1"/>
    <row r="2175" s="34" customFormat="1"/>
    <row r="2176" s="34" customFormat="1"/>
    <row r="2177" s="34" customFormat="1"/>
    <row r="2178" s="34" customFormat="1"/>
    <row r="2179" s="34" customFormat="1"/>
    <row r="2180" s="34" customFormat="1"/>
    <row r="2181" s="34" customFormat="1"/>
    <row r="2182" s="34" customFormat="1"/>
    <row r="2183" s="34" customFormat="1"/>
    <row r="2184" s="34" customFormat="1"/>
    <row r="2185" s="34" customFormat="1"/>
    <row r="2186" s="34" customFormat="1"/>
    <row r="2187" s="34" customFormat="1"/>
    <row r="2188" s="34" customFormat="1"/>
    <row r="2189" s="34" customFormat="1"/>
    <row r="2190" s="34" customFormat="1"/>
    <row r="2191" s="34" customFormat="1"/>
    <row r="2192" s="34" customFormat="1"/>
    <row r="2193" s="34" customFormat="1"/>
    <row r="2194" s="34" customFormat="1"/>
    <row r="2195" s="34" customFormat="1"/>
    <row r="2196" s="34" customFormat="1"/>
    <row r="2197" s="34" customFormat="1"/>
    <row r="2198" s="34" customFormat="1"/>
    <row r="2199" s="34" customFormat="1"/>
    <row r="2200" s="34" customFormat="1"/>
    <row r="2201" s="34" customFormat="1"/>
    <row r="2202" s="34" customFormat="1"/>
    <row r="2203" s="34" customFormat="1"/>
    <row r="2204" s="34" customFormat="1"/>
    <row r="2205" s="34" customFormat="1"/>
    <row r="2206" s="34" customFormat="1"/>
    <row r="2207" s="34" customFormat="1"/>
    <row r="2208" s="34" customFormat="1"/>
    <row r="2209" s="34" customFormat="1"/>
    <row r="2210" s="34" customFormat="1"/>
    <row r="2211" s="34" customFormat="1"/>
    <row r="2212" s="34" customFormat="1"/>
    <row r="2213" s="34" customFormat="1"/>
    <row r="2214" s="34" customFormat="1"/>
    <row r="2215" s="34" customFormat="1"/>
    <row r="2216" s="34" customFormat="1"/>
    <row r="2217" s="34" customFormat="1"/>
    <row r="2218" s="34" customFormat="1"/>
    <row r="2219" s="34" customFormat="1"/>
    <row r="2220" s="34" customFormat="1"/>
    <row r="2221" s="34" customFormat="1"/>
    <row r="2222" s="34" customFormat="1"/>
    <row r="2223" s="34" customFormat="1"/>
    <row r="2224" s="34" customFormat="1"/>
  </sheetData>
  <sheetProtection password="8B10" sheet="1" objects="1" scenarios="1"/>
  <mergeCells count="1">
    <mergeCell ref="C21:J21"/>
  </mergeCells>
  <phoneticPr fontId="3" type="noConversion"/>
  <pageMargins left="0.70866141732283472" right="0.70866141732283472" top="1.0236220472440944" bottom="1.0236220472440944" header="0.39370078740157483" footer="0.39370078740157483"/>
  <pageSetup paperSize="9" scale="69" orientation="landscape" r:id="rId1"/>
  <headerFooter alignWithMargins="0">
    <oddFooter>&amp;L&amp;"Frutiger 57Cn,Standard"&amp;8
Santander Consumer Bank AG
Santander-Platz 1
41061 Mönchengladbach
Tel.: +49 180 / 5556 - 499
Fax.: +49 180 / 5556 - 498</oddFooter>
  </headerFooter>
  <colBreaks count="1" manualBreakCount="1">
    <brk id="1" max="46" man="1"/>
  </col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Q2250"/>
  <sheetViews>
    <sheetView view="pageBreakPreview" zoomScale="75" zoomScaleNormal="100" zoomScaleSheetLayoutView="70" workbookViewId="0">
      <selection activeCell="B3" sqref="B3"/>
    </sheetView>
  </sheetViews>
  <sheetFormatPr defaultRowHeight="12.75"/>
  <cols>
    <col min="1" max="1" width="1.28515625" style="31" customWidth="1"/>
    <col min="2" max="2" width="26" style="31" customWidth="1"/>
    <col min="3" max="3" width="14.85546875" style="31" bestFit="1" customWidth="1"/>
    <col min="4" max="4" width="29.140625" style="31" customWidth="1"/>
    <col min="5" max="5" width="18.5703125" style="31" customWidth="1"/>
    <col min="6" max="6" width="19.5703125" style="31" customWidth="1"/>
    <col min="7" max="8" width="19" style="31" customWidth="1"/>
    <col min="9" max="9" width="9.28515625" style="31" customWidth="1"/>
    <col min="10" max="10" width="15.42578125" style="31" customWidth="1"/>
    <col min="11" max="11" width="1.28515625" style="31" customWidth="1"/>
    <col min="12" max="12" width="3.140625" style="31" customWidth="1"/>
    <col min="13" max="13" width="29.140625" style="34" customWidth="1"/>
    <col min="14" max="14" width="18.5703125" style="34" customWidth="1"/>
    <col min="15" max="15" width="19.5703125" style="34" customWidth="1"/>
    <col min="16" max="17" width="19" style="34" customWidth="1"/>
    <col min="18" max="256" width="11.42578125" style="31" customWidth="1"/>
    <col min="257" max="16384" width="9.140625" style="31"/>
  </cols>
  <sheetData>
    <row r="1" spans="1:17" ht="6" customHeight="1">
      <c r="A1" s="35"/>
      <c r="B1" s="36"/>
      <c r="C1" s="36"/>
      <c r="D1" s="36"/>
      <c r="E1" s="36"/>
      <c r="F1" s="36"/>
      <c r="G1" s="36"/>
      <c r="H1" s="36"/>
      <c r="I1" s="36"/>
      <c r="J1" s="36"/>
      <c r="K1" s="37"/>
    </row>
    <row r="2" spans="1:17" s="27" customFormat="1" ht="18">
      <c r="A2" s="5"/>
      <c r="B2" s="7" t="str">
        <f>'Cover Sheet'!B2</f>
        <v>SC Germany Auto 10-1</v>
      </c>
      <c r="C2" s="7"/>
      <c r="D2" s="108" t="s">
        <v>54</v>
      </c>
      <c r="E2" s="109"/>
      <c r="F2" s="110">
        <f>'Cover Sheet'!F2</f>
        <v>41191</v>
      </c>
      <c r="G2" s="109"/>
      <c r="H2" s="109"/>
      <c r="I2" s="109"/>
      <c r="J2" s="111"/>
      <c r="K2" s="88"/>
      <c r="M2" s="28"/>
      <c r="N2" s="34"/>
      <c r="O2" s="372"/>
      <c r="P2" s="34"/>
      <c r="Q2" s="34"/>
    </row>
    <row r="3" spans="1:17" s="27" customFormat="1" ht="18">
      <c r="A3" s="5"/>
      <c r="B3" s="7" t="str">
        <f>'Cover Sheet'!B3</f>
        <v>Monthly Investor Report</v>
      </c>
      <c r="C3" s="7"/>
      <c r="D3" s="112" t="s">
        <v>4</v>
      </c>
      <c r="E3" s="113"/>
      <c r="F3" s="114">
        <f>'Cover Sheet'!F3</f>
        <v>41197</v>
      </c>
      <c r="G3" s="113"/>
      <c r="H3" s="113"/>
      <c r="I3" s="113"/>
      <c r="J3" s="115"/>
      <c r="K3" s="90"/>
      <c r="M3" s="28"/>
      <c r="N3" s="34"/>
      <c r="O3" s="372"/>
      <c r="P3" s="34"/>
      <c r="Q3" s="34"/>
    </row>
    <row r="4" spans="1:17" s="27" customFormat="1">
      <c r="A4" s="5"/>
      <c r="B4" s="42"/>
      <c r="C4" s="12"/>
      <c r="D4" s="112" t="s">
        <v>5</v>
      </c>
      <c r="E4" s="113"/>
      <c r="F4" s="122">
        <f>'Cover Sheet'!F4</f>
        <v>27</v>
      </c>
      <c r="G4" s="113"/>
      <c r="H4" s="117"/>
      <c r="I4" s="113"/>
      <c r="J4" s="118"/>
      <c r="K4" s="88"/>
      <c r="M4" s="28"/>
      <c r="N4" s="34"/>
      <c r="O4" s="45"/>
      <c r="P4" s="34"/>
      <c r="Q4" s="28"/>
    </row>
    <row r="5" spans="1:17" s="27" customFormat="1" ht="18">
      <c r="A5" s="5"/>
      <c r="B5" s="105" t="s">
        <v>394</v>
      </c>
      <c r="C5" s="14"/>
      <c r="D5" s="112" t="s">
        <v>3</v>
      </c>
      <c r="E5" s="113"/>
      <c r="F5" s="123">
        <f>'Cover Sheet'!F5</f>
        <v>41197</v>
      </c>
      <c r="G5" s="113"/>
      <c r="H5" s="117"/>
      <c r="I5" s="113"/>
      <c r="J5" s="118"/>
      <c r="K5" s="90"/>
      <c r="M5" s="28"/>
      <c r="N5" s="34"/>
      <c r="O5" s="373"/>
      <c r="P5" s="34"/>
      <c r="Q5" s="28"/>
    </row>
    <row r="6" spans="1:17" s="27" customFormat="1" ht="15" customHeight="1">
      <c r="A6" s="5"/>
      <c r="B6" s="43"/>
      <c r="C6" s="89"/>
      <c r="D6" s="552" t="str">
        <f>'Cover Sheet'!D6</f>
        <v>Interest Period</v>
      </c>
      <c r="E6" s="114" t="s">
        <v>38</v>
      </c>
      <c r="F6" s="114">
        <f>'Cover Sheet'!F6</f>
        <v>41164</v>
      </c>
      <c r="G6" s="116" t="s">
        <v>6</v>
      </c>
      <c r="H6" s="114">
        <f>'Cover Sheet'!H6</f>
        <v>41197</v>
      </c>
      <c r="I6" s="116" t="s">
        <v>18</v>
      </c>
      <c r="J6" s="542" t="str">
        <f>'Cover Sheet'!J6</f>
        <v>33 days</v>
      </c>
      <c r="K6" s="90"/>
      <c r="M6" s="28"/>
      <c r="N6" s="45"/>
      <c r="O6" s="372"/>
      <c r="P6" s="45"/>
      <c r="Q6" s="372"/>
    </row>
    <row r="7" spans="1:17" s="27" customFormat="1">
      <c r="A7" s="5"/>
      <c r="B7" s="4"/>
      <c r="C7" s="4"/>
      <c r="D7" s="553" t="str">
        <f>'Cover Sheet'!D7</f>
        <v>Collection Period</v>
      </c>
      <c r="E7" s="121" t="s">
        <v>38</v>
      </c>
      <c r="F7" s="121" t="str">
        <f>'Cover Sheet'!F7</f>
        <v>01.09.2012</v>
      </c>
      <c r="G7" s="120" t="s">
        <v>6</v>
      </c>
      <c r="H7" s="121">
        <f>'Cover Sheet'!H7</f>
        <v>41182</v>
      </c>
      <c r="I7" s="543"/>
      <c r="J7" s="544"/>
      <c r="K7" s="90"/>
      <c r="M7" s="28"/>
      <c r="N7" s="34"/>
      <c r="O7" s="374"/>
      <c r="P7" s="45"/>
      <c r="Q7" s="372"/>
    </row>
    <row r="8" spans="1:17" s="27" customFormat="1">
      <c r="A8" s="5"/>
      <c r="B8" s="4"/>
      <c r="C8" s="4"/>
      <c r="D8" s="4"/>
      <c r="E8" s="9"/>
      <c r="F8" s="15"/>
      <c r="G8" s="9"/>
      <c r="H8" s="4"/>
      <c r="I8" s="16"/>
      <c r="J8" s="4"/>
      <c r="K8" s="90"/>
      <c r="M8" s="34"/>
      <c r="N8" s="44"/>
      <c r="O8" s="45"/>
      <c r="P8" s="44"/>
      <c r="Q8" s="34"/>
    </row>
    <row r="9" spans="1:17" s="27" customFormat="1">
      <c r="A9" s="5"/>
      <c r="K9" s="8"/>
      <c r="M9" s="34"/>
      <c r="N9" s="34"/>
      <c r="O9" s="34"/>
      <c r="P9" s="34"/>
      <c r="Q9" s="34"/>
    </row>
    <row r="10" spans="1:17" s="27" customFormat="1">
      <c r="A10" s="5"/>
      <c r="B10" s="4"/>
      <c r="C10" s="4"/>
      <c r="D10" s="4"/>
      <c r="E10" s="4"/>
      <c r="F10" s="18"/>
      <c r="G10" s="4"/>
      <c r="H10" s="4"/>
      <c r="I10" s="34"/>
      <c r="J10" s="34"/>
      <c r="K10" s="8"/>
      <c r="M10" s="34"/>
      <c r="N10" s="34"/>
      <c r="O10" s="102"/>
      <c r="P10" s="34"/>
      <c r="Q10" s="34"/>
    </row>
    <row r="11" spans="1:17" s="27" customFormat="1" ht="18">
      <c r="A11" s="5"/>
      <c r="B11" s="125"/>
      <c r="C11" s="4"/>
      <c r="D11" s="4"/>
      <c r="E11" s="4"/>
      <c r="F11" s="34"/>
      <c r="G11" s="100"/>
      <c r="H11" s="100"/>
      <c r="I11" s="34"/>
      <c r="K11" s="8"/>
      <c r="M11" s="47"/>
      <c r="N11" s="34"/>
      <c r="O11" s="34"/>
      <c r="P11" s="137"/>
      <c r="Q11" s="137"/>
    </row>
    <row r="12" spans="1:17" s="27" customFormat="1" ht="13.5" thickBot="1">
      <c r="A12" s="5"/>
      <c r="B12" s="138"/>
      <c r="C12" s="138"/>
      <c r="D12" s="132"/>
      <c r="E12" s="132"/>
      <c r="F12" s="132"/>
      <c r="G12" s="132"/>
      <c r="H12" s="132"/>
      <c r="I12" s="132"/>
      <c r="K12" s="8"/>
      <c r="M12" s="148"/>
      <c r="N12" s="148"/>
      <c r="O12" s="148"/>
      <c r="P12" s="148"/>
      <c r="Q12" s="148"/>
    </row>
    <row r="13" spans="1:17" ht="28.5">
      <c r="A13" s="40"/>
      <c r="B13" s="139"/>
      <c r="C13" s="140"/>
      <c r="D13" s="286" t="s">
        <v>93</v>
      </c>
      <c r="E13" s="287" t="s">
        <v>91</v>
      </c>
      <c r="F13" s="288" t="s">
        <v>70</v>
      </c>
      <c r="G13" s="289" t="s">
        <v>71</v>
      </c>
      <c r="H13" s="290" t="s">
        <v>72</v>
      </c>
      <c r="I13" s="132"/>
      <c r="K13" s="41"/>
      <c r="M13" s="317"/>
      <c r="N13" s="329"/>
      <c r="O13" s="327"/>
      <c r="P13" s="328"/>
      <c r="Q13" s="328"/>
    </row>
    <row r="14" spans="1:17">
      <c r="A14" s="40"/>
      <c r="B14" s="139"/>
      <c r="C14" s="140"/>
      <c r="D14" s="218" t="s">
        <v>545</v>
      </c>
      <c r="E14" s="219">
        <v>211213820.74999771</v>
      </c>
      <c r="F14" s="220">
        <v>0.97085906534637001</v>
      </c>
      <c r="G14" s="221">
        <v>40388</v>
      </c>
      <c r="H14" s="227">
        <v>0.9590387766247952</v>
      </c>
      <c r="I14" s="132"/>
      <c r="K14" s="41"/>
      <c r="M14" s="400"/>
      <c r="N14" s="401"/>
      <c r="O14" s="402"/>
      <c r="P14" s="403"/>
      <c r="Q14" s="402"/>
    </row>
    <row r="15" spans="1:17" ht="13.5" thickBot="1">
      <c r="A15" s="40"/>
      <c r="B15" s="139"/>
      <c r="C15" s="140"/>
      <c r="D15" s="222" t="s">
        <v>546</v>
      </c>
      <c r="E15" s="223">
        <v>6339713.3200000077</v>
      </c>
      <c r="F15" s="220">
        <v>2.9140934653629699E-2</v>
      </c>
      <c r="G15" s="224">
        <v>1725</v>
      </c>
      <c r="H15" s="498">
        <v>4.0961223375204803E-2</v>
      </c>
      <c r="I15" s="132"/>
      <c r="K15" s="41"/>
      <c r="M15" s="400"/>
      <c r="N15" s="401"/>
      <c r="O15" s="402"/>
      <c r="P15" s="403"/>
      <c r="Q15" s="402"/>
    </row>
    <row r="16" spans="1:17" ht="14.25" thickTop="1" thickBot="1">
      <c r="A16" s="40"/>
      <c r="B16" s="139"/>
      <c r="C16" s="140"/>
      <c r="D16" s="278" t="s">
        <v>40</v>
      </c>
      <c r="E16" s="279">
        <f>SUM(E14:E15)</f>
        <v>217553534.06999773</v>
      </c>
      <c r="F16" s="280">
        <f>SUM(F14:F15)</f>
        <v>0.99999999999999967</v>
      </c>
      <c r="G16" s="296">
        <f>SUM(G14:G15)</f>
        <v>42113</v>
      </c>
      <c r="H16" s="297">
        <f>SUM(H14:H15)</f>
        <v>1</v>
      </c>
      <c r="I16" s="132"/>
      <c r="K16" s="41"/>
      <c r="M16" s="378"/>
      <c r="N16" s="379"/>
      <c r="O16" s="341"/>
      <c r="P16" s="340"/>
      <c r="Q16" s="341"/>
    </row>
    <row r="17" spans="1:17">
      <c r="A17" s="40"/>
      <c r="B17" s="139"/>
      <c r="C17" s="140"/>
      <c r="D17" s="154"/>
      <c r="E17" s="154"/>
      <c r="F17" s="154"/>
      <c r="G17" s="154"/>
      <c r="H17" s="154"/>
      <c r="I17" s="132"/>
      <c r="K17" s="41"/>
      <c r="M17" s="142"/>
      <c r="N17" s="142"/>
      <c r="O17" s="142"/>
      <c r="P17" s="142"/>
      <c r="Q17" s="142"/>
    </row>
    <row r="18" spans="1:17">
      <c r="A18" s="40"/>
      <c r="B18" s="139"/>
      <c r="C18" s="140"/>
      <c r="D18" s="154"/>
      <c r="E18" s="146"/>
      <c r="F18" s="154"/>
      <c r="G18" s="225"/>
      <c r="H18" s="154"/>
      <c r="I18" s="132"/>
      <c r="K18" s="41"/>
      <c r="M18" s="142"/>
      <c r="N18" s="146"/>
      <c r="O18" s="142"/>
      <c r="P18" s="144"/>
      <c r="Q18" s="142"/>
    </row>
    <row r="19" spans="1:17" ht="13.5" thickBot="1">
      <c r="A19" s="40"/>
      <c r="B19" s="139"/>
      <c r="C19" s="140"/>
      <c r="D19" s="154"/>
      <c r="E19" s="154"/>
      <c r="F19" s="154"/>
      <c r="G19" s="154"/>
      <c r="H19" s="154"/>
      <c r="I19" s="173"/>
      <c r="K19" s="41"/>
      <c r="M19" s="142"/>
      <c r="N19" s="142"/>
      <c r="O19" s="142"/>
      <c r="P19" s="142"/>
      <c r="Q19" s="142"/>
    </row>
    <row r="20" spans="1:17" ht="28.5">
      <c r="A20" s="40"/>
      <c r="B20" s="139"/>
      <c r="C20" s="140"/>
      <c r="D20" s="286" t="s">
        <v>94</v>
      </c>
      <c r="E20" s="287" t="s">
        <v>91</v>
      </c>
      <c r="F20" s="288" t="s">
        <v>70</v>
      </c>
      <c r="G20" s="289" t="s">
        <v>71</v>
      </c>
      <c r="H20" s="290" t="s">
        <v>72</v>
      </c>
      <c r="I20" s="183"/>
      <c r="K20" s="41"/>
      <c r="M20" s="317"/>
      <c r="N20" s="329"/>
      <c r="O20" s="327"/>
      <c r="P20" s="328"/>
      <c r="Q20" s="328"/>
    </row>
    <row r="21" spans="1:17">
      <c r="A21" s="40"/>
      <c r="B21" s="139"/>
      <c r="C21" s="140"/>
      <c r="D21" s="226" t="s">
        <v>549</v>
      </c>
      <c r="E21" s="219">
        <v>106279473.35000043</v>
      </c>
      <c r="F21" s="220">
        <v>0.48852101531848724</v>
      </c>
      <c r="G21" s="221">
        <v>20500</v>
      </c>
      <c r="H21" s="227">
        <v>0.48678555315460786</v>
      </c>
      <c r="I21" s="148"/>
      <c r="K21" s="41"/>
      <c r="M21" s="400"/>
      <c r="N21" s="401"/>
      <c r="O21" s="402"/>
      <c r="P21" s="403"/>
      <c r="Q21" s="402"/>
    </row>
    <row r="22" spans="1:17" ht="13.5" thickBot="1">
      <c r="A22" s="40"/>
      <c r="B22" s="139"/>
      <c r="C22" s="140"/>
      <c r="D22" s="228" t="s">
        <v>550</v>
      </c>
      <c r="E22" s="223">
        <v>111274060.72000024</v>
      </c>
      <c r="F22" s="229">
        <v>0.51147898468152597</v>
      </c>
      <c r="G22" s="224">
        <v>21613</v>
      </c>
      <c r="H22" s="230">
        <v>0.51321444684539219</v>
      </c>
      <c r="I22" s="231"/>
      <c r="K22" s="41"/>
      <c r="M22" s="400"/>
      <c r="N22" s="401"/>
      <c r="O22" s="402"/>
      <c r="P22" s="403"/>
      <c r="Q22" s="402"/>
    </row>
    <row r="23" spans="1:17" ht="14.25" thickTop="1" thickBot="1">
      <c r="A23" s="40"/>
      <c r="B23" s="139"/>
      <c r="C23" s="140"/>
      <c r="D23" s="298" t="s">
        <v>40</v>
      </c>
      <c r="E23" s="279">
        <f>SUM(E21:E22)</f>
        <v>217553534.07000065</v>
      </c>
      <c r="F23" s="280">
        <f>SUM(F21:F22)</f>
        <v>1.0000000000000133</v>
      </c>
      <c r="G23" s="296">
        <f>SUM(G21:G22)</f>
        <v>42113</v>
      </c>
      <c r="H23" s="297">
        <f>SUM(H21:H22)</f>
        <v>1</v>
      </c>
      <c r="I23" s="148"/>
      <c r="K23" s="41"/>
      <c r="M23" s="378"/>
      <c r="N23" s="379"/>
      <c r="O23" s="341"/>
      <c r="P23" s="340"/>
      <c r="Q23" s="341"/>
    </row>
    <row r="24" spans="1:17">
      <c r="A24" s="40"/>
      <c r="B24" s="139"/>
      <c r="C24" s="140"/>
      <c r="D24" s="304"/>
      <c r="E24" s="305"/>
      <c r="F24" s="306"/>
      <c r="G24" s="307"/>
      <c r="H24" s="306"/>
      <c r="I24" s="148"/>
      <c r="K24" s="41"/>
      <c r="M24" s="378"/>
      <c r="N24" s="379"/>
      <c r="O24" s="341"/>
      <c r="P24" s="340"/>
      <c r="Q24" s="341"/>
    </row>
    <row r="25" spans="1:17">
      <c r="A25" s="40"/>
      <c r="B25" s="139"/>
      <c r="C25" s="140"/>
      <c r="D25" s="304"/>
      <c r="E25" s="305"/>
      <c r="F25" s="306"/>
      <c r="G25" s="307"/>
      <c r="H25" s="306"/>
      <c r="I25" s="148"/>
      <c r="K25" s="41"/>
      <c r="M25" s="378"/>
      <c r="N25" s="379"/>
      <c r="O25" s="341"/>
      <c r="P25" s="340"/>
      <c r="Q25" s="341"/>
    </row>
    <row r="26" spans="1:17" ht="13.5" thickBot="1">
      <c r="A26" s="40"/>
      <c r="B26" s="139"/>
      <c r="C26" s="140"/>
      <c r="I26" s="148"/>
      <c r="K26" s="41"/>
    </row>
    <row r="27" spans="1:17" ht="28.5">
      <c r="A27" s="40"/>
      <c r="B27" s="139"/>
      <c r="C27" s="140"/>
      <c r="D27" s="286" t="s">
        <v>302</v>
      </c>
      <c r="E27" s="287" t="s">
        <v>91</v>
      </c>
      <c r="F27" s="288" t="s">
        <v>70</v>
      </c>
      <c r="G27" s="289" t="s">
        <v>71</v>
      </c>
      <c r="H27" s="290" t="s">
        <v>72</v>
      </c>
      <c r="I27" s="232"/>
      <c r="K27" s="41"/>
      <c r="M27" s="317"/>
      <c r="N27" s="329"/>
      <c r="O27" s="327"/>
      <c r="P27" s="328"/>
      <c r="Q27" s="328"/>
    </row>
    <row r="28" spans="1:17">
      <c r="A28" s="40"/>
      <c r="B28" s="139"/>
      <c r="C28" s="140"/>
      <c r="D28" s="226" t="s">
        <v>547</v>
      </c>
      <c r="E28" s="219">
        <v>153630013.24999908</v>
      </c>
      <c r="F28" s="220">
        <v>0.70617107603762785</v>
      </c>
      <c r="G28" s="221">
        <v>31438</v>
      </c>
      <c r="H28" s="227">
        <v>0.74651532780851515</v>
      </c>
      <c r="I28" s="233"/>
      <c r="K28" s="41"/>
      <c r="M28" s="400"/>
      <c r="N28" s="401"/>
      <c r="O28" s="402"/>
      <c r="P28" s="403"/>
      <c r="Q28" s="402"/>
    </row>
    <row r="29" spans="1:17" ht="13.5" thickBot="1">
      <c r="A29" s="40"/>
      <c r="B29" s="139"/>
      <c r="C29" s="140"/>
      <c r="D29" s="228" t="s">
        <v>548</v>
      </c>
      <c r="E29" s="223">
        <v>63923520.819999844</v>
      </c>
      <c r="F29" s="229">
        <v>0.29382892396237731</v>
      </c>
      <c r="G29" s="224">
        <v>10675</v>
      </c>
      <c r="H29" s="230">
        <v>0.25348467219148479</v>
      </c>
      <c r="I29" s="148"/>
      <c r="K29" s="41"/>
      <c r="M29" s="400"/>
      <c r="N29" s="401"/>
      <c r="O29" s="402"/>
      <c r="P29" s="403"/>
      <c r="Q29" s="402"/>
    </row>
    <row r="30" spans="1:17" ht="14.25" thickTop="1" thickBot="1">
      <c r="A30" s="40"/>
      <c r="B30" s="139"/>
      <c r="C30" s="140"/>
      <c r="D30" s="298" t="s">
        <v>40</v>
      </c>
      <c r="E30" s="279">
        <f>SUM(E28:E29)</f>
        <v>217553534.06999892</v>
      </c>
      <c r="F30" s="280">
        <f>SUM(F28:F29)</f>
        <v>1.0000000000000051</v>
      </c>
      <c r="G30" s="296">
        <f>SUM(G28:G29)</f>
        <v>42113</v>
      </c>
      <c r="H30" s="297">
        <f>SUM(H28:H29)</f>
        <v>1</v>
      </c>
      <c r="I30" s="132"/>
      <c r="J30" s="102"/>
      <c r="K30" s="41"/>
      <c r="M30" s="378"/>
      <c r="N30" s="379"/>
      <c r="O30" s="341"/>
      <c r="P30" s="340"/>
      <c r="Q30" s="341"/>
    </row>
    <row r="31" spans="1:17">
      <c r="A31" s="40"/>
      <c r="B31" s="139"/>
      <c r="C31" s="140"/>
      <c r="D31" s="132"/>
      <c r="E31" s="132"/>
      <c r="F31" s="132"/>
      <c r="G31" s="132"/>
      <c r="H31" s="154"/>
      <c r="I31" s="132"/>
      <c r="J31" s="102"/>
      <c r="K31" s="41"/>
      <c r="M31" s="148"/>
      <c r="N31" s="148"/>
      <c r="O31" s="148"/>
      <c r="P31" s="148"/>
      <c r="Q31" s="142"/>
    </row>
    <row r="32" spans="1:17">
      <c r="A32" s="40"/>
      <c r="B32" s="139"/>
      <c r="C32" s="140"/>
      <c r="D32" s="132"/>
      <c r="E32" s="132"/>
      <c r="F32" s="132"/>
      <c r="G32" s="132"/>
      <c r="H32" s="154"/>
      <c r="I32" s="132"/>
      <c r="J32" s="102"/>
      <c r="K32" s="41"/>
      <c r="M32" s="148"/>
      <c r="N32" s="148"/>
      <c r="O32" s="148"/>
      <c r="P32" s="148"/>
      <c r="Q32" s="142"/>
    </row>
    <row r="33" spans="1:17" ht="13.5" thickBot="1">
      <c r="A33" s="40"/>
      <c r="B33" s="139"/>
      <c r="C33" s="140"/>
      <c r="D33" s="132"/>
      <c r="E33" s="132"/>
      <c r="F33" s="132"/>
      <c r="G33" s="132"/>
      <c r="H33" s="154"/>
      <c r="I33" s="132"/>
      <c r="J33" s="102"/>
      <c r="K33" s="41"/>
      <c r="M33" s="148"/>
      <c r="N33" s="148"/>
      <c r="O33" s="148"/>
      <c r="P33" s="148"/>
      <c r="Q33" s="142"/>
    </row>
    <row r="34" spans="1:17" ht="28.5">
      <c r="A34" s="40"/>
      <c r="B34" s="139"/>
      <c r="C34" s="140"/>
      <c r="D34" s="473" t="s">
        <v>160</v>
      </c>
      <c r="E34" s="299" t="s">
        <v>79</v>
      </c>
      <c r="F34" s="300" t="s">
        <v>80</v>
      </c>
      <c r="G34" s="154"/>
      <c r="H34"/>
      <c r="I34" s="132"/>
      <c r="J34" s="102"/>
      <c r="K34" s="41"/>
      <c r="M34" s="404"/>
      <c r="N34" s="405"/>
      <c r="O34" s="406"/>
      <c r="P34" s="142"/>
      <c r="Q34" s="177"/>
    </row>
    <row r="35" spans="1:17">
      <c r="A35" s="40"/>
      <c r="B35" s="139"/>
      <c r="C35" s="140"/>
      <c r="D35" s="234" t="s">
        <v>81</v>
      </c>
      <c r="E35" s="235">
        <v>3345.3494004226727</v>
      </c>
      <c r="F35" s="236">
        <v>4481.2869552770535</v>
      </c>
      <c r="G35" s="132"/>
      <c r="H35"/>
      <c r="I35" s="132"/>
      <c r="J35" s="102"/>
      <c r="K35" s="41"/>
      <c r="M35" s="142"/>
      <c r="N35" s="134"/>
      <c r="O35" s="407"/>
      <c r="P35" s="148"/>
      <c r="Q35" s="177"/>
    </row>
    <row r="36" spans="1:17" ht="13.5" thickBot="1">
      <c r="A36" s="40"/>
      <c r="B36" s="139"/>
      <c r="C36" s="140"/>
      <c r="D36" s="237" t="s">
        <v>82</v>
      </c>
      <c r="E36" s="238">
        <v>13750.087388217411</v>
      </c>
      <c r="F36" s="239">
        <v>14606.89132960112</v>
      </c>
      <c r="G36" s="132"/>
      <c r="H36"/>
      <c r="I36" s="132"/>
      <c r="J36" s="102"/>
      <c r="K36" s="41"/>
      <c r="M36" s="142"/>
      <c r="N36" s="134"/>
      <c r="O36" s="407"/>
      <c r="P36" s="148"/>
      <c r="Q36" s="177"/>
    </row>
    <row r="37" spans="1:17" ht="14.25" thickTop="1" thickBot="1">
      <c r="A37" s="40"/>
      <c r="B37" s="139"/>
      <c r="C37" s="140"/>
      <c r="D37" s="301" t="s">
        <v>158</v>
      </c>
      <c r="E37" s="587">
        <f>E35/E36</f>
        <v>0.24329659193943279</v>
      </c>
      <c r="F37" s="302">
        <f>F35/F36</f>
        <v>0.30679265383426568</v>
      </c>
      <c r="G37" s="303"/>
      <c r="H37" s="303"/>
      <c r="I37"/>
      <c r="J37" s="34"/>
      <c r="K37" s="41"/>
      <c r="M37" s="378"/>
      <c r="N37" s="334"/>
      <c r="O37" s="335"/>
      <c r="P37" s="408"/>
      <c r="Q37" s="408"/>
    </row>
    <row r="38" spans="1:17">
      <c r="A38" s="40"/>
      <c r="B38" s="139"/>
      <c r="C38" s="140"/>
      <c r="D38" s="304"/>
      <c r="E38" s="334"/>
      <c r="F38" s="335"/>
      <c r="G38" s="303"/>
      <c r="H38" s="303"/>
      <c r="I38"/>
      <c r="J38" s="34"/>
      <c r="K38" s="41"/>
      <c r="M38" s="378"/>
      <c r="N38" s="334"/>
      <c r="O38" s="335"/>
      <c r="P38" s="408"/>
      <c r="Q38" s="408"/>
    </row>
    <row r="39" spans="1:17">
      <c r="A39" s="40"/>
      <c r="B39" s="139"/>
      <c r="C39" s="140"/>
      <c r="D39" s="304"/>
      <c r="E39" s="334"/>
      <c r="F39" s="335"/>
      <c r="G39" s="303"/>
      <c r="H39" s="303"/>
      <c r="I39"/>
      <c r="J39" s="34"/>
      <c r="K39" s="41"/>
      <c r="M39" s="378"/>
      <c r="N39" s="334"/>
      <c r="O39" s="335"/>
      <c r="P39" s="408"/>
      <c r="Q39" s="408"/>
    </row>
    <row r="40" spans="1:17">
      <c r="A40" s="40"/>
      <c r="B40" s="139"/>
      <c r="C40" s="140"/>
      <c r="D40" s="304"/>
      <c r="E40" s="334"/>
      <c r="F40" s="335"/>
      <c r="G40" s="303"/>
      <c r="H40" s="303"/>
      <c r="I40"/>
      <c r="J40" s="34"/>
      <c r="K40" s="41"/>
      <c r="M40" s="378"/>
      <c r="N40" s="334"/>
      <c r="O40" s="335"/>
      <c r="P40" s="408"/>
      <c r="Q40" s="408"/>
    </row>
    <row r="41" spans="1:17">
      <c r="A41" s="40"/>
      <c r="B41" s="139"/>
      <c r="C41" s="140"/>
      <c r="D41" s="304"/>
      <c r="E41" s="334"/>
      <c r="F41" s="335"/>
      <c r="G41" s="303"/>
      <c r="H41" s="303"/>
      <c r="I41"/>
      <c r="J41" s="34"/>
      <c r="K41" s="41"/>
      <c r="M41" s="378"/>
      <c r="N41" s="334"/>
      <c r="O41" s="335"/>
      <c r="P41" s="408"/>
      <c r="Q41" s="408"/>
    </row>
    <row r="42" spans="1:17">
      <c r="A42" s="40"/>
      <c r="B42" s="139"/>
      <c r="C42" s="140"/>
      <c r="D42" s="304"/>
      <c r="E42" s="334"/>
      <c r="F42" s="335"/>
      <c r="G42" s="303"/>
      <c r="H42" s="303"/>
      <c r="I42"/>
      <c r="J42" s="34"/>
      <c r="K42" s="41"/>
      <c r="M42" s="378"/>
      <c r="N42" s="334"/>
      <c r="O42" s="335"/>
      <c r="P42" s="408"/>
      <c r="Q42" s="408"/>
    </row>
    <row r="43" spans="1:17">
      <c r="A43" s="40"/>
      <c r="B43" s="139"/>
      <c r="C43" s="140"/>
      <c r="D43" s="304"/>
      <c r="E43" s="334"/>
      <c r="F43" s="335"/>
      <c r="G43" s="303"/>
      <c r="H43" s="303"/>
      <c r="I43"/>
      <c r="J43" s="34"/>
      <c r="K43" s="41"/>
      <c r="M43" s="378"/>
      <c r="N43" s="334"/>
      <c r="O43" s="335"/>
      <c r="P43" s="408"/>
      <c r="Q43" s="408"/>
    </row>
    <row r="44" spans="1:17">
      <c r="A44" s="40"/>
      <c r="B44" s="139"/>
      <c r="C44" s="140"/>
      <c r="D44" s="304"/>
      <c r="E44" s="334"/>
      <c r="F44" s="335"/>
      <c r="G44" s="303"/>
      <c r="H44" s="303"/>
      <c r="I44"/>
      <c r="J44" s="34"/>
      <c r="K44" s="41"/>
      <c r="M44" s="378"/>
      <c r="N44" s="334"/>
      <c r="O44" s="335"/>
      <c r="P44" s="408"/>
      <c r="Q44" s="408"/>
    </row>
    <row r="45" spans="1:17">
      <c r="A45" s="40"/>
      <c r="B45" s="139"/>
      <c r="C45" s="140"/>
      <c r="D45" s="304"/>
      <c r="E45" s="334"/>
      <c r="F45" s="335"/>
      <c r="G45" s="303"/>
      <c r="H45" s="303"/>
      <c r="I45"/>
      <c r="J45" s="34"/>
      <c r="K45" s="41"/>
      <c r="M45" s="378"/>
      <c r="N45" s="334"/>
      <c r="O45" s="335"/>
      <c r="P45" s="408"/>
      <c r="Q45" s="408"/>
    </row>
    <row r="46" spans="1:17">
      <c r="A46" s="40"/>
      <c r="B46" s="139"/>
      <c r="C46" s="140"/>
      <c r="D46" s="304"/>
      <c r="E46" s="334"/>
      <c r="F46" s="335"/>
      <c r="G46" s="303"/>
      <c r="H46" s="303"/>
      <c r="I46"/>
      <c r="J46" s="34"/>
      <c r="K46" s="41"/>
      <c r="M46" s="378"/>
      <c r="N46" s="334"/>
      <c r="O46" s="335"/>
      <c r="P46" s="408"/>
      <c r="Q46" s="408"/>
    </row>
    <row r="47" spans="1:17">
      <c r="A47" s="60"/>
      <c r="B47" s="167"/>
      <c r="C47" s="168"/>
      <c r="D47" s="169"/>
      <c r="E47" s="170"/>
      <c r="F47" s="171"/>
      <c r="G47" s="172"/>
      <c r="H47" s="171"/>
      <c r="I47" s="126"/>
      <c r="J47" s="61"/>
      <c r="K47" s="79"/>
      <c r="M47" s="156"/>
      <c r="N47" s="157"/>
      <c r="O47" s="141"/>
      <c r="P47" s="158"/>
      <c r="Q47" s="141"/>
    </row>
    <row r="48" spans="1:17">
      <c r="A48" s="36"/>
      <c r="B48" s="139"/>
      <c r="C48" s="140"/>
      <c r="D48" s="156"/>
      <c r="E48" s="157"/>
      <c r="F48" s="141"/>
      <c r="G48" s="158"/>
      <c r="H48" s="141"/>
      <c r="I48" s="102"/>
      <c r="J48" s="34"/>
      <c r="K48" s="34"/>
      <c r="L48" s="34"/>
      <c r="M48" s="156"/>
      <c r="N48" s="157"/>
      <c r="O48" s="141"/>
      <c r="P48" s="158"/>
      <c r="Q48" s="141"/>
    </row>
    <row r="49" spans="2:17" s="34" customFormat="1">
      <c r="B49" s="139"/>
      <c r="C49" s="140"/>
      <c r="D49" s="156"/>
      <c r="E49" s="157"/>
      <c r="F49" s="141"/>
      <c r="G49" s="158"/>
      <c r="H49" s="141"/>
      <c r="I49" s="102"/>
      <c r="M49" s="156"/>
      <c r="N49" s="157"/>
      <c r="O49" s="141"/>
      <c r="P49" s="158"/>
      <c r="Q49" s="141"/>
    </row>
    <row r="50" spans="2:17" s="34" customFormat="1">
      <c r="B50" s="139"/>
      <c r="C50" s="140"/>
      <c r="D50" s="156"/>
      <c r="E50" s="157"/>
      <c r="F50" s="141"/>
      <c r="G50" s="158"/>
      <c r="H50" s="141"/>
      <c r="I50" s="102"/>
      <c r="M50" s="156"/>
      <c r="N50" s="157"/>
      <c r="O50" s="141"/>
      <c r="P50" s="158"/>
      <c r="Q50" s="141"/>
    </row>
    <row r="51" spans="2:17" s="4" customFormat="1" ht="15" customHeight="1">
      <c r="B51" s="139"/>
      <c r="C51" s="140"/>
      <c r="D51" s="156"/>
      <c r="E51" s="157"/>
      <c r="F51" s="141"/>
      <c r="G51" s="158"/>
      <c r="H51" s="141"/>
      <c r="I51" s="18"/>
      <c r="M51" s="156"/>
      <c r="N51" s="157"/>
      <c r="O51" s="141"/>
      <c r="P51" s="158"/>
      <c r="Q51" s="141"/>
    </row>
    <row r="52" spans="2:17" s="4" customFormat="1">
      <c r="B52" s="139"/>
      <c r="C52" s="140"/>
      <c r="D52" s="156"/>
      <c r="E52" s="157"/>
      <c r="F52" s="141"/>
      <c r="G52" s="158"/>
      <c r="H52" s="141"/>
      <c r="I52" s="18"/>
      <c r="M52" s="156"/>
      <c r="N52" s="157"/>
      <c r="O52" s="141"/>
      <c r="P52" s="158"/>
      <c r="Q52" s="141"/>
    </row>
    <row r="53" spans="2:17" s="34" customFormat="1">
      <c r="B53" s="139"/>
      <c r="C53" s="140"/>
      <c r="D53" s="156"/>
      <c r="E53" s="157"/>
      <c r="F53" s="141"/>
      <c r="G53" s="158"/>
      <c r="H53" s="141"/>
      <c r="I53" s="102"/>
      <c r="M53" s="156"/>
      <c r="N53" s="157"/>
      <c r="O53" s="141"/>
      <c r="P53" s="158"/>
      <c r="Q53" s="141"/>
    </row>
    <row r="54" spans="2:17" s="34" customFormat="1">
      <c r="B54" s="139"/>
      <c r="C54" s="140"/>
      <c r="D54" s="156"/>
      <c r="E54" s="157"/>
      <c r="F54" s="141"/>
      <c r="G54" s="158"/>
      <c r="H54" s="141"/>
      <c r="I54" s="102"/>
      <c r="M54" s="156"/>
      <c r="N54" s="157"/>
      <c r="O54" s="141"/>
      <c r="P54" s="158"/>
      <c r="Q54" s="141"/>
    </row>
    <row r="55" spans="2:17" s="34" customFormat="1">
      <c r="B55" s="139"/>
      <c r="C55" s="140"/>
      <c r="D55" s="156"/>
      <c r="E55" s="157"/>
      <c r="F55" s="141"/>
      <c r="G55" s="158"/>
      <c r="H55" s="141"/>
      <c r="I55" s="102"/>
      <c r="M55" s="156"/>
      <c r="N55" s="157"/>
      <c r="O55" s="141"/>
      <c r="P55" s="158"/>
      <c r="Q55" s="141"/>
    </row>
    <row r="56" spans="2:17" s="34" customFormat="1">
      <c r="B56" s="139"/>
      <c r="C56" s="140"/>
      <c r="D56" s="156"/>
      <c r="E56" s="157"/>
      <c r="F56" s="141"/>
      <c r="G56" s="158"/>
      <c r="H56" s="141"/>
      <c r="I56" s="102"/>
      <c r="M56" s="156"/>
      <c r="N56" s="157"/>
      <c r="O56" s="141"/>
      <c r="P56" s="158"/>
      <c r="Q56" s="141"/>
    </row>
    <row r="57" spans="2:17" s="34" customFormat="1">
      <c r="B57" s="139"/>
      <c r="C57" s="140"/>
      <c r="D57" s="156"/>
      <c r="E57" s="157"/>
      <c r="F57" s="141"/>
      <c r="G57" s="158"/>
      <c r="H57" s="141"/>
      <c r="I57" s="102"/>
      <c r="M57" s="156"/>
      <c r="N57" s="157"/>
      <c r="O57" s="141"/>
      <c r="P57" s="158"/>
      <c r="Q57" s="141"/>
    </row>
    <row r="58" spans="2:17" s="34" customFormat="1">
      <c r="B58" s="139"/>
      <c r="C58" s="140"/>
      <c r="D58" s="156"/>
      <c r="E58" s="157"/>
      <c r="F58" s="141"/>
      <c r="G58" s="158"/>
      <c r="H58" s="141"/>
      <c r="I58" s="102"/>
      <c r="M58" s="156"/>
      <c r="N58" s="157"/>
      <c r="O58" s="141"/>
      <c r="P58" s="158"/>
      <c r="Q58" s="141"/>
    </row>
    <row r="59" spans="2:17" s="34" customFormat="1">
      <c r="B59" s="139"/>
      <c r="C59" s="140"/>
      <c r="D59" s="156"/>
      <c r="E59" s="157"/>
      <c r="F59" s="141"/>
      <c r="G59" s="158"/>
      <c r="H59" s="141"/>
      <c r="I59" s="102"/>
      <c r="M59" s="156"/>
      <c r="N59" s="157"/>
      <c r="O59" s="141"/>
      <c r="P59" s="158"/>
      <c r="Q59" s="141"/>
    </row>
    <row r="60" spans="2:17" s="34" customFormat="1">
      <c r="B60" s="139"/>
      <c r="C60" s="140"/>
      <c r="D60" s="156"/>
      <c r="E60" s="157"/>
      <c r="F60" s="141"/>
      <c r="G60" s="158"/>
      <c r="H60" s="141"/>
      <c r="I60" s="102"/>
      <c r="M60" s="156"/>
      <c r="N60" s="157"/>
      <c r="O60" s="141"/>
      <c r="P60" s="158"/>
      <c r="Q60" s="141"/>
    </row>
    <row r="61" spans="2:17" s="34" customFormat="1">
      <c r="B61" s="139"/>
      <c r="C61" s="140"/>
      <c r="D61" s="156"/>
      <c r="E61" s="157"/>
      <c r="F61" s="141"/>
      <c r="G61" s="158"/>
      <c r="H61" s="141"/>
      <c r="I61" s="102"/>
      <c r="M61" s="156"/>
      <c r="N61" s="157"/>
      <c r="O61" s="141"/>
      <c r="P61" s="158"/>
      <c r="Q61" s="141"/>
    </row>
    <row r="62" spans="2:17" s="34" customFormat="1">
      <c r="B62" s="139"/>
      <c r="C62" s="140"/>
      <c r="D62" s="156"/>
      <c r="E62" s="157"/>
      <c r="F62" s="141"/>
      <c r="G62" s="158"/>
      <c r="H62" s="141"/>
      <c r="I62" s="102"/>
      <c r="M62" s="156"/>
      <c r="N62" s="157"/>
      <c r="O62" s="141"/>
      <c r="P62" s="158"/>
      <c r="Q62" s="141"/>
    </row>
    <row r="63" spans="2:17" s="34" customFormat="1">
      <c r="B63" s="139"/>
      <c r="C63" s="140"/>
      <c r="D63" s="156"/>
      <c r="E63" s="157"/>
      <c r="F63" s="141"/>
      <c r="G63" s="158"/>
      <c r="H63" s="141"/>
      <c r="I63" s="102"/>
      <c r="M63" s="156"/>
      <c r="N63" s="157"/>
      <c r="O63" s="141"/>
      <c r="P63" s="158"/>
      <c r="Q63" s="141"/>
    </row>
    <row r="64" spans="2:17" s="34" customFormat="1">
      <c r="B64" s="139"/>
      <c r="C64" s="140"/>
      <c r="D64" s="156"/>
      <c r="E64" s="157"/>
      <c r="F64" s="141"/>
      <c r="G64" s="158"/>
      <c r="H64" s="141"/>
      <c r="I64" s="102"/>
      <c r="M64" s="156"/>
      <c r="N64" s="157"/>
      <c r="O64" s="141"/>
      <c r="P64" s="158"/>
      <c r="Q64" s="141"/>
    </row>
    <row r="65" spans="2:17" s="34" customFormat="1">
      <c r="B65" s="139"/>
      <c r="C65" s="140"/>
      <c r="D65" s="156"/>
      <c r="E65" s="157"/>
      <c r="F65" s="141"/>
      <c r="G65" s="158"/>
      <c r="H65" s="141"/>
      <c r="I65" s="102"/>
      <c r="M65" s="156"/>
      <c r="N65" s="157"/>
      <c r="O65" s="141"/>
      <c r="P65" s="158"/>
      <c r="Q65" s="141"/>
    </row>
    <row r="66" spans="2:17" s="34" customFormat="1">
      <c r="B66" s="139"/>
      <c r="C66" s="140"/>
      <c r="D66" s="156"/>
      <c r="E66" s="157"/>
      <c r="F66" s="141"/>
      <c r="G66" s="158"/>
      <c r="H66" s="141"/>
      <c r="I66" s="102"/>
      <c r="M66" s="156"/>
      <c r="N66" s="157"/>
      <c r="O66" s="141"/>
      <c r="P66" s="158"/>
      <c r="Q66" s="141"/>
    </row>
    <row r="67" spans="2:17" s="34" customFormat="1">
      <c r="B67" s="139"/>
      <c r="C67" s="140"/>
      <c r="D67" s="156"/>
      <c r="E67" s="157"/>
      <c r="F67" s="141"/>
      <c r="G67" s="158"/>
      <c r="H67" s="141"/>
      <c r="I67" s="102"/>
      <c r="M67" s="156"/>
      <c r="N67" s="157"/>
      <c r="O67" s="141"/>
      <c r="P67" s="158"/>
      <c r="Q67" s="141"/>
    </row>
    <row r="68" spans="2:17" s="34" customFormat="1">
      <c r="B68" s="139"/>
      <c r="C68" s="140"/>
      <c r="D68" s="156"/>
      <c r="E68" s="157"/>
      <c r="F68" s="141"/>
      <c r="G68" s="158"/>
      <c r="H68" s="141"/>
      <c r="I68" s="102"/>
      <c r="M68" s="156"/>
      <c r="N68" s="157"/>
      <c r="O68" s="141"/>
      <c r="P68" s="158"/>
      <c r="Q68" s="141"/>
    </row>
    <row r="69" spans="2:17" s="34" customFormat="1">
      <c r="B69" s="139"/>
      <c r="C69" s="140"/>
      <c r="D69" s="156"/>
      <c r="E69" s="157"/>
      <c r="F69" s="141"/>
      <c r="G69" s="158"/>
      <c r="H69" s="141"/>
      <c r="I69" s="102"/>
      <c r="M69" s="156"/>
      <c r="N69" s="157"/>
      <c r="O69" s="141"/>
      <c r="P69" s="158"/>
      <c r="Q69" s="141"/>
    </row>
    <row r="70" spans="2:17" s="34" customFormat="1">
      <c r="B70" s="139"/>
      <c r="C70" s="140"/>
      <c r="D70" s="156"/>
      <c r="E70" s="157"/>
      <c r="F70" s="141"/>
      <c r="G70" s="158"/>
      <c r="H70" s="141"/>
      <c r="I70" s="102"/>
      <c r="M70" s="156"/>
      <c r="N70" s="157"/>
      <c r="O70" s="141"/>
      <c r="P70" s="158"/>
      <c r="Q70" s="141"/>
    </row>
    <row r="71" spans="2:17" s="34" customFormat="1">
      <c r="B71" s="139"/>
      <c r="C71" s="140"/>
      <c r="D71" s="156"/>
      <c r="E71" s="157"/>
      <c r="F71" s="141"/>
      <c r="G71" s="158"/>
      <c r="H71" s="141"/>
      <c r="I71" s="102"/>
      <c r="M71" s="156"/>
      <c r="N71" s="157"/>
      <c r="O71" s="141"/>
      <c r="P71" s="158"/>
      <c r="Q71" s="141"/>
    </row>
    <row r="72" spans="2:17" s="34" customFormat="1">
      <c r="B72" s="139"/>
      <c r="C72" s="140"/>
      <c r="D72" s="156"/>
      <c r="E72" s="157"/>
      <c r="F72" s="141"/>
      <c r="G72" s="158"/>
      <c r="H72" s="141"/>
      <c r="I72" s="102"/>
      <c r="M72" s="156"/>
      <c r="N72" s="157"/>
      <c r="O72" s="141"/>
      <c r="P72" s="158"/>
      <c r="Q72" s="141"/>
    </row>
    <row r="73" spans="2:17" s="34" customFormat="1">
      <c r="B73" s="139"/>
      <c r="C73" s="140"/>
      <c r="D73" s="156"/>
      <c r="E73" s="157"/>
      <c r="F73" s="141"/>
      <c r="G73" s="158"/>
      <c r="H73" s="141"/>
      <c r="I73" s="102"/>
      <c r="M73" s="156"/>
      <c r="N73" s="157"/>
      <c r="O73" s="141"/>
      <c r="P73" s="158"/>
      <c r="Q73" s="141"/>
    </row>
    <row r="74" spans="2:17" s="34" customFormat="1">
      <c r="B74" s="139"/>
      <c r="C74" s="140"/>
      <c r="D74" s="156"/>
      <c r="E74" s="157"/>
      <c r="F74" s="141"/>
      <c r="G74" s="158"/>
      <c r="H74" s="141"/>
      <c r="I74" s="102"/>
      <c r="M74" s="156"/>
      <c r="N74" s="157"/>
      <c r="O74" s="141"/>
      <c r="P74" s="158"/>
      <c r="Q74" s="141"/>
    </row>
    <row r="75" spans="2:17" s="34" customFormat="1">
      <c r="B75" s="139"/>
      <c r="C75" s="140"/>
      <c r="D75" s="156"/>
      <c r="E75" s="157"/>
      <c r="F75" s="141"/>
      <c r="G75" s="158"/>
      <c r="H75" s="141"/>
      <c r="I75" s="102"/>
      <c r="M75" s="156"/>
      <c r="N75" s="157"/>
      <c r="O75" s="141"/>
      <c r="P75" s="158"/>
      <c r="Q75" s="141"/>
    </row>
    <row r="76" spans="2:17" s="34" customFormat="1">
      <c r="B76" s="139"/>
      <c r="C76" s="140"/>
      <c r="D76" s="156"/>
      <c r="E76" s="157"/>
      <c r="F76" s="141"/>
      <c r="G76" s="158"/>
      <c r="H76" s="141"/>
      <c r="I76" s="102"/>
      <c r="M76" s="156"/>
      <c r="N76" s="157"/>
      <c r="O76" s="141"/>
      <c r="P76" s="158"/>
      <c r="Q76" s="141"/>
    </row>
    <row r="77" spans="2:17" s="34" customFormat="1">
      <c r="B77" s="139"/>
      <c r="C77" s="140"/>
      <c r="D77" s="156"/>
      <c r="E77" s="157"/>
      <c r="F77" s="141"/>
      <c r="G77" s="158"/>
      <c r="H77" s="141"/>
      <c r="I77" s="102"/>
      <c r="M77" s="156"/>
      <c r="N77" s="157"/>
      <c r="O77" s="141"/>
      <c r="P77" s="158"/>
      <c r="Q77" s="141"/>
    </row>
    <row r="78" spans="2:17" s="34" customFormat="1">
      <c r="B78" s="139"/>
      <c r="C78" s="140"/>
      <c r="D78" s="156"/>
      <c r="E78" s="157"/>
      <c r="F78" s="141"/>
      <c r="G78" s="158"/>
      <c r="H78" s="141"/>
      <c r="I78" s="102"/>
      <c r="M78" s="156"/>
      <c r="N78" s="157"/>
      <c r="O78" s="141"/>
      <c r="P78" s="158"/>
      <c r="Q78" s="141"/>
    </row>
    <row r="79" spans="2:17" s="34" customFormat="1">
      <c r="B79" s="139"/>
      <c r="C79" s="140"/>
      <c r="D79" s="156"/>
      <c r="E79" s="157"/>
      <c r="F79" s="141"/>
      <c r="G79" s="158"/>
      <c r="H79" s="141"/>
      <c r="I79" s="102"/>
      <c r="M79" s="156"/>
      <c r="N79" s="157"/>
      <c r="O79" s="141"/>
      <c r="P79" s="158"/>
      <c r="Q79" s="141"/>
    </row>
    <row r="80" spans="2:17" s="34" customFormat="1">
      <c r="B80" s="139"/>
      <c r="C80" s="140"/>
      <c r="D80" s="156"/>
      <c r="E80" s="157"/>
      <c r="F80" s="141"/>
      <c r="G80" s="158"/>
      <c r="H80" s="141"/>
      <c r="I80" s="102"/>
      <c r="M80" s="156"/>
      <c r="N80" s="157"/>
      <c r="O80" s="141"/>
      <c r="P80" s="158"/>
      <c r="Q80" s="141"/>
    </row>
    <row r="81" spans="2:17" s="34" customFormat="1">
      <c r="B81" s="139"/>
      <c r="C81" s="140"/>
      <c r="D81" s="142"/>
      <c r="E81" s="134"/>
      <c r="F81" s="143"/>
      <c r="G81" s="144"/>
      <c r="H81" s="143"/>
      <c r="I81" s="102"/>
      <c r="M81" s="142"/>
      <c r="N81" s="134"/>
      <c r="O81" s="143"/>
      <c r="P81" s="144"/>
      <c r="Q81" s="143"/>
    </row>
    <row r="82" spans="2:17" s="34" customFormat="1">
      <c r="B82" s="139"/>
      <c r="C82" s="140"/>
      <c r="D82" s="142"/>
      <c r="E82" s="142"/>
      <c r="F82" s="142"/>
      <c r="G82" s="142"/>
      <c r="H82" s="142"/>
      <c r="I82" s="102"/>
      <c r="M82" s="142"/>
      <c r="N82" s="142"/>
      <c r="O82" s="142"/>
      <c r="P82" s="142"/>
      <c r="Q82" s="142"/>
    </row>
    <row r="83" spans="2:17" s="34" customFormat="1">
      <c r="B83" s="139"/>
      <c r="C83" s="140"/>
      <c r="D83" s="142"/>
      <c r="E83" s="142"/>
      <c r="F83" s="142"/>
      <c r="G83" s="142"/>
      <c r="H83" s="142"/>
      <c r="I83" s="102"/>
      <c r="M83" s="142"/>
      <c r="N83" s="142"/>
      <c r="O83" s="142"/>
      <c r="P83" s="142"/>
      <c r="Q83" s="142"/>
    </row>
    <row r="84" spans="2:17" s="34" customFormat="1">
      <c r="B84" s="139"/>
      <c r="C84" s="140"/>
      <c r="D84" s="145"/>
      <c r="E84" s="146"/>
      <c r="F84" s="142"/>
      <c r="G84" s="142"/>
      <c r="H84" s="142"/>
      <c r="I84" s="102"/>
      <c r="M84" s="145"/>
      <c r="N84" s="146"/>
      <c r="O84" s="142"/>
      <c r="P84" s="142"/>
      <c r="Q84" s="142"/>
    </row>
    <row r="85" spans="2:17" s="34" customFormat="1">
      <c r="B85" s="139"/>
      <c r="C85" s="140"/>
      <c r="D85" s="134"/>
      <c r="E85" s="146"/>
      <c r="F85" s="142"/>
      <c r="G85" s="142"/>
      <c r="H85" s="142"/>
      <c r="I85" s="102"/>
      <c r="M85" s="134"/>
      <c r="N85" s="146"/>
      <c r="O85" s="142"/>
      <c r="P85" s="142"/>
      <c r="Q85" s="142"/>
    </row>
    <row r="86" spans="2:17" s="34" customFormat="1">
      <c r="B86" s="139"/>
      <c r="C86" s="140"/>
      <c r="D86" s="142"/>
      <c r="E86" s="146"/>
      <c r="F86" s="142"/>
      <c r="G86" s="142"/>
      <c r="H86" s="142"/>
      <c r="I86" s="102"/>
      <c r="M86" s="142"/>
      <c r="N86" s="146"/>
      <c r="O86" s="142"/>
      <c r="P86" s="142"/>
      <c r="Q86" s="142"/>
    </row>
    <row r="87" spans="2:17" s="34" customFormat="1" ht="14.25">
      <c r="B87" s="142"/>
      <c r="C87" s="134"/>
      <c r="D87" s="150"/>
      <c r="E87" s="150"/>
      <c r="F87" s="150"/>
      <c r="G87" s="150"/>
      <c r="H87" s="150"/>
      <c r="I87" s="102"/>
      <c r="M87" s="150"/>
      <c r="N87" s="150"/>
      <c r="O87" s="150"/>
      <c r="P87" s="150"/>
      <c r="Q87" s="150"/>
    </row>
    <row r="88" spans="2:17" s="34" customFormat="1" ht="14.25">
      <c r="B88" s="173"/>
      <c r="C88" s="173"/>
      <c r="D88" s="150"/>
      <c r="E88" s="150"/>
      <c r="F88" s="150"/>
      <c r="G88" s="150"/>
      <c r="H88" s="150"/>
      <c r="I88" s="102"/>
      <c r="M88" s="150"/>
      <c r="N88" s="150"/>
      <c r="O88" s="150"/>
      <c r="P88" s="150"/>
      <c r="Q88" s="150"/>
    </row>
    <row r="89" spans="2:17" s="34" customFormat="1" ht="14.25">
      <c r="B89" s="173"/>
      <c r="C89" s="173"/>
      <c r="D89" s="151"/>
      <c r="E89" s="152"/>
      <c r="F89" s="150"/>
      <c r="G89" s="150"/>
      <c r="H89" s="150"/>
      <c r="I89" s="102"/>
      <c r="M89" s="151"/>
      <c r="N89" s="152"/>
      <c r="O89" s="150"/>
      <c r="P89" s="150"/>
      <c r="Q89" s="150"/>
    </row>
    <row r="90" spans="2:17" s="34" customFormat="1" ht="14.25">
      <c r="B90" s="145"/>
      <c r="C90" s="146"/>
      <c r="D90" s="153"/>
      <c r="E90" s="152"/>
      <c r="F90" s="150"/>
      <c r="G90" s="150"/>
      <c r="H90" s="150"/>
      <c r="I90" s="102"/>
      <c r="M90" s="153"/>
      <c r="N90" s="152"/>
      <c r="O90" s="150"/>
      <c r="P90" s="150"/>
      <c r="Q90" s="150"/>
    </row>
    <row r="91" spans="2:17" s="34" customFormat="1" ht="14.25">
      <c r="B91" s="147"/>
      <c r="C91" s="146"/>
      <c r="D91" s="150"/>
      <c r="E91" s="152"/>
      <c r="F91" s="150"/>
      <c r="G91" s="150"/>
      <c r="H91" s="150"/>
      <c r="I91" s="102"/>
      <c r="M91" s="150"/>
      <c r="N91" s="152"/>
      <c r="O91" s="150"/>
      <c r="P91" s="150"/>
      <c r="Q91" s="150"/>
    </row>
    <row r="92" spans="2:17" s="34" customFormat="1">
      <c r="B92" s="148"/>
      <c r="C92" s="146"/>
      <c r="D92" s="148"/>
      <c r="E92" s="148"/>
      <c r="F92" s="148"/>
      <c r="I92" s="102"/>
      <c r="M92" s="148"/>
      <c r="N92" s="148"/>
      <c r="O92" s="148"/>
    </row>
    <row r="93" spans="2:17" s="34" customFormat="1">
      <c r="I93" s="102"/>
    </row>
    <row r="94" spans="2:17" s="34" customFormat="1">
      <c r="I94" s="102"/>
    </row>
    <row r="95" spans="2:17" s="34" customFormat="1">
      <c r="I95" s="102"/>
    </row>
    <row r="96" spans="2:17" s="34" customFormat="1">
      <c r="I96" s="102"/>
    </row>
    <row r="97" spans="9:9" s="34" customFormat="1">
      <c r="I97" s="102"/>
    </row>
    <row r="98" spans="9:9" s="34" customFormat="1">
      <c r="I98" s="102"/>
    </row>
    <row r="99" spans="9:9" s="34" customFormat="1">
      <c r="I99" s="102"/>
    </row>
    <row r="100" spans="9:9" s="34" customFormat="1">
      <c r="I100" s="102"/>
    </row>
    <row r="101" spans="9:9" s="34" customFormat="1">
      <c r="I101" s="102"/>
    </row>
    <row r="102" spans="9:9" s="34" customFormat="1">
      <c r="I102" s="102"/>
    </row>
    <row r="103" spans="9:9" s="34" customFormat="1">
      <c r="I103" s="102"/>
    </row>
    <row r="104" spans="9:9" s="34" customFormat="1">
      <c r="I104" s="102"/>
    </row>
    <row r="105" spans="9:9" s="34" customFormat="1">
      <c r="I105" s="102"/>
    </row>
    <row r="106" spans="9:9" s="34" customFormat="1">
      <c r="I106" s="102"/>
    </row>
    <row r="107" spans="9:9" s="34" customFormat="1">
      <c r="I107" s="102"/>
    </row>
    <row r="108" spans="9:9" s="34" customFormat="1">
      <c r="I108" s="102"/>
    </row>
    <row r="109" spans="9:9" s="34" customFormat="1">
      <c r="I109" s="102"/>
    </row>
    <row r="110" spans="9:9" s="34" customFormat="1">
      <c r="I110" s="102"/>
    </row>
    <row r="111" spans="9:9" s="34" customFormat="1">
      <c r="I111" s="102"/>
    </row>
    <row r="112" spans="9:9" s="34" customFormat="1">
      <c r="I112" s="102"/>
    </row>
    <row r="113" spans="9:9" s="34" customFormat="1">
      <c r="I113" s="102"/>
    </row>
    <row r="114" spans="9:9" s="34" customFormat="1">
      <c r="I114" s="102"/>
    </row>
    <row r="115" spans="9:9" s="34" customFormat="1">
      <c r="I115" s="102"/>
    </row>
    <row r="116" spans="9:9" s="34" customFormat="1">
      <c r="I116" s="102"/>
    </row>
    <row r="117" spans="9:9" s="34" customFormat="1">
      <c r="I117" s="102"/>
    </row>
    <row r="118" spans="9:9" s="34" customFormat="1">
      <c r="I118" s="102"/>
    </row>
    <row r="119" spans="9:9" s="34" customFormat="1">
      <c r="I119" s="102"/>
    </row>
    <row r="120" spans="9:9" s="34" customFormat="1">
      <c r="I120" s="102"/>
    </row>
    <row r="121" spans="9:9" s="34" customFormat="1">
      <c r="I121" s="102"/>
    </row>
    <row r="122" spans="9:9" s="34" customFormat="1">
      <c r="I122" s="102"/>
    </row>
    <row r="123" spans="9:9" s="34" customFormat="1">
      <c r="I123" s="102"/>
    </row>
    <row r="124" spans="9:9" s="34" customFormat="1">
      <c r="I124" s="102"/>
    </row>
    <row r="125" spans="9:9" s="34" customFormat="1">
      <c r="I125" s="102"/>
    </row>
    <row r="126" spans="9:9" s="34" customFormat="1">
      <c r="I126" s="102"/>
    </row>
    <row r="127" spans="9:9" s="34" customFormat="1">
      <c r="I127" s="102"/>
    </row>
    <row r="128" spans="9:9" s="34" customFormat="1">
      <c r="I128" s="102"/>
    </row>
    <row r="129" spans="9:9" s="34" customFormat="1">
      <c r="I129" s="102"/>
    </row>
    <row r="130" spans="9:9" s="34" customFormat="1">
      <c r="I130" s="102"/>
    </row>
    <row r="131" spans="9:9" s="34" customFormat="1">
      <c r="I131" s="102"/>
    </row>
    <row r="132" spans="9:9" s="34" customFormat="1">
      <c r="I132" s="102"/>
    </row>
    <row r="133" spans="9:9" s="34" customFormat="1">
      <c r="I133" s="102"/>
    </row>
    <row r="134" spans="9:9" s="34" customFormat="1">
      <c r="I134" s="102"/>
    </row>
    <row r="135" spans="9:9" s="34" customFormat="1">
      <c r="I135" s="102"/>
    </row>
    <row r="136" spans="9:9" s="34" customFormat="1">
      <c r="I136" s="102"/>
    </row>
    <row r="137" spans="9:9" s="34" customFormat="1">
      <c r="I137" s="102"/>
    </row>
    <row r="138" spans="9:9" s="34" customFormat="1">
      <c r="I138" s="102"/>
    </row>
    <row r="139" spans="9:9" s="34" customFormat="1">
      <c r="I139" s="102"/>
    </row>
    <row r="140" spans="9:9" s="34" customFormat="1">
      <c r="I140" s="102"/>
    </row>
    <row r="141" spans="9:9" s="34" customFormat="1">
      <c r="I141" s="102"/>
    </row>
    <row r="142" spans="9:9" s="34" customFormat="1">
      <c r="I142" s="102"/>
    </row>
    <row r="143" spans="9:9" s="34" customFormat="1">
      <c r="I143" s="102"/>
    </row>
    <row r="144" spans="9:9" s="34" customFormat="1">
      <c r="I144" s="102"/>
    </row>
    <row r="145" spans="9:9" s="34" customFormat="1">
      <c r="I145" s="102"/>
    </row>
    <row r="146" spans="9:9" s="34" customFormat="1">
      <c r="I146" s="102"/>
    </row>
    <row r="147" spans="9:9" s="34" customFormat="1">
      <c r="I147" s="102"/>
    </row>
    <row r="148" spans="9:9" s="34" customFormat="1">
      <c r="I148" s="102"/>
    </row>
    <row r="149" spans="9:9" s="34" customFormat="1">
      <c r="I149" s="102"/>
    </row>
    <row r="150" spans="9:9" s="34" customFormat="1">
      <c r="I150" s="102"/>
    </row>
    <row r="151" spans="9:9" s="34" customFormat="1">
      <c r="I151" s="102"/>
    </row>
    <row r="152" spans="9:9" s="34" customFormat="1">
      <c r="I152" s="102"/>
    </row>
    <row r="153" spans="9:9" s="34" customFormat="1">
      <c r="I153" s="102"/>
    </row>
    <row r="154" spans="9:9" s="34" customFormat="1">
      <c r="I154" s="102"/>
    </row>
    <row r="155" spans="9:9" s="34" customFormat="1">
      <c r="I155" s="102"/>
    </row>
    <row r="156" spans="9:9" s="34" customFormat="1">
      <c r="I156" s="102"/>
    </row>
    <row r="157" spans="9:9" s="34" customFormat="1">
      <c r="I157" s="102"/>
    </row>
    <row r="158" spans="9:9" s="34" customFormat="1">
      <c r="I158" s="102"/>
    </row>
    <row r="159" spans="9:9" s="34" customFormat="1">
      <c r="I159" s="102"/>
    </row>
    <row r="160" spans="9:9" s="34" customFormat="1">
      <c r="I160" s="102"/>
    </row>
    <row r="161" spans="9:9" s="34" customFormat="1">
      <c r="I161" s="102"/>
    </row>
    <row r="162" spans="9:9" s="34" customFormat="1">
      <c r="I162" s="102"/>
    </row>
    <row r="163" spans="9:9" s="34" customFormat="1">
      <c r="I163" s="102"/>
    </row>
    <row r="164" spans="9:9" s="34" customFormat="1">
      <c r="I164" s="102"/>
    </row>
    <row r="165" spans="9:9" s="34" customFormat="1">
      <c r="I165" s="102"/>
    </row>
    <row r="166" spans="9:9" s="34" customFormat="1">
      <c r="I166" s="102"/>
    </row>
    <row r="167" spans="9:9" s="34" customFormat="1">
      <c r="I167" s="102"/>
    </row>
    <row r="168" spans="9:9" s="34" customFormat="1">
      <c r="I168" s="102"/>
    </row>
    <row r="169" spans="9:9" s="34" customFormat="1">
      <c r="I169" s="102"/>
    </row>
    <row r="170" spans="9:9" s="34" customFormat="1">
      <c r="I170" s="102"/>
    </row>
    <row r="171" spans="9:9" s="34" customFormat="1">
      <c r="I171" s="102"/>
    </row>
    <row r="172" spans="9:9" s="34" customFormat="1">
      <c r="I172" s="102"/>
    </row>
    <row r="173" spans="9:9" s="34" customFormat="1">
      <c r="I173" s="102"/>
    </row>
    <row r="174" spans="9:9" s="34" customFormat="1">
      <c r="I174" s="102"/>
    </row>
    <row r="175" spans="9:9" s="34" customFormat="1">
      <c r="I175" s="102"/>
    </row>
    <row r="176" spans="9:9" s="34" customFormat="1">
      <c r="I176" s="102"/>
    </row>
    <row r="177" spans="9:9" s="34" customFormat="1">
      <c r="I177" s="102"/>
    </row>
    <row r="178" spans="9:9" s="34" customFormat="1">
      <c r="I178" s="102"/>
    </row>
    <row r="179" spans="9:9" s="34" customFormat="1">
      <c r="I179" s="102"/>
    </row>
    <row r="180" spans="9:9" s="34" customFormat="1">
      <c r="I180" s="102"/>
    </row>
    <row r="181" spans="9:9" s="34" customFormat="1">
      <c r="I181" s="102"/>
    </row>
    <row r="182" spans="9:9" s="34" customFormat="1">
      <c r="I182" s="102"/>
    </row>
    <row r="183" spans="9:9" s="34" customFormat="1">
      <c r="I183" s="102"/>
    </row>
    <row r="184" spans="9:9" s="34" customFormat="1">
      <c r="I184" s="102"/>
    </row>
    <row r="185" spans="9:9" s="34" customFormat="1">
      <c r="I185" s="102"/>
    </row>
    <row r="186" spans="9:9" s="34" customFormat="1">
      <c r="I186" s="102"/>
    </row>
    <row r="187" spans="9:9" s="34" customFormat="1">
      <c r="I187" s="102"/>
    </row>
    <row r="188" spans="9:9" s="34" customFormat="1">
      <c r="I188" s="102"/>
    </row>
    <row r="189" spans="9:9" s="34" customFormat="1">
      <c r="I189" s="102"/>
    </row>
    <row r="190" spans="9:9" s="34" customFormat="1">
      <c r="I190" s="102"/>
    </row>
    <row r="191" spans="9:9" s="34" customFormat="1">
      <c r="I191" s="102"/>
    </row>
    <row r="192" spans="9:9" s="34" customFormat="1">
      <c r="I192" s="102"/>
    </row>
    <row r="193" spans="9:9" s="34" customFormat="1">
      <c r="I193" s="102"/>
    </row>
    <row r="194" spans="9:9" s="34" customFormat="1">
      <c r="I194" s="102"/>
    </row>
    <row r="195" spans="9:9" s="34" customFormat="1">
      <c r="I195" s="102"/>
    </row>
    <row r="196" spans="9:9" s="34" customFormat="1">
      <c r="I196" s="102"/>
    </row>
    <row r="197" spans="9:9" s="34" customFormat="1">
      <c r="I197" s="102"/>
    </row>
    <row r="198" spans="9:9" s="34" customFormat="1">
      <c r="I198" s="102"/>
    </row>
    <row r="199" spans="9:9" s="34" customFormat="1">
      <c r="I199" s="102"/>
    </row>
    <row r="200" spans="9:9" s="34" customFormat="1">
      <c r="I200" s="102"/>
    </row>
    <row r="201" spans="9:9" s="34" customFormat="1">
      <c r="I201" s="102"/>
    </row>
    <row r="202" spans="9:9" s="34" customFormat="1">
      <c r="I202" s="102"/>
    </row>
    <row r="203" spans="9:9" s="34" customFormat="1">
      <c r="I203" s="102"/>
    </row>
    <row r="204" spans="9:9" s="34" customFormat="1">
      <c r="I204" s="102"/>
    </row>
    <row r="205" spans="9:9" s="34" customFormat="1">
      <c r="I205" s="102"/>
    </row>
    <row r="206" spans="9:9" s="34" customFormat="1">
      <c r="I206" s="102"/>
    </row>
    <row r="207" spans="9:9" s="34" customFormat="1">
      <c r="I207" s="102"/>
    </row>
    <row r="208" spans="9:9" s="34" customFormat="1">
      <c r="I208" s="102"/>
    </row>
    <row r="209" spans="9:9" s="34" customFormat="1">
      <c r="I209" s="102"/>
    </row>
    <row r="210" spans="9:9" s="34" customFormat="1">
      <c r="I210" s="102"/>
    </row>
    <row r="211" spans="9:9" s="34" customFormat="1">
      <c r="I211" s="102"/>
    </row>
    <row r="212" spans="9:9" s="34" customFormat="1">
      <c r="I212" s="102"/>
    </row>
    <row r="213" spans="9:9" s="34" customFormat="1">
      <c r="I213" s="102"/>
    </row>
    <row r="214" spans="9:9" s="34" customFormat="1">
      <c r="I214" s="102"/>
    </row>
    <row r="215" spans="9:9" s="34" customFormat="1">
      <c r="I215" s="102"/>
    </row>
    <row r="216" spans="9:9" s="34" customFormat="1">
      <c r="I216" s="102"/>
    </row>
    <row r="217" spans="9:9" s="34" customFormat="1">
      <c r="I217" s="102"/>
    </row>
    <row r="218" spans="9:9" s="34" customFormat="1">
      <c r="I218" s="102"/>
    </row>
    <row r="219" spans="9:9" s="34" customFormat="1">
      <c r="I219" s="102"/>
    </row>
    <row r="220" spans="9:9" s="34" customFormat="1">
      <c r="I220" s="102"/>
    </row>
    <row r="221" spans="9:9" s="34" customFormat="1">
      <c r="I221" s="102"/>
    </row>
    <row r="222" spans="9:9" s="34" customFormat="1">
      <c r="I222" s="102"/>
    </row>
    <row r="223" spans="9:9" s="34" customFormat="1">
      <c r="I223" s="102"/>
    </row>
    <row r="224" spans="9:9" s="34" customFormat="1">
      <c r="I224" s="102"/>
    </row>
    <row r="225" spans="9:9" s="34" customFormat="1">
      <c r="I225" s="102"/>
    </row>
    <row r="226" spans="9:9" s="34" customFormat="1">
      <c r="I226" s="102"/>
    </row>
    <row r="227" spans="9:9" s="34" customFormat="1">
      <c r="I227" s="102"/>
    </row>
    <row r="228" spans="9:9" s="34" customFormat="1">
      <c r="I228" s="102"/>
    </row>
    <row r="229" spans="9:9" s="34" customFormat="1">
      <c r="I229" s="102"/>
    </row>
    <row r="230" spans="9:9" s="34" customFormat="1">
      <c r="I230" s="102"/>
    </row>
    <row r="231" spans="9:9" s="34" customFormat="1">
      <c r="I231" s="102"/>
    </row>
    <row r="232" spans="9:9" s="34" customFormat="1">
      <c r="I232" s="102"/>
    </row>
    <row r="233" spans="9:9" s="34" customFormat="1">
      <c r="I233" s="102"/>
    </row>
    <row r="234" spans="9:9" s="34" customFormat="1">
      <c r="I234" s="102"/>
    </row>
    <row r="235" spans="9:9" s="34" customFormat="1">
      <c r="I235" s="102"/>
    </row>
    <row r="236" spans="9:9" s="34" customFormat="1">
      <c r="I236" s="102"/>
    </row>
    <row r="237" spans="9:9" s="34" customFormat="1">
      <c r="I237" s="102"/>
    </row>
    <row r="238" spans="9:9" s="34" customFormat="1">
      <c r="I238" s="102"/>
    </row>
    <row r="239" spans="9:9" s="34" customFormat="1">
      <c r="I239" s="102"/>
    </row>
    <row r="240" spans="9:9" s="34" customFormat="1">
      <c r="I240" s="102"/>
    </row>
    <row r="241" spans="9:9" s="34" customFormat="1">
      <c r="I241" s="102"/>
    </row>
    <row r="242" spans="9:9" s="34" customFormat="1">
      <c r="I242" s="102"/>
    </row>
    <row r="243" spans="9:9" s="34" customFormat="1">
      <c r="I243" s="102"/>
    </row>
    <row r="244" spans="9:9" s="34" customFormat="1">
      <c r="I244" s="102"/>
    </row>
    <row r="245" spans="9:9" s="34" customFormat="1">
      <c r="I245" s="102"/>
    </row>
    <row r="246" spans="9:9" s="34" customFormat="1">
      <c r="I246" s="102"/>
    </row>
    <row r="247" spans="9:9" s="34" customFormat="1">
      <c r="I247" s="102"/>
    </row>
    <row r="248" spans="9:9" s="34" customFormat="1">
      <c r="I248" s="102"/>
    </row>
    <row r="249" spans="9:9" s="34" customFormat="1">
      <c r="I249" s="102"/>
    </row>
    <row r="250" spans="9:9" s="34" customFormat="1">
      <c r="I250" s="102"/>
    </row>
    <row r="251" spans="9:9" s="34" customFormat="1">
      <c r="I251" s="102"/>
    </row>
    <row r="252" spans="9:9" s="34" customFormat="1">
      <c r="I252" s="102"/>
    </row>
    <row r="253" spans="9:9" s="34" customFormat="1">
      <c r="I253" s="102"/>
    </row>
    <row r="254" spans="9:9" s="34" customFormat="1">
      <c r="I254" s="102"/>
    </row>
    <row r="255" spans="9:9" s="34" customFormat="1">
      <c r="I255" s="102"/>
    </row>
    <row r="256" spans="9:9" s="34" customFormat="1">
      <c r="I256" s="102"/>
    </row>
    <row r="257" spans="9:9" s="34" customFormat="1">
      <c r="I257" s="102"/>
    </row>
    <row r="258" spans="9:9" s="34" customFormat="1">
      <c r="I258" s="102"/>
    </row>
    <row r="259" spans="9:9" s="34" customFormat="1">
      <c r="I259" s="102"/>
    </row>
    <row r="260" spans="9:9" s="34" customFormat="1">
      <c r="I260" s="102"/>
    </row>
    <row r="261" spans="9:9" s="34" customFormat="1">
      <c r="I261" s="102"/>
    </row>
    <row r="262" spans="9:9" s="34" customFormat="1">
      <c r="I262" s="102"/>
    </row>
    <row r="263" spans="9:9" s="34" customFormat="1">
      <c r="I263" s="102"/>
    </row>
    <row r="264" spans="9:9" s="34" customFormat="1">
      <c r="I264" s="102"/>
    </row>
    <row r="265" spans="9:9" s="34" customFormat="1">
      <c r="I265" s="102"/>
    </row>
    <row r="266" spans="9:9" s="34" customFormat="1">
      <c r="I266" s="102"/>
    </row>
    <row r="267" spans="9:9" s="34" customFormat="1">
      <c r="I267" s="102"/>
    </row>
    <row r="268" spans="9:9" s="34" customFormat="1">
      <c r="I268" s="102"/>
    </row>
    <row r="269" spans="9:9" s="34" customFormat="1">
      <c r="I269" s="102"/>
    </row>
    <row r="270" spans="9:9" s="34" customFormat="1">
      <c r="I270" s="102"/>
    </row>
    <row r="271" spans="9:9" s="34" customFormat="1">
      <c r="I271" s="102"/>
    </row>
    <row r="272" spans="9:9" s="34" customFormat="1">
      <c r="I272" s="102"/>
    </row>
    <row r="273" spans="9:9" s="34" customFormat="1">
      <c r="I273" s="102"/>
    </row>
    <row r="274" spans="9:9" s="34" customFormat="1">
      <c r="I274" s="102"/>
    </row>
    <row r="275" spans="9:9" s="34" customFormat="1">
      <c r="I275" s="102"/>
    </row>
    <row r="276" spans="9:9" s="34" customFormat="1">
      <c r="I276" s="102"/>
    </row>
    <row r="277" spans="9:9" s="34" customFormat="1">
      <c r="I277" s="102"/>
    </row>
    <row r="278" spans="9:9" s="34" customFormat="1">
      <c r="I278" s="102"/>
    </row>
    <row r="279" spans="9:9" s="34" customFormat="1">
      <c r="I279" s="102"/>
    </row>
    <row r="280" spans="9:9" s="34" customFormat="1">
      <c r="I280" s="102"/>
    </row>
    <row r="281" spans="9:9" s="34" customFormat="1">
      <c r="I281" s="102"/>
    </row>
    <row r="282" spans="9:9" s="34" customFormat="1">
      <c r="I282" s="102"/>
    </row>
    <row r="283" spans="9:9" s="34" customFormat="1">
      <c r="I283" s="102"/>
    </row>
    <row r="284" spans="9:9" s="34" customFormat="1">
      <c r="I284" s="102"/>
    </row>
    <row r="285" spans="9:9" s="34" customFormat="1">
      <c r="I285" s="102"/>
    </row>
    <row r="286" spans="9:9" s="34" customFormat="1">
      <c r="I286" s="102"/>
    </row>
    <row r="287" spans="9:9" s="34" customFormat="1">
      <c r="I287" s="102"/>
    </row>
    <row r="288" spans="9:9" s="34" customFormat="1">
      <c r="I288" s="102"/>
    </row>
    <row r="289" spans="9:9" s="34" customFormat="1">
      <c r="I289" s="102"/>
    </row>
    <row r="290" spans="9:9" s="34" customFormat="1">
      <c r="I290" s="102"/>
    </row>
    <row r="291" spans="9:9" s="34" customFormat="1">
      <c r="I291" s="102"/>
    </row>
    <row r="292" spans="9:9" s="34" customFormat="1">
      <c r="I292" s="102"/>
    </row>
    <row r="293" spans="9:9" s="34" customFormat="1">
      <c r="I293" s="102"/>
    </row>
    <row r="294" spans="9:9" s="34" customFormat="1">
      <c r="I294" s="102"/>
    </row>
    <row r="295" spans="9:9" s="34" customFormat="1">
      <c r="I295" s="102"/>
    </row>
    <row r="296" spans="9:9" s="34" customFormat="1">
      <c r="I296" s="102"/>
    </row>
    <row r="297" spans="9:9" s="34" customFormat="1">
      <c r="I297" s="102"/>
    </row>
    <row r="298" spans="9:9" s="34" customFormat="1">
      <c r="I298" s="102"/>
    </row>
    <row r="299" spans="9:9" s="34" customFormat="1">
      <c r="I299" s="102"/>
    </row>
    <row r="300" spans="9:9" s="34" customFormat="1">
      <c r="I300" s="102"/>
    </row>
    <row r="301" spans="9:9" s="34" customFormat="1">
      <c r="I301" s="102"/>
    </row>
    <row r="302" spans="9:9" s="34" customFormat="1">
      <c r="I302" s="102"/>
    </row>
    <row r="303" spans="9:9" s="34" customFormat="1">
      <c r="I303" s="102"/>
    </row>
    <row r="304" spans="9:9" s="34" customFormat="1">
      <c r="I304" s="102"/>
    </row>
    <row r="305" spans="9:9" s="34" customFormat="1">
      <c r="I305" s="102"/>
    </row>
    <row r="306" spans="9:9" s="34" customFormat="1">
      <c r="I306" s="102"/>
    </row>
    <row r="307" spans="9:9" s="34" customFormat="1">
      <c r="I307" s="102"/>
    </row>
    <row r="308" spans="9:9" s="34" customFormat="1">
      <c r="I308" s="102"/>
    </row>
    <row r="309" spans="9:9" s="34" customFormat="1">
      <c r="I309" s="102"/>
    </row>
    <row r="310" spans="9:9" s="34" customFormat="1">
      <c r="I310" s="102"/>
    </row>
    <row r="311" spans="9:9" s="34" customFormat="1"/>
    <row r="312" spans="9:9" s="34" customFormat="1"/>
    <row r="313" spans="9:9" s="34" customFormat="1"/>
    <row r="314" spans="9:9" s="34" customFormat="1"/>
    <row r="315" spans="9:9" s="34" customFormat="1"/>
    <row r="316" spans="9:9" s="34" customFormat="1"/>
    <row r="317" spans="9:9" s="34" customFormat="1"/>
    <row r="318" spans="9:9" s="34" customFormat="1"/>
    <row r="319" spans="9:9" s="34" customFormat="1"/>
    <row r="320" spans="9:9" s="34" customFormat="1"/>
    <row r="321" s="34" customFormat="1"/>
    <row r="322" s="34" customFormat="1"/>
    <row r="323" s="34" customFormat="1"/>
    <row r="324" s="34" customFormat="1"/>
    <row r="325" s="34" customFormat="1"/>
    <row r="326" s="34" customFormat="1"/>
    <row r="327" s="34" customFormat="1"/>
    <row r="328" s="34" customFormat="1"/>
    <row r="329" s="34" customFormat="1"/>
    <row r="330" s="34" customFormat="1"/>
    <row r="331" s="34" customFormat="1"/>
    <row r="332" s="34" customFormat="1"/>
    <row r="333" s="34" customFormat="1"/>
    <row r="334" s="34" customFormat="1"/>
    <row r="335" s="34" customFormat="1"/>
    <row r="336" s="34" customFormat="1"/>
    <row r="337" s="34" customFormat="1"/>
    <row r="338" s="34" customFormat="1"/>
    <row r="339" s="34" customFormat="1"/>
    <row r="340" s="34" customFormat="1"/>
    <row r="341" s="34" customFormat="1"/>
    <row r="342" s="34" customFormat="1"/>
    <row r="343" s="34" customFormat="1"/>
    <row r="344" s="34" customFormat="1"/>
    <row r="345" s="34" customFormat="1"/>
    <row r="346" s="34" customFormat="1"/>
    <row r="347" s="34" customFormat="1"/>
    <row r="348" s="34" customFormat="1"/>
    <row r="349" s="34" customFormat="1"/>
    <row r="350" s="34" customFormat="1"/>
    <row r="351" s="34" customFormat="1"/>
    <row r="352" s="34" customFormat="1"/>
    <row r="353" s="34" customFormat="1"/>
    <row r="354" s="34" customFormat="1"/>
    <row r="355" s="34" customFormat="1"/>
    <row r="356" s="34" customFormat="1"/>
    <row r="357" s="34" customFormat="1"/>
    <row r="358" s="34" customFormat="1"/>
    <row r="359" s="34" customFormat="1"/>
    <row r="360" s="34" customFormat="1"/>
    <row r="361" s="34" customFormat="1"/>
    <row r="362" s="34" customFormat="1"/>
    <row r="363" s="34" customFormat="1"/>
    <row r="364" s="34" customFormat="1"/>
    <row r="365" s="34" customFormat="1"/>
    <row r="366" s="34" customFormat="1"/>
    <row r="367" s="34" customFormat="1"/>
    <row r="368" s="34" customFormat="1"/>
    <row r="369" s="34" customFormat="1"/>
    <row r="370" s="34" customFormat="1"/>
    <row r="371" s="34" customFormat="1"/>
    <row r="372" s="34" customFormat="1"/>
    <row r="373" s="34" customFormat="1"/>
    <row r="374" s="34" customFormat="1"/>
    <row r="375" s="34" customFormat="1"/>
    <row r="376" s="34" customFormat="1"/>
    <row r="377" s="34" customFormat="1"/>
    <row r="378" s="34" customFormat="1"/>
    <row r="379" s="34" customFormat="1"/>
    <row r="380" s="34" customFormat="1"/>
    <row r="381" s="34" customFormat="1"/>
    <row r="382" s="34" customFormat="1"/>
    <row r="383" s="34" customFormat="1"/>
    <row r="384" s="34" customFormat="1"/>
    <row r="385" s="34" customFormat="1"/>
    <row r="386" s="34" customFormat="1"/>
    <row r="387" s="34" customFormat="1"/>
    <row r="388" s="34" customFormat="1"/>
    <row r="389" s="34" customFormat="1"/>
    <row r="390" s="34" customFormat="1"/>
    <row r="391" s="34" customFormat="1"/>
    <row r="392" s="34" customFormat="1"/>
    <row r="393" s="34" customFormat="1"/>
    <row r="394" s="34" customFormat="1"/>
    <row r="395" s="34" customFormat="1"/>
    <row r="396" s="34" customFormat="1"/>
    <row r="397" s="34" customFormat="1"/>
    <row r="398" s="34" customFormat="1"/>
    <row r="399" s="34" customFormat="1"/>
    <row r="400" s="34" customFormat="1"/>
    <row r="401" s="34" customFormat="1"/>
    <row r="402" s="34" customFormat="1"/>
    <row r="403" s="34" customFormat="1"/>
    <row r="404" s="34" customFormat="1"/>
    <row r="405" s="34" customFormat="1"/>
    <row r="406" s="34" customFormat="1"/>
    <row r="407" s="34" customFormat="1"/>
    <row r="408" s="34" customFormat="1"/>
    <row r="409" s="34" customFormat="1"/>
    <row r="410" s="34" customFormat="1"/>
    <row r="411" s="34" customFormat="1"/>
    <row r="412" s="34" customFormat="1"/>
    <row r="413" s="34" customFormat="1"/>
    <row r="414" s="34" customFormat="1"/>
    <row r="415" s="34" customFormat="1"/>
    <row r="416" s="34" customFormat="1"/>
    <row r="417" s="34" customFormat="1"/>
    <row r="418" s="34" customFormat="1"/>
    <row r="419" s="34" customFormat="1"/>
    <row r="420" s="34" customFormat="1"/>
    <row r="421" s="34" customFormat="1"/>
    <row r="422" s="34" customFormat="1"/>
    <row r="423" s="34" customFormat="1"/>
    <row r="424" s="34" customFormat="1"/>
    <row r="425" s="34" customFormat="1"/>
    <row r="426" s="34" customFormat="1"/>
    <row r="427" s="34" customFormat="1"/>
    <row r="428" s="34" customFormat="1"/>
    <row r="429" s="34" customFormat="1"/>
    <row r="430" s="34" customFormat="1"/>
    <row r="431" s="34" customFormat="1"/>
    <row r="432" s="34" customFormat="1"/>
    <row r="433" s="34" customFormat="1"/>
    <row r="434" s="34" customFormat="1"/>
    <row r="435" s="34" customFormat="1"/>
    <row r="436" s="34" customFormat="1"/>
    <row r="437" s="34" customFormat="1"/>
    <row r="438" s="34" customFormat="1"/>
    <row r="439" s="34" customFormat="1"/>
    <row r="440" s="34" customFormat="1"/>
    <row r="441" s="34" customFormat="1"/>
    <row r="442" s="34" customFormat="1"/>
    <row r="443" s="34" customFormat="1"/>
    <row r="444" s="34" customFormat="1"/>
    <row r="445" s="34" customFormat="1"/>
    <row r="446" s="34" customFormat="1"/>
    <row r="447" s="34" customFormat="1"/>
    <row r="448" s="34" customFormat="1"/>
    <row r="449" s="34" customFormat="1"/>
    <row r="450" s="34" customFormat="1"/>
    <row r="451" s="34" customFormat="1"/>
    <row r="452" s="34" customFormat="1"/>
    <row r="453" s="34" customFormat="1"/>
    <row r="454" s="34" customFormat="1"/>
    <row r="455" s="34" customFormat="1"/>
    <row r="456" s="34" customFormat="1"/>
    <row r="457" s="34" customFormat="1"/>
    <row r="458" s="34" customFormat="1"/>
    <row r="459" s="34" customFormat="1"/>
    <row r="460" s="34" customFormat="1"/>
    <row r="461" s="34" customFormat="1"/>
    <row r="462" s="34" customFormat="1"/>
    <row r="463" s="34" customFormat="1"/>
    <row r="464" s="34" customFormat="1"/>
    <row r="465" s="34" customFormat="1"/>
    <row r="466" s="34" customFormat="1"/>
    <row r="467" s="34" customFormat="1"/>
    <row r="468" s="34" customFormat="1"/>
    <row r="469" s="34" customFormat="1"/>
    <row r="470" s="34" customFormat="1"/>
    <row r="471" s="34" customFormat="1"/>
    <row r="472" s="34" customFormat="1"/>
    <row r="473" s="34" customFormat="1"/>
    <row r="474" s="34" customFormat="1"/>
    <row r="475" s="34" customFormat="1"/>
    <row r="476" s="34" customFormat="1"/>
    <row r="477" s="34" customFormat="1"/>
    <row r="478" s="34" customFormat="1"/>
    <row r="479" s="34" customFormat="1"/>
    <row r="480" s="34" customFormat="1"/>
    <row r="481" s="34" customFormat="1"/>
    <row r="482" s="34" customFormat="1"/>
    <row r="483" s="34" customFormat="1"/>
    <row r="484" s="34" customFormat="1"/>
    <row r="485" s="34" customFormat="1"/>
    <row r="486" s="34" customFormat="1"/>
    <row r="487" s="34" customFormat="1"/>
    <row r="488" s="34" customFormat="1"/>
    <row r="489" s="34" customFormat="1"/>
    <row r="490" s="34" customFormat="1"/>
    <row r="491" s="34" customFormat="1"/>
    <row r="492" s="34" customFormat="1"/>
    <row r="493" s="34" customFormat="1"/>
    <row r="494" s="34" customFormat="1"/>
    <row r="495" s="34" customFormat="1"/>
    <row r="496" s="34" customFormat="1"/>
    <row r="497" s="34" customFormat="1"/>
    <row r="498" s="34" customFormat="1"/>
    <row r="499" s="34" customFormat="1"/>
    <row r="500" s="34" customFormat="1"/>
    <row r="501" s="34" customFormat="1"/>
    <row r="502" s="34" customFormat="1"/>
    <row r="503" s="34" customFormat="1"/>
    <row r="504" s="34" customFormat="1"/>
    <row r="505" s="34" customFormat="1"/>
    <row r="506" s="34" customFormat="1"/>
    <row r="507" s="34" customFormat="1"/>
    <row r="508" s="34" customFormat="1"/>
    <row r="509" s="34" customFormat="1"/>
    <row r="510" s="34" customFormat="1"/>
    <row r="511" s="34" customFormat="1"/>
    <row r="512" s="34" customFormat="1"/>
    <row r="513" s="34" customFormat="1"/>
    <row r="514" s="34" customFormat="1"/>
    <row r="515" s="34" customFormat="1"/>
    <row r="516" s="34" customFormat="1"/>
    <row r="517" s="34" customFormat="1"/>
    <row r="518" s="34" customFormat="1"/>
    <row r="519" s="34" customFormat="1"/>
    <row r="520" s="34" customFormat="1"/>
    <row r="521" s="34" customFormat="1"/>
    <row r="522" s="34" customFormat="1"/>
    <row r="523" s="34" customFormat="1"/>
    <row r="524" s="34" customFormat="1"/>
    <row r="525" s="34" customFormat="1"/>
    <row r="526" s="34" customFormat="1"/>
    <row r="527" s="34" customFormat="1"/>
    <row r="528" s="34" customFormat="1"/>
    <row r="529" s="34" customFormat="1"/>
    <row r="530" s="34" customFormat="1"/>
    <row r="531" s="34" customFormat="1"/>
    <row r="532" s="34" customFormat="1"/>
    <row r="533" s="34" customFormat="1"/>
    <row r="534" s="34" customFormat="1"/>
    <row r="535" s="34" customFormat="1"/>
    <row r="536" s="34" customFormat="1"/>
    <row r="537" s="34" customFormat="1"/>
    <row r="538" s="34" customFormat="1"/>
    <row r="539" s="34" customFormat="1"/>
    <row r="540" s="34" customFormat="1"/>
    <row r="541" s="34" customFormat="1"/>
    <row r="542" s="34" customFormat="1"/>
    <row r="543" s="34" customFormat="1"/>
    <row r="544" s="34" customFormat="1"/>
    <row r="545" s="34" customFormat="1"/>
    <row r="546" s="34" customFormat="1"/>
    <row r="547" s="34" customFormat="1"/>
    <row r="548" s="34" customFormat="1"/>
    <row r="549" s="34" customFormat="1"/>
    <row r="550" s="34" customFormat="1"/>
    <row r="551" s="34" customFormat="1"/>
    <row r="552" s="34" customFormat="1"/>
    <row r="553" s="34" customFormat="1"/>
    <row r="554" s="34" customFormat="1"/>
    <row r="555" s="34" customFormat="1"/>
    <row r="556" s="34" customFormat="1"/>
    <row r="557" s="34" customFormat="1"/>
    <row r="558" s="34" customFormat="1"/>
    <row r="559" s="34" customFormat="1"/>
    <row r="560" s="34" customFormat="1"/>
    <row r="561" s="34" customFormat="1"/>
    <row r="562" s="34" customFormat="1"/>
    <row r="563" s="34" customFormat="1"/>
    <row r="564" s="34" customFormat="1"/>
    <row r="565" s="34" customFormat="1"/>
    <row r="566" s="34" customFormat="1"/>
    <row r="567" s="34" customFormat="1"/>
    <row r="568" s="34" customFormat="1"/>
    <row r="569" s="34" customFormat="1"/>
    <row r="570" s="34" customFormat="1"/>
    <row r="571" s="34" customFormat="1"/>
    <row r="572" s="34" customFormat="1"/>
    <row r="573" s="34" customFormat="1"/>
    <row r="574" s="34" customFormat="1"/>
    <row r="575" s="34" customFormat="1"/>
    <row r="576" s="34" customFormat="1"/>
    <row r="577" s="34" customFormat="1"/>
    <row r="578" s="34" customFormat="1"/>
    <row r="579" s="34" customFormat="1"/>
    <row r="580" s="34" customFormat="1"/>
    <row r="581" s="34" customFormat="1"/>
    <row r="582" s="34" customFormat="1"/>
    <row r="583" s="34" customFormat="1"/>
    <row r="584" s="34" customFormat="1"/>
    <row r="585" s="34" customFormat="1"/>
    <row r="586" s="34" customFormat="1"/>
    <row r="587" s="34" customFormat="1"/>
    <row r="588" s="34" customFormat="1"/>
    <row r="589" s="34" customFormat="1"/>
    <row r="590" s="34" customFormat="1"/>
    <row r="591" s="34" customFormat="1"/>
    <row r="592" s="34" customFormat="1"/>
    <row r="593" s="34" customFormat="1"/>
    <row r="594" s="34" customFormat="1"/>
    <row r="595" s="34" customFormat="1"/>
    <row r="596" s="34" customFormat="1"/>
    <row r="597" s="34" customFormat="1"/>
    <row r="598" s="34" customFormat="1"/>
    <row r="599" s="34" customFormat="1"/>
    <row r="600" s="34" customFormat="1"/>
    <row r="601" s="34" customFormat="1"/>
    <row r="602" s="34" customFormat="1"/>
    <row r="603" s="34" customFormat="1"/>
    <row r="604" s="34" customFormat="1"/>
    <row r="605" s="34" customFormat="1"/>
    <row r="606" s="34" customFormat="1"/>
    <row r="607" s="34" customFormat="1"/>
    <row r="608" s="34" customFormat="1"/>
    <row r="609" s="34" customFormat="1"/>
    <row r="610" s="34" customFormat="1"/>
    <row r="611" s="34" customFormat="1"/>
    <row r="612" s="34" customFormat="1"/>
    <row r="613" s="34" customFormat="1"/>
    <row r="614" s="34" customFormat="1"/>
    <row r="615" s="34" customFormat="1"/>
    <row r="616" s="34" customFormat="1"/>
    <row r="617" s="34" customFormat="1"/>
    <row r="618" s="34" customFormat="1"/>
    <row r="619" s="34" customFormat="1"/>
    <row r="620" s="34" customFormat="1"/>
    <row r="621" s="34" customFormat="1"/>
    <row r="622" s="34" customFormat="1"/>
    <row r="623" s="34" customFormat="1"/>
    <row r="624" s="34" customFormat="1"/>
    <row r="625" s="34" customFormat="1"/>
    <row r="626" s="34" customFormat="1"/>
    <row r="627" s="34" customFormat="1"/>
    <row r="628" s="34" customFormat="1"/>
    <row r="629" s="34" customFormat="1"/>
    <row r="630" s="34" customFormat="1"/>
    <row r="631" s="34" customFormat="1"/>
    <row r="632" s="34" customFormat="1"/>
    <row r="633" s="34" customFormat="1"/>
    <row r="634" s="34" customFormat="1"/>
    <row r="635" s="34" customFormat="1"/>
    <row r="636" s="34" customFormat="1"/>
    <row r="637" s="34" customFormat="1"/>
    <row r="638" s="34" customFormat="1"/>
    <row r="639" s="34" customFormat="1"/>
    <row r="640" s="34" customFormat="1"/>
    <row r="641" s="34" customFormat="1"/>
    <row r="642" s="34" customFormat="1"/>
    <row r="643" s="34" customFormat="1"/>
    <row r="644" s="34" customFormat="1"/>
    <row r="645" s="34" customFormat="1"/>
    <row r="646" s="34" customFormat="1"/>
    <row r="647" s="34" customFormat="1"/>
    <row r="648" s="34" customFormat="1"/>
    <row r="649" s="34" customFormat="1"/>
    <row r="650" s="34" customFormat="1"/>
    <row r="651" s="34" customFormat="1"/>
    <row r="652" s="34" customFormat="1"/>
    <row r="653" s="34" customFormat="1"/>
    <row r="654" s="34" customFormat="1"/>
    <row r="655" s="34" customFormat="1"/>
    <row r="656" s="34" customFormat="1"/>
    <row r="657" s="34" customFormat="1"/>
    <row r="658" s="34" customFormat="1"/>
    <row r="659" s="34" customFormat="1"/>
    <row r="660" s="34" customFormat="1"/>
    <row r="661" s="34" customFormat="1"/>
    <row r="662" s="34" customFormat="1"/>
    <row r="663" s="34" customFormat="1"/>
    <row r="664" s="34" customFormat="1"/>
    <row r="665" s="34" customFormat="1"/>
    <row r="666" s="34" customFormat="1"/>
    <row r="667" s="34" customFormat="1"/>
    <row r="668" s="34" customFormat="1"/>
    <row r="669" s="34" customFormat="1"/>
    <row r="670" s="34" customFormat="1"/>
    <row r="671" s="34" customFormat="1"/>
    <row r="672" s="34" customFormat="1"/>
    <row r="673" s="34" customFormat="1"/>
    <row r="674" s="34" customFormat="1"/>
    <row r="675" s="34" customFormat="1"/>
    <row r="676" s="34" customFormat="1"/>
    <row r="677" s="34" customFormat="1"/>
    <row r="678" s="34" customFormat="1"/>
    <row r="679" s="34" customFormat="1"/>
    <row r="680" s="34" customFormat="1"/>
    <row r="681" s="34" customFormat="1"/>
    <row r="682" s="34" customFormat="1"/>
    <row r="683" s="34" customFormat="1"/>
    <row r="684" s="34" customFormat="1"/>
    <row r="685" s="34" customFormat="1"/>
    <row r="686" s="34" customFormat="1"/>
    <row r="687" s="34" customFormat="1"/>
    <row r="688" s="34" customFormat="1"/>
    <row r="689" s="34" customFormat="1"/>
    <row r="690" s="34" customFormat="1"/>
    <row r="691" s="34" customFormat="1"/>
    <row r="692" s="34" customFormat="1"/>
    <row r="693" s="34" customFormat="1"/>
    <row r="694" s="34" customFormat="1"/>
    <row r="695" s="34" customFormat="1"/>
    <row r="696" s="34" customFormat="1"/>
    <row r="697" s="34" customFormat="1"/>
    <row r="698" s="34" customFormat="1"/>
    <row r="699" s="34" customFormat="1"/>
    <row r="700" s="34" customFormat="1"/>
    <row r="701" s="34" customFormat="1"/>
    <row r="702" s="34" customFormat="1"/>
    <row r="703" s="34" customFormat="1"/>
    <row r="704" s="34" customFormat="1"/>
    <row r="705" s="34" customFormat="1"/>
    <row r="706" s="34" customFormat="1"/>
    <row r="707" s="34" customFormat="1"/>
    <row r="708" s="34" customFormat="1"/>
    <row r="709" s="34" customFormat="1"/>
    <row r="710" s="34" customFormat="1"/>
    <row r="711" s="34" customFormat="1"/>
    <row r="712" s="34" customFormat="1"/>
    <row r="713" s="34" customFormat="1"/>
    <row r="714" s="34" customFormat="1"/>
    <row r="715" s="34" customFormat="1"/>
    <row r="716" s="34" customFormat="1"/>
    <row r="717" s="34" customFormat="1"/>
    <row r="718" s="34" customFormat="1"/>
    <row r="719" s="34" customFormat="1"/>
    <row r="720" s="34" customFormat="1"/>
    <row r="721" s="34" customFormat="1"/>
    <row r="722" s="34" customFormat="1"/>
    <row r="723" s="34" customFormat="1"/>
    <row r="724" s="34" customFormat="1"/>
    <row r="725" s="34" customFormat="1"/>
    <row r="726" s="34" customFormat="1"/>
    <row r="727" s="34" customFormat="1"/>
    <row r="728" s="34" customFormat="1"/>
    <row r="729" s="34" customFormat="1"/>
    <row r="730" s="34" customFormat="1"/>
    <row r="731" s="34" customFormat="1"/>
    <row r="732" s="34" customFormat="1"/>
    <row r="733" s="34" customFormat="1"/>
    <row r="734" s="34" customFormat="1"/>
    <row r="735" s="34" customFormat="1"/>
    <row r="736" s="34" customFormat="1"/>
    <row r="737" s="34" customFormat="1"/>
    <row r="738" s="34" customFormat="1"/>
    <row r="739" s="34" customFormat="1"/>
    <row r="740" s="34" customFormat="1"/>
    <row r="741" s="34" customFormat="1"/>
    <row r="742" s="34" customFormat="1"/>
    <row r="743" s="34" customFormat="1"/>
    <row r="744" s="34" customFormat="1"/>
    <row r="745" s="34" customFormat="1"/>
    <row r="746" s="34" customFormat="1"/>
    <row r="747" s="34" customFormat="1"/>
    <row r="748" s="34" customFormat="1"/>
    <row r="749" s="34" customFormat="1"/>
    <row r="750" s="34" customFormat="1"/>
    <row r="751" s="34" customFormat="1"/>
    <row r="752" s="34" customFormat="1"/>
    <row r="753" s="34" customFormat="1"/>
    <row r="754" s="34" customFormat="1"/>
    <row r="755" s="34" customFormat="1"/>
    <row r="756" s="34" customFormat="1"/>
    <row r="757" s="34" customFormat="1"/>
    <row r="758" s="34" customFormat="1"/>
    <row r="759" s="34" customFormat="1"/>
    <row r="760" s="34" customFormat="1"/>
    <row r="761" s="34" customFormat="1"/>
    <row r="762" s="34" customFormat="1"/>
    <row r="763" s="34" customFormat="1"/>
    <row r="764" s="34" customFormat="1"/>
    <row r="765" s="34" customFormat="1"/>
    <row r="766" s="34" customFormat="1"/>
    <row r="767" s="34" customFormat="1"/>
    <row r="768" s="34" customFormat="1"/>
    <row r="769" s="34" customFormat="1"/>
    <row r="770" s="34" customFormat="1"/>
    <row r="771" s="34" customFormat="1"/>
    <row r="772" s="34" customFormat="1"/>
    <row r="773" s="34" customFormat="1"/>
    <row r="774" s="34" customFormat="1"/>
    <row r="775" s="34" customFormat="1"/>
    <row r="776" s="34" customFormat="1"/>
    <row r="777" s="34" customFormat="1"/>
    <row r="778" s="34" customFormat="1"/>
    <row r="779" s="34" customFormat="1"/>
    <row r="780" s="34" customFormat="1"/>
    <row r="781" s="34" customFormat="1"/>
    <row r="782" s="34" customFormat="1"/>
    <row r="783" s="34" customFormat="1"/>
    <row r="784" s="34" customFormat="1"/>
    <row r="785" s="34" customFormat="1"/>
    <row r="786" s="34" customFormat="1"/>
    <row r="787" s="34" customFormat="1"/>
    <row r="788" s="34" customFormat="1"/>
    <row r="789" s="34" customFormat="1"/>
    <row r="790" s="34" customFormat="1"/>
    <row r="791" s="34" customFormat="1"/>
    <row r="792" s="34" customFormat="1"/>
    <row r="793" s="34" customFormat="1"/>
    <row r="794" s="34" customFormat="1"/>
    <row r="795" s="34" customFormat="1"/>
    <row r="796" s="34" customFormat="1"/>
    <row r="797" s="34" customFormat="1"/>
    <row r="798" s="34" customFormat="1"/>
    <row r="799" s="34" customFormat="1"/>
    <row r="800" s="34" customFormat="1"/>
    <row r="801" s="34" customFormat="1"/>
    <row r="802" s="34" customFormat="1"/>
    <row r="803" s="34" customFormat="1"/>
    <row r="804" s="34" customFormat="1"/>
    <row r="805" s="34" customFormat="1"/>
    <row r="806" s="34" customFormat="1"/>
    <row r="807" s="34" customFormat="1"/>
    <row r="808" s="34" customFormat="1"/>
    <row r="809" s="34" customFormat="1"/>
    <row r="810" s="34" customFormat="1"/>
    <row r="811" s="34" customFormat="1"/>
    <row r="812" s="34" customFormat="1"/>
    <row r="813" s="34" customFormat="1"/>
    <row r="814" s="34" customFormat="1"/>
    <row r="815" s="34" customFormat="1"/>
    <row r="816" s="34" customFormat="1"/>
    <row r="817" s="34" customFormat="1"/>
    <row r="818" s="34" customFormat="1"/>
    <row r="819" s="34" customFormat="1"/>
    <row r="820" s="34" customFormat="1"/>
    <row r="821" s="34" customFormat="1"/>
    <row r="822" s="34" customFormat="1"/>
    <row r="823" s="34" customFormat="1"/>
    <row r="824" s="34" customFormat="1"/>
    <row r="825" s="34" customFormat="1"/>
    <row r="826" s="34" customFormat="1"/>
    <row r="827" s="34" customFormat="1"/>
    <row r="828" s="34" customFormat="1"/>
    <row r="829" s="34" customFormat="1"/>
    <row r="830" s="34" customFormat="1"/>
    <row r="831" s="34" customFormat="1"/>
    <row r="832" s="34" customFormat="1"/>
    <row r="833" s="34" customFormat="1"/>
    <row r="834" s="34" customFormat="1"/>
    <row r="835" s="34" customFormat="1"/>
    <row r="836" s="34" customFormat="1"/>
    <row r="837" s="34" customFormat="1"/>
    <row r="838" s="34" customFormat="1"/>
    <row r="839" s="34" customFormat="1"/>
    <row r="840" s="34" customFormat="1"/>
    <row r="841" s="34" customFormat="1"/>
    <row r="842" s="34" customFormat="1"/>
    <row r="843" s="34" customFormat="1"/>
    <row r="844" s="34" customFormat="1"/>
    <row r="845" s="34" customFormat="1"/>
    <row r="846" s="34" customFormat="1"/>
    <row r="847" s="34" customFormat="1"/>
    <row r="848" s="34" customFormat="1"/>
    <row r="849" s="34" customFormat="1"/>
    <row r="850" s="34" customFormat="1"/>
    <row r="851" s="34" customFormat="1"/>
    <row r="852" s="34" customFormat="1"/>
    <row r="853" s="34" customFormat="1"/>
    <row r="854" s="34" customFormat="1"/>
    <row r="855" s="34" customFormat="1"/>
    <row r="856" s="34" customFormat="1"/>
    <row r="857" s="34" customFormat="1"/>
    <row r="858" s="34" customFormat="1"/>
    <row r="859" s="34" customFormat="1"/>
    <row r="860" s="34" customFormat="1"/>
    <row r="861" s="34" customFormat="1"/>
    <row r="862" s="34" customFormat="1"/>
    <row r="863" s="34" customFormat="1"/>
    <row r="864" s="34" customFormat="1"/>
    <row r="865" s="34" customFormat="1"/>
    <row r="866" s="34" customFormat="1"/>
    <row r="867" s="34" customFormat="1"/>
    <row r="868" s="34" customFormat="1"/>
    <row r="869" s="34" customFormat="1"/>
    <row r="870" s="34" customFormat="1"/>
    <row r="871" s="34" customFormat="1"/>
    <row r="872" s="34" customFormat="1"/>
    <row r="873" s="34" customFormat="1"/>
    <row r="874" s="34" customFormat="1"/>
    <row r="875" s="34" customFormat="1"/>
    <row r="876" s="34" customFormat="1"/>
    <row r="877" s="34" customFormat="1"/>
    <row r="878" s="34" customFormat="1"/>
    <row r="879" s="34" customFormat="1"/>
    <row r="880" s="34" customFormat="1"/>
    <row r="881" s="34" customFormat="1"/>
    <row r="882" s="34" customFormat="1"/>
    <row r="883" s="34" customFormat="1"/>
    <row r="884" s="34" customFormat="1"/>
    <row r="885" s="34" customFormat="1"/>
    <row r="886" s="34" customFormat="1"/>
    <row r="887" s="34" customFormat="1"/>
    <row r="888" s="34" customFormat="1"/>
    <row r="889" s="34" customFormat="1"/>
    <row r="890" s="34" customFormat="1"/>
    <row r="891" s="34" customFormat="1"/>
    <row r="892" s="34" customFormat="1"/>
    <row r="893" s="34" customFormat="1"/>
    <row r="894" s="34" customFormat="1"/>
    <row r="895" s="34" customFormat="1"/>
    <row r="896" s="34" customFormat="1"/>
    <row r="897" s="34" customFormat="1"/>
    <row r="898" s="34" customFormat="1"/>
    <row r="899" s="34" customFormat="1"/>
    <row r="900" s="34" customFormat="1"/>
    <row r="901" s="34" customFormat="1"/>
    <row r="902" s="34" customFormat="1"/>
    <row r="903" s="34" customFormat="1"/>
    <row r="904" s="34" customFormat="1"/>
    <row r="905" s="34" customFormat="1"/>
    <row r="906" s="34" customFormat="1"/>
    <row r="907" s="34" customFormat="1"/>
    <row r="908" s="34" customFormat="1"/>
    <row r="909" s="34" customFormat="1"/>
    <row r="910" s="34" customFormat="1"/>
    <row r="911" s="34" customFormat="1"/>
    <row r="912" s="34" customFormat="1"/>
    <row r="913" s="34" customFormat="1"/>
    <row r="914" s="34" customFormat="1"/>
    <row r="915" s="34" customFormat="1"/>
    <row r="916" s="34" customFormat="1"/>
    <row r="917" s="34" customFormat="1"/>
    <row r="918" s="34" customFormat="1"/>
    <row r="919" s="34" customFormat="1"/>
    <row r="920" s="34" customFormat="1"/>
    <row r="921" s="34" customFormat="1"/>
    <row r="922" s="34" customFormat="1"/>
    <row r="923" s="34" customFormat="1"/>
    <row r="924" s="34" customFormat="1"/>
    <row r="925" s="34" customFormat="1"/>
    <row r="926" s="34" customFormat="1"/>
    <row r="927" s="34" customFormat="1"/>
    <row r="928" s="34" customFormat="1"/>
    <row r="929" s="34" customFormat="1"/>
    <row r="930" s="34" customFormat="1"/>
    <row r="931" s="34" customFormat="1"/>
    <row r="932" s="34" customFormat="1"/>
    <row r="933" s="34" customFormat="1"/>
    <row r="934" s="34" customFormat="1"/>
    <row r="935" s="34" customFormat="1"/>
    <row r="936" s="34" customFormat="1"/>
    <row r="937" s="34" customFormat="1"/>
    <row r="938" s="34" customFormat="1"/>
    <row r="939" s="34" customFormat="1"/>
    <row r="940" s="34" customFormat="1"/>
    <row r="941" s="34" customFormat="1"/>
    <row r="942" s="34" customFormat="1"/>
    <row r="943" s="34" customFormat="1"/>
    <row r="944" s="34" customFormat="1"/>
    <row r="945" s="34" customFormat="1"/>
    <row r="946" s="34" customFormat="1"/>
    <row r="947" s="34" customFormat="1"/>
    <row r="948" s="34" customFormat="1"/>
    <row r="949" s="34" customFormat="1"/>
    <row r="950" s="34" customFormat="1"/>
    <row r="951" s="34" customFormat="1"/>
    <row r="952" s="34" customFormat="1"/>
    <row r="953" s="34" customFormat="1"/>
    <row r="954" s="34" customFormat="1"/>
    <row r="955" s="34" customFormat="1"/>
    <row r="956" s="34" customFormat="1"/>
    <row r="957" s="34" customFormat="1"/>
    <row r="958" s="34" customFormat="1"/>
    <row r="959" s="34" customFormat="1"/>
    <row r="960" s="34" customFormat="1"/>
    <row r="961" s="34" customFormat="1"/>
    <row r="962" s="34" customFormat="1"/>
    <row r="963" s="34" customFormat="1"/>
    <row r="964" s="34" customFormat="1"/>
    <row r="965" s="34" customFormat="1"/>
    <row r="966" s="34" customFormat="1"/>
    <row r="967" s="34" customFormat="1"/>
    <row r="968" s="34" customFormat="1"/>
    <row r="969" s="34" customFormat="1"/>
    <row r="970" s="34" customFormat="1"/>
    <row r="971" s="34" customFormat="1"/>
    <row r="972" s="34" customFormat="1"/>
    <row r="973" s="34" customFormat="1"/>
    <row r="974" s="34" customFormat="1"/>
    <row r="975" s="34" customFormat="1"/>
    <row r="976" s="34" customFormat="1"/>
    <row r="977" s="34" customFormat="1"/>
    <row r="978" s="34" customFormat="1"/>
    <row r="979" s="34" customFormat="1"/>
    <row r="980" s="34" customFormat="1"/>
    <row r="981" s="34" customFormat="1"/>
    <row r="982" s="34" customFormat="1"/>
    <row r="983" s="34" customFormat="1"/>
    <row r="984" s="34" customFormat="1"/>
    <row r="985" s="34" customFormat="1"/>
    <row r="986" s="34" customFormat="1"/>
    <row r="987" s="34" customFormat="1"/>
    <row r="988" s="34" customFormat="1"/>
    <row r="989" s="34" customFormat="1"/>
    <row r="990" s="34" customFormat="1"/>
    <row r="991" s="34" customFormat="1"/>
    <row r="992" s="34" customFormat="1"/>
    <row r="993" s="34" customFormat="1"/>
    <row r="994" s="34" customFormat="1"/>
    <row r="995" s="34" customFormat="1"/>
    <row r="996" s="34" customFormat="1"/>
    <row r="997" s="34" customFormat="1"/>
    <row r="998" s="34" customFormat="1"/>
    <row r="999" s="34" customFormat="1"/>
    <row r="1000" s="34" customFormat="1"/>
    <row r="1001" s="34" customFormat="1"/>
    <row r="1002" s="34" customFormat="1"/>
    <row r="1003" s="34" customFormat="1"/>
    <row r="1004" s="34" customFormat="1"/>
    <row r="1005" s="34" customFormat="1"/>
    <row r="1006" s="34" customFormat="1"/>
    <row r="1007" s="34" customFormat="1"/>
    <row r="1008" s="34" customFormat="1"/>
    <row r="1009" s="34" customFormat="1"/>
    <row r="1010" s="34" customFormat="1"/>
    <row r="1011" s="34" customFormat="1"/>
    <row r="1012" s="34" customFormat="1"/>
    <row r="1013" s="34" customFormat="1"/>
    <row r="1014" s="34" customFormat="1"/>
    <row r="1015" s="34" customFormat="1"/>
    <row r="1016" s="34" customFormat="1"/>
    <row r="1017" s="34" customFormat="1"/>
    <row r="1018" s="34" customFormat="1"/>
    <row r="1019" s="34" customFormat="1"/>
    <row r="1020" s="34" customFormat="1"/>
    <row r="1021" s="34" customFormat="1"/>
    <row r="1022" s="34" customFormat="1"/>
    <row r="1023" s="34" customFormat="1"/>
    <row r="1024" s="34" customFormat="1"/>
    <row r="1025" s="34" customFormat="1"/>
    <row r="1026" s="34" customFormat="1"/>
    <row r="1027" s="34" customFormat="1"/>
    <row r="1028" s="34" customFormat="1"/>
    <row r="1029" s="34" customFormat="1"/>
    <row r="1030" s="34" customFormat="1"/>
    <row r="1031" s="34" customFormat="1"/>
    <row r="1032" s="34" customFormat="1"/>
    <row r="1033" s="34" customFormat="1"/>
    <row r="1034" s="34" customFormat="1"/>
    <row r="1035" s="34" customFormat="1"/>
    <row r="1036" s="34" customFormat="1"/>
    <row r="1037" s="34" customFormat="1"/>
    <row r="1038" s="34" customFormat="1"/>
    <row r="1039" s="34" customFormat="1"/>
    <row r="1040" s="34" customFormat="1"/>
    <row r="1041" s="34" customFormat="1"/>
    <row r="1042" s="34" customFormat="1"/>
    <row r="1043" s="34" customFormat="1"/>
    <row r="1044" s="34" customFormat="1"/>
    <row r="1045" s="34" customFormat="1"/>
    <row r="1046" s="34" customFormat="1"/>
    <row r="1047" s="34" customFormat="1"/>
    <row r="1048" s="34" customFormat="1"/>
    <row r="1049" s="34" customFormat="1"/>
    <row r="1050" s="34" customFormat="1"/>
    <row r="1051" s="34" customFormat="1"/>
    <row r="1052" s="34" customFormat="1"/>
    <row r="1053" s="34" customFormat="1"/>
    <row r="1054" s="34" customFormat="1"/>
    <row r="1055" s="34" customFormat="1"/>
    <row r="1056" s="34" customFormat="1"/>
    <row r="1057" s="34" customFormat="1"/>
    <row r="1058" s="34" customFormat="1"/>
    <row r="1059" s="34" customFormat="1"/>
    <row r="1060" s="34" customFormat="1"/>
    <row r="1061" s="34" customFormat="1"/>
    <row r="1062" s="34" customFormat="1"/>
    <row r="1063" s="34" customFormat="1"/>
    <row r="1064" s="34" customFormat="1"/>
    <row r="1065" s="34" customFormat="1"/>
    <row r="1066" s="34" customFormat="1"/>
    <row r="1067" s="34" customFormat="1"/>
    <row r="1068" s="34" customFormat="1"/>
    <row r="1069" s="34" customFormat="1"/>
    <row r="1070" s="34" customFormat="1"/>
    <row r="1071" s="34" customFormat="1"/>
    <row r="1072" s="34" customFormat="1"/>
    <row r="1073" s="34" customFormat="1"/>
    <row r="1074" s="34" customFormat="1"/>
    <row r="1075" s="34" customFormat="1"/>
    <row r="1076" s="34" customFormat="1"/>
    <row r="1077" s="34" customFormat="1"/>
    <row r="1078" s="34" customFormat="1"/>
    <row r="1079" s="34" customFormat="1"/>
    <row r="1080" s="34" customFormat="1"/>
    <row r="1081" s="34" customFormat="1"/>
    <row r="1082" s="34" customFormat="1"/>
    <row r="1083" s="34" customFormat="1"/>
    <row r="1084" s="34" customFormat="1"/>
    <row r="1085" s="34" customFormat="1"/>
    <row r="1086" s="34" customFormat="1"/>
    <row r="1087" s="34" customFormat="1"/>
    <row r="1088" s="34" customFormat="1"/>
    <row r="1089" s="34" customFormat="1"/>
    <row r="1090" s="34" customFormat="1"/>
    <row r="1091" s="34" customFormat="1"/>
    <row r="1092" s="34" customFormat="1"/>
    <row r="1093" s="34" customFormat="1"/>
    <row r="1094" s="34" customFormat="1"/>
    <row r="1095" s="34" customFormat="1"/>
    <row r="1096" s="34" customFormat="1"/>
    <row r="1097" s="34" customFormat="1"/>
    <row r="1098" s="34" customFormat="1"/>
    <row r="1099" s="34" customFormat="1"/>
    <row r="1100" s="34" customFormat="1"/>
    <row r="1101" s="34" customFormat="1"/>
    <row r="1102" s="34" customFormat="1"/>
    <row r="1103" s="34" customFormat="1"/>
    <row r="1104" s="34" customFormat="1"/>
    <row r="1105" s="34" customFormat="1"/>
    <row r="1106" s="34" customFormat="1"/>
    <row r="1107" s="34" customFormat="1"/>
    <row r="1108" s="34" customFormat="1"/>
    <row r="1109" s="34" customFormat="1"/>
    <row r="1110" s="34" customFormat="1"/>
    <row r="1111" s="34" customFormat="1"/>
    <row r="1112" s="34" customFormat="1"/>
    <row r="1113" s="34" customFormat="1"/>
    <row r="1114" s="34" customFormat="1"/>
    <row r="1115" s="34" customFormat="1"/>
    <row r="1116" s="34" customFormat="1"/>
    <row r="1117" s="34" customFormat="1"/>
    <row r="1118" s="34" customFormat="1"/>
    <row r="1119" s="34" customFormat="1"/>
    <row r="1120" s="34" customFormat="1"/>
    <row r="1121" s="34" customFormat="1"/>
    <row r="1122" s="34" customFormat="1"/>
    <row r="1123" s="34" customFormat="1"/>
    <row r="1124" s="34" customFormat="1"/>
    <row r="1125" s="34" customFormat="1"/>
    <row r="1126" s="34" customFormat="1"/>
    <row r="1127" s="34" customFormat="1"/>
    <row r="1128" s="34" customFormat="1"/>
    <row r="1129" s="34" customFormat="1"/>
    <row r="1130" s="34" customFormat="1"/>
    <row r="1131" s="34" customFormat="1"/>
    <row r="1132" s="34" customFormat="1"/>
    <row r="1133" s="34" customFormat="1"/>
    <row r="1134" s="34" customFormat="1"/>
    <row r="1135" s="34" customFormat="1"/>
    <row r="1136" s="34" customFormat="1"/>
    <row r="1137" s="34" customFormat="1"/>
    <row r="1138" s="34" customFormat="1"/>
    <row r="1139" s="34" customFormat="1"/>
    <row r="1140" s="34" customFormat="1"/>
    <row r="1141" s="34" customFormat="1"/>
    <row r="1142" s="34" customFormat="1"/>
    <row r="1143" s="34" customFormat="1"/>
    <row r="1144" s="34" customFormat="1"/>
    <row r="1145" s="34" customFormat="1"/>
    <row r="1146" s="34" customFormat="1"/>
    <row r="1147" s="34" customFormat="1"/>
    <row r="1148" s="34" customFormat="1"/>
    <row r="1149" s="34" customFormat="1"/>
    <row r="1150" s="34" customFormat="1"/>
    <row r="1151" s="34" customFormat="1"/>
    <row r="1152" s="34" customFormat="1"/>
    <row r="1153" s="34" customFormat="1"/>
    <row r="1154" s="34" customFormat="1"/>
    <row r="1155" s="34" customFormat="1"/>
    <row r="1156" s="34" customFormat="1"/>
    <row r="1157" s="34" customFormat="1"/>
    <row r="1158" s="34" customFormat="1"/>
    <row r="1159" s="34" customFormat="1"/>
    <row r="1160" s="34" customFormat="1"/>
    <row r="1161" s="34" customFormat="1"/>
    <row r="1162" s="34" customFormat="1"/>
    <row r="1163" s="34" customFormat="1"/>
    <row r="1164" s="34" customFormat="1"/>
    <row r="1165" s="34" customFormat="1"/>
    <row r="1166" s="34" customFormat="1"/>
    <row r="1167" s="34" customFormat="1"/>
    <row r="1168" s="34" customFormat="1"/>
    <row r="1169" s="34" customFormat="1"/>
    <row r="1170" s="34" customFormat="1"/>
    <row r="1171" s="34" customFormat="1"/>
    <row r="1172" s="34" customFormat="1"/>
    <row r="1173" s="34" customFormat="1"/>
    <row r="1174" s="34" customFormat="1"/>
    <row r="1175" s="34" customFormat="1"/>
    <row r="1176" s="34" customFormat="1"/>
    <row r="1177" s="34" customFormat="1"/>
    <row r="1178" s="34" customFormat="1"/>
    <row r="1179" s="34" customFormat="1"/>
    <row r="1180" s="34" customFormat="1"/>
    <row r="1181" s="34" customFormat="1"/>
    <row r="1182" s="34" customFormat="1"/>
    <row r="1183" s="34" customFormat="1"/>
    <row r="1184" s="34" customFormat="1"/>
    <row r="1185" s="34" customFormat="1"/>
    <row r="1186" s="34" customFormat="1"/>
    <row r="1187" s="34" customFormat="1"/>
    <row r="1188" s="34" customFormat="1"/>
    <row r="1189" s="34" customFormat="1"/>
    <row r="1190" s="34" customFormat="1"/>
    <row r="1191" s="34" customFormat="1"/>
    <row r="1192" s="34" customFormat="1"/>
    <row r="1193" s="34" customFormat="1"/>
    <row r="1194" s="34" customFormat="1"/>
    <row r="1195" s="34" customFormat="1"/>
    <row r="1196" s="34" customFormat="1"/>
    <row r="1197" s="34" customFormat="1"/>
    <row r="1198" s="34" customFormat="1"/>
    <row r="1199" s="34" customFormat="1"/>
    <row r="1200" s="34" customFormat="1"/>
    <row r="1201" s="34" customFormat="1"/>
    <row r="1202" s="34" customFormat="1"/>
    <row r="1203" s="34" customFormat="1"/>
    <row r="1204" s="34" customFormat="1"/>
    <row r="1205" s="34" customFormat="1"/>
    <row r="1206" s="34" customFormat="1"/>
    <row r="1207" s="34" customFormat="1"/>
    <row r="1208" s="34" customFormat="1"/>
    <row r="1209" s="34" customFormat="1"/>
    <row r="1210" s="34" customFormat="1"/>
    <row r="1211" s="34" customFormat="1"/>
    <row r="1212" s="34" customFormat="1"/>
    <row r="1213" s="34" customFormat="1"/>
    <row r="1214" s="34" customFormat="1"/>
    <row r="1215" s="34" customFormat="1"/>
    <row r="1216" s="34" customFormat="1"/>
    <row r="1217" s="34" customFormat="1"/>
    <row r="1218" s="34" customFormat="1"/>
    <row r="1219" s="34" customFormat="1"/>
    <row r="1220" s="34" customFormat="1"/>
    <row r="1221" s="34" customFormat="1"/>
    <row r="1222" s="34" customFormat="1"/>
    <row r="1223" s="34" customFormat="1"/>
    <row r="1224" s="34" customFormat="1"/>
    <row r="1225" s="34" customFormat="1"/>
    <row r="1226" s="34" customFormat="1"/>
    <row r="1227" s="34" customFormat="1"/>
    <row r="1228" s="34" customFormat="1"/>
    <row r="1229" s="34" customFormat="1"/>
    <row r="1230" s="34" customFormat="1"/>
    <row r="1231" s="34" customFormat="1"/>
    <row r="1232" s="34" customFormat="1"/>
    <row r="1233" s="34" customFormat="1"/>
    <row r="1234" s="34" customFormat="1"/>
    <row r="1235" s="34" customFormat="1"/>
    <row r="1236" s="34" customFormat="1"/>
    <row r="1237" s="34" customFormat="1"/>
    <row r="1238" s="34" customFormat="1"/>
    <row r="1239" s="34" customFormat="1"/>
    <row r="1240" s="34" customFormat="1"/>
    <row r="1241" s="34" customFormat="1"/>
    <row r="1242" s="34" customFormat="1"/>
    <row r="1243" s="34" customFormat="1"/>
    <row r="1244" s="34" customFormat="1"/>
    <row r="1245" s="34" customFormat="1"/>
    <row r="1246" s="34" customFormat="1"/>
    <row r="1247" s="34" customFormat="1"/>
    <row r="1248" s="34" customFormat="1"/>
    <row r="1249" s="34" customFormat="1"/>
    <row r="1250" s="34" customFormat="1"/>
    <row r="1251" s="34" customFormat="1"/>
    <row r="1252" s="34" customFormat="1"/>
    <row r="1253" s="34" customFormat="1"/>
    <row r="1254" s="34" customFormat="1"/>
    <row r="1255" s="34" customFormat="1"/>
    <row r="1256" s="34" customFormat="1"/>
    <row r="1257" s="34" customFormat="1"/>
    <row r="1258" s="34" customFormat="1"/>
    <row r="1259" s="34" customFormat="1"/>
    <row r="1260" s="34" customFormat="1"/>
    <row r="1261" s="34" customFormat="1"/>
    <row r="1262" s="34" customFormat="1"/>
    <row r="1263" s="34" customFormat="1"/>
    <row r="1264" s="34" customFormat="1"/>
    <row r="1265" s="34" customFormat="1"/>
    <row r="1266" s="34" customFormat="1"/>
    <row r="1267" s="34" customFormat="1"/>
    <row r="1268" s="34" customFormat="1"/>
    <row r="1269" s="34" customFormat="1"/>
    <row r="1270" s="34" customFormat="1"/>
    <row r="1271" s="34" customFormat="1"/>
    <row r="1272" s="34" customFormat="1"/>
    <row r="1273" s="34" customFormat="1"/>
    <row r="1274" s="34" customFormat="1"/>
    <row r="1275" s="34" customFormat="1"/>
    <row r="1276" s="34" customFormat="1"/>
    <row r="1277" s="34" customFormat="1"/>
    <row r="1278" s="34" customFormat="1"/>
    <row r="1279" s="34" customFormat="1"/>
    <row r="1280" s="34" customFormat="1"/>
    <row r="1281" s="34" customFormat="1"/>
    <row r="1282" s="34" customFormat="1"/>
    <row r="1283" s="34" customFormat="1"/>
    <row r="1284" s="34" customFormat="1"/>
    <row r="1285" s="34" customFormat="1"/>
    <row r="1286" s="34" customFormat="1"/>
    <row r="1287" s="34" customFormat="1"/>
    <row r="1288" s="34" customFormat="1"/>
    <row r="1289" s="34" customFormat="1"/>
    <row r="1290" s="34" customFormat="1"/>
    <row r="1291" s="34" customFormat="1"/>
    <row r="1292" s="34" customFormat="1"/>
    <row r="1293" s="34" customFormat="1"/>
    <row r="1294" s="34" customFormat="1"/>
    <row r="1295" s="34" customFormat="1"/>
    <row r="1296" s="34" customFormat="1"/>
    <row r="1297" s="34" customFormat="1"/>
    <row r="1298" s="34" customFormat="1"/>
    <row r="1299" s="34" customFormat="1"/>
    <row r="1300" s="34" customFormat="1"/>
    <row r="1301" s="34" customFormat="1"/>
    <row r="1302" s="34" customFormat="1"/>
    <row r="1303" s="34" customFormat="1"/>
    <row r="1304" s="34" customFormat="1"/>
    <row r="1305" s="34" customFormat="1"/>
    <row r="1306" s="34" customFormat="1"/>
    <row r="1307" s="34" customFormat="1"/>
    <row r="1308" s="34" customFormat="1"/>
    <row r="1309" s="34" customFormat="1"/>
    <row r="1310" s="34" customFormat="1"/>
    <row r="1311" s="34" customFormat="1"/>
    <row r="1312" s="34" customFormat="1"/>
    <row r="1313" s="34" customFormat="1"/>
    <row r="1314" s="34" customFormat="1"/>
    <row r="1315" s="34" customFormat="1"/>
    <row r="1316" s="34" customFormat="1"/>
    <row r="1317" s="34" customFormat="1"/>
    <row r="1318" s="34" customFormat="1"/>
    <row r="1319" s="34" customFormat="1"/>
    <row r="1320" s="34" customFormat="1"/>
    <row r="1321" s="34" customFormat="1"/>
    <row r="1322" s="34" customFormat="1"/>
    <row r="1323" s="34" customFormat="1"/>
    <row r="1324" s="34" customFormat="1"/>
    <row r="1325" s="34" customFormat="1"/>
    <row r="1326" s="34" customFormat="1"/>
    <row r="1327" s="34" customFormat="1"/>
    <row r="1328" s="34" customFormat="1"/>
    <row r="1329" s="34" customFormat="1"/>
    <row r="1330" s="34" customFormat="1"/>
    <row r="1331" s="34" customFormat="1"/>
    <row r="1332" s="34" customFormat="1"/>
    <row r="1333" s="34" customFormat="1"/>
    <row r="1334" s="34" customFormat="1"/>
    <row r="1335" s="34" customFormat="1"/>
    <row r="1336" s="34" customFormat="1"/>
    <row r="1337" s="34" customFormat="1"/>
    <row r="1338" s="34" customFormat="1"/>
    <row r="1339" s="34" customFormat="1"/>
    <row r="1340" s="34" customFormat="1"/>
    <row r="1341" s="34" customFormat="1"/>
    <row r="1342" s="34" customFormat="1"/>
    <row r="1343" s="34" customFormat="1"/>
    <row r="1344" s="34" customFormat="1"/>
    <row r="1345" s="34" customFormat="1"/>
    <row r="1346" s="34" customFormat="1"/>
    <row r="1347" s="34" customFormat="1"/>
    <row r="1348" s="34" customFormat="1"/>
    <row r="1349" s="34" customFormat="1"/>
    <row r="1350" s="34" customFormat="1"/>
    <row r="1351" s="34" customFormat="1"/>
    <row r="1352" s="34" customFormat="1"/>
    <row r="1353" s="34" customFormat="1"/>
    <row r="1354" s="34" customFormat="1"/>
    <row r="1355" s="34" customFormat="1"/>
    <row r="1356" s="34" customFormat="1"/>
    <row r="1357" s="34" customFormat="1"/>
    <row r="1358" s="34" customFormat="1"/>
    <row r="1359" s="34" customFormat="1"/>
    <row r="1360" s="34" customFormat="1"/>
    <row r="1361" s="34" customFormat="1"/>
    <row r="1362" s="34" customFormat="1"/>
    <row r="1363" s="34" customFormat="1"/>
    <row r="1364" s="34" customFormat="1"/>
    <row r="1365" s="34" customFormat="1"/>
    <row r="1366" s="34" customFormat="1"/>
    <row r="1367" s="34" customFormat="1"/>
    <row r="1368" s="34" customFormat="1"/>
    <row r="1369" s="34" customFormat="1"/>
    <row r="1370" s="34" customFormat="1"/>
    <row r="1371" s="34" customFormat="1"/>
    <row r="1372" s="34" customFormat="1"/>
    <row r="1373" s="34" customFormat="1"/>
    <row r="1374" s="34" customFormat="1"/>
    <row r="1375" s="34" customFormat="1"/>
    <row r="1376" s="34" customFormat="1"/>
    <row r="1377" s="34" customFormat="1"/>
    <row r="1378" s="34" customFormat="1"/>
    <row r="1379" s="34" customFormat="1"/>
    <row r="1380" s="34" customFormat="1"/>
    <row r="1381" s="34" customFormat="1"/>
    <row r="1382" s="34" customFormat="1"/>
    <row r="1383" s="34" customFormat="1"/>
    <row r="1384" s="34" customFormat="1"/>
    <row r="1385" s="34" customFormat="1"/>
    <row r="1386" s="34" customFormat="1"/>
    <row r="1387" s="34" customFormat="1"/>
    <row r="1388" s="34" customFormat="1"/>
    <row r="1389" s="34" customFormat="1"/>
    <row r="1390" s="34" customFormat="1"/>
    <row r="1391" s="34" customFormat="1"/>
    <row r="1392" s="34" customFormat="1"/>
    <row r="1393" s="34" customFormat="1"/>
    <row r="1394" s="34" customFormat="1"/>
    <row r="1395" s="34" customFormat="1"/>
    <row r="1396" s="34" customFormat="1"/>
    <row r="1397" s="34" customFormat="1"/>
    <row r="1398" s="34" customFormat="1"/>
    <row r="1399" s="34" customFormat="1"/>
    <row r="1400" s="34" customFormat="1"/>
    <row r="1401" s="34" customFormat="1"/>
    <row r="1402" s="34" customFormat="1"/>
    <row r="1403" s="34" customFormat="1"/>
    <row r="1404" s="34" customFormat="1"/>
    <row r="1405" s="34" customFormat="1"/>
    <row r="1406" s="34" customFormat="1"/>
    <row r="1407" s="34" customFormat="1"/>
    <row r="1408" s="34" customFormat="1"/>
    <row r="1409" s="34" customFormat="1"/>
    <row r="1410" s="34" customFormat="1"/>
    <row r="1411" s="34" customFormat="1"/>
    <row r="1412" s="34" customFormat="1"/>
    <row r="1413" s="34" customFormat="1"/>
    <row r="1414" s="34" customFormat="1"/>
    <row r="1415" s="34" customFormat="1"/>
    <row r="1416" s="34" customFormat="1"/>
    <row r="1417" s="34" customFormat="1"/>
    <row r="1418" s="34" customFormat="1"/>
    <row r="1419" s="34" customFormat="1"/>
    <row r="1420" s="34" customFormat="1"/>
    <row r="1421" s="34" customFormat="1"/>
    <row r="1422" s="34" customFormat="1"/>
    <row r="1423" s="34" customFormat="1"/>
    <row r="1424" s="34" customFormat="1"/>
    <row r="1425" s="34" customFormat="1"/>
    <row r="1426" s="34" customFormat="1"/>
    <row r="1427" s="34" customFormat="1"/>
    <row r="1428" s="34" customFormat="1"/>
    <row r="1429" s="34" customFormat="1"/>
    <row r="1430" s="34" customFormat="1"/>
    <row r="1431" s="34" customFormat="1"/>
    <row r="1432" s="34" customFormat="1"/>
    <row r="1433" s="34" customFormat="1"/>
    <row r="1434" s="34" customFormat="1"/>
    <row r="1435" s="34" customFormat="1"/>
    <row r="1436" s="34" customFormat="1"/>
    <row r="1437" s="34" customFormat="1"/>
    <row r="1438" s="34" customFormat="1"/>
    <row r="1439" s="34" customFormat="1"/>
    <row r="1440" s="34" customFormat="1"/>
    <row r="1441" s="34" customFormat="1"/>
    <row r="1442" s="34" customFormat="1"/>
    <row r="1443" s="34" customFormat="1"/>
    <row r="1444" s="34" customFormat="1"/>
    <row r="1445" s="34" customFormat="1"/>
    <row r="1446" s="34" customFormat="1"/>
    <row r="1447" s="34" customFormat="1"/>
    <row r="1448" s="34" customFormat="1"/>
    <row r="1449" s="34" customFormat="1"/>
    <row r="1450" s="34" customFormat="1"/>
    <row r="1451" s="34" customFormat="1"/>
    <row r="1452" s="34" customFormat="1"/>
    <row r="1453" s="34" customFormat="1"/>
    <row r="1454" s="34" customFormat="1"/>
    <row r="1455" s="34" customFormat="1"/>
    <row r="1456" s="34" customFormat="1"/>
    <row r="1457" s="34" customFormat="1"/>
    <row r="1458" s="34" customFormat="1"/>
    <row r="1459" s="34" customFormat="1"/>
    <row r="1460" s="34" customFormat="1"/>
    <row r="1461" s="34" customFormat="1"/>
    <row r="1462" s="34" customFormat="1"/>
    <row r="1463" s="34" customFormat="1"/>
    <row r="1464" s="34" customFormat="1"/>
    <row r="1465" s="34" customFormat="1"/>
    <row r="1466" s="34" customFormat="1"/>
    <row r="1467" s="34" customFormat="1"/>
    <row r="1468" s="34" customFormat="1"/>
    <row r="1469" s="34" customFormat="1"/>
    <row r="1470" s="34" customFormat="1"/>
    <row r="1471" s="34" customFormat="1"/>
    <row r="1472" s="34" customFormat="1"/>
    <row r="1473" s="34" customFormat="1"/>
    <row r="1474" s="34" customFormat="1"/>
    <row r="1475" s="34" customFormat="1"/>
    <row r="1476" s="34" customFormat="1"/>
    <row r="1477" s="34" customFormat="1"/>
    <row r="1478" s="34" customFormat="1"/>
    <row r="1479" s="34" customFormat="1"/>
    <row r="1480" s="34" customFormat="1"/>
    <row r="1481" s="34" customFormat="1"/>
    <row r="1482" s="34" customFormat="1"/>
    <row r="1483" s="34" customFormat="1"/>
    <row r="1484" s="34" customFormat="1"/>
    <row r="1485" s="34" customFormat="1"/>
    <row r="1486" s="34" customFormat="1"/>
    <row r="1487" s="34" customFormat="1"/>
    <row r="1488" s="34" customFormat="1"/>
    <row r="1489" s="34" customFormat="1"/>
    <row r="1490" s="34" customFormat="1"/>
    <row r="1491" s="34" customFormat="1"/>
    <row r="1492" s="34" customFormat="1"/>
    <row r="1493" s="34" customFormat="1"/>
    <row r="1494" s="34" customFormat="1"/>
    <row r="1495" s="34" customFormat="1"/>
    <row r="1496" s="34" customFormat="1"/>
    <row r="1497" s="34" customFormat="1"/>
    <row r="1498" s="34" customFormat="1"/>
    <row r="1499" s="34" customFormat="1"/>
    <row r="1500" s="34" customFormat="1"/>
    <row r="1501" s="34" customFormat="1"/>
    <row r="1502" s="34" customFormat="1"/>
    <row r="1503" s="34" customFormat="1"/>
    <row r="1504" s="34" customFormat="1"/>
    <row r="1505" s="34" customFormat="1"/>
    <row r="1506" s="34" customFormat="1"/>
    <row r="1507" s="34" customFormat="1"/>
    <row r="1508" s="34" customFormat="1"/>
    <row r="1509" s="34" customFormat="1"/>
    <row r="1510" s="34" customFormat="1"/>
    <row r="1511" s="34" customFormat="1"/>
    <row r="1512" s="34" customFormat="1"/>
    <row r="1513" s="34" customFormat="1"/>
    <row r="1514" s="34" customFormat="1"/>
    <row r="1515" s="34" customFormat="1"/>
    <row r="1516" s="34" customFormat="1"/>
    <row r="1517" s="34" customFormat="1"/>
    <row r="1518" s="34" customFormat="1"/>
    <row r="1519" s="34" customFormat="1"/>
    <row r="1520" s="34" customFormat="1"/>
    <row r="1521" s="34" customFormat="1"/>
    <row r="1522" s="34" customFormat="1"/>
    <row r="1523" s="34" customFormat="1"/>
    <row r="1524" s="34" customFormat="1"/>
    <row r="1525" s="34" customFormat="1"/>
    <row r="1526" s="34" customFormat="1"/>
    <row r="1527" s="34" customFormat="1"/>
    <row r="1528" s="34" customFormat="1"/>
    <row r="1529" s="34" customFormat="1"/>
    <row r="1530" s="34" customFormat="1"/>
    <row r="1531" s="34" customFormat="1"/>
    <row r="1532" s="34" customFormat="1"/>
    <row r="1533" s="34" customFormat="1"/>
    <row r="1534" s="34" customFormat="1"/>
    <row r="1535" s="34" customFormat="1"/>
    <row r="1536" s="34" customFormat="1"/>
    <row r="1537" s="34" customFormat="1"/>
    <row r="1538" s="34" customFormat="1"/>
    <row r="1539" s="34" customFormat="1"/>
    <row r="1540" s="34" customFormat="1"/>
    <row r="1541" s="34" customFormat="1"/>
    <row r="1542" s="34" customFormat="1"/>
    <row r="1543" s="34" customFormat="1"/>
    <row r="1544" s="34" customFormat="1"/>
    <row r="1545" s="34" customFormat="1"/>
    <row r="1546" s="34" customFormat="1"/>
    <row r="1547" s="34" customFormat="1"/>
    <row r="1548" s="34" customFormat="1"/>
    <row r="1549" s="34" customFormat="1"/>
    <row r="1550" s="34" customFormat="1"/>
    <row r="1551" s="34" customFormat="1"/>
    <row r="1552" s="34" customFormat="1"/>
    <row r="1553" s="34" customFormat="1"/>
    <row r="1554" s="34" customFormat="1"/>
    <row r="1555" s="34" customFormat="1"/>
    <row r="1556" s="34" customFormat="1"/>
    <row r="1557" s="34" customFormat="1"/>
    <row r="1558" s="34" customFormat="1"/>
    <row r="1559" s="34" customFormat="1"/>
    <row r="1560" s="34" customFormat="1"/>
    <row r="1561" s="34" customFormat="1"/>
    <row r="1562" s="34" customFormat="1"/>
    <row r="1563" s="34" customFormat="1"/>
    <row r="1564" s="34" customFormat="1"/>
    <row r="1565" s="34" customFormat="1"/>
    <row r="1566" s="34" customFormat="1"/>
    <row r="1567" s="34" customFormat="1"/>
    <row r="1568" s="34" customFormat="1"/>
    <row r="1569" s="34" customFormat="1"/>
    <row r="1570" s="34" customFormat="1"/>
    <row r="1571" s="34" customFormat="1"/>
    <row r="1572" s="34" customFormat="1"/>
    <row r="1573" s="34" customFormat="1"/>
    <row r="1574" s="34" customFormat="1"/>
    <row r="1575" s="34" customFormat="1"/>
    <row r="1576" s="34" customFormat="1"/>
    <row r="1577" s="34" customFormat="1"/>
    <row r="1578" s="34" customFormat="1"/>
    <row r="1579" s="34" customFormat="1"/>
    <row r="1580" s="34" customFormat="1"/>
    <row r="1581" s="34" customFormat="1"/>
    <row r="1582" s="34" customFormat="1"/>
    <row r="1583" s="34" customFormat="1"/>
    <row r="1584" s="34" customFormat="1"/>
    <row r="1585" s="34" customFormat="1"/>
    <row r="1586" s="34" customFormat="1"/>
    <row r="1587" s="34" customFormat="1"/>
    <row r="1588" s="34" customFormat="1"/>
    <row r="1589" s="34" customFormat="1"/>
    <row r="1590" s="34" customFormat="1"/>
    <row r="1591" s="34" customFormat="1"/>
    <row r="1592" s="34" customFormat="1"/>
    <row r="1593" s="34" customFormat="1"/>
    <row r="1594" s="34" customFormat="1"/>
    <row r="1595" s="34" customFormat="1"/>
    <row r="1596" s="34" customFormat="1"/>
    <row r="1597" s="34" customFormat="1"/>
    <row r="1598" s="34" customFormat="1"/>
    <row r="1599" s="34" customFormat="1"/>
    <row r="1600" s="34" customFormat="1"/>
    <row r="1601" s="34" customFormat="1"/>
    <row r="1602" s="34" customFormat="1"/>
    <row r="1603" s="34" customFormat="1"/>
    <row r="1604" s="34" customFormat="1"/>
    <row r="1605" s="34" customFormat="1"/>
    <row r="1606" s="34" customFormat="1"/>
    <row r="1607" s="34" customFormat="1"/>
    <row r="1608" s="34" customFormat="1"/>
    <row r="1609" s="34" customFormat="1"/>
    <row r="1610" s="34" customFormat="1"/>
    <row r="1611" s="34" customFormat="1"/>
    <row r="1612" s="34" customFormat="1"/>
    <row r="1613" s="34" customFormat="1"/>
    <row r="1614" s="34" customFormat="1"/>
    <row r="1615" s="34" customFormat="1"/>
    <row r="1616" s="34" customFormat="1"/>
    <row r="1617" s="34" customFormat="1"/>
    <row r="1618" s="34" customFormat="1"/>
    <row r="1619" s="34" customFormat="1"/>
    <row r="1620" s="34" customFormat="1"/>
    <row r="1621" s="34" customFormat="1"/>
    <row r="1622" s="34" customFormat="1"/>
    <row r="1623" s="34" customFormat="1"/>
    <row r="1624" s="34" customFormat="1"/>
    <row r="1625" s="34" customFormat="1"/>
    <row r="1626" s="34" customFormat="1"/>
    <row r="1627" s="34" customFormat="1"/>
    <row r="1628" s="34" customFormat="1"/>
    <row r="1629" s="34" customFormat="1"/>
    <row r="1630" s="34" customFormat="1"/>
    <row r="1631" s="34" customFormat="1"/>
    <row r="1632" s="34" customFormat="1"/>
    <row r="1633" s="34" customFormat="1"/>
    <row r="1634" s="34" customFormat="1"/>
    <row r="1635" s="34" customFormat="1"/>
    <row r="1636" s="34" customFormat="1"/>
    <row r="1637" s="34" customFormat="1"/>
    <row r="1638" s="34" customFormat="1"/>
    <row r="1639" s="34" customFormat="1"/>
    <row r="1640" s="34" customFormat="1"/>
    <row r="1641" s="34" customFormat="1"/>
    <row r="1642" s="34" customFormat="1"/>
    <row r="1643" s="34" customFormat="1"/>
    <row r="1644" s="34" customFormat="1"/>
    <row r="1645" s="34" customFormat="1"/>
    <row r="1646" s="34" customFormat="1"/>
    <row r="1647" s="34" customFormat="1"/>
    <row r="1648" s="34" customFormat="1"/>
    <row r="1649" s="34" customFormat="1"/>
    <row r="1650" s="34" customFormat="1"/>
    <row r="1651" s="34" customFormat="1"/>
    <row r="1652" s="34" customFormat="1"/>
    <row r="1653" s="34" customFormat="1"/>
    <row r="1654" s="34" customFormat="1"/>
    <row r="1655" s="34" customFormat="1"/>
    <row r="1656" s="34" customFormat="1"/>
    <row r="1657" s="34" customFormat="1"/>
    <row r="1658" s="34" customFormat="1"/>
    <row r="1659" s="34" customFormat="1"/>
    <row r="1660" s="34" customFormat="1"/>
    <row r="1661" s="34" customFormat="1"/>
    <row r="1662" s="34" customFormat="1"/>
    <row r="1663" s="34" customFormat="1"/>
    <row r="1664" s="34" customFormat="1"/>
    <row r="1665" s="34" customFormat="1"/>
    <row r="1666" s="34" customFormat="1"/>
    <row r="1667" s="34" customFormat="1"/>
    <row r="1668" s="34" customFormat="1"/>
    <row r="1669" s="34" customFormat="1"/>
    <row r="1670" s="34" customFormat="1"/>
    <row r="1671" s="34" customFormat="1"/>
    <row r="1672" s="34" customFormat="1"/>
    <row r="1673" s="34" customFormat="1"/>
    <row r="1674" s="34" customFormat="1"/>
    <row r="1675" s="34" customFormat="1"/>
    <row r="1676" s="34" customFormat="1"/>
    <row r="1677" s="34" customFormat="1"/>
    <row r="1678" s="34" customFormat="1"/>
    <row r="1679" s="34" customFormat="1"/>
    <row r="1680" s="34" customFormat="1"/>
    <row r="1681" s="34" customFormat="1"/>
    <row r="1682" s="34" customFormat="1"/>
    <row r="1683" s="34" customFormat="1"/>
    <row r="1684" s="34" customFormat="1"/>
    <row r="1685" s="34" customFormat="1"/>
    <row r="1686" s="34" customFormat="1"/>
    <row r="1687" s="34" customFormat="1"/>
    <row r="1688" s="34" customFormat="1"/>
    <row r="1689" s="34" customFormat="1"/>
    <row r="1690" s="34" customFormat="1"/>
    <row r="1691" s="34" customFormat="1"/>
    <row r="1692" s="34" customFormat="1"/>
    <row r="1693" s="34" customFormat="1"/>
    <row r="1694" s="34" customFormat="1"/>
    <row r="1695" s="34" customFormat="1"/>
    <row r="1696" s="34" customFormat="1"/>
    <row r="1697" s="34" customFormat="1"/>
    <row r="1698" s="34" customFormat="1"/>
    <row r="1699" s="34" customFormat="1"/>
    <row r="1700" s="34" customFormat="1"/>
    <row r="1701" s="34" customFormat="1"/>
    <row r="1702" s="34" customFormat="1"/>
    <row r="1703" s="34" customFormat="1"/>
    <row r="1704" s="34" customFormat="1"/>
    <row r="1705" s="34" customFormat="1"/>
    <row r="1706" s="34" customFormat="1"/>
    <row r="1707" s="34" customFormat="1"/>
    <row r="1708" s="34" customFormat="1"/>
    <row r="1709" s="34" customFormat="1"/>
    <row r="1710" s="34" customFormat="1"/>
    <row r="1711" s="34" customFormat="1"/>
    <row r="1712" s="34" customFormat="1"/>
    <row r="1713" s="34" customFormat="1"/>
    <row r="1714" s="34" customFormat="1"/>
    <row r="1715" s="34" customFormat="1"/>
    <row r="1716" s="34" customFormat="1"/>
    <row r="1717" s="34" customFormat="1"/>
    <row r="1718" s="34" customFormat="1"/>
    <row r="1719" s="34" customFormat="1"/>
    <row r="1720" s="34" customFormat="1"/>
    <row r="1721" s="34" customFormat="1"/>
    <row r="1722" s="34" customFormat="1"/>
    <row r="1723" s="34" customFormat="1"/>
    <row r="1724" s="34" customFormat="1"/>
    <row r="1725" s="34" customFormat="1"/>
    <row r="1726" s="34" customFormat="1"/>
    <row r="1727" s="34" customFormat="1"/>
    <row r="1728" s="34" customFormat="1"/>
    <row r="1729" s="34" customFormat="1"/>
    <row r="1730" s="34" customFormat="1"/>
    <row r="1731" s="34" customFormat="1"/>
    <row r="1732" s="34" customFormat="1"/>
    <row r="1733" s="34" customFormat="1"/>
    <row r="1734" s="34" customFormat="1"/>
    <row r="1735" s="34" customFormat="1"/>
    <row r="1736" s="34" customFormat="1"/>
    <row r="1737" s="34" customFormat="1"/>
    <row r="1738" s="34" customFormat="1"/>
    <row r="1739" s="34" customFormat="1"/>
    <row r="1740" s="34" customFormat="1"/>
    <row r="1741" s="34" customFormat="1"/>
    <row r="1742" s="34" customFormat="1"/>
    <row r="1743" s="34" customFormat="1"/>
    <row r="1744" s="34" customFormat="1"/>
    <row r="1745" s="34" customFormat="1"/>
    <row r="1746" s="34" customFormat="1"/>
    <row r="1747" s="34" customFormat="1"/>
    <row r="1748" s="34" customFormat="1"/>
    <row r="1749" s="34" customFormat="1"/>
    <row r="1750" s="34" customFormat="1"/>
    <row r="1751" s="34" customFormat="1"/>
    <row r="1752" s="34" customFormat="1"/>
    <row r="1753" s="34" customFormat="1"/>
    <row r="1754" s="34" customFormat="1"/>
    <row r="1755" s="34" customFormat="1"/>
    <row r="1756" s="34" customFormat="1"/>
    <row r="1757" s="34" customFormat="1"/>
    <row r="1758" s="34" customFormat="1"/>
    <row r="1759" s="34" customFormat="1"/>
    <row r="1760" s="34" customFormat="1"/>
    <row r="1761" s="34" customFormat="1"/>
    <row r="1762" s="34" customFormat="1"/>
    <row r="1763" s="34" customFormat="1"/>
    <row r="1764" s="34" customFormat="1"/>
    <row r="1765" s="34" customFormat="1"/>
    <row r="1766" s="34" customFormat="1"/>
    <row r="1767" s="34" customFormat="1"/>
    <row r="1768" s="34" customFormat="1"/>
    <row r="1769" s="34" customFormat="1"/>
    <row r="1770" s="34" customFormat="1"/>
    <row r="1771" s="34" customFormat="1"/>
    <row r="1772" s="34" customFormat="1"/>
    <row r="1773" s="34" customFormat="1"/>
    <row r="1774" s="34" customFormat="1"/>
    <row r="1775" s="34" customFormat="1"/>
    <row r="1776" s="34" customFormat="1"/>
    <row r="1777" s="34" customFormat="1"/>
    <row r="1778" s="34" customFormat="1"/>
    <row r="1779" s="34" customFormat="1"/>
    <row r="1780" s="34" customFormat="1"/>
    <row r="1781" s="34" customFormat="1"/>
    <row r="1782" s="34" customFormat="1"/>
    <row r="1783" s="34" customFormat="1"/>
    <row r="1784" s="34" customFormat="1"/>
    <row r="1785" s="34" customFormat="1"/>
    <row r="1786" s="34" customFormat="1"/>
    <row r="1787" s="34" customFormat="1"/>
    <row r="1788" s="34" customFormat="1"/>
    <row r="1789" s="34" customFormat="1"/>
    <row r="1790" s="34" customFormat="1"/>
    <row r="1791" s="34" customFormat="1"/>
    <row r="1792" s="34" customFormat="1"/>
    <row r="1793" s="34" customFormat="1"/>
    <row r="1794" s="34" customFormat="1"/>
    <row r="1795" s="34" customFormat="1"/>
    <row r="1796" s="34" customFormat="1"/>
    <row r="1797" s="34" customFormat="1"/>
    <row r="1798" s="34" customFormat="1"/>
    <row r="1799" s="34" customFormat="1"/>
    <row r="1800" s="34" customFormat="1"/>
    <row r="1801" s="34" customFormat="1"/>
    <row r="1802" s="34" customFormat="1"/>
    <row r="1803" s="34" customFormat="1"/>
    <row r="1804" s="34" customFormat="1"/>
    <row r="1805" s="34" customFormat="1"/>
    <row r="1806" s="34" customFormat="1"/>
    <row r="1807" s="34" customFormat="1"/>
    <row r="1808" s="34" customFormat="1"/>
    <row r="1809" s="34" customFormat="1"/>
    <row r="1810" s="34" customFormat="1"/>
    <row r="1811" s="34" customFormat="1"/>
    <row r="1812" s="34" customFormat="1"/>
    <row r="1813" s="34" customFormat="1"/>
    <row r="1814" s="34" customFormat="1"/>
    <row r="1815" s="34" customFormat="1"/>
    <row r="1816" s="34" customFormat="1"/>
    <row r="1817" s="34" customFormat="1"/>
    <row r="1818" s="34" customFormat="1"/>
    <row r="1819" s="34" customFormat="1"/>
    <row r="1820" s="34" customFormat="1"/>
    <row r="1821" s="34" customFormat="1"/>
    <row r="1822" s="34" customFormat="1"/>
    <row r="1823" s="34" customFormat="1"/>
    <row r="1824" s="34" customFormat="1"/>
    <row r="1825" s="34" customFormat="1"/>
    <row r="1826" s="34" customFormat="1"/>
    <row r="1827" s="34" customFormat="1"/>
    <row r="1828" s="34" customFormat="1"/>
    <row r="1829" s="34" customFormat="1"/>
    <row r="1830" s="34" customFormat="1"/>
    <row r="1831" s="34" customFormat="1"/>
    <row r="1832" s="34" customFormat="1"/>
    <row r="1833" s="34" customFormat="1"/>
    <row r="1834" s="34" customFormat="1"/>
    <row r="1835" s="34" customFormat="1"/>
    <row r="1836" s="34" customFormat="1"/>
    <row r="1837" s="34" customFormat="1"/>
    <row r="1838" s="34" customFormat="1"/>
    <row r="1839" s="34" customFormat="1"/>
    <row r="1840" s="34" customFormat="1"/>
    <row r="1841" s="34" customFormat="1"/>
    <row r="1842" s="34" customFormat="1"/>
    <row r="1843" s="34" customFormat="1"/>
    <row r="1844" s="34" customFormat="1"/>
    <row r="1845" s="34" customFormat="1"/>
    <row r="1846" s="34" customFormat="1"/>
    <row r="1847" s="34" customFormat="1"/>
    <row r="1848" s="34" customFormat="1"/>
    <row r="1849" s="34" customFormat="1"/>
    <row r="1850" s="34" customFormat="1"/>
    <row r="1851" s="34" customFormat="1"/>
    <row r="1852" s="34" customFormat="1"/>
    <row r="1853" s="34" customFormat="1"/>
    <row r="1854" s="34" customFormat="1"/>
    <row r="1855" s="34" customFormat="1"/>
    <row r="1856" s="34" customFormat="1"/>
    <row r="1857" s="34" customFormat="1"/>
    <row r="1858" s="34" customFormat="1"/>
    <row r="1859" s="34" customFormat="1"/>
    <row r="1860" s="34" customFormat="1"/>
    <row r="1861" s="34" customFormat="1"/>
    <row r="1862" s="34" customFormat="1"/>
    <row r="1863" s="34" customFormat="1"/>
    <row r="1864" s="34" customFormat="1"/>
    <row r="1865" s="34" customFormat="1"/>
    <row r="1866" s="34" customFormat="1"/>
    <row r="1867" s="34" customFormat="1"/>
    <row r="1868" s="34" customFormat="1"/>
    <row r="1869" s="34" customFormat="1"/>
    <row r="1870" s="34" customFormat="1"/>
    <row r="1871" s="34" customFormat="1"/>
    <row r="1872" s="34" customFormat="1"/>
    <row r="1873" s="34" customFormat="1"/>
    <row r="1874" s="34" customFormat="1"/>
    <row r="1875" s="34" customFormat="1"/>
    <row r="1876" s="34" customFormat="1"/>
    <row r="1877" s="34" customFormat="1"/>
    <row r="1878" s="34" customFormat="1"/>
    <row r="1879" s="34" customFormat="1"/>
    <row r="1880" s="34" customFormat="1"/>
    <row r="1881" s="34" customFormat="1"/>
    <row r="1882" s="34" customFormat="1"/>
    <row r="1883" s="34" customFormat="1"/>
    <row r="1884" s="34" customFormat="1"/>
    <row r="1885" s="34" customFormat="1"/>
    <row r="1886" s="34" customFormat="1"/>
    <row r="1887" s="34" customFormat="1"/>
    <row r="1888" s="34" customFormat="1"/>
    <row r="1889" s="34" customFormat="1"/>
    <row r="1890" s="34" customFormat="1"/>
    <row r="1891" s="34" customFormat="1"/>
    <row r="1892" s="34" customFormat="1"/>
    <row r="1893" s="34" customFormat="1"/>
    <row r="1894" s="34" customFormat="1"/>
    <row r="1895" s="34" customFormat="1"/>
    <row r="1896" s="34" customFormat="1"/>
    <row r="1897" s="34" customFormat="1"/>
    <row r="1898" s="34" customFormat="1"/>
    <row r="1899" s="34" customFormat="1"/>
    <row r="1900" s="34" customFormat="1"/>
    <row r="1901" s="34" customFormat="1"/>
    <row r="1902" s="34" customFormat="1"/>
    <row r="1903" s="34" customFormat="1"/>
    <row r="1904" s="34" customFormat="1"/>
    <row r="1905" s="34" customFormat="1"/>
    <row r="1906" s="34" customFormat="1"/>
    <row r="1907" s="34" customFormat="1"/>
    <row r="1908" s="34" customFormat="1"/>
    <row r="1909" s="34" customFormat="1"/>
    <row r="1910" s="34" customFormat="1"/>
    <row r="1911" s="34" customFormat="1"/>
    <row r="1912" s="34" customFormat="1"/>
    <row r="1913" s="34" customFormat="1"/>
    <row r="1914" s="34" customFormat="1"/>
    <row r="1915" s="34" customFormat="1"/>
    <row r="1916" s="34" customFormat="1"/>
    <row r="1917" s="34" customFormat="1"/>
    <row r="1918" s="34" customFormat="1"/>
    <row r="1919" s="34" customFormat="1"/>
    <row r="1920" s="34" customFormat="1"/>
    <row r="1921" s="34" customFormat="1"/>
    <row r="1922" s="34" customFormat="1"/>
    <row r="1923" s="34" customFormat="1"/>
    <row r="1924" s="34" customFormat="1"/>
    <row r="1925" s="34" customFormat="1"/>
    <row r="1926" s="34" customFormat="1"/>
    <row r="1927" s="34" customFormat="1"/>
    <row r="1928" s="34" customFormat="1"/>
    <row r="1929" s="34" customFormat="1"/>
    <row r="1930" s="34" customFormat="1"/>
    <row r="1931" s="34" customFormat="1"/>
    <row r="1932" s="34" customFormat="1"/>
    <row r="1933" s="34" customFormat="1"/>
    <row r="1934" s="34" customFormat="1"/>
    <row r="1935" s="34" customFormat="1"/>
    <row r="1936" s="34" customFormat="1"/>
    <row r="1937" s="34" customFormat="1"/>
    <row r="1938" s="34" customFormat="1"/>
    <row r="1939" s="34" customFormat="1"/>
    <row r="1940" s="34" customFormat="1"/>
    <row r="1941" s="34" customFormat="1"/>
    <row r="1942" s="34" customFormat="1"/>
    <row r="1943" s="34" customFormat="1"/>
    <row r="1944" s="34" customFormat="1"/>
    <row r="1945" s="34" customFormat="1"/>
    <row r="1946" s="34" customFormat="1"/>
    <row r="1947" s="34" customFormat="1"/>
    <row r="1948" s="34" customFormat="1"/>
    <row r="1949" s="34" customFormat="1"/>
    <row r="1950" s="34" customFormat="1"/>
    <row r="1951" s="34" customFormat="1"/>
    <row r="1952" s="34" customFormat="1"/>
    <row r="1953" s="34" customFormat="1"/>
    <row r="1954" s="34" customFormat="1"/>
    <row r="1955" s="34" customFormat="1"/>
    <row r="1956" s="34" customFormat="1"/>
    <row r="1957" s="34" customFormat="1"/>
    <row r="1958" s="34" customFormat="1"/>
    <row r="1959" s="34" customFormat="1"/>
    <row r="1960" s="34" customFormat="1"/>
    <row r="1961" s="34" customFormat="1"/>
    <row r="1962" s="34" customFormat="1"/>
    <row r="1963" s="34" customFormat="1"/>
    <row r="1964" s="34" customFormat="1"/>
    <row r="1965" s="34" customFormat="1"/>
    <row r="1966" s="34" customFormat="1"/>
    <row r="1967" s="34" customFormat="1"/>
    <row r="1968" s="34" customFormat="1"/>
    <row r="1969" s="34" customFormat="1"/>
    <row r="1970" s="34" customFormat="1"/>
    <row r="1971" s="34" customFormat="1"/>
    <row r="1972" s="34" customFormat="1"/>
    <row r="1973" s="34" customFormat="1"/>
    <row r="1974" s="34" customFormat="1"/>
    <row r="1975" s="34" customFormat="1"/>
    <row r="1976" s="34" customFormat="1"/>
    <row r="1977" s="34" customFormat="1"/>
    <row r="1978" s="34" customFormat="1"/>
    <row r="1979" s="34" customFormat="1"/>
    <row r="1980" s="34" customFormat="1"/>
    <row r="1981" s="34" customFormat="1"/>
    <row r="1982" s="34" customFormat="1"/>
    <row r="1983" s="34" customFormat="1"/>
    <row r="1984" s="34" customFormat="1"/>
    <row r="1985" s="34" customFormat="1"/>
    <row r="1986" s="34" customFormat="1"/>
    <row r="1987" s="34" customFormat="1"/>
    <row r="1988" s="34" customFormat="1"/>
    <row r="1989" s="34" customFormat="1"/>
    <row r="1990" s="34" customFormat="1"/>
    <row r="1991" s="34" customFormat="1"/>
    <row r="1992" s="34" customFormat="1"/>
    <row r="1993" s="34" customFormat="1"/>
    <row r="1994" s="34" customFormat="1"/>
    <row r="1995" s="34" customFormat="1"/>
    <row r="1996" s="34" customFormat="1"/>
    <row r="1997" s="34" customFormat="1"/>
    <row r="1998" s="34" customFormat="1"/>
    <row r="1999" s="34" customFormat="1"/>
    <row r="2000" s="34" customFormat="1"/>
    <row r="2001" s="34" customFormat="1"/>
    <row r="2002" s="34" customFormat="1"/>
    <row r="2003" s="34" customFormat="1"/>
    <row r="2004" s="34" customFormat="1"/>
    <row r="2005" s="34" customFormat="1"/>
    <row r="2006" s="34" customFormat="1"/>
    <row r="2007" s="34" customFormat="1"/>
    <row r="2008" s="34" customFormat="1"/>
    <row r="2009" s="34" customFormat="1"/>
    <row r="2010" s="34" customFormat="1"/>
    <row r="2011" s="34" customFormat="1"/>
    <row r="2012" s="34" customFormat="1"/>
    <row r="2013" s="34" customFormat="1"/>
    <row r="2014" s="34" customFormat="1"/>
    <row r="2015" s="34" customFormat="1"/>
    <row r="2016" s="34" customFormat="1"/>
    <row r="2017" s="34" customFormat="1"/>
    <row r="2018" s="34" customFormat="1"/>
    <row r="2019" s="34" customFormat="1"/>
    <row r="2020" s="34" customFormat="1"/>
    <row r="2021" s="34" customFormat="1"/>
    <row r="2022" s="34" customFormat="1"/>
    <row r="2023" s="34" customFormat="1"/>
    <row r="2024" s="34" customFormat="1"/>
    <row r="2025" s="34" customFormat="1"/>
    <row r="2026" s="34" customFormat="1"/>
    <row r="2027" s="34" customFormat="1"/>
    <row r="2028" s="34" customFormat="1"/>
    <row r="2029" s="34" customFormat="1"/>
    <row r="2030" s="34" customFormat="1"/>
    <row r="2031" s="34" customFormat="1"/>
    <row r="2032" s="34" customFormat="1"/>
    <row r="2033" s="34" customFormat="1"/>
    <row r="2034" s="34" customFormat="1"/>
    <row r="2035" s="34" customFormat="1"/>
    <row r="2036" s="34" customFormat="1"/>
    <row r="2037" s="34" customFormat="1"/>
    <row r="2038" s="34" customFormat="1"/>
    <row r="2039" s="34" customFormat="1"/>
    <row r="2040" s="34" customFormat="1"/>
    <row r="2041" s="34" customFormat="1"/>
    <row r="2042" s="34" customFormat="1"/>
    <row r="2043" s="34" customFormat="1"/>
    <row r="2044" s="34" customFormat="1"/>
    <row r="2045" s="34" customFormat="1"/>
    <row r="2046" s="34" customFormat="1"/>
    <row r="2047" s="34" customFormat="1"/>
    <row r="2048" s="34" customFormat="1"/>
    <row r="2049" s="34" customFormat="1"/>
    <row r="2050" s="34" customFormat="1"/>
    <row r="2051" s="34" customFormat="1"/>
    <row r="2052" s="34" customFormat="1"/>
    <row r="2053" s="34" customFormat="1"/>
    <row r="2054" s="34" customFormat="1"/>
    <row r="2055" s="34" customFormat="1"/>
    <row r="2056" s="34" customFormat="1"/>
    <row r="2057" s="34" customFormat="1"/>
    <row r="2058" s="34" customFormat="1"/>
    <row r="2059" s="34" customFormat="1"/>
    <row r="2060" s="34" customFormat="1"/>
    <row r="2061" s="34" customFormat="1"/>
    <row r="2062" s="34" customFormat="1"/>
    <row r="2063" s="34" customFormat="1"/>
    <row r="2064" s="34" customFormat="1"/>
    <row r="2065" s="34" customFormat="1"/>
    <row r="2066" s="34" customFormat="1"/>
    <row r="2067" s="34" customFormat="1"/>
    <row r="2068" s="34" customFormat="1"/>
    <row r="2069" s="34" customFormat="1"/>
    <row r="2070" s="34" customFormat="1"/>
    <row r="2071" s="34" customFormat="1"/>
    <row r="2072" s="34" customFormat="1"/>
    <row r="2073" s="34" customFormat="1"/>
    <row r="2074" s="34" customFormat="1"/>
    <row r="2075" s="34" customFormat="1"/>
    <row r="2076" s="34" customFormat="1"/>
    <row r="2077" s="34" customFormat="1"/>
    <row r="2078" s="34" customFormat="1"/>
    <row r="2079" s="34" customFormat="1"/>
    <row r="2080" s="34" customFormat="1"/>
    <row r="2081" s="34" customFormat="1"/>
    <row r="2082" s="34" customFormat="1"/>
    <row r="2083" s="34" customFormat="1"/>
    <row r="2084" s="34" customFormat="1"/>
    <row r="2085" s="34" customFormat="1"/>
    <row r="2086" s="34" customFormat="1"/>
    <row r="2087" s="34" customFormat="1"/>
    <row r="2088" s="34" customFormat="1"/>
    <row r="2089" s="34" customFormat="1"/>
    <row r="2090" s="34" customFormat="1"/>
    <row r="2091" s="34" customFormat="1"/>
    <row r="2092" s="34" customFormat="1"/>
    <row r="2093" s="34" customFormat="1"/>
    <row r="2094" s="34" customFormat="1"/>
    <row r="2095" s="34" customFormat="1"/>
    <row r="2096" s="34" customFormat="1"/>
    <row r="2097" s="34" customFormat="1"/>
    <row r="2098" s="34" customFormat="1"/>
    <row r="2099" s="34" customFormat="1"/>
    <row r="2100" s="34" customFormat="1"/>
    <row r="2101" s="34" customFormat="1"/>
    <row r="2102" s="34" customFormat="1"/>
    <row r="2103" s="34" customFormat="1"/>
    <row r="2104" s="34" customFormat="1"/>
    <row r="2105" s="34" customFormat="1"/>
    <row r="2106" s="34" customFormat="1"/>
    <row r="2107" s="34" customFormat="1"/>
    <row r="2108" s="34" customFormat="1"/>
    <row r="2109" s="34" customFormat="1"/>
    <row r="2110" s="34" customFormat="1"/>
    <row r="2111" s="34" customFormat="1"/>
    <row r="2112" s="34" customFormat="1"/>
    <row r="2113" s="34" customFormat="1"/>
    <row r="2114" s="34" customFormat="1"/>
    <row r="2115" s="34" customFormat="1"/>
    <row r="2116" s="34" customFormat="1"/>
    <row r="2117" s="34" customFormat="1"/>
    <row r="2118" s="34" customFormat="1"/>
    <row r="2119" s="34" customFormat="1"/>
    <row r="2120" s="34" customFormat="1"/>
    <row r="2121" s="34" customFormat="1"/>
    <row r="2122" s="34" customFormat="1"/>
    <row r="2123" s="34" customFormat="1"/>
    <row r="2124" s="34" customFormat="1"/>
    <row r="2125" s="34" customFormat="1"/>
    <row r="2126" s="34" customFormat="1"/>
    <row r="2127" s="34" customFormat="1"/>
    <row r="2128" s="34" customFormat="1"/>
    <row r="2129" s="34" customFormat="1"/>
    <row r="2130" s="34" customFormat="1"/>
    <row r="2131" s="34" customFormat="1"/>
    <row r="2132" s="34" customFormat="1"/>
    <row r="2133" s="34" customFormat="1"/>
    <row r="2134" s="34" customFormat="1"/>
    <row r="2135" s="34" customFormat="1"/>
    <row r="2136" s="34" customFormat="1"/>
    <row r="2137" s="34" customFormat="1"/>
    <row r="2138" s="34" customFormat="1"/>
    <row r="2139" s="34" customFormat="1"/>
    <row r="2140" s="34" customFormat="1"/>
    <row r="2141" s="34" customFormat="1"/>
    <row r="2142" s="34" customFormat="1"/>
    <row r="2143" s="34" customFormat="1"/>
    <row r="2144" s="34" customFormat="1"/>
    <row r="2145" s="34" customFormat="1"/>
    <row r="2146" s="34" customFormat="1"/>
    <row r="2147" s="34" customFormat="1"/>
    <row r="2148" s="34" customFormat="1"/>
    <row r="2149" s="34" customFormat="1"/>
    <row r="2150" s="34" customFormat="1"/>
    <row r="2151" s="34" customFormat="1"/>
    <row r="2152" s="34" customFormat="1"/>
    <row r="2153" s="34" customFormat="1"/>
    <row r="2154" s="34" customFormat="1"/>
    <row r="2155" s="34" customFormat="1"/>
    <row r="2156" s="34" customFormat="1"/>
    <row r="2157" s="34" customFormat="1"/>
    <row r="2158" s="34" customFormat="1"/>
    <row r="2159" s="34" customFormat="1"/>
    <row r="2160" s="34" customFormat="1"/>
    <row r="2161" s="34" customFormat="1"/>
    <row r="2162" s="34" customFormat="1"/>
    <row r="2163" s="34" customFormat="1"/>
    <row r="2164" s="34" customFormat="1"/>
    <row r="2165" s="34" customFormat="1"/>
    <row r="2166" s="34" customFormat="1"/>
    <row r="2167" s="34" customFormat="1"/>
    <row r="2168" s="34" customFormat="1"/>
    <row r="2169" s="34" customFormat="1"/>
    <row r="2170" s="34" customFormat="1"/>
    <row r="2171" s="34" customFormat="1"/>
    <row r="2172" s="34" customFormat="1"/>
    <row r="2173" s="34" customFormat="1"/>
    <row r="2174" s="34" customFormat="1"/>
    <row r="2175" s="34" customFormat="1"/>
    <row r="2176" s="34" customFormat="1"/>
    <row r="2177" s="34" customFormat="1"/>
    <row r="2178" s="34" customFormat="1"/>
    <row r="2179" s="34" customFormat="1"/>
    <row r="2180" s="34" customFormat="1"/>
    <row r="2181" s="34" customFormat="1"/>
    <row r="2182" s="34" customFormat="1"/>
    <row r="2183" s="34" customFormat="1"/>
    <row r="2184" s="34" customFormat="1"/>
    <row r="2185" s="34" customFormat="1"/>
    <row r="2186" s="34" customFormat="1"/>
    <row r="2187" s="34" customFormat="1"/>
    <row r="2188" s="34" customFormat="1"/>
    <row r="2189" s="34" customFormat="1"/>
    <row r="2190" s="34" customFormat="1"/>
    <row r="2191" s="34" customFormat="1"/>
    <row r="2192" s="34" customFormat="1"/>
    <row r="2193" s="34" customFormat="1"/>
    <row r="2194" s="34" customFormat="1"/>
    <row r="2195" s="34" customFormat="1"/>
    <row r="2196" s="34" customFormat="1"/>
    <row r="2197" s="34" customFormat="1"/>
    <row r="2198" s="34" customFormat="1"/>
    <row r="2199" s="34" customFormat="1"/>
    <row r="2200" s="34" customFormat="1"/>
    <row r="2201" s="34" customFormat="1"/>
    <row r="2202" s="34" customFormat="1"/>
    <row r="2203" s="34" customFormat="1"/>
    <row r="2204" s="34" customFormat="1"/>
    <row r="2205" s="34" customFormat="1"/>
    <row r="2206" s="34" customFormat="1"/>
    <row r="2207" s="34" customFormat="1"/>
    <row r="2208" s="34" customFormat="1"/>
    <row r="2209" s="34" customFormat="1"/>
    <row r="2210" s="34" customFormat="1"/>
    <row r="2211" s="34" customFormat="1"/>
    <row r="2212" s="34" customFormat="1"/>
    <row r="2213" s="34" customFormat="1"/>
    <row r="2214" s="34" customFormat="1"/>
    <row r="2215" s="34" customFormat="1"/>
    <row r="2216" s="34" customFormat="1"/>
    <row r="2217" s="34" customFormat="1"/>
    <row r="2218" s="34" customFormat="1"/>
    <row r="2219" s="34" customFormat="1"/>
    <row r="2220" s="34" customFormat="1"/>
    <row r="2221" s="34" customFormat="1"/>
    <row r="2222" s="34" customFormat="1"/>
    <row r="2223" s="34" customFormat="1"/>
    <row r="2224" s="34" customFormat="1"/>
    <row r="2225" s="34" customFormat="1"/>
    <row r="2226" s="34" customFormat="1"/>
    <row r="2227" s="34" customFormat="1"/>
    <row r="2228" s="34" customFormat="1"/>
    <row r="2229" s="34" customFormat="1"/>
    <row r="2230" s="34" customFormat="1"/>
    <row r="2231" s="34" customFormat="1"/>
    <row r="2232" s="34" customFormat="1"/>
    <row r="2233" s="34" customFormat="1"/>
    <row r="2234" s="34" customFormat="1"/>
    <row r="2235" s="34" customFormat="1"/>
    <row r="2236" s="34" customFormat="1"/>
    <row r="2237" s="34" customFormat="1"/>
    <row r="2238" s="34" customFormat="1"/>
    <row r="2239" s="34" customFormat="1"/>
    <row r="2240" s="34" customFormat="1"/>
    <row r="2241" s="34" customFormat="1"/>
    <row r="2242" s="34" customFormat="1"/>
    <row r="2243" s="34" customFormat="1"/>
    <row r="2244" s="34" customFormat="1"/>
    <row r="2245" s="34" customFormat="1"/>
    <row r="2246" s="34" customFormat="1"/>
    <row r="2247" s="34" customFormat="1"/>
    <row r="2248" s="34" customFormat="1"/>
    <row r="2249" s="34" customFormat="1"/>
    <row r="2250" s="34" customFormat="1"/>
  </sheetData>
  <sheetProtection password="8B10" sheet="1" objects="1" scenarios="1"/>
  <phoneticPr fontId="3" type="noConversion"/>
  <pageMargins left="0.70866141732283472" right="0.70866141732283472" top="1.0236220472440944" bottom="1.0236220472440944" header="0.39370078740157483" footer="0.39370078740157483"/>
  <pageSetup paperSize="9" scale="66" orientation="landscape" r:id="rId1"/>
  <headerFooter alignWithMargins="0">
    <oddFooter>&amp;L&amp;"Frutiger 57Cn,Standard"&amp;8
Santander Consumer Bank AG
Santander-Platz 1
41061 Mönchengladbach
Tel.: +49 180 / 5556 - 499
Fax.: +49 180 / 5556 - 498</oddFooter>
  </headerFooter>
  <rowBreaks count="1" manualBreakCount="1">
    <brk id="52" max="11" man="1"/>
  </rowBreaks>
  <colBreaks count="1" manualBreakCount="1">
    <brk id="1" max="46"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Q2243"/>
  <sheetViews>
    <sheetView view="pageBreakPreview" zoomScale="75" zoomScaleNormal="100" workbookViewId="0">
      <selection activeCell="B3" sqref="B3"/>
    </sheetView>
  </sheetViews>
  <sheetFormatPr defaultRowHeight="12.75"/>
  <cols>
    <col min="1" max="1" width="1.28515625" style="31" customWidth="1"/>
    <col min="2" max="2" width="26" style="31" customWidth="1"/>
    <col min="3" max="3" width="14.85546875" style="31" bestFit="1" customWidth="1"/>
    <col min="4" max="4" width="21.140625" style="31" customWidth="1"/>
    <col min="5" max="5" width="18.5703125" style="31" customWidth="1"/>
    <col min="6" max="6" width="19.5703125" style="31" customWidth="1"/>
    <col min="7" max="8" width="19" style="31" customWidth="1"/>
    <col min="9" max="9" width="9.28515625" style="31" customWidth="1"/>
    <col min="10" max="10" width="15.42578125" style="31" customWidth="1"/>
    <col min="11" max="11" width="1.28515625" style="31" customWidth="1"/>
    <col min="12" max="12" width="3.140625" style="31" customWidth="1"/>
    <col min="13" max="13" width="29.140625" style="34" customWidth="1"/>
    <col min="14" max="14" width="18.5703125" style="34" customWidth="1"/>
    <col min="15" max="15" width="19.5703125" style="34" customWidth="1"/>
    <col min="16" max="17" width="19" style="34" customWidth="1"/>
    <col min="18" max="256" width="11.42578125" style="31" customWidth="1"/>
    <col min="257" max="16384" width="9.140625" style="31"/>
  </cols>
  <sheetData>
    <row r="1" spans="1:17" ht="6" customHeight="1">
      <c r="A1" s="35"/>
      <c r="B1" s="36"/>
      <c r="C1" s="36"/>
      <c r="D1" s="36"/>
      <c r="E1" s="36"/>
      <c r="F1" s="36"/>
      <c r="G1" s="36"/>
      <c r="H1" s="36"/>
      <c r="I1" s="36"/>
      <c r="J1" s="36"/>
      <c r="K1" s="37"/>
    </row>
    <row r="2" spans="1:17" s="27" customFormat="1" ht="18">
      <c r="A2" s="5"/>
      <c r="B2" s="7" t="str">
        <f>'Cover Sheet'!B2</f>
        <v>SC Germany Auto 10-1</v>
      </c>
      <c r="C2" s="7"/>
      <c r="D2" s="108" t="s">
        <v>54</v>
      </c>
      <c r="E2" s="109"/>
      <c r="F2" s="110">
        <f>'Cover Sheet'!F2</f>
        <v>41191</v>
      </c>
      <c r="G2" s="109"/>
      <c r="H2" s="109"/>
      <c r="I2" s="109"/>
      <c r="J2" s="111"/>
      <c r="K2" s="88"/>
      <c r="M2" s="28"/>
      <c r="N2" s="34"/>
      <c r="O2" s="372"/>
      <c r="P2" s="34"/>
      <c r="Q2" s="34"/>
    </row>
    <row r="3" spans="1:17" s="27" customFormat="1" ht="18">
      <c r="A3" s="5"/>
      <c r="B3" s="7" t="str">
        <f>'Cover Sheet'!B3</f>
        <v>Monthly Investor Report</v>
      </c>
      <c r="C3" s="7"/>
      <c r="D3" s="112" t="s">
        <v>4</v>
      </c>
      <c r="E3" s="113"/>
      <c r="F3" s="114">
        <f>'Cover Sheet'!F3</f>
        <v>41197</v>
      </c>
      <c r="G3" s="113"/>
      <c r="H3" s="113"/>
      <c r="I3" s="113"/>
      <c r="J3" s="115"/>
      <c r="K3" s="90"/>
      <c r="M3" s="28"/>
      <c r="N3" s="34"/>
      <c r="O3" s="372"/>
      <c r="P3" s="34"/>
      <c r="Q3" s="34"/>
    </row>
    <row r="4" spans="1:17" s="27" customFormat="1">
      <c r="A4" s="5"/>
      <c r="B4" s="42"/>
      <c r="C4" s="12"/>
      <c r="D4" s="112" t="s">
        <v>5</v>
      </c>
      <c r="E4" s="113"/>
      <c r="F4" s="122">
        <f>'Cover Sheet'!F4</f>
        <v>27</v>
      </c>
      <c r="G4" s="113"/>
      <c r="H4" s="117"/>
      <c r="I4" s="113"/>
      <c r="J4" s="118"/>
      <c r="K4" s="88"/>
      <c r="M4" s="28"/>
      <c r="N4" s="34"/>
      <c r="O4" s="45"/>
      <c r="P4" s="34"/>
      <c r="Q4" s="28"/>
    </row>
    <row r="5" spans="1:17" s="27" customFormat="1" ht="18">
      <c r="A5" s="5"/>
      <c r="B5" s="105" t="s">
        <v>395</v>
      </c>
      <c r="C5" s="14"/>
      <c r="D5" s="112" t="s">
        <v>3</v>
      </c>
      <c r="E5" s="113"/>
      <c r="F5" s="123">
        <f>'Cover Sheet'!F5</f>
        <v>41197</v>
      </c>
      <c r="G5" s="113"/>
      <c r="H5" s="117"/>
      <c r="I5" s="113"/>
      <c r="J5" s="118"/>
      <c r="K5" s="90"/>
      <c r="M5" s="28"/>
      <c r="N5" s="34"/>
      <c r="O5" s="373"/>
      <c r="P5" s="34"/>
      <c r="Q5" s="28"/>
    </row>
    <row r="6" spans="1:17" s="27" customFormat="1" ht="15" customHeight="1">
      <c r="A6" s="5"/>
      <c r="B6" s="43"/>
      <c r="C6" s="89"/>
      <c r="D6" s="552" t="str">
        <f>'Cover Sheet'!D6</f>
        <v>Interest Period</v>
      </c>
      <c r="E6" s="114" t="s">
        <v>38</v>
      </c>
      <c r="F6" s="114">
        <f>'Cover Sheet'!F6</f>
        <v>41164</v>
      </c>
      <c r="G6" s="116" t="s">
        <v>6</v>
      </c>
      <c r="H6" s="114">
        <f>'Cover Sheet'!H6</f>
        <v>41197</v>
      </c>
      <c r="I6" s="116" t="s">
        <v>18</v>
      </c>
      <c r="J6" s="542" t="str">
        <f>'Cover Sheet'!J6</f>
        <v>33 days</v>
      </c>
      <c r="K6" s="90"/>
      <c r="M6" s="28"/>
      <c r="N6" s="45"/>
      <c r="O6" s="372"/>
      <c r="P6" s="45"/>
      <c r="Q6" s="372"/>
    </row>
    <row r="7" spans="1:17" s="27" customFormat="1">
      <c r="A7" s="5"/>
      <c r="B7" s="4"/>
      <c r="C7" s="4"/>
      <c r="D7" s="553" t="str">
        <f>'Cover Sheet'!D7</f>
        <v>Collection Period</v>
      </c>
      <c r="E7" s="121" t="s">
        <v>38</v>
      </c>
      <c r="F7" s="121" t="str">
        <f>'Cover Sheet'!F7</f>
        <v>01.09.2012</v>
      </c>
      <c r="G7" s="120" t="s">
        <v>6</v>
      </c>
      <c r="H7" s="121">
        <f>'Cover Sheet'!H7</f>
        <v>41182</v>
      </c>
      <c r="I7" s="543"/>
      <c r="J7" s="544"/>
      <c r="K7" s="90"/>
      <c r="M7" s="28"/>
      <c r="N7" s="34"/>
      <c r="O7" s="374"/>
      <c r="P7" s="45"/>
      <c r="Q7" s="372"/>
    </row>
    <row r="8" spans="1:17" s="27" customFormat="1">
      <c r="A8" s="5"/>
      <c r="B8" s="4"/>
      <c r="C8" s="4"/>
      <c r="D8" s="4"/>
      <c r="E8" s="9"/>
      <c r="F8" s="15"/>
      <c r="G8" s="9"/>
      <c r="H8" s="4"/>
      <c r="I8" s="16"/>
      <c r="J8" s="4"/>
      <c r="K8" s="90"/>
      <c r="M8" s="34"/>
      <c r="N8" s="44"/>
      <c r="O8" s="45"/>
      <c r="P8" s="44"/>
      <c r="Q8" s="34"/>
    </row>
    <row r="9" spans="1:17" s="27" customFormat="1">
      <c r="A9" s="5"/>
      <c r="K9" s="8"/>
      <c r="M9" s="34"/>
      <c r="N9" s="34"/>
      <c r="O9" s="34"/>
      <c r="P9" s="34"/>
      <c r="Q9" s="34"/>
    </row>
    <row r="10" spans="1:17" s="27" customFormat="1">
      <c r="A10" s="5"/>
      <c r="B10" s="4"/>
      <c r="C10" s="4"/>
      <c r="D10" s="4"/>
      <c r="E10" s="4"/>
      <c r="F10" s="18"/>
      <c r="G10" s="4"/>
      <c r="H10" s="4"/>
      <c r="I10" s="34"/>
      <c r="J10" s="34"/>
      <c r="K10" s="8"/>
      <c r="M10" s="34"/>
      <c r="N10" s="34"/>
      <c r="O10" s="102"/>
      <c r="P10" s="34"/>
      <c r="Q10" s="34"/>
    </row>
    <row r="11" spans="1:17" s="27" customFormat="1" ht="18">
      <c r="A11" s="5"/>
      <c r="B11" s="125"/>
      <c r="C11" s="4"/>
      <c r="D11" s="4"/>
      <c r="E11" s="4"/>
      <c r="F11" s="34"/>
      <c r="G11" s="100"/>
      <c r="H11" s="100"/>
      <c r="I11" s="34"/>
      <c r="K11" s="8"/>
      <c r="M11" s="47"/>
      <c r="N11" s="34"/>
      <c r="O11" s="34"/>
      <c r="P11" s="137"/>
      <c r="Q11" s="137"/>
    </row>
    <row r="12" spans="1:17" s="27" customFormat="1" ht="13.5" thickBot="1">
      <c r="A12" s="5"/>
      <c r="B12" s="138"/>
      <c r="C12" s="138"/>
      <c r="D12" s="148"/>
      <c r="E12" s="148"/>
      <c r="F12" s="148"/>
      <c r="G12" s="148"/>
      <c r="H12" s="148"/>
      <c r="I12" s="148"/>
      <c r="J12" s="34"/>
      <c r="K12" s="8"/>
      <c r="M12" s="148"/>
      <c r="N12" s="148"/>
      <c r="O12" s="148"/>
      <c r="P12" s="148"/>
      <c r="Q12" s="148"/>
    </row>
    <row r="13" spans="1:17" ht="28.5">
      <c r="A13" s="40"/>
      <c r="B13" s="139"/>
      <c r="C13" s="140"/>
      <c r="D13" s="286" t="s">
        <v>179</v>
      </c>
      <c r="E13" s="287" t="s">
        <v>91</v>
      </c>
      <c r="F13" s="288" t="s">
        <v>70</v>
      </c>
      <c r="G13" s="289" t="s">
        <v>71</v>
      </c>
      <c r="H13" s="290" t="s">
        <v>72</v>
      </c>
      <c r="I13" s="148"/>
      <c r="J13" s="34"/>
      <c r="K13" s="41"/>
      <c r="M13" s="317"/>
      <c r="N13" s="329"/>
      <c r="O13" s="327"/>
      <c r="P13" s="328"/>
      <c r="Q13" s="328"/>
    </row>
    <row r="14" spans="1:17">
      <c r="A14" s="40"/>
      <c r="B14" s="139"/>
      <c r="C14" s="140"/>
      <c r="D14" s="589" t="s">
        <v>513</v>
      </c>
      <c r="E14" s="240">
        <v>2535.2199999999998</v>
      </c>
      <c r="F14" s="241">
        <v>1.1653315634874005E-5</v>
      </c>
      <c r="G14" s="242">
        <v>1</v>
      </c>
      <c r="H14" s="243">
        <v>2.3745636739249164E-5</v>
      </c>
      <c r="I14" s="148"/>
      <c r="J14" s="34"/>
      <c r="K14" s="41"/>
      <c r="M14" s="409"/>
      <c r="N14" s="357"/>
      <c r="O14" s="358"/>
      <c r="P14" s="359"/>
      <c r="Q14" s="358"/>
    </row>
    <row r="15" spans="1:17">
      <c r="A15" s="40"/>
      <c r="B15" s="139"/>
      <c r="C15" s="140"/>
      <c r="D15" s="589" t="s">
        <v>514</v>
      </c>
      <c r="E15" s="240">
        <v>20674984.640000042</v>
      </c>
      <c r="F15" s="241">
        <v>9.5034009575536801E-2</v>
      </c>
      <c r="G15" s="242">
        <v>3200</v>
      </c>
      <c r="H15" s="243">
        <v>7.5986037565597325E-2</v>
      </c>
      <c r="I15" s="148"/>
      <c r="J15" s="34"/>
      <c r="K15" s="41"/>
      <c r="M15" s="409"/>
      <c r="N15" s="357"/>
      <c r="O15" s="358"/>
      <c r="P15" s="359"/>
      <c r="Q15" s="358"/>
    </row>
    <row r="16" spans="1:17">
      <c r="A16" s="40"/>
      <c r="B16" s="139"/>
      <c r="C16" s="140"/>
      <c r="D16" s="589" t="s">
        <v>515</v>
      </c>
      <c r="E16" s="240">
        <v>43490089.410000049</v>
      </c>
      <c r="F16" s="241">
        <v>0.1999052306638564</v>
      </c>
      <c r="G16" s="242">
        <v>6842</v>
      </c>
      <c r="H16" s="243">
        <v>0.16246764656994278</v>
      </c>
      <c r="I16" s="148"/>
      <c r="J16" s="34"/>
      <c r="K16" s="41"/>
      <c r="M16" s="409"/>
      <c r="N16" s="357"/>
      <c r="O16" s="358"/>
      <c r="P16" s="359"/>
      <c r="Q16" s="358"/>
    </row>
    <row r="17" spans="1:17">
      <c r="A17" s="40"/>
      <c r="B17" s="139"/>
      <c r="C17" s="140"/>
      <c r="D17" s="589" t="s">
        <v>516</v>
      </c>
      <c r="E17" s="240">
        <v>60038156.269999892</v>
      </c>
      <c r="F17" s="241">
        <v>0.27596957469182104</v>
      </c>
      <c r="G17" s="242">
        <v>11457</v>
      </c>
      <c r="H17" s="243">
        <v>0.27205376012157767</v>
      </c>
      <c r="I17" s="148"/>
      <c r="J17" s="34"/>
      <c r="K17" s="41"/>
      <c r="M17" s="409"/>
      <c r="N17" s="357"/>
      <c r="O17" s="358"/>
      <c r="P17" s="359"/>
      <c r="Q17" s="358"/>
    </row>
    <row r="18" spans="1:17">
      <c r="A18" s="40"/>
      <c r="B18" s="139"/>
      <c r="C18" s="140"/>
      <c r="D18" s="589" t="s">
        <v>517</v>
      </c>
      <c r="E18" s="240">
        <v>45501491.189999945</v>
      </c>
      <c r="F18" s="241">
        <v>0.20915077929903844</v>
      </c>
      <c r="G18" s="242">
        <v>8928</v>
      </c>
      <c r="H18" s="243">
        <v>0.21200104480801651</v>
      </c>
      <c r="I18" s="148"/>
      <c r="J18" s="34"/>
      <c r="K18" s="41"/>
      <c r="M18" s="409"/>
      <c r="N18" s="357"/>
      <c r="O18" s="358"/>
      <c r="P18" s="359"/>
      <c r="Q18" s="358"/>
    </row>
    <row r="19" spans="1:17">
      <c r="A19" s="40"/>
      <c r="B19" s="139"/>
      <c r="C19" s="140"/>
      <c r="D19" s="589" t="s">
        <v>518</v>
      </c>
      <c r="E19" s="240">
        <v>25420516.289999925</v>
      </c>
      <c r="F19" s="241">
        <v>0.11684717694276059</v>
      </c>
      <c r="G19" s="242">
        <v>5483</v>
      </c>
      <c r="H19" s="243">
        <v>0.13019732624130317</v>
      </c>
      <c r="I19" s="148"/>
      <c r="J19" s="34"/>
      <c r="K19" s="41"/>
      <c r="M19" s="409"/>
      <c r="N19" s="357"/>
      <c r="O19" s="358"/>
      <c r="P19" s="359"/>
      <c r="Q19" s="358"/>
    </row>
    <row r="20" spans="1:17">
      <c r="A20" s="40"/>
      <c r="B20" s="139"/>
      <c r="C20" s="140"/>
      <c r="D20" s="589" t="s">
        <v>519</v>
      </c>
      <c r="E20" s="240">
        <v>15514263.179999961</v>
      </c>
      <c r="F20" s="241">
        <v>7.1312393275157052E-2</v>
      </c>
      <c r="G20" s="242">
        <v>4069</v>
      </c>
      <c r="H20" s="243">
        <v>9.6620995892004846E-2</v>
      </c>
      <c r="I20" s="148"/>
      <c r="J20" s="34"/>
      <c r="K20" s="41"/>
      <c r="M20" s="409"/>
      <c r="N20" s="357"/>
      <c r="O20" s="358"/>
      <c r="P20" s="359"/>
      <c r="Q20" s="358"/>
    </row>
    <row r="21" spans="1:17">
      <c r="A21" s="40"/>
      <c r="B21" s="139"/>
      <c r="C21" s="140"/>
      <c r="D21" s="589" t="s">
        <v>520</v>
      </c>
      <c r="E21" s="240">
        <v>6249179.9299999978</v>
      </c>
      <c r="F21" s="241">
        <v>2.8724791609173888E-2</v>
      </c>
      <c r="G21" s="242">
        <v>1976</v>
      </c>
      <c r="H21" s="243">
        <v>4.6921378196756347E-2</v>
      </c>
      <c r="I21" s="148"/>
      <c r="J21" s="34"/>
      <c r="K21" s="41"/>
      <c r="M21" s="409"/>
      <c r="N21" s="357"/>
      <c r="O21" s="358"/>
      <c r="P21" s="359"/>
      <c r="Q21" s="358"/>
    </row>
    <row r="22" spans="1:17">
      <c r="A22" s="40"/>
      <c r="B22" s="139"/>
      <c r="C22" s="140"/>
      <c r="D22" s="589" t="s">
        <v>521</v>
      </c>
      <c r="E22" s="240">
        <v>340298.76999999996</v>
      </c>
      <c r="F22" s="241">
        <v>1.5642070419803382E-3</v>
      </c>
      <c r="G22" s="242">
        <v>78</v>
      </c>
      <c r="H22" s="243">
        <v>1.8521596656614348E-3</v>
      </c>
      <c r="I22" s="148"/>
      <c r="J22" s="34"/>
      <c r="K22" s="41"/>
      <c r="M22" s="409"/>
      <c r="N22" s="357"/>
      <c r="O22" s="358"/>
      <c r="P22" s="359"/>
      <c r="Q22" s="358"/>
    </row>
    <row r="23" spans="1:17">
      <c r="A23" s="40"/>
      <c r="B23" s="139"/>
      <c r="C23" s="140"/>
      <c r="D23" s="589" t="s">
        <v>522</v>
      </c>
      <c r="E23" s="240">
        <v>101168.56</v>
      </c>
      <c r="F23" s="241">
        <v>4.6502834547127624E-4</v>
      </c>
      <c r="G23" s="242">
        <v>28</v>
      </c>
      <c r="H23" s="243">
        <v>6.6487782869897654E-4</v>
      </c>
      <c r="I23" s="183"/>
      <c r="J23" s="34"/>
      <c r="K23" s="41"/>
      <c r="M23" s="409"/>
      <c r="N23" s="357"/>
      <c r="O23" s="358"/>
      <c r="P23" s="359"/>
      <c r="Q23" s="358"/>
    </row>
    <row r="24" spans="1:17">
      <c r="A24" s="40"/>
      <c r="B24" s="139"/>
      <c r="C24" s="140"/>
      <c r="D24" s="589" t="s">
        <v>523</v>
      </c>
      <c r="E24" s="240">
        <v>193649.58000000005</v>
      </c>
      <c r="F24" s="241">
        <v>8.9012380712552965E-4</v>
      </c>
      <c r="G24" s="242">
        <v>45</v>
      </c>
      <c r="H24" s="243">
        <v>1.0685536532662123E-3</v>
      </c>
      <c r="I24" s="148"/>
      <c r="J24" s="34"/>
      <c r="K24" s="41"/>
      <c r="M24" s="409"/>
      <c r="N24" s="357"/>
      <c r="O24" s="358"/>
      <c r="P24" s="359"/>
      <c r="Q24" s="358"/>
    </row>
    <row r="25" spans="1:17" ht="12.75" customHeight="1">
      <c r="A25" s="40"/>
      <c r="B25" s="139"/>
      <c r="C25" s="140"/>
      <c r="D25" s="590" t="s">
        <v>524</v>
      </c>
      <c r="E25" s="240">
        <v>1003.14</v>
      </c>
      <c r="F25" s="241">
        <v>4.6110030080101571E-6</v>
      </c>
      <c r="G25" s="242">
        <v>1</v>
      </c>
      <c r="H25" s="243">
        <v>2.3745636739249164E-5</v>
      </c>
      <c r="I25" s="231"/>
      <c r="J25" s="34"/>
      <c r="K25" s="41"/>
      <c r="M25" s="410"/>
      <c r="N25" s="357"/>
      <c r="O25" s="358"/>
      <c r="P25" s="359"/>
      <c r="Q25" s="358"/>
    </row>
    <row r="26" spans="1:17" ht="12.75" customHeight="1" thickBot="1">
      <c r="A26" s="40"/>
      <c r="B26" s="139"/>
      <c r="C26" s="140"/>
      <c r="D26" s="590" t="s">
        <v>525</v>
      </c>
      <c r="E26" s="240">
        <v>26197.89</v>
      </c>
      <c r="F26" s="241">
        <v>1.2042042944506172E-4</v>
      </c>
      <c r="G26" s="242">
        <v>5</v>
      </c>
      <c r="H26" s="243">
        <v>1.1872818369624582E-4</v>
      </c>
      <c r="I26" s="231"/>
      <c r="J26" s="34"/>
      <c r="K26" s="41"/>
      <c r="M26" s="410"/>
      <c r="N26" s="357"/>
      <c r="O26" s="358"/>
      <c r="P26" s="359"/>
      <c r="Q26" s="358"/>
    </row>
    <row r="27" spans="1:17" ht="14.25" thickTop="1" thickBot="1">
      <c r="A27" s="40"/>
      <c r="B27" s="139"/>
      <c r="C27" s="140"/>
      <c r="D27" s="291" t="s">
        <v>40</v>
      </c>
      <c r="E27" s="292">
        <f>SUM(E14:E26)</f>
        <v>217553534.06999981</v>
      </c>
      <c r="F27" s="295">
        <f>SUM(F14:F26)</f>
        <v>1.0000000000000093</v>
      </c>
      <c r="G27" s="308">
        <f>SUM(G14:G26)</f>
        <v>42113</v>
      </c>
      <c r="H27" s="294">
        <f>SUM(H14:H26)</f>
        <v>1</v>
      </c>
      <c r="I27" s="148"/>
      <c r="J27" s="34"/>
      <c r="K27" s="41"/>
      <c r="M27" s="360"/>
      <c r="N27" s="361"/>
      <c r="O27" s="362"/>
      <c r="P27" s="363"/>
      <c r="Q27" s="362"/>
    </row>
    <row r="28" spans="1:17">
      <c r="A28" s="40"/>
      <c r="B28" s="139"/>
      <c r="C28" s="140"/>
      <c r="D28" s="132"/>
      <c r="E28" s="181"/>
      <c r="F28" s="132"/>
      <c r="G28" s="132"/>
      <c r="H28" s="132"/>
      <c r="I28" s="148"/>
      <c r="J28" s="102"/>
      <c r="K28" s="41"/>
      <c r="M28" s="148"/>
      <c r="N28" s="147"/>
      <c r="O28" s="148"/>
      <c r="P28" s="148"/>
      <c r="Q28" s="148"/>
    </row>
    <row r="29" spans="1:17">
      <c r="A29" s="40"/>
      <c r="B29" s="139"/>
      <c r="C29" s="140"/>
      <c r="D29" s="149"/>
      <c r="E29" s="146"/>
      <c r="F29" s="132"/>
      <c r="G29" s="193"/>
      <c r="H29" s="132"/>
      <c r="I29" s="148"/>
      <c r="J29" s="102"/>
      <c r="K29" s="41"/>
      <c r="M29" s="148"/>
      <c r="N29" s="146"/>
      <c r="O29" s="148"/>
      <c r="P29" s="391"/>
      <c r="Q29" s="148"/>
    </row>
    <row r="30" spans="1:17" ht="13.5" thickBot="1">
      <c r="A30" s="40"/>
      <c r="B30" s="139"/>
      <c r="C30" s="140"/>
      <c r="D30" s="276" t="s">
        <v>89</v>
      </c>
      <c r="E30" s="276" t="s">
        <v>11</v>
      </c>
      <c r="F30" s="132"/>
      <c r="G30" s="132"/>
      <c r="H30" s="132"/>
      <c r="I30" s="148"/>
      <c r="J30" s="102"/>
      <c r="K30" s="41"/>
      <c r="M30" s="376"/>
      <c r="N30" s="376"/>
      <c r="O30" s="148"/>
      <c r="P30" s="148"/>
      <c r="Q30" s="148"/>
    </row>
    <row r="31" spans="1:17" ht="13.5" thickBot="1">
      <c r="A31" s="40"/>
      <c r="B31" s="139"/>
      <c r="C31" s="140"/>
      <c r="D31" s="489" t="s">
        <v>83</v>
      </c>
      <c r="E31" s="491">
        <v>6.4685286061454281E-2</v>
      </c>
      <c r="F31" s="132"/>
      <c r="G31" s="244"/>
      <c r="H31" s="244"/>
      <c r="I31" s="148"/>
      <c r="J31" s="102"/>
      <c r="K31" s="41"/>
      <c r="M31" s="411"/>
      <c r="N31" s="386"/>
      <c r="O31" s="148"/>
      <c r="P31" s="244"/>
      <c r="Q31" s="244"/>
    </row>
    <row r="32" spans="1:17">
      <c r="A32" s="40"/>
      <c r="B32" s="139"/>
      <c r="C32" s="140"/>
      <c r="D32" s="412"/>
      <c r="E32" s="386"/>
      <c r="F32" s="132"/>
      <c r="G32" s="245"/>
      <c r="H32" s="245"/>
      <c r="I32" s="148"/>
      <c r="J32" s="102"/>
      <c r="K32" s="41"/>
      <c r="M32" s="412"/>
      <c r="N32" s="386"/>
      <c r="O32" s="148"/>
      <c r="P32" s="245"/>
      <c r="Q32" s="245"/>
    </row>
    <row r="33" spans="1:17" ht="14.25">
      <c r="A33" s="40"/>
      <c r="B33" s="139"/>
      <c r="C33" s="140"/>
      <c r="D33" s="493" t="s">
        <v>180</v>
      </c>
      <c r="E33" s="386"/>
      <c r="F33" s="132"/>
      <c r="G33" s="132"/>
      <c r="H33" s="132"/>
      <c r="I33" s="148"/>
      <c r="J33" s="102"/>
      <c r="K33" s="41"/>
      <c r="M33" s="246"/>
      <c r="N33" s="386"/>
      <c r="O33" s="148"/>
      <c r="P33" s="148"/>
      <c r="Q33" s="148"/>
    </row>
    <row r="34" spans="1:17">
      <c r="A34" s="40"/>
      <c r="B34" s="139"/>
      <c r="C34" s="140"/>
      <c r="D34" s="246"/>
      <c r="E34" s="182"/>
      <c r="F34" s="132"/>
      <c r="G34" s="132"/>
      <c r="H34" s="132"/>
      <c r="I34" s="148"/>
      <c r="J34" s="102"/>
      <c r="K34" s="41"/>
      <c r="M34" s="246"/>
      <c r="N34" s="386"/>
      <c r="O34" s="148"/>
      <c r="P34" s="148"/>
      <c r="Q34" s="148"/>
    </row>
    <row r="35" spans="1:17">
      <c r="A35" s="40"/>
      <c r="B35" s="139"/>
      <c r="C35" s="140"/>
      <c r="D35" s="246"/>
      <c r="E35" s="182"/>
      <c r="F35" s="132"/>
      <c r="G35" s="132"/>
      <c r="H35" s="132"/>
      <c r="I35" s="148"/>
      <c r="J35" s="102"/>
      <c r="K35" s="41"/>
      <c r="M35" s="246"/>
      <c r="N35" s="386"/>
      <c r="O35" s="148"/>
      <c r="P35" s="148"/>
      <c r="Q35" s="148"/>
    </row>
    <row r="36" spans="1:17">
      <c r="A36" s="40"/>
      <c r="B36" s="139"/>
      <c r="C36" s="140"/>
      <c r="D36" s="177"/>
      <c r="E36" s="177"/>
      <c r="F36" s="177"/>
      <c r="G36" s="177"/>
      <c r="H36" s="177"/>
      <c r="I36" s="148"/>
      <c r="J36" s="102"/>
      <c r="K36" s="41"/>
      <c r="M36" s="177"/>
      <c r="N36" s="177"/>
      <c r="O36" s="177"/>
      <c r="P36" s="177"/>
      <c r="Q36" s="177"/>
    </row>
    <row r="37" spans="1:17" ht="12" customHeight="1">
      <c r="A37" s="40"/>
      <c r="B37" s="139"/>
      <c r="C37" s="140"/>
      <c r="D37" s="355"/>
      <c r="E37" s="177"/>
      <c r="F37" s="177"/>
      <c r="G37" s="177"/>
      <c r="H37" s="177"/>
      <c r="I37" s="177"/>
      <c r="J37" s="34"/>
      <c r="K37" s="41"/>
      <c r="M37" s="355"/>
      <c r="N37" s="177"/>
      <c r="O37" s="177"/>
      <c r="P37" s="177"/>
      <c r="Q37" s="177"/>
    </row>
    <row r="38" spans="1:17">
      <c r="A38" s="40"/>
      <c r="B38" s="139"/>
      <c r="C38" s="140"/>
      <c r="D38" s="177"/>
      <c r="E38" s="177"/>
      <c r="F38" s="177"/>
      <c r="G38" s="177"/>
      <c r="H38" s="177"/>
      <c r="I38" s="102"/>
      <c r="J38" s="34"/>
      <c r="K38" s="41"/>
      <c r="M38" s="177"/>
      <c r="N38" s="177"/>
      <c r="O38" s="177"/>
      <c r="P38" s="177"/>
      <c r="Q38" s="177"/>
    </row>
    <row r="39" spans="1:17" ht="14.25">
      <c r="A39" s="40"/>
      <c r="B39" s="139"/>
      <c r="C39" s="140"/>
      <c r="D39" s="317"/>
      <c r="E39" s="329"/>
      <c r="F39" s="327"/>
      <c r="G39" s="328"/>
      <c r="H39" s="328"/>
      <c r="I39" s="102"/>
      <c r="J39" s="34"/>
      <c r="K39" s="41"/>
      <c r="L39" s="34"/>
      <c r="M39" s="317"/>
      <c r="N39" s="329"/>
      <c r="O39" s="327"/>
      <c r="P39" s="328"/>
      <c r="Q39" s="328"/>
    </row>
    <row r="40" spans="1:17" s="34" customFormat="1">
      <c r="A40" s="40"/>
      <c r="B40" s="139"/>
      <c r="C40" s="140"/>
      <c r="D40" s="356"/>
      <c r="E40" s="357"/>
      <c r="F40" s="358"/>
      <c r="G40" s="359"/>
      <c r="H40" s="358"/>
      <c r="I40" s="102"/>
      <c r="K40" s="41"/>
      <c r="M40" s="356"/>
      <c r="N40" s="357"/>
      <c r="O40" s="358"/>
      <c r="P40" s="359"/>
      <c r="Q40" s="358"/>
    </row>
    <row r="41" spans="1:17" s="34" customFormat="1">
      <c r="A41" s="40"/>
      <c r="B41" s="139"/>
      <c r="C41" s="140"/>
      <c r="D41" s="356"/>
      <c r="E41" s="357"/>
      <c r="F41" s="358"/>
      <c r="G41" s="359"/>
      <c r="H41" s="358"/>
      <c r="I41" s="102"/>
      <c r="K41" s="41"/>
      <c r="M41" s="356"/>
      <c r="N41" s="357"/>
      <c r="O41" s="358"/>
      <c r="P41" s="359"/>
      <c r="Q41" s="358"/>
    </row>
    <row r="42" spans="1:17" s="4" customFormat="1" ht="15" customHeight="1">
      <c r="A42" s="5"/>
      <c r="B42" s="139"/>
      <c r="C42" s="140"/>
      <c r="D42" s="360"/>
      <c r="E42" s="361"/>
      <c r="F42" s="362"/>
      <c r="G42" s="363"/>
      <c r="H42" s="362"/>
      <c r="I42" s="102"/>
      <c r="K42" s="8"/>
      <c r="M42" s="360"/>
      <c r="N42" s="361"/>
      <c r="O42" s="362"/>
      <c r="P42" s="363"/>
      <c r="Q42" s="362"/>
    </row>
    <row r="43" spans="1:17" s="4" customFormat="1">
      <c r="A43" s="5"/>
      <c r="B43" s="139"/>
      <c r="C43" s="140"/>
      <c r="D43" s="156"/>
      <c r="E43" s="157"/>
      <c r="F43" s="141"/>
      <c r="G43" s="158"/>
      <c r="H43" s="141"/>
      <c r="I43" s="102"/>
      <c r="K43" s="8"/>
      <c r="M43" s="156"/>
      <c r="N43" s="157"/>
      <c r="O43" s="141"/>
      <c r="P43" s="158"/>
      <c r="Q43" s="141"/>
    </row>
    <row r="44" spans="1:17" s="4" customFormat="1">
      <c r="A44" s="5"/>
      <c r="B44" s="139"/>
      <c r="C44" s="140"/>
      <c r="D44" s="156"/>
      <c r="E44" s="157"/>
      <c r="F44" s="141"/>
      <c r="G44" s="158"/>
      <c r="H44" s="141"/>
      <c r="I44" s="102"/>
      <c r="K44" s="8"/>
      <c r="M44" s="156"/>
      <c r="N44" s="157"/>
      <c r="O44" s="141"/>
      <c r="P44" s="158"/>
      <c r="Q44" s="141"/>
    </row>
    <row r="45" spans="1:17" s="4" customFormat="1">
      <c r="A45" s="5"/>
      <c r="B45" s="139"/>
      <c r="C45" s="140"/>
      <c r="D45" s="156"/>
      <c r="E45" s="157"/>
      <c r="F45" s="141"/>
      <c r="G45" s="158"/>
      <c r="H45" s="141"/>
      <c r="I45" s="102"/>
      <c r="K45" s="8"/>
      <c r="M45" s="156"/>
      <c r="N45" s="157"/>
      <c r="O45" s="141"/>
      <c r="P45" s="158"/>
      <c r="Q45" s="141"/>
    </row>
    <row r="46" spans="1:17" s="34" customFormat="1">
      <c r="A46" s="60"/>
      <c r="B46" s="167"/>
      <c r="C46" s="168"/>
      <c r="D46" s="169"/>
      <c r="E46" s="170"/>
      <c r="F46" s="171"/>
      <c r="G46" s="172"/>
      <c r="H46" s="171"/>
      <c r="I46" s="126"/>
      <c r="J46" s="61"/>
      <c r="K46" s="79"/>
      <c r="M46" s="156"/>
      <c r="N46" s="157"/>
      <c r="O46" s="141"/>
      <c r="P46" s="158"/>
      <c r="Q46" s="141"/>
    </row>
    <row r="47" spans="1:17" s="34" customFormat="1">
      <c r="B47" s="139"/>
      <c r="C47" s="140"/>
      <c r="D47" s="156"/>
      <c r="E47" s="157"/>
      <c r="F47" s="141"/>
      <c r="G47" s="158"/>
      <c r="H47" s="141"/>
      <c r="I47" s="102"/>
      <c r="M47" s="156"/>
      <c r="N47" s="157"/>
      <c r="O47" s="141"/>
      <c r="P47" s="158"/>
      <c r="Q47" s="141"/>
    </row>
    <row r="48" spans="1:17" s="34" customFormat="1">
      <c r="B48" s="139"/>
      <c r="C48" s="140"/>
      <c r="D48" s="156"/>
      <c r="E48" s="157"/>
      <c r="F48" s="141"/>
      <c r="G48" s="158"/>
      <c r="H48" s="141"/>
      <c r="I48" s="102"/>
      <c r="M48" s="156"/>
      <c r="N48" s="157"/>
      <c r="O48" s="141"/>
      <c r="P48" s="158"/>
      <c r="Q48" s="141"/>
    </row>
    <row r="49" spans="2:17" s="34" customFormat="1">
      <c r="B49" s="139"/>
      <c r="C49" s="140"/>
      <c r="D49" s="156"/>
      <c r="E49" s="157"/>
      <c r="F49" s="141"/>
      <c r="G49" s="158"/>
      <c r="H49" s="141"/>
      <c r="I49" s="102"/>
      <c r="M49" s="156"/>
      <c r="N49" s="157"/>
      <c r="O49" s="141"/>
      <c r="P49" s="158"/>
      <c r="Q49" s="141"/>
    </row>
    <row r="50" spans="2:17" s="34" customFormat="1">
      <c r="B50" s="139"/>
      <c r="C50" s="140"/>
      <c r="D50" s="156"/>
      <c r="E50" s="157"/>
      <c r="F50" s="141"/>
      <c r="G50" s="158"/>
      <c r="H50" s="141"/>
      <c r="I50" s="102"/>
      <c r="M50" s="156"/>
      <c r="N50" s="157"/>
      <c r="O50" s="141"/>
      <c r="P50" s="158"/>
      <c r="Q50" s="141"/>
    </row>
    <row r="51" spans="2:17" s="34" customFormat="1">
      <c r="B51" s="139"/>
      <c r="C51" s="140"/>
      <c r="D51" s="156"/>
      <c r="E51" s="157"/>
      <c r="F51" s="141"/>
      <c r="G51" s="158"/>
      <c r="H51" s="141"/>
      <c r="I51" s="102"/>
      <c r="M51" s="156"/>
      <c r="N51" s="157"/>
      <c r="O51" s="141"/>
      <c r="P51" s="158"/>
      <c r="Q51" s="141"/>
    </row>
    <row r="52" spans="2:17" s="34" customFormat="1">
      <c r="B52" s="139"/>
      <c r="C52" s="140"/>
      <c r="D52" s="156"/>
      <c r="E52" s="157"/>
      <c r="F52" s="141"/>
      <c r="G52" s="158"/>
      <c r="H52" s="141"/>
      <c r="I52" s="102"/>
      <c r="M52" s="156"/>
      <c r="N52" s="157"/>
      <c r="O52" s="141"/>
      <c r="P52" s="158"/>
      <c r="Q52" s="141"/>
    </row>
    <row r="53" spans="2:17" s="34" customFormat="1">
      <c r="B53" s="139"/>
      <c r="C53" s="140"/>
      <c r="D53" s="156"/>
      <c r="E53" s="157"/>
      <c r="F53" s="141"/>
      <c r="G53" s="158"/>
      <c r="H53" s="141"/>
      <c r="I53" s="102"/>
      <c r="M53" s="156"/>
      <c r="N53" s="157"/>
      <c r="O53" s="141"/>
      <c r="P53" s="158"/>
      <c r="Q53" s="141"/>
    </row>
    <row r="54" spans="2:17" s="34" customFormat="1">
      <c r="B54" s="139"/>
      <c r="C54" s="140"/>
      <c r="D54" s="156"/>
      <c r="E54" s="157"/>
      <c r="F54" s="141"/>
      <c r="G54" s="158"/>
      <c r="H54" s="141"/>
      <c r="I54" s="102"/>
      <c r="M54" s="156"/>
      <c r="N54" s="157"/>
      <c r="O54" s="141"/>
      <c r="P54" s="158"/>
      <c r="Q54" s="141"/>
    </row>
    <row r="55" spans="2:17" s="34" customFormat="1">
      <c r="B55" s="139"/>
      <c r="C55" s="140"/>
      <c r="D55" s="156"/>
      <c r="E55" s="157"/>
      <c r="F55" s="141"/>
      <c r="G55" s="158"/>
      <c r="H55" s="141"/>
      <c r="I55" s="102"/>
      <c r="M55" s="156"/>
      <c r="N55" s="157"/>
      <c r="O55" s="141"/>
      <c r="P55" s="158"/>
      <c r="Q55" s="141"/>
    </row>
    <row r="56" spans="2:17" s="34" customFormat="1">
      <c r="B56" s="139"/>
      <c r="C56" s="140"/>
      <c r="D56" s="156"/>
      <c r="E56" s="157"/>
      <c r="F56" s="141"/>
      <c r="G56" s="158"/>
      <c r="H56" s="141"/>
      <c r="I56" s="102"/>
      <c r="M56" s="156"/>
      <c r="N56" s="157"/>
      <c r="O56" s="141"/>
      <c r="P56" s="158"/>
      <c r="Q56" s="141"/>
    </row>
    <row r="57" spans="2:17" s="34" customFormat="1">
      <c r="B57" s="139"/>
      <c r="C57" s="140"/>
      <c r="D57" s="156"/>
      <c r="E57" s="157"/>
      <c r="F57" s="141"/>
      <c r="G57" s="158"/>
      <c r="H57" s="141"/>
      <c r="I57" s="102"/>
      <c r="M57" s="156"/>
      <c r="N57" s="157"/>
      <c r="O57" s="141"/>
      <c r="P57" s="158"/>
      <c r="Q57" s="141"/>
    </row>
    <row r="58" spans="2:17" s="34" customFormat="1">
      <c r="B58" s="139"/>
      <c r="C58" s="140"/>
      <c r="D58" s="156"/>
      <c r="E58" s="157"/>
      <c r="F58" s="141"/>
      <c r="G58" s="158"/>
      <c r="H58" s="141"/>
      <c r="I58" s="102"/>
      <c r="M58" s="156"/>
      <c r="N58" s="157"/>
      <c r="O58" s="141"/>
      <c r="P58" s="158"/>
      <c r="Q58" s="141"/>
    </row>
    <row r="59" spans="2:17" s="34" customFormat="1">
      <c r="B59" s="139"/>
      <c r="C59" s="140"/>
      <c r="D59" s="156"/>
      <c r="E59" s="157"/>
      <c r="F59" s="141"/>
      <c r="G59" s="158"/>
      <c r="H59" s="141"/>
      <c r="I59" s="102"/>
      <c r="M59" s="156"/>
      <c r="N59" s="157"/>
      <c r="O59" s="141"/>
      <c r="P59" s="158"/>
      <c r="Q59" s="141"/>
    </row>
    <row r="60" spans="2:17" s="34" customFormat="1">
      <c r="B60" s="139"/>
      <c r="C60" s="140"/>
      <c r="D60" s="156"/>
      <c r="E60" s="157"/>
      <c r="F60" s="141"/>
      <c r="G60" s="158"/>
      <c r="H60" s="141"/>
      <c r="I60" s="102"/>
      <c r="M60" s="156"/>
      <c r="N60" s="157"/>
      <c r="O60" s="141"/>
      <c r="P60" s="158"/>
      <c r="Q60" s="141"/>
    </row>
    <row r="61" spans="2:17" s="34" customFormat="1">
      <c r="B61" s="139"/>
      <c r="C61" s="140"/>
      <c r="D61" s="156"/>
      <c r="E61" s="157"/>
      <c r="F61" s="141"/>
      <c r="G61" s="158"/>
      <c r="H61" s="141"/>
      <c r="I61" s="102"/>
      <c r="M61" s="156"/>
      <c r="N61" s="157"/>
      <c r="O61" s="141"/>
      <c r="P61" s="158"/>
      <c r="Q61" s="141"/>
    </row>
    <row r="62" spans="2:17" s="34" customFormat="1">
      <c r="B62" s="139"/>
      <c r="C62" s="140"/>
      <c r="D62" s="156"/>
      <c r="E62" s="157"/>
      <c r="F62" s="141"/>
      <c r="G62" s="158"/>
      <c r="H62" s="141"/>
      <c r="I62" s="102"/>
      <c r="M62" s="156"/>
      <c r="N62" s="157"/>
      <c r="O62" s="141"/>
      <c r="P62" s="158"/>
      <c r="Q62" s="141"/>
    </row>
    <row r="63" spans="2:17" s="34" customFormat="1">
      <c r="B63" s="139"/>
      <c r="C63" s="140"/>
      <c r="D63" s="156"/>
      <c r="E63" s="157"/>
      <c r="F63" s="141"/>
      <c r="G63" s="158"/>
      <c r="H63" s="141"/>
      <c r="I63" s="102"/>
      <c r="M63" s="156"/>
      <c r="N63" s="157"/>
      <c r="O63" s="141"/>
      <c r="P63" s="158"/>
      <c r="Q63" s="141"/>
    </row>
    <row r="64" spans="2:17" s="34" customFormat="1">
      <c r="B64" s="139"/>
      <c r="C64" s="140"/>
      <c r="D64" s="156"/>
      <c r="E64" s="157"/>
      <c r="F64" s="141"/>
      <c r="G64" s="158"/>
      <c r="H64" s="141"/>
      <c r="I64" s="102"/>
      <c r="M64" s="156"/>
      <c r="N64" s="157"/>
      <c r="O64" s="141"/>
      <c r="P64" s="158"/>
      <c r="Q64" s="141"/>
    </row>
    <row r="65" spans="2:17" s="34" customFormat="1">
      <c r="B65" s="139"/>
      <c r="C65" s="140"/>
      <c r="D65" s="156"/>
      <c r="E65" s="157"/>
      <c r="F65" s="141"/>
      <c r="G65" s="158"/>
      <c r="H65" s="141"/>
      <c r="I65" s="102"/>
      <c r="M65" s="156"/>
      <c r="N65" s="157"/>
      <c r="O65" s="141"/>
      <c r="P65" s="158"/>
      <c r="Q65" s="141"/>
    </row>
    <row r="66" spans="2:17" s="34" customFormat="1">
      <c r="B66" s="139"/>
      <c r="C66" s="140"/>
      <c r="D66" s="156"/>
      <c r="E66" s="157"/>
      <c r="F66" s="141"/>
      <c r="G66" s="158"/>
      <c r="H66" s="141"/>
      <c r="I66" s="102"/>
      <c r="M66" s="156"/>
      <c r="N66" s="157"/>
      <c r="O66" s="141"/>
      <c r="P66" s="158"/>
      <c r="Q66" s="141"/>
    </row>
    <row r="67" spans="2:17" s="34" customFormat="1">
      <c r="B67" s="139"/>
      <c r="C67" s="140"/>
      <c r="D67" s="156"/>
      <c r="E67" s="157"/>
      <c r="F67" s="141"/>
      <c r="G67" s="158"/>
      <c r="H67" s="141"/>
      <c r="I67" s="102"/>
      <c r="M67" s="156"/>
      <c r="N67" s="157"/>
      <c r="O67" s="141"/>
      <c r="P67" s="158"/>
      <c r="Q67" s="141"/>
    </row>
    <row r="68" spans="2:17" s="34" customFormat="1">
      <c r="B68" s="139"/>
      <c r="C68" s="140"/>
      <c r="D68" s="156"/>
      <c r="E68" s="157"/>
      <c r="F68" s="141"/>
      <c r="G68" s="158"/>
      <c r="H68" s="141"/>
      <c r="I68" s="102"/>
      <c r="M68" s="156"/>
      <c r="N68" s="157"/>
      <c r="O68" s="141"/>
      <c r="P68" s="158"/>
      <c r="Q68" s="141"/>
    </row>
    <row r="69" spans="2:17" s="34" customFormat="1">
      <c r="B69" s="139"/>
      <c r="C69" s="140"/>
      <c r="D69" s="156"/>
      <c r="E69" s="157"/>
      <c r="F69" s="141"/>
      <c r="G69" s="158"/>
      <c r="H69" s="141"/>
      <c r="I69" s="102"/>
      <c r="M69" s="156"/>
      <c r="N69" s="157"/>
      <c r="O69" s="141"/>
      <c r="P69" s="158"/>
      <c r="Q69" s="141"/>
    </row>
    <row r="70" spans="2:17" s="34" customFormat="1">
      <c r="B70" s="139"/>
      <c r="C70" s="140"/>
      <c r="D70" s="156"/>
      <c r="E70" s="157"/>
      <c r="F70" s="141"/>
      <c r="G70" s="158"/>
      <c r="H70" s="141"/>
      <c r="I70" s="102"/>
      <c r="M70" s="156"/>
      <c r="N70" s="157"/>
      <c r="O70" s="141"/>
      <c r="P70" s="158"/>
      <c r="Q70" s="141"/>
    </row>
    <row r="71" spans="2:17" s="34" customFormat="1">
      <c r="B71" s="139"/>
      <c r="C71" s="140"/>
      <c r="D71" s="156"/>
      <c r="E71" s="157"/>
      <c r="F71" s="141"/>
      <c r="G71" s="158"/>
      <c r="H71" s="141"/>
      <c r="I71" s="102"/>
      <c r="M71" s="156"/>
      <c r="N71" s="157"/>
      <c r="O71" s="141"/>
      <c r="P71" s="158"/>
      <c r="Q71" s="141"/>
    </row>
    <row r="72" spans="2:17" s="34" customFormat="1">
      <c r="B72" s="139"/>
      <c r="C72" s="140"/>
      <c r="D72" s="156"/>
      <c r="E72" s="157"/>
      <c r="F72" s="141"/>
      <c r="G72" s="158"/>
      <c r="H72" s="141"/>
      <c r="I72" s="102"/>
      <c r="M72" s="156"/>
      <c r="N72" s="157"/>
      <c r="O72" s="141"/>
      <c r="P72" s="158"/>
      <c r="Q72" s="141"/>
    </row>
    <row r="73" spans="2:17" s="34" customFormat="1">
      <c r="B73" s="139"/>
      <c r="C73" s="140"/>
      <c r="D73" s="156"/>
      <c r="E73" s="157"/>
      <c r="F73" s="141"/>
      <c r="G73" s="158"/>
      <c r="H73" s="141"/>
      <c r="I73" s="102"/>
      <c r="M73" s="156"/>
      <c r="N73" s="157"/>
      <c r="O73" s="141"/>
      <c r="P73" s="158"/>
      <c r="Q73" s="141"/>
    </row>
    <row r="74" spans="2:17" s="34" customFormat="1">
      <c r="B74" s="139"/>
      <c r="C74" s="140"/>
      <c r="D74" s="142"/>
      <c r="E74" s="134"/>
      <c r="F74" s="143"/>
      <c r="G74" s="144"/>
      <c r="H74" s="143"/>
      <c r="I74" s="102"/>
      <c r="M74" s="142"/>
      <c r="N74" s="134"/>
      <c r="O74" s="143"/>
      <c r="P74" s="144"/>
      <c r="Q74" s="143"/>
    </row>
    <row r="75" spans="2:17" s="34" customFormat="1">
      <c r="B75" s="139"/>
      <c r="C75" s="140"/>
      <c r="D75" s="142"/>
      <c r="E75" s="142"/>
      <c r="F75" s="142"/>
      <c r="G75" s="142"/>
      <c r="H75" s="142"/>
      <c r="I75" s="102"/>
      <c r="M75" s="142"/>
      <c r="N75" s="142"/>
      <c r="O75" s="142"/>
      <c r="P75" s="142"/>
      <c r="Q75" s="142"/>
    </row>
    <row r="76" spans="2:17" s="34" customFormat="1">
      <c r="B76" s="139"/>
      <c r="C76" s="140"/>
      <c r="D76" s="142"/>
      <c r="E76" s="142"/>
      <c r="F76" s="142"/>
      <c r="G76" s="142"/>
      <c r="H76" s="142"/>
      <c r="I76" s="102"/>
      <c r="M76" s="142"/>
      <c r="N76" s="142"/>
      <c r="O76" s="142"/>
      <c r="P76" s="142"/>
      <c r="Q76" s="142"/>
    </row>
    <row r="77" spans="2:17" s="34" customFormat="1">
      <c r="B77" s="139"/>
      <c r="C77" s="140"/>
      <c r="D77" s="145"/>
      <c r="E77" s="146"/>
      <c r="F77" s="142"/>
      <c r="G77" s="142"/>
      <c r="H77" s="142"/>
      <c r="I77" s="102"/>
      <c r="M77" s="145"/>
      <c r="N77" s="146"/>
      <c r="O77" s="142"/>
      <c r="P77" s="142"/>
      <c r="Q77" s="142"/>
    </row>
    <row r="78" spans="2:17" s="34" customFormat="1">
      <c r="B78" s="139"/>
      <c r="C78" s="140"/>
      <c r="D78" s="134"/>
      <c r="E78" s="146"/>
      <c r="F78" s="142"/>
      <c r="G78" s="142"/>
      <c r="H78" s="142"/>
      <c r="I78" s="102"/>
      <c r="M78" s="134"/>
      <c r="N78" s="146"/>
      <c r="O78" s="142"/>
      <c r="P78" s="142"/>
      <c r="Q78" s="142"/>
    </row>
    <row r="79" spans="2:17" s="34" customFormat="1">
      <c r="B79" s="139"/>
      <c r="C79" s="140"/>
      <c r="D79" s="142"/>
      <c r="E79" s="146"/>
      <c r="F79" s="142"/>
      <c r="G79" s="142"/>
      <c r="H79" s="142"/>
      <c r="I79" s="102"/>
      <c r="M79" s="142"/>
      <c r="N79" s="146"/>
      <c r="O79" s="142"/>
      <c r="P79" s="142"/>
      <c r="Q79" s="142"/>
    </row>
    <row r="80" spans="2:17" s="34" customFormat="1" ht="14.25">
      <c r="B80" s="142"/>
      <c r="C80" s="134"/>
      <c r="D80" s="150"/>
      <c r="E80" s="150"/>
      <c r="F80" s="150"/>
      <c r="G80" s="150"/>
      <c r="H80" s="150"/>
      <c r="I80" s="102"/>
      <c r="M80" s="150"/>
      <c r="N80" s="150"/>
      <c r="O80" s="150"/>
      <c r="P80" s="150"/>
      <c r="Q80" s="150"/>
    </row>
    <row r="81" spans="2:17" s="34" customFormat="1" ht="14.25">
      <c r="B81" s="173"/>
      <c r="C81" s="173"/>
      <c r="D81" s="150"/>
      <c r="E81" s="150"/>
      <c r="F81" s="150"/>
      <c r="G81" s="150"/>
      <c r="H81" s="150"/>
      <c r="I81" s="102"/>
      <c r="M81" s="150"/>
      <c r="N81" s="150"/>
      <c r="O81" s="150"/>
      <c r="P81" s="150"/>
      <c r="Q81" s="150"/>
    </row>
    <row r="82" spans="2:17" s="34" customFormat="1" ht="14.25">
      <c r="B82" s="173"/>
      <c r="C82" s="173"/>
      <c r="D82" s="151"/>
      <c r="E82" s="152"/>
      <c r="F82" s="150"/>
      <c r="G82" s="150"/>
      <c r="H82" s="150"/>
      <c r="I82" s="102"/>
      <c r="M82" s="151"/>
      <c r="N82" s="152"/>
      <c r="O82" s="150"/>
      <c r="P82" s="150"/>
      <c r="Q82" s="150"/>
    </row>
    <row r="83" spans="2:17" s="34" customFormat="1" ht="14.25">
      <c r="B83" s="145"/>
      <c r="C83" s="146"/>
      <c r="D83" s="153"/>
      <c r="E83" s="152"/>
      <c r="F83" s="150"/>
      <c r="G83" s="150"/>
      <c r="H83" s="150"/>
      <c r="I83" s="102"/>
      <c r="M83" s="153"/>
      <c r="N83" s="152"/>
      <c r="O83" s="150"/>
      <c r="P83" s="150"/>
      <c r="Q83" s="150"/>
    </row>
    <row r="84" spans="2:17" s="34" customFormat="1" ht="14.25">
      <c r="B84" s="147"/>
      <c r="C84" s="146"/>
      <c r="D84" s="150"/>
      <c r="E84" s="152"/>
      <c r="F84" s="150"/>
      <c r="G84" s="150"/>
      <c r="H84" s="150"/>
      <c r="I84" s="102"/>
      <c r="M84" s="150"/>
      <c r="N84" s="152"/>
      <c r="O84" s="150"/>
      <c r="P84" s="150"/>
      <c r="Q84" s="150"/>
    </row>
    <row r="85" spans="2:17" s="34" customFormat="1">
      <c r="B85" s="148"/>
      <c r="C85" s="146"/>
      <c r="D85" s="148"/>
      <c r="E85" s="148"/>
      <c r="F85" s="148"/>
      <c r="I85" s="102"/>
      <c r="M85" s="148"/>
      <c r="N85" s="148"/>
      <c r="O85" s="148"/>
    </row>
    <row r="86" spans="2:17" s="34" customFormat="1">
      <c r="I86" s="102"/>
    </row>
    <row r="87" spans="2:17" s="34" customFormat="1">
      <c r="I87" s="102"/>
    </row>
    <row r="88" spans="2:17" s="34" customFormat="1">
      <c r="I88" s="102"/>
    </row>
    <row r="89" spans="2:17" s="34" customFormat="1">
      <c r="I89" s="102"/>
    </row>
    <row r="90" spans="2:17" s="34" customFormat="1">
      <c r="I90" s="102"/>
    </row>
    <row r="91" spans="2:17" s="34" customFormat="1">
      <c r="I91" s="102"/>
    </row>
    <row r="92" spans="2:17" s="34" customFormat="1">
      <c r="I92" s="102"/>
    </row>
    <row r="93" spans="2:17" s="34" customFormat="1">
      <c r="I93" s="102"/>
    </row>
    <row r="94" spans="2:17" s="34" customFormat="1">
      <c r="I94" s="102"/>
    </row>
    <row r="95" spans="2:17" s="34" customFormat="1">
      <c r="I95" s="102"/>
    </row>
    <row r="96" spans="2:17" s="34" customFormat="1">
      <c r="I96" s="102"/>
    </row>
    <row r="97" spans="9:9" s="34" customFormat="1">
      <c r="I97" s="102"/>
    </row>
    <row r="98" spans="9:9" s="34" customFormat="1">
      <c r="I98" s="102"/>
    </row>
    <row r="99" spans="9:9" s="34" customFormat="1">
      <c r="I99" s="102"/>
    </row>
    <row r="100" spans="9:9" s="34" customFormat="1">
      <c r="I100" s="102"/>
    </row>
    <row r="101" spans="9:9" s="34" customFormat="1">
      <c r="I101" s="102"/>
    </row>
    <row r="102" spans="9:9" s="34" customFormat="1">
      <c r="I102" s="102"/>
    </row>
    <row r="103" spans="9:9" s="34" customFormat="1">
      <c r="I103" s="102"/>
    </row>
    <row r="104" spans="9:9" s="34" customFormat="1">
      <c r="I104" s="102"/>
    </row>
    <row r="105" spans="9:9" s="34" customFormat="1">
      <c r="I105" s="102"/>
    </row>
    <row r="106" spans="9:9" s="34" customFormat="1">
      <c r="I106" s="102"/>
    </row>
    <row r="107" spans="9:9" s="34" customFormat="1">
      <c r="I107" s="102"/>
    </row>
    <row r="108" spans="9:9" s="34" customFormat="1">
      <c r="I108" s="102"/>
    </row>
    <row r="109" spans="9:9" s="34" customFormat="1">
      <c r="I109" s="102"/>
    </row>
    <row r="110" spans="9:9" s="34" customFormat="1">
      <c r="I110" s="102"/>
    </row>
    <row r="111" spans="9:9" s="34" customFormat="1">
      <c r="I111" s="102"/>
    </row>
    <row r="112" spans="9:9" s="34" customFormat="1">
      <c r="I112" s="102"/>
    </row>
    <row r="113" spans="9:9" s="34" customFormat="1">
      <c r="I113" s="102"/>
    </row>
    <row r="114" spans="9:9" s="34" customFormat="1">
      <c r="I114" s="102"/>
    </row>
    <row r="115" spans="9:9" s="34" customFormat="1">
      <c r="I115" s="102"/>
    </row>
    <row r="116" spans="9:9" s="34" customFormat="1">
      <c r="I116" s="102"/>
    </row>
    <row r="117" spans="9:9" s="34" customFormat="1">
      <c r="I117" s="102"/>
    </row>
    <row r="118" spans="9:9" s="34" customFormat="1">
      <c r="I118" s="102"/>
    </row>
    <row r="119" spans="9:9" s="34" customFormat="1">
      <c r="I119" s="102"/>
    </row>
    <row r="120" spans="9:9" s="34" customFormat="1">
      <c r="I120" s="102"/>
    </row>
    <row r="121" spans="9:9" s="34" customFormat="1">
      <c r="I121" s="102"/>
    </row>
    <row r="122" spans="9:9" s="34" customFormat="1">
      <c r="I122" s="102"/>
    </row>
    <row r="123" spans="9:9" s="34" customFormat="1">
      <c r="I123" s="102"/>
    </row>
    <row r="124" spans="9:9" s="34" customFormat="1">
      <c r="I124" s="102"/>
    </row>
    <row r="125" spans="9:9" s="34" customFormat="1">
      <c r="I125" s="102"/>
    </row>
    <row r="126" spans="9:9" s="34" customFormat="1">
      <c r="I126" s="102"/>
    </row>
    <row r="127" spans="9:9" s="34" customFormat="1">
      <c r="I127" s="102"/>
    </row>
    <row r="128" spans="9:9" s="34" customFormat="1">
      <c r="I128" s="102"/>
    </row>
    <row r="129" spans="9:9" s="34" customFormat="1">
      <c r="I129" s="102"/>
    </row>
    <row r="130" spans="9:9" s="34" customFormat="1">
      <c r="I130" s="102"/>
    </row>
    <row r="131" spans="9:9" s="34" customFormat="1">
      <c r="I131" s="102"/>
    </row>
    <row r="132" spans="9:9" s="34" customFormat="1">
      <c r="I132" s="102"/>
    </row>
    <row r="133" spans="9:9" s="34" customFormat="1">
      <c r="I133" s="102"/>
    </row>
    <row r="134" spans="9:9" s="34" customFormat="1">
      <c r="I134" s="102"/>
    </row>
    <row r="135" spans="9:9" s="34" customFormat="1">
      <c r="I135" s="102"/>
    </row>
    <row r="136" spans="9:9" s="34" customFormat="1">
      <c r="I136" s="102"/>
    </row>
    <row r="137" spans="9:9" s="34" customFormat="1">
      <c r="I137" s="102"/>
    </row>
    <row r="138" spans="9:9" s="34" customFormat="1">
      <c r="I138" s="102"/>
    </row>
    <row r="139" spans="9:9" s="34" customFormat="1">
      <c r="I139" s="102"/>
    </row>
    <row r="140" spans="9:9" s="34" customFormat="1">
      <c r="I140" s="102"/>
    </row>
    <row r="141" spans="9:9" s="34" customFormat="1">
      <c r="I141" s="102"/>
    </row>
    <row r="142" spans="9:9" s="34" customFormat="1">
      <c r="I142" s="102"/>
    </row>
    <row r="143" spans="9:9" s="34" customFormat="1">
      <c r="I143" s="102"/>
    </row>
    <row r="144" spans="9:9" s="34" customFormat="1">
      <c r="I144" s="102"/>
    </row>
    <row r="145" spans="9:9" s="34" customFormat="1">
      <c r="I145" s="102"/>
    </row>
    <row r="146" spans="9:9" s="34" customFormat="1">
      <c r="I146" s="102"/>
    </row>
    <row r="147" spans="9:9" s="34" customFormat="1">
      <c r="I147" s="102"/>
    </row>
    <row r="148" spans="9:9" s="34" customFormat="1">
      <c r="I148" s="102"/>
    </row>
    <row r="149" spans="9:9" s="34" customFormat="1">
      <c r="I149" s="102"/>
    </row>
    <row r="150" spans="9:9" s="34" customFormat="1">
      <c r="I150" s="102"/>
    </row>
    <row r="151" spans="9:9" s="34" customFormat="1">
      <c r="I151" s="102"/>
    </row>
    <row r="152" spans="9:9" s="34" customFormat="1">
      <c r="I152" s="102"/>
    </row>
    <row r="153" spans="9:9" s="34" customFormat="1">
      <c r="I153" s="102"/>
    </row>
    <row r="154" spans="9:9" s="34" customFormat="1">
      <c r="I154" s="102"/>
    </row>
    <row r="155" spans="9:9" s="34" customFormat="1">
      <c r="I155" s="102"/>
    </row>
    <row r="156" spans="9:9" s="34" customFormat="1">
      <c r="I156" s="102"/>
    </row>
    <row r="157" spans="9:9" s="34" customFormat="1">
      <c r="I157" s="102"/>
    </row>
    <row r="158" spans="9:9" s="34" customFormat="1">
      <c r="I158" s="102"/>
    </row>
    <row r="159" spans="9:9" s="34" customFormat="1">
      <c r="I159" s="102"/>
    </row>
    <row r="160" spans="9:9" s="34" customFormat="1">
      <c r="I160" s="102"/>
    </row>
    <row r="161" spans="9:9" s="34" customFormat="1">
      <c r="I161" s="102"/>
    </row>
    <row r="162" spans="9:9" s="34" customFormat="1">
      <c r="I162" s="102"/>
    </row>
    <row r="163" spans="9:9" s="34" customFormat="1">
      <c r="I163" s="102"/>
    </row>
    <row r="164" spans="9:9" s="34" customFormat="1">
      <c r="I164" s="102"/>
    </row>
    <row r="165" spans="9:9" s="34" customFormat="1">
      <c r="I165" s="102"/>
    </row>
    <row r="166" spans="9:9" s="34" customFormat="1">
      <c r="I166" s="102"/>
    </row>
    <row r="167" spans="9:9" s="34" customFormat="1">
      <c r="I167" s="102"/>
    </row>
    <row r="168" spans="9:9" s="34" customFormat="1">
      <c r="I168" s="102"/>
    </row>
    <row r="169" spans="9:9" s="34" customFormat="1">
      <c r="I169" s="102"/>
    </row>
    <row r="170" spans="9:9" s="34" customFormat="1">
      <c r="I170" s="102"/>
    </row>
    <row r="171" spans="9:9" s="34" customFormat="1">
      <c r="I171" s="102"/>
    </row>
    <row r="172" spans="9:9" s="34" customFormat="1">
      <c r="I172" s="102"/>
    </row>
    <row r="173" spans="9:9" s="34" customFormat="1">
      <c r="I173" s="102"/>
    </row>
    <row r="174" spans="9:9" s="34" customFormat="1">
      <c r="I174" s="102"/>
    </row>
    <row r="175" spans="9:9" s="34" customFormat="1">
      <c r="I175" s="102"/>
    </row>
    <row r="176" spans="9:9" s="34" customFormat="1">
      <c r="I176" s="102"/>
    </row>
    <row r="177" spans="9:9" s="34" customFormat="1">
      <c r="I177" s="102"/>
    </row>
    <row r="178" spans="9:9" s="34" customFormat="1">
      <c r="I178" s="102"/>
    </row>
    <row r="179" spans="9:9" s="34" customFormat="1">
      <c r="I179" s="102"/>
    </row>
    <row r="180" spans="9:9" s="34" customFormat="1">
      <c r="I180" s="102"/>
    </row>
    <row r="181" spans="9:9" s="34" customFormat="1">
      <c r="I181" s="102"/>
    </row>
    <row r="182" spans="9:9" s="34" customFormat="1">
      <c r="I182" s="102"/>
    </row>
    <row r="183" spans="9:9" s="34" customFormat="1">
      <c r="I183" s="102"/>
    </row>
    <row r="184" spans="9:9" s="34" customFormat="1">
      <c r="I184" s="102"/>
    </row>
    <row r="185" spans="9:9" s="34" customFormat="1">
      <c r="I185" s="102"/>
    </row>
    <row r="186" spans="9:9" s="34" customFormat="1">
      <c r="I186" s="102"/>
    </row>
    <row r="187" spans="9:9" s="34" customFormat="1">
      <c r="I187" s="102"/>
    </row>
    <row r="188" spans="9:9" s="34" customFormat="1">
      <c r="I188" s="102"/>
    </row>
    <row r="189" spans="9:9" s="34" customFormat="1">
      <c r="I189" s="102"/>
    </row>
    <row r="190" spans="9:9" s="34" customFormat="1">
      <c r="I190" s="102"/>
    </row>
    <row r="191" spans="9:9" s="34" customFormat="1">
      <c r="I191" s="102"/>
    </row>
    <row r="192" spans="9:9" s="34" customFormat="1">
      <c r="I192" s="102"/>
    </row>
    <row r="193" spans="9:9" s="34" customFormat="1">
      <c r="I193" s="102"/>
    </row>
    <row r="194" spans="9:9" s="34" customFormat="1">
      <c r="I194" s="102"/>
    </row>
    <row r="195" spans="9:9" s="34" customFormat="1">
      <c r="I195" s="102"/>
    </row>
    <row r="196" spans="9:9" s="34" customFormat="1">
      <c r="I196" s="102"/>
    </row>
    <row r="197" spans="9:9" s="34" customFormat="1">
      <c r="I197" s="102"/>
    </row>
    <row r="198" spans="9:9" s="34" customFormat="1">
      <c r="I198" s="102"/>
    </row>
    <row r="199" spans="9:9" s="34" customFormat="1">
      <c r="I199" s="102"/>
    </row>
    <row r="200" spans="9:9" s="34" customFormat="1">
      <c r="I200" s="102"/>
    </row>
    <row r="201" spans="9:9" s="34" customFormat="1">
      <c r="I201" s="102"/>
    </row>
    <row r="202" spans="9:9" s="34" customFormat="1">
      <c r="I202" s="102"/>
    </row>
    <row r="203" spans="9:9" s="34" customFormat="1">
      <c r="I203" s="102"/>
    </row>
    <row r="204" spans="9:9" s="34" customFormat="1">
      <c r="I204" s="102"/>
    </row>
    <row r="205" spans="9:9" s="34" customFormat="1">
      <c r="I205" s="102"/>
    </row>
    <row r="206" spans="9:9" s="34" customFormat="1">
      <c r="I206" s="102"/>
    </row>
    <row r="207" spans="9:9" s="34" customFormat="1">
      <c r="I207" s="102"/>
    </row>
    <row r="208" spans="9:9" s="34" customFormat="1">
      <c r="I208" s="102"/>
    </row>
    <row r="209" spans="9:9" s="34" customFormat="1">
      <c r="I209" s="102"/>
    </row>
    <row r="210" spans="9:9" s="34" customFormat="1">
      <c r="I210" s="102"/>
    </row>
    <row r="211" spans="9:9" s="34" customFormat="1">
      <c r="I211" s="102"/>
    </row>
    <row r="212" spans="9:9" s="34" customFormat="1">
      <c r="I212" s="102"/>
    </row>
    <row r="213" spans="9:9" s="34" customFormat="1">
      <c r="I213" s="102"/>
    </row>
    <row r="214" spans="9:9" s="34" customFormat="1">
      <c r="I214" s="102"/>
    </row>
    <row r="215" spans="9:9" s="34" customFormat="1">
      <c r="I215" s="102"/>
    </row>
    <row r="216" spans="9:9" s="34" customFormat="1">
      <c r="I216" s="102"/>
    </row>
    <row r="217" spans="9:9" s="34" customFormat="1">
      <c r="I217" s="102"/>
    </row>
    <row r="218" spans="9:9" s="34" customFormat="1">
      <c r="I218" s="102"/>
    </row>
    <row r="219" spans="9:9" s="34" customFormat="1">
      <c r="I219" s="102"/>
    </row>
    <row r="220" spans="9:9" s="34" customFormat="1">
      <c r="I220" s="102"/>
    </row>
    <row r="221" spans="9:9" s="34" customFormat="1">
      <c r="I221" s="102"/>
    </row>
    <row r="222" spans="9:9" s="34" customFormat="1">
      <c r="I222" s="102"/>
    </row>
    <row r="223" spans="9:9" s="34" customFormat="1">
      <c r="I223" s="102"/>
    </row>
    <row r="224" spans="9:9" s="34" customFormat="1">
      <c r="I224" s="102"/>
    </row>
    <row r="225" spans="9:9" s="34" customFormat="1">
      <c r="I225" s="102"/>
    </row>
    <row r="226" spans="9:9" s="34" customFormat="1">
      <c r="I226" s="102"/>
    </row>
    <row r="227" spans="9:9" s="34" customFormat="1">
      <c r="I227" s="102"/>
    </row>
    <row r="228" spans="9:9" s="34" customFormat="1">
      <c r="I228" s="102"/>
    </row>
    <row r="229" spans="9:9" s="34" customFormat="1">
      <c r="I229" s="102"/>
    </row>
    <row r="230" spans="9:9" s="34" customFormat="1">
      <c r="I230" s="102"/>
    </row>
    <row r="231" spans="9:9" s="34" customFormat="1">
      <c r="I231" s="102"/>
    </row>
    <row r="232" spans="9:9" s="34" customFormat="1">
      <c r="I232" s="102"/>
    </row>
    <row r="233" spans="9:9" s="34" customFormat="1">
      <c r="I233" s="102"/>
    </row>
    <row r="234" spans="9:9" s="34" customFormat="1">
      <c r="I234" s="102"/>
    </row>
    <row r="235" spans="9:9" s="34" customFormat="1">
      <c r="I235" s="102"/>
    </row>
    <row r="236" spans="9:9" s="34" customFormat="1">
      <c r="I236" s="102"/>
    </row>
    <row r="237" spans="9:9" s="34" customFormat="1">
      <c r="I237" s="102"/>
    </row>
    <row r="238" spans="9:9" s="34" customFormat="1">
      <c r="I238" s="102"/>
    </row>
    <row r="239" spans="9:9" s="34" customFormat="1">
      <c r="I239" s="102"/>
    </row>
    <row r="240" spans="9:9" s="34" customFormat="1">
      <c r="I240" s="102"/>
    </row>
    <row r="241" spans="9:9" s="34" customFormat="1">
      <c r="I241" s="102"/>
    </row>
    <row r="242" spans="9:9" s="34" customFormat="1">
      <c r="I242" s="102"/>
    </row>
    <row r="243" spans="9:9" s="34" customFormat="1">
      <c r="I243" s="102"/>
    </row>
    <row r="244" spans="9:9" s="34" customFormat="1">
      <c r="I244" s="102"/>
    </row>
    <row r="245" spans="9:9" s="34" customFormat="1">
      <c r="I245" s="102"/>
    </row>
    <row r="246" spans="9:9" s="34" customFormat="1">
      <c r="I246" s="102"/>
    </row>
    <row r="247" spans="9:9" s="34" customFormat="1">
      <c r="I247" s="102"/>
    </row>
    <row r="248" spans="9:9" s="34" customFormat="1">
      <c r="I248" s="102"/>
    </row>
    <row r="249" spans="9:9" s="34" customFormat="1">
      <c r="I249" s="102"/>
    </row>
    <row r="250" spans="9:9" s="34" customFormat="1">
      <c r="I250" s="102"/>
    </row>
    <row r="251" spans="9:9" s="34" customFormat="1">
      <c r="I251" s="102"/>
    </row>
    <row r="252" spans="9:9" s="34" customFormat="1">
      <c r="I252" s="102"/>
    </row>
    <row r="253" spans="9:9" s="34" customFormat="1">
      <c r="I253" s="102"/>
    </row>
    <row r="254" spans="9:9" s="34" customFormat="1">
      <c r="I254" s="102"/>
    </row>
    <row r="255" spans="9:9" s="34" customFormat="1">
      <c r="I255" s="102"/>
    </row>
    <row r="256" spans="9:9" s="34" customFormat="1">
      <c r="I256" s="102"/>
    </row>
    <row r="257" spans="9:9" s="34" customFormat="1">
      <c r="I257" s="102"/>
    </row>
    <row r="258" spans="9:9" s="34" customFormat="1">
      <c r="I258" s="102"/>
    </row>
    <row r="259" spans="9:9" s="34" customFormat="1">
      <c r="I259" s="102"/>
    </row>
    <row r="260" spans="9:9" s="34" customFormat="1">
      <c r="I260" s="102"/>
    </row>
    <row r="261" spans="9:9" s="34" customFormat="1">
      <c r="I261" s="102"/>
    </row>
    <row r="262" spans="9:9" s="34" customFormat="1">
      <c r="I262" s="102"/>
    </row>
    <row r="263" spans="9:9" s="34" customFormat="1">
      <c r="I263" s="102"/>
    </row>
    <row r="264" spans="9:9" s="34" customFormat="1">
      <c r="I264" s="102"/>
    </row>
    <row r="265" spans="9:9" s="34" customFormat="1">
      <c r="I265" s="102"/>
    </row>
    <row r="266" spans="9:9" s="34" customFormat="1">
      <c r="I266" s="102"/>
    </row>
    <row r="267" spans="9:9" s="34" customFormat="1">
      <c r="I267" s="102"/>
    </row>
    <row r="268" spans="9:9" s="34" customFormat="1">
      <c r="I268" s="102"/>
    </row>
    <row r="269" spans="9:9" s="34" customFormat="1">
      <c r="I269" s="102"/>
    </row>
    <row r="270" spans="9:9" s="34" customFormat="1">
      <c r="I270" s="102"/>
    </row>
    <row r="271" spans="9:9" s="34" customFormat="1">
      <c r="I271" s="102"/>
    </row>
    <row r="272" spans="9:9" s="34" customFormat="1">
      <c r="I272" s="102"/>
    </row>
    <row r="273" spans="9:9" s="34" customFormat="1">
      <c r="I273" s="102"/>
    </row>
    <row r="274" spans="9:9" s="34" customFormat="1">
      <c r="I274" s="102"/>
    </row>
    <row r="275" spans="9:9" s="34" customFormat="1">
      <c r="I275" s="102"/>
    </row>
    <row r="276" spans="9:9" s="34" customFormat="1">
      <c r="I276" s="102"/>
    </row>
    <row r="277" spans="9:9" s="34" customFormat="1">
      <c r="I277" s="102"/>
    </row>
    <row r="278" spans="9:9" s="34" customFormat="1">
      <c r="I278" s="102"/>
    </row>
    <row r="279" spans="9:9" s="34" customFormat="1">
      <c r="I279" s="102"/>
    </row>
    <row r="280" spans="9:9" s="34" customFormat="1">
      <c r="I280" s="102"/>
    </row>
    <row r="281" spans="9:9" s="34" customFormat="1">
      <c r="I281" s="102"/>
    </row>
    <row r="282" spans="9:9" s="34" customFormat="1">
      <c r="I282" s="102"/>
    </row>
    <row r="283" spans="9:9" s="34" customFormat="1">
      <c r="I283" s="102"/>
    </row>
    <row r="284" spans="9:9" s="34" customFormat="1">
      <c r="I284" s="102"/>
    </row>
    <row r="285" spans="9:9" s="34" customFormat="1">
      <c r="I285" s="102"/>
    </row>
    <row r="286" spans="9:9" s="34" customFormat="1">
      <c r="I286" s="102"/>
    </row>
    <row r="287" spans="9:9" s="34" customFormat="1">
      <c r="I287" s="102"/>
    </row>
    <row r="288" spans="9:9" s="34" customFormat="1">
      <c r="I288" s="102"/>
    </row>
    <row r="289" spans="9:9" s="34" customFormat="1">
      <c r="I289" s="102"/>
    </row>
    <row r="290" spans="9:9" s="34" customFormat="1">
      <c r="I290" s="102"/>
    </row>
    <row r="291" spans="9:9" s="34" customFormat="1">
      <c r="I291" s="102"/>
    </row>
    <row r="292" spans="9:9" s="34" customFormat="1">
      <c r="I292" s="102"/>
    </row>
    <row r="293" spans="9:9" s="34" customFormat="1">
      <c r="I293" s="102"/>
    </row>
    <row r="294" spans="9:9" s="34" customFormat="1">
      <c r="I294" s="102"/>
    </row>
    <row r="295" spans="9:9" s="34" customFormat="1">
      <c r="I295" s="102"/>
    </row>
    <row r="296" spans="9:9" s="34" customFormat="1">
      <c r="I296" s="102"/>
    </row>
    <row r="297" spans="9:9" s="34" customFormat="1">
      <c r="I297" s="102"/>
    </row>
    <row r="298" spans="9:9" s="34" customFormat="1">
      <c r="I298" s="102"/>
    </row>
    <row r="299" spans="9:9" s="34" customFormat="1">
      <c r="I299" s="102"/>
    </row>
    <row r="300" spans="9:9" s="34" customFormat="1">
      <c r="I300" s="102"/>
    </row>
    <row r="301" spans="9:9" s="34" customFormat="1">
      <c r="I301" s="102"/>
    </row>
    <row r="302" spans="9:9" s="34" customFormat="1">
      <c r="I302" s="102"/>
    </row>
    <row r="303" spans="9:9" s="34" customFormat="1">
      <c r="I303" s="102"/>
    </row>
    <row r="304" spans="9:9" s="34" customFormat="1"/>
    <row r="305" s="34" customFormat="1"/>
    <row r="306" s="34" customFormat="1"/>
    <row r="307" s="34" customFormat="1"/>
    <row r="308" s="34" customFormat="1"/>
    <row r="309" s="34" customFormat="1"/>
    <row r="310" s="34" customFormat="1"/>
    <row r="311" s="34" customFormat="1"/>
    <row r="312" s="34" customFormat="1"/>
    <row r="313" s="34" customFormat="1"/>
    <row r="314" s="34" customFormat="1"/>
    <row r="315" s="34" customFormat="1"/>
    <row r="316" s="34" customFormat="1"/>
    <row r="317" s="34" customFormat="1"/>
    <row r="318" s="34" customFormat="1"/>
    <row r="319" s="34" customFormat="1"/>
    <row r="320" s="34" customFormat="1"/>
    <row r="321" s="34" customFormat="1"/>
    <row r="322" s="34" customFormat="1"/>
    <row r="323" s="34" customFormat="1"/>
    <row r="324" s="34" customFormat="1"/>
    <row r="325" s="34" customFormat="1"/>
    <row r="326" s="34" customFormat="1"/>
    <row r="327" s="34" customFormat="1"/>
    <row r="328" s="34" customFormat="1"/>
    <row r="329" s="34" customFormat="1"/>
    <row r="330" s="34" customFormat="1"/>
    <row r="331" s="34" customFormat="1"/>
    <row r="332" s="34" customFormat="1"/>
    <row r="333" s="34" customFormat="1"/>
    <row r="334" s="34" customFormat="1"/>
    <row r="335" s="34" customFormat="1"/>
    <row r="336" s="34" customFormat="1"/>
    <row r="337" s="34" customFormat="1"/>
    <row r="338" s="34" customFormat="1"/>
    <row r="339" s="34" customFormat="1"/>
    <row r="340" s="34" customFormat="1"/>
    <row r="341" s="34" customFormat="1"/>
    <row r="342" s="34" customFormat="1"/>
    <row r="343" s="34" customFormat="1"/>
    <row r="344" s="34" customFormat="1"/>
    <row r="345" s="34" customFormat="1"/>
    <row r="346" s="34" customFormat="1"/>
    <row r="347" s="34" customFormat="1"/>
    <row r="348" s="34" customFormat="1"/>
    <row r="349" s="34" customFormat="1"/>
    <row r="350" s="34" customFormat="1"/>
    <row r="351" s="34" customFormat="1"/>
    <row r="352" s="34" customFormat="1"/>
    <row r="353" s="34" customFormat="1"/>
    <row r="354" s="34" customFormat="1"/>
    <row r="355" s="34" customFormat="1"/>
    <row r="356" s="34" customFormat="1"/>
    <row r="357" s="34" customFormat="1"/>
    <row r="358" s="34" customFormat="1"/>
    <row r="359" s="34" customFormat="1"/>
    <row r="360" s="34" customFormat="1"/>
    <row r="361" s="34" customFormat="1"/>
    <row r="362" s="34" customFormat="1"/>
    <row r="363" s="34" customFormat="1"/>
    <row r="364" s="34" customFormat="1"/>
    <row r="365" s="34" customFormat="1"/>
    <row r="366" s="34" customFormat="1"/>
    <row r="367" s="34" customFormat="1"/>
    <row r="368" s="34" customFormat="1"/>
    <row r="369" s="34" customFormat="1"/>
    <row r="370" s="34" customFormat="1"/>
    <row r="371" s="34" customFormat="1"/>
    <row r="372" s="34" customFormat="1"/>
    <row r="373" s="34" customFormat="1"/>
    <row r="374" s="34" customFormat="1"/>
    <row r="375" s="34" customFormat="1"/>
    <row r="376" s="34" customFormat="1"/>
    <row r="377" s="34" customFormat="1"/>
    <row r="378" s="34" customFormat="1"/>
    <row r="379" s="34" customFormat="1"/>
    <row r="380" s="34" customFormat="1"/>
    <row r="381" s="34" customFormat="1"/>
    <row r="382" s="34" customFormat="1"/>
    <row r="383" s="34" customFormat="1"/>
    <row r="384" s="34" customFormat="1"/>
    <row r="385" s="34" customFormat="1"/>
    <row r="386" s="34" customFormat="1"/>
    <row r="387" s="34" customFormat="1"/>
    <row r="388" s="34" customFormat="1"/>
    <row r="389" s="34" customFormat="1"/>
    <row r="390" s="34" customFormat="1"/>
    <row r="391" s="34" customFormat="1"/>
    <row r="392" s="34" customFormat="1"/>
    <row r="393" s="34" customFormat="1"/>
    <row r="394" s="34" customFormat="1"/>
    <row r="395" s="34" customFormat="1"/>
    <row r="396" s="34" customFormat="1"/>
    <row r="397" s="34" customFormat="1"/>
    <row r="398" s="34" customFormat="1"/>
    <row r="399" s="34" customFormat="1"/>
    <row r="400" s="34" customFormat="1"/>
    <row r="401" s="34" customFormat="1"/>
    <row r="402" s="34" customFormat="1"/>
    <row r="403" s="34" customFormat="1"/>
    <row r="404" s="34" customFormat="1"/>
    <row r="405" s="34" customFormat="1"/>
    <row r="406" s="34" customFormat="1"/>
    <row r="407" s="34" customFormat="1"/>
    <row r="408" s="34" customFormat="1"/>
    <row r="409" s="34" customFormat="1"/>
    <row r="410" s="34" customFormat="1"/>
    <row r="411" s="34" customFormat="1"/>
    <row r="412" s="34" customFormat="1"/>
    <row r="413" s="34" customFormat="1"/>
    <row r="414" s="34" customFormat="1"/>
    <row r="415" s="34" customFormat="1"/>
    <row r="416" s="34" customFormat="1"/>
    <row r="417" s="34" customFormat="1"/>
    <row r="418" s="34" customFormat="1"/>
    <row r="419" s="34" customFormat="1"/>
    <row r="420" s="34" customFormat="1"/>
    <row r="421" s="34" customFormat="1"/>
    <row r="422" s="34" customFormat="1"/>
    <row r="423" s="34" customFormat="1"/>
    <row r="424" s="34" customFormat="1"/>
    <row r="425" s="34" customFormat="1"/>
    <row r="426" s="34" customFormat="1"/>
    <row r="427" s="34" customFormat="1"/>
    <row r="428" s="34" customFormat="1"/>
    <row r="429" s="34" customFormat="1"/>
    <row r="430" s="34" customFormat="1"/>
    <row r="431" s="34" customFormat="1"/>
    <row r="432" s="34" customFormat="1"/>
    <row r="433" s="34" customFormat="1"/>
    <row r="434" s="34" customFormat="1"/>
    <row r="435" s="34" customFormat="1"/>
    <row r="436" s="34" customFormat="1"/>
    <row r="437" s="34" customFormat="1"/>
    <row r="438" s="34" customFormat="1"/>
    <row r="439" s="34" customFormat="1"/>
    <row r="440" s="34" customFormat="1"/>
    <row r="441" s="34" customFormat="1"/>
    <row r="442" s="34" customFormat="1"/>
    <row r="443" s="34" customFormat="1"/>
    <row r="444" s="34" customFormat="1"/>
    <row r="445" s="34" customFormat="1"/>
    <row r="446" s="34" customFormat="1"/>
    <row r="447" s="34" customFormat="1"/>
    <row r="448" s="34" customFormat="1"/>
    <row r="449" s="34" customFormat="1"/>
    <row r="450" s="34" customFormat="1"/>
    <row r="451" s="34" customFormat="1"/>
    <row r="452" s="34" customFormat="1"/>
    <row r="453" s="34" customFormat="1"/>
    <row r="454" s="34" customFormat="1"/>
    <row r="455" s="34" customFormat="1"/>
    <row r="456" s="34" customFormat="1"/>
    <row r="457" s="34" customFormat="1"/>
    <row r="458" s="34" customFormat="1"/>
    <row r="459" s="34" customFormat="1"/>
    <row r="460" s="34" customFormat="1"/>
    <row r="461" s="34" customFormat="1"/>
    <row r="462" s="34" customFormat="1"/>
    <row r="463" s="34" customFormat="1"/>
    <row r="464" s="34" customFormat="1"/>
    <row r="465" s="34" customFormat="1"/>
    <row r="466" s="34" customFormat="1"/>
    <row r="467" s="34" customFormat="1"/>
    <row r="468" s="34" customFormat="1"/>
    <row r="469" s="34" customFormat="1"/>
    <row r="470" s="34" customFormat="1"/>
    <row r="471" s="34" customFormat="1"/>
    <row r="472" s="34" customFormat="1"/>
    <row r="473" s="34" customFormat="1"/>
    <row r="474" s="34" customFormat="1"/>
    <row r="475" s="34" customFormat="1"/>
    <row r="476" s="34" customFormat="1"/>
    <row r="477" s="34" customFormat="1"/>
    <row r="478" s="34" customFormat="1"/>
    <row r="479" s="34" customFormat="1"/>
    <row r="480" s="34" customFormat="1"/>
    <row r="481" s="34" customFormat="1"/>
    <row r="482" s="34" customFormat="1"/>
    <row r="483" s="34" customFormat="1"/>
    <row r="484" s="34" customFormat="1"/>
    <row r="485" s="34" customFormat="1"/>
    <row r="486" s="34" customFormat="1"/>
    <row r="487" s="34" customFormat="1"/>
    <row r="488" s="34" customFormat="1"/>
    <row r="489" s="34" customFormat="1"/>
    <row r="490" s="34" customFormat="1"/>
    <row r="491" s="34" customFormat="1"/>
    <row r="492" s="34" customFormat="1"/>
    <row r="493" s="34" customFormat="1"/>
    <row r="494" s="34" customFormat="1"/>
    <row r="495" s="34" customFormat="1"/>
    <row r="496" s="34" customFormat="1"/>
    <row r="497" s="34" customFormat="1"/>
    <row r="498" s="34" customFormat="1"/>
    <row r="499" s="34" customFormat="1"/>
    <row r="500" s="34" customFormat="1"/>
    <row r="501" s="34" customFormat="1"/>
    <row r="502" s="34" customFormat="1"/>
    <row r="503" s="34" customFormat="1"/>
    <row r="504" s="34" customFormat="1"/>
    <row r="505" s="34" customFormat="1"/>
    <row r="506" s="34" customFormat="1"/>
    <row r="507" s="34" customFormat="1"/>
    <row r="508" s="34" customFormat="1"/>
    <row r="509" s="34" customFormat="1"/>
    <row r="510" s="34" customFormat="1"/>
    <row r="511" s="34" customFormat="1"/>
    <row r="512" s="34" customFormat="1"/>
    <row r="513" s="34" customFormat="1"/>
    <row r="514" s="34" customFormat="1"/>
    <row r="515" s="34" customFormat="1"/>
    <row r="516" s="34" customFormat="1"/>
    <row r="517" s="34" customFormat="1"/>
    <row r="518" s="34" customFormat="1"/>
    <row r="519" s="34" customFormat="1"/>
    <row r="520" s="34" customFormat="1"/>
    <row r="521" s="34" customFormat="1"/>
    <row r="522" s="34" customFormat="1"/>
    <row r="523" s="34" customFormat="1"/>
    <row r="524" s="34" customFormat="1"/>
    <row r="525" s="34" customFormat="1"/>
    <row r="526" s="34" customFormat="1"/>
    <row r="527" s="34" customFormat="1"/>
    <row r="528" s="34" customFormat="1"/>
    <row r="529" s="34" customFormat="1"/>
    <row r="530" s="34" customFormat="1"/>
    <row r="531" s="34" customFormat="1"/>
    <row r="532" s="34" customFormat="1"/>
    <row r="533" s="34" customFormat="1"/>
    <row r="534" s="34" customFormat="1"/>
    <row r="535" s="34" customFormat="1"/>
    <row r="536" s="34" customFormat="1"/>
    <row r="537" s="34" customFormat="1"/>
    <row r="538" s="34" customFormat="1"/>
    <row r="539" s="34" customFormat="1"/>
    <row r="540" s="34" customFormat="1"/>
    <row r="541" s="34" customFormat="1"/>
    <row r="542" s="34" customFormat="1"/>
    <row r="543" s="34" customFormat="1"/>
    <row r="544" s="34" customFormat="1"/>
    <row r="545" s="34" customFormat="1"/>
    <row r="546" s="34" customFormat="1"/>
    <row r="547" s="34" customFormat="1"/>
    <row r="548" s="34" customFormat="1"/>
    <row r="549" s="34" customFormat="1"/>
    <row r="550" s="34" customFormat="1"/>
    <row r="551" s="34" customFormat="1"/>
    <row r="552" s="34" customFormat="1"/>
    <row r="553" s="34" customFormat="1"/>
    <row r="554" s="34" customFormat="1"/>
    <row r="555" s="34" customFormat="1"/>
    <row r="556" s="34" customFormat="1"/>
    <row r="557" s="34" customFormat="1"/>
    <row r="558" s="34" customFormat="1"/>
    <row r="559" s="34" customFormat="1"/>
    <row r="560" s="34" customFormat="1"/>
    <row r="561" s="34" customFormat="1"/>
    <row r="562" s="34" customFormat="1"/>
    <row r="563" s="34" customFormat="1"/>
    <row r="564" s="34" customFormat="1"/>
    <row r="565" s="34" customFormat="1"/>
    <row r="566" s="34" customFormat="1"/>
    <row r="567" s="34" customFormat="1"/>
    <row r="568" s="34" customFormat="1"/>
    <row r="569" s="34" customFormat="1"/>
    <row r="570" s="34" customFormat="1"/>
    <row r="571" s="34" customFormat="1"/>
    <row r="572" s="34" customFormat="1"/>
    <row r="573" s="34" customFormat="1"/>
    <row r="574" s="34" customFormat="1"/>
    <row r="575" s="34" customFormat="1"/>
    <row r="576" s="34" customFormat="1"/>
    <row r="577" s="34" customFormat="1"/>
    <row r="578" s="34" customFormat="1"/>
    <row r="579" s="34" customFormat="1"/>
    <row r="580" s="34" customFormat="1"/>
    <row r="581" s="34" customFormat="1"/>
    <row r="582" s="34" customFormat="1"/>
    <row r="583" s="34" customFormat="1"/>
    <row r="584" s="34" customFormat="1"/>
    <row r="585" s="34" customFormat="1"/>
    <row r="586" s="34" customFormat="1"/>
    <row r="587" s="34" customFormat="1"/>
    <row r="588" s="34" customFormat="1"/>
    <row r="589" s="34" customFormat="1"/>
    <row r="590" s="34" customFormat="1"/>
    <row r="591" s="34" customFormat="1"/>
    <row r="592" s="34" customFormat="1"/>
    <row r="593" s="34" customFormat="1"/>
    <row r="594" s="34" customFormat="1"/>
    <row r="595" s="34" customFormat="1"/>
    <row r="596" s="34" customFormat="1"/>
    <row r="597" s="34" customFormat="1"/>
    <row r="598" s="34" customFormat="1"/>
    <row r="599" s="34" customFormat="1"/>
    <row r="600" s="34" customFormat="1"/>
    <row r="601" s="34" customFormat="1"/>
    <row r="602" s="34" customFormat="1"/>
    <row r="603" s="34" customFormat="1"/>
    <row r="604" s="34" customFormat="1"/>
    <row r="605" s="34" customFormat="1"/>
    <row r="606" s="34" customFormat="1"/>
    <row r="607" s="34" customFormat="1"/>
    <row r="608" s="34" customFormat="1"/>
    <row r="609" s="34" customFormat="1"/>
    <row r="610" s="34" customFormat="1"/>
    <row r="611" s="34" customFormat="1"/>
    <row r="612" s="34" customFormat="1"/>
    <row r="613" s="34" customFormat="1"/>
    <row r="614" s="34" customFormat="1"/>
    <row r="615" s="34" customFormat="1"/>
    <row r="616" s="34" customFormat="1"/>
    <row r="617" s="34" customFormat="1"/>
    <row r="618" s="34" customFormat="1"/>
    <row r="619" s="34" customFormat="1"/>
    <row r="620" s="34" customFormat="1"/>
    <row r="621" s="34" customFormat="1"/>
    <row r="622" s="34" customFormat="1"/>
    <row r="623" s="34" customFormat="1"/>
    <row r="624" s="34" customFormat="1"/>
    <row r="625" s="34" customFormat="1"/>
    <row r="626" s="34" customFormat="1"/>
    <row r="627" s="34" customFormat="1"/>
    <row r="628" s="34" customFormat="1"/>
    <row r="629" s="34" customFormat="1"/>
    <row r="630" s="34" customFormat="1"/>
    <row r="631" s="34" customFormat="1"/>
    <row r="632" s="34" customFormat="1"/>
    <row r="633" s="34" customFormat="1"/>
    <row r="634" s="34" customFormat="1"/>
    <row r="635" s="34" customFormat="1"/>
    <row r="636" s="34" customFormat="1"/>
    <row r="637" s="34" customFormat="1"/>
    <row r="638" s="34" customFormat="1"/>
    <row r="639" s="34" customFormat="1"/>
    <row r="640" s="34" customFormat="1"/>
    <row r="641" s="34" customFormat="1"/>
    <row r="642" s="34" customFormat="1"/>
    <row r="643" s="34" customFormat="1"/>
    <row r="644" s="34" customFormat="1"/>
    <row r="645" s="34" customFormat="1"/>
    <row r="646" s="34" customFormat="1"/>
    <row r="647" s="34" customFormat="1"/>
    <row r="648" s="34" customFormat="1"/>
    <row r="649" s="34" customFormat="1"/>
    <row r="650" s="34" customFormat="1"/>
    <row r="651" s="34" customFormat="1"/>
    <row r="652" s="34" customFormat="1"/>
    <row r="653" s="34" customFormat="1"/>
    <row r="654" s="34" customFormat="1"/>
    <row r="655" s="34" customFormat="1"/>
    <row r="656" s="34" customFormat="1"/>
    <row r="657" s="34" customFormat="1"/>
    <row r="658" s="34" customFormat="1"/>
    <row r="659" s="34" customFormat="1"/>
    <row r="660" s="34" customFormat="1"/>
    <row r="661" s="34" customFormat="1"/>
    <row r="662" s="34" customFormat="1"/>
    <row r="663" s="34" customFormat="1"/>
    <row r="664" s="34" customFormat="1"/>
    <row r="665" s="34" customFormat="1"/>
    <row r="666" s="34" customFormat="1"/>
    <row r="667" s="34" customFormat="1"/>
    <row r="668" s="34" customFormat="1"/>
    <row r="669" s="34" customFormat="1"/>
    <row r="670" s="34" customFormat="1"/>
    <row r="671" s="34" customFormat="1"/>
    <row r="672" s="34" customFormat="1"/>
    <row r="673" s="34" customFormat="1"/>
    <row r="674" s="34" customFormat="1"/>
    <row r="675" s="34" customFormat="1"/>
    <row r="676" s="34" customFormat="1"/>
    <row r="677" s="34" customFormat="1"/>
    <row r="678" s="34" customFormat="1"/>
    <row r="679" s="34" customFormat="1"/>
    <row r="680" s="34" customFormat="1"/>
    <row r="681" s="34" customFormat="1"/>
    <row r="682" s="34" customFormat="1"/>
    <row r="683" s="34" customFormat="1"/>
    <row r="684" s="34" customFormat="1"/>
    <row r="685" s="34" customFormat="1"/>
    <row r="686" s="34" customFormat="1"/>
    <row r="687" s="34" customFormat="1"/>
    <row r="688" s="34" customFormat="1"/>
    <row r="689" s="34" customFormat="1"/>
    <row r="690" s="34" customFormat="1"/>
    <row r="691" s="34" customFormat="1"/>
    <row r="692" s="34" customFormat="1"/>
    <row r="693" s="34" customFormat="1"/>
    <row r="694" s="34" customFormat="1"/>
    <row r="695" s="34" customFormat="1"/>
    <row r="696" s="34" customFormat="1"/>
    <row r="697" s="34" customFormat="1"/>
    <row r="698" s="34" customFormat="1"/>
    <row r="699" s="34" customFormat="1"/>
    <row r="700" s="34" customFormat="1"/>
    <row r="701" s="34" customFormat="1"/>
    <row r="702" s="34" customFormat="1"/>
    <row r="703" s="34" customFormat="1"/>
    <row r="704" s="34" customFormat="1"/>
    <row r="705" s="34" customFormat="1"/>
    <row r="706" s="34" customFormat="1"/>
    <row r="707" s="34" customFormat="1"/>
    <row r="708" s="34" customFormat="1"/>
    <row r="709" s="34" customFormat="1"/>
    <row r="710" s="34" customFormat="1"/>
    <row r="711" s="34" customFormat="1"/>
    <row r="712" s="34" customFormat="1"/>
    <row r="713" s="34" customFormat="1"/>
    <row r="714" s="34" customFormat="1"/>
    <row r="715" s="34" customFormat="1"/>
    <row r="716" s="34" customFormat="1"/>
    <row r="717" s="34" customFormat="1"/>
    <row r="718" s="34" customFormat="1"/>
    <row r="719" s="34" customFormat="1"/>
    <row r="720" s="34" customFormat="1"/>
    <row r="721" s="34" customFormat="1"/>
    <row r="722" s="34" customFormat="1"/>
    <row r="723" s="34" customFormat="1"/>
    <row r="724" s="34" customFormat="1"/>
    <row r="725" s="34" customFormat="1"/>
    <row r="726" s="34" customFormat="1"/>
    <row r="727" s="34" customFormat="1"/>
    <row r="728" s="34" customFormat="1"/>
    <row r="729" s="34" customFormat="1"/>
    <row r="730" s="34" customFormat="1"/>
    <row r="731" s="34" customFormat="1"/>
    <row r="732" s="34" customFormat="1"/>
    <row r="733" s="34" customFormat="1"/>
    <row r="734" s="34" customFormat="1"/>
    <row r="735" s="34" customFormat="1"/>
    <row r="736" s="34" customFormat="1"/>
    <row r="737" s="34" customFormat="1"/>
    <row r="738" s="34" customFormat="1"/>
    <row r="739" s="34" customFormat="1"/>
    <row r="740" s="34" customFormat="1"/>
    <row r="741" s="34" customFormat="1"/>
    <row r="742" s="34" customFormat="1"/>
    <row r="743" s="34" customFormat="1"/>
    <row r="744" s="34" customFormat="1"/>
    <row r="745" s="34" customFormat="1"/>
    <row r="746" s="34" customFormat="1"/>
    <row r="747" s="34" customFormat="1"/>
    <row r="748" s="34" customFormat="1"/>
    <row r="749" s="34" customFormat="1"/>
    <row r="750" s="34" customFormat="1"/>
    <row r="751" s="34" customFormat="1"/>
    <row r="752" s="34" customFormat="1"/>
    <row r="753" s="34" customFormat="1"/>
    <row r="754" s="34" customFormat="1"/>
    <row r="755" s="34" customFormat="1"/>
    <row r="756" s="34" customFormat="1"/>
    <row r="757" s="34" customFormat="1"/>
    <row r="758" s="34" customFormat="1"/>
    <row r="759" s="34" customFormat="1"/>
    <row r="760" s="34" customFormat="1"/>
    <row r="761" s="34" customFormat="1"/>
    <row r="762" s="34" customFormat="1"/>
    <row r="763" s="34" customFormat="1"/>
    <row r="764" s="34" customFormat="1"/>
    <row r="765" s="34" customFormat="1"/>
    <row r="766" s="34" customFormat="1"/>
    <row r="767" s="34" customFormat="1"/>
    <row r="768" s="34" customFormat="1"/>
    <row r="769" s="34" customFormat="1"/>
    <row r="770" s="34" customFormat="1"/>
    <row r="771" s="34" customFormat="1"/>
    <row r="772" s="34" customFormat="1"/>
    <row r="773" s="34" customFormat="1"/>
    <row r="774" s="34" customFormat="1"/>
    <row r="775" s="34" customFormat="1"/>
    <row r="776" s="34" customFormat="1"/>
    <row r="777" s="34" customFormat="1"/>
    <row r="778" s="34" customFormat="1"/>
    <row r="779" s="34" customFormat="1"/>
    <row r="780" s="34" customFormat="1"/>
    <row r="781" s="34" customFormat="1"/>
    <row r="782" s="34" customFormat="1"/>
    <row r="783" s="34" customFormat="1"/>
    <row r="784" s="34" customFormat="1"/>
    <row r="785" s="34" customFormat="1"/>
    <row r="786" s="34" customFormat="1"/>
    <row r="787" s="34" customFormat="1"/>
    <row r="788" s="34" customFormat="1"/>
    <row r="789" s="34" customFormat="1"/>
    <row r="790" s="34" customFormat="1"/>
    <row r="791" s="34" customFormat="1"/>
    <row r="792" s="34" customFormat="1"/>
    <row r="793" s="34" customFormat="1"/>
    <row r="794" s="34" customFormat="1"/>
    <row r="795" s="34" customFormat="1"/>
    <row r="796" s="34" customFormat="1"/>
    <row r="797" s="34" customFormat="1"/>
    <row r="798" s="34" customFormat="1"/>
    <row r="799" s="34" customFormat="1"/>
    <row r="800" s="34" customFormat="1"/>
    <row r="801" s="34" customFormat="1"/>
    <row r="802" s="34" customFormat="1"/>
    <row r="803" s="34" customFormat="1"/>
    <row r="804" s="34" customFormat="1"/>
    <row r="805" s="34" customFormat="1"/>
    <row r="806" s="34" customFormat="1"/>
    <row r="807" s="34" customFormat="1"/>
    <row r="808" s="34" customFormat="1"/>
    <row r="809" s="34" customFormat="1"/>
    <row r="810" s="34" customFormat="1"/>
    <row r="811" s="34" customFormat="1"/>
    <row r="812" s="34" customFormat="1"/>
    <row r="813" s="34" customFormat="1"/>
    <row r="814" s="34" customFormat="1"/>
    <row r="815" s="34" customFormat="1"/>
    <row r="816" s="34" customFormat="1"/>
    <row r="817" s="34" customFormat="1"/>
    <row r="818" s="34" customFormat="1"/>
    <row r="819" s="34" customFormat="1"/>
    <row r="820" s="34" customFormat="1"/>
    <row r="821" s="34" customFormat="1"/>
    <row r="822" s="34" customFormat="1"/>
    <row r="823" s="34" customFormat="1"/>
    <row r="824" s="34" customFormat="1"/>
    <row r="825" s="34" customFormat="1"/>
    <row r="826" s="34" customFormat="1"/>
    <row r="827" s="34" customFormat="1"/>
    <row r="828" s="34" customFormat="1"/>
    <row r="829" s="34" customFormat="1"/>
    <row r="830" s="34" customFormat="1"/>
    <row r="831" s="34" customFormat="1"/>
    <row r="832" s="34" customFormat="1"/>
    <row r="833" s="34" customFormat="1"/>
    <row r="834" s="34" customFormat="1"/>
    <row r="835" s="34" customFormat="1"/>
    <row r="836" s="34" customFormat="1"/>
    <row r="837" s="34" customFormat="1"/>
    <row r="838" s="34" customFormat="1"/>
    <row r="839" s="34" customFormat="1"/>
    <row r="840" s="34" customFormat="1"/>
    <row r="841" s="34" customFormat="1"/>
    <row r="842" s="34" customFormat="1"/>
    <row r="843" s="34" customFormat="1"/>
    <row r="844" s="34" customFormat="1"/>
    <row r="845" s="34" customFormat="1"/>
    <row r="846" s="34" customFormat="1"/>
    <row r="847" s="34" customFormat="1"/>
    <row r="848" s="34" customFormat="1"/>
    <row r="849" s="34" customFormat="1"/>
    <row r="850" s="34" customFormat="1"/>
    <row r="851" s="34" customFormat="1"/>
    <row r="852" s="34" customFormat="1"/>
    <row r="853" s="34" customFormat="1"/>
    <row r="854" s="34" customFormat="1"/>
    <row r="855" s="34" customFormat="1"/>
    <row r="856" s="34" customFormat="1"/>
    <row r="857" s="34" customFormat="1"/>
    <row r="858" s="34" customFormat="1"/>
    <row r="859" s="34" customFormat="1"/>
    <row r="860" s="34" customFormat="1"/>
    <row r="861" s="34" customFormat="1"/>
    <row r="862" s="34" customFormat="1"/>
    <row r="863" s="34" customFormat="1"/>
    <row r="864" s="34" customFormat="1"/>
    <row r="865" s="34" customFormat="1"/>
    <row r="866" s="34" customFormat="1"/>
    <row r="867" s="34" customFormat="1"/>
    <row r="868" s="34" customFormat="1"/>
    <row r="869" s="34" customFormat="1"/>
    <row r="870" s="34" customFormat="1"/>
    <row r="871" s="34" customFormat="1"/>
    <row r="872" s="34" customFormat="1"/>
    <row r="873" s="34" customFormat="1"/>
    <row r="874" s="34" customFormat="1"/>
    <row r="875" s="34" customFormat="1"/>
    <row r="876" s="34" customFormat="1"/>
    <row r="877" s="34" customFormat="1"/>
    <row r="878" s="34" customFormat="1"/>
    <row r="879" s="34" customFormat="1"/>
    <row r="880" s="34" customFormat="1"/>
    <row r="881" s="34" customFormat="1"/>
    <row r="882" s="34" customFormat="1"/>
    <row r="883" s="34" customFormat="1"/>
    <row r="884" s="34" customFormat="1"/>
    <row r="885" s="34" customFormat="1"/>
    <row r="886" s="34" customFormat="1"/>
    <row r="887" s="34" customFormat="1"/>
    <row r="888" s="34" customFormat="1"/>
    <row r="889" s="34" customFormat="1"/>
    <row r="890" s="34" customFormat="1"/>
    <row r="891" s="34" customFormat="1"/>
    <row r="892" s="34" customFormat="1"/>
    <row r="893" s="34" customFormat="1"/>
    <row r="894" s="34" customFormat="1"/>
    <row r="895" s="34" customFormat="1"/>
    <row r="896" s="34" customFormat="1"/>
    <row r="897" s="34" customFormat="1"/>
    <row r="898" s="34" customFormat="1"/>
    <row r="899" s="34" customFormat="1"/>
    <row r="900" s="34" customFormat="1"/>
    <row r="901" s="34" customFormat="1"/>
    <row r="902" s="34" customFormat="1"/>
    <row r="903" s="34" customFormat="1"/>
    <row r="904" s="34" customFormat="1"/>
    <row r="905" s="34" customFormat="1"/>
    <row r="906" s="34" customFormat="1"/>
    <row r="907" s="34" customFormat="1"/>
    <row r="908" s="34" customFormat="1"/>
    <row r="909" s="34" customFormat="1"/>
    <row r="910" s="34" customFormat="1"/>
    <row r="911" s="34" customFormat="1"/>
    <row r="912" s="34" customFormat="1"/>
    <row r="913" s="34" customFormat="1"/>
    <row r="914" s="34" customFormat="1"/>
    <row r="915" s="34" customFormat="1"/>
    <row r="916" s="34" customFormat="1"/>
    <row r="917" s="34" customFormat="1"/>
    <row r="918" s="34" customFormat="1"/>
    <row r="919" s="34" customFormat="1"/>
    <row r="920" s="34" customFormat="1"/>
    <row r="921" s="34" customFormat="1"/>
    <row r="922" s="34" customFormat="1"/>
    <row r="923" s="34" customFormat="1"/>
    <row r="924" s="34" customFormat="1"/>
    <row r="925" s="34" customFormat="1"/>
    <row r="926" s="34" customFormat="1"/>
    <row r="927" s="34" customFormat="1"/>
    <row r="928" s="34" customFormat="1"/>
    <row r="929" s="34" customFormat="1"/>
    <row r="930" s="34" customFormat="1"/>
    <row r="931" s="34" customFormat="1"/>
    <row r="932" s="34" customFormat="1"/>
    <row r="933" s="34" customFormat="1"/>
    <row r="934" s="34" customFormat="1"/>
    <row r="935" s="34" customFormat="1"/>
    <row r="936" s="34" customFormat="1"/>
    <row r="937" s="34" customFormat="1"/>
    <row r="938" s="34" customFormat="1"/>
    <row r="939" s="34" customFormat="1"/>
    <row r="940" s="34" customFormat="1"/>
    <row r="941" s="34" customFormat="1"/>
    <row r="942" s="34" customFormat="1"/>
    <row r="943" s="34" customFormat="1"/>
    <row r="944" s="34" customFormat="1"/>
    <row r="945" s="34" customFormat="1"/>
    <row r="946" s="34" customFormat="1"/>
    <row r="947" s="34" customFormat="1"/>
    <row r="948" s="34" customFormat="1"/>
    <row r="949" s="34" customFormat="1"/>
    <row r="950" s="34" customFormat="1"/>
    <row r="951" s="34" customFormat="1"/>
    <row r="952" s="34" customFormat="1"/>
    <row r="953" s="34" customFormat="1"/>
    <row r="954" s="34" customFormat="1"/>
    <row r="955" s="34" customFormat="1"/>
    <row r="956" s="34" customFormat="1"/>
    <row r="957" s="34" customFormat="1"/>
    <row r="958" s="34" customFormat="1"/>
    <row r="959" s="34" customFormat="1"/>
    <row r="960" s="34" customFormat="1"/>
    <row r="961" s="34" customFormat="1"/>
    <row r="962" s="34" customFormat="1"/>
    <row r="963" s="34" customFormat="1"/>
    <row r="964" s="34" customFormat="1"/>
    <row r="965" s="34" customFormat="1"/>
    <row r="966" s="34" customFormat="1"/>
    <row r="967" s="34" customFormat="1"/>
    <row r="968" s="34" customFormat="1"/>
    <row r="969" s="34" customFormat="1"/>
    <row r="970" s="34" customFormat="1"/>
    <row r="971" s="34" customFormat="1"/>
    <row r="972" s="34" customFormat="1"/>
    <row r="973" s="34" customFormat="1"/>
    <row r="974" s="34" customFormat="1"/>
    <row r="975" s="34" customFormat="1"/>
    <row r="976" s="34" customFormat="1"/>
    <row r="977" s="34" customFormat="1"/>
    <row r="978" s="34" customFormat="1"/>
    <row r="979" s="34" customFormat="1"/>
    <row r="980" s="34" customFormat="1"/>
    <row r="981" s="34" customFormat="1"/>
    <row r="982" s="34" customFormat="1"/>
    <row r="983" s="34" customFormat="1"/>
    <row r="984" s="34" customFormat="1"/>
    <row r="985" s="34" customFormat="1"/>
    <row r="986" s="34" customFormat="1"/>
    <row r="987" s="34" customFormat="1"/>
    <row r="988" s="34" customFormat="1"/>
    <row r="989" s="34" customFormat="1"/>
    <row r="990" s="34" customFormat="1"/>
    <row r="991" s="34" customFormat="1"/>
    <row r="992" s="34" customFormat="1"/>
    <row r="993" s="34" customFormat="1"/>
    <row r="994" s="34" customFormat="1"/>
    <row r="995" s="34" customFormat="1"/>
    <row r="996" s="34" customFormat="1"/>
    <row r="997" s="34" customFormat="1"/>
    <row r="998" s="34" customFormat="1"/>
    <row r="999" s="34" customFormat="1"/>
    <row r="1000" s="34" customFormat="1"/>
    <row r="1001" s="34" customFormat="1"/>
    <row r="1002" s="34" customFormat="1"/>
    <row r="1003" s="34" customFormat="1"/>
    <row r="1004" s="34" customFormat="1"/>
    <row r="1005" s="34" customFormat="1"/>
    <row r="1006" s="34" customFormat="1"/>
    <row r="1007" s="34" customFormat="1"/>
    <row r="1008" s="34" customFormat="1"/>
    <row r="1009" s="34" customFormat="1"/>
    <row r="1010" s="34" customFormat="1"/>
    <row r="1011" s="34" customFormat="1"/>
    <row r="1012" s="34" customFormat="1"/>
    <row r="1013" s="34" customFormat="1"/>
    <row r="1014" s="34" customFormat="1"/>
    <row r="1015" s="34" customFormat="1"/>
    <row r="1016" s="34" customFormat="1"/>
    <row r="1017" s="34" customFormat="1"/>
    <row r="1018" s="34" customFormat="1"/>
    <row r="1019" s="34" customFormat="1"/>
    <row r="1020" s="34" customFormat="1"/>
    <row r="1021" s="34" customFormat="1"/>
    <row r="1022" s="34" customFormat="1"/>
    <row r="1023" s="34" customFormat="1"/>
    <row r="1024" s="34" customFormat="1"/>
    <row r="1025" s="34" customFormat="1"/>
    <row r="1026" s="34" customFormat="1"/>
    <row r="1027" s="34" customFormat="1"/>
    <row r="1028" s="34" customFormat="1"/>
    <row r="1029" s="34" customFormat="1"/>
    <row r="1030" s="34" customFormat="1"/>
    <row r="1031" s="34" customFormat="1"/>
    <row r="1032" s="34" customFormat="1"/>
    <row r="1033" s="34" customFormat="1"/>
    <row r="1034" s="34" customFormat="1"/>
    <row r="1035" s="34" customFormat="1"/>
    <row r="1036" s="34" customFormat="1"/>
    <row r="1037" s="34" customFormat="1"/>
    <row r="1038" s="34" customFormat="1"/>
    <row r="1039" s="34" customFormat="1"/>
    <row r="1040" s="34" customFormat="1"/>
    <row r="1041" s="34" customFormat="1"/>
    <row r="1042" s="34" customFormat="1"/>
    <row r="1043" s="34" customFormat="1"/>
    <row r="1044" s="34" customFormat="1"/>
    <row r="1045" s="34" customFormat="1"/>
    <row r="1046" s="34" customFormat="1"/>
    <row r="1047" s="34" customFormat="1"/>
    <row r="1048" s="34" customFormat="1"/>
    <row r="1049" s="34" customFormat="1"/>
    <row r="1050" s="34" customFormat="1"/>
    <row r="1051" s="34" customFormat="1"/>
    <row r="1052" s="34" customFormat="1"/>
    <row r="1053" s="34" customFormat="1"/>
    <row r="1054" s="34" customFormat="1"/>
    <row r="1055" s="34" customFormat="1"/>
    <row r="1056" s="34" customFormat="1"/>
    <row r="1057" s="34" customFormat="1"/>
    <row r="1058" s="34" customFormat="1"/>
    <row r="1059" s="34" customFormat="1"/>
    <row r="1060" s="34" customFormat="1"/>
    <row r="1061" s="34" customFormat="1"/>
    <row r="1062" s="34" customFormat="1"/>
    <row r="1063" s="34" customFormat="1"/>
    <row r="1064" s="34" customFormat="1"/>
    <row r="1065" s="34" customFormat="1"/>
    <row r="1066" s="34" customFormat="1"/>
    <row r="1067" s="34" customFormat="1"/>
    <row r="1068" s="34" customFormat="1"/>
    <row r="1069" s="34" customFormat="1"/>
    <row r="1070" s="34" customFormat="1"/>
    <row r="1071" s="34" customFormat="1"/>
    <row r="1072" s="34" customFormat="1"/>
    <row r="1073" s="34" customFormat="1"/>
    <row r="1074" s="34" customFormat="1"/>
    <row r="1075" s="34" customFormat="1"/>
    <row r="1076" s="34" customFormat="1"/>
    <row r="1077" s="34" customFormat="1"/>
    <row r="1078" s="34" customFormat="1"/>
    <row r="1079" s="34" customFormat="1"/>
    <row r="1080" s="34" customFormat="1"/>
    <row r="1081" s="34" customFormat="1"/>
    <row r="1082" s="34" customFormat="1"/>
    <row r="1083" s="34" customFormat="1"/>
    <row r="1084" s="34" customFormat="1"/>
    <row r="1085" s="34" customFormat="1"/>
    <row r="1086" s="34" customFormat="1"/>
    <row r="1087" s="34" customFormat="1"/>
    <row r="1088" s="34" customFormat="1"/>
    <row r="1089" s="34" customFormat="1"/>
    <row r="1090" s="34" customFormat="1"/>
    <row r="1091" s="34" customFormat="1"/>
    <row r="1092" s="34" customFormat="1"/>
    <row r="1093" s="34" customFormat="1"/>
    <row r="1094" s="34" customFormat="1"/>
    <row r="1095" s="34" customFormat="1"/>
    <row r="1096" s="34" customFormat="1"/>
    <row r="1097" s="34" customFormat="1"/>
    <row r="1098" s="34" customFormat="1"/>
    <row r="1099" s="34" customFormat="1"/>
    <row r="1100" s="34" customFormat="1"/>
    <row r="1101" s="34" customFormat="1"/>
    <row r="1102" s="34" customFormat="1"/>
    <row r="1103" s="34" customFormat="1"/>
    <row r="1104" s="34" customFormat="1"/>
    <row r="1105" s="34" customFormat="1"/>
    <row r="1106" s="34" customFormat="1"/>
    <row r="1107" s="34" customFormat="1"/>
    <row r="1108" s="34" customFormat="1"/>
    <row r="1109" s="34" customFormat="1"/>
    <row r="1110" s="34" customFormat="1"/>
    <row r="1111" s="34" customFormat="1"/>
    <row r="1112" s="34" customFormat="1"/>
    <row r="1113" s="34" customFormat="1"/>
    <row r="1114" s="34" customFormat="1"/>
    <row r="1115" s="34" customFormat="1"/>
    <row r="1116" s="34" customFormat="1"/>
    <row r="1117" s="34" customFormat="1"/>
    <row r="1118" s="34" customFormat="1"/>
    <row r="1119" s="34" customFormat="1"/>
    <row r="1120" s="34" customFormat="1"/>
    <row r="1121" s="34" customFormat="1"/>
    <row r="1122" s="34" customFormat="1"/>
    <row r="1123" s="34" customFormat="1"/>
    <row r="1124" s="34" customFormat="1"/>
    <row r="1125" s="34" customFormat="1"/>
    <row r="1126" s="34" customFormat="1"/>
    <row r="1127" s="34" customFormat="1"/>
    <row r="1128" s="34" customFormat="1"/>
    <row r="1129" s="34" customFormat="1"/>
    <row r="1130" s="34" customFormat="1"/>
    <row r="1131" s="34" customFormat="1"/>
    <row r="1132" s="34" customFormat="1"/>
    <row r="1133" s="34" customFormat="1"/>
    <row r="1134" s="34" customFormat="1"/>
    <row r="1135" s="34" customFormat="1"/>
    <row r="1136" s="34" customFormat="1"/>
    <row r="1137" s="34" customFormat="1"/>
    <row r="1138" s="34" customFormat="1"/>
    <row r="1139" s="34" customFormat="1"/>
    <row r="1140" s="34" customFormat="1"/>
    <row r="1141" s="34" customFormat="1"/>
    <row r="1142" s="34" customFormat="1"/>
    <row r="1143" s="34" customFormat="1"/>
    <row r="1144" s="34" customFormat="1"/>
    <row r="1145" s="34" customFormat="1"/>
    <row r="1146" s="34" customFormat="1"/>
    <row r="1147" s="34" customFormat="1"/>
    <row r="1148" s="34" customFormat="1"/>
    <row r="1149" s="34" customFormat="1"/>
    <row r="1150" s="34" customFormat="1"/>
    <row r="1151" s="34" customFormat="1"/>
    <row r="1152" s="34" customFormat="1"/>
    <row r="1153" s="34" customFormat="1"/>
    <row r="1154" s="34" customFormat="1"/>
    <row r="1155" s="34" customFormat="1"/>
    <row r="1156" s="34" customFormat="1"/>
    <row r="1157" s="34" customFormat="1"/>
    <row r="1158" s="34" customFormat="1"/>
    <row r="1159" s="34" customFormat="1"/>
    <row r="1160" s="34" customFormat="1"/>
    <row r="1161" s="34" customFormat="1"/>
    <row r="1162" s="34" customFormat="1"/>
    <row r="1163" s="34" customFormat="1"/>
    <row r="1164" s="34" customFormat="1"/>
    <row r="1165" s="34" customFormat="1"/>
    <row r="1166" s="34" customFormat="1"/>
    <row r="1167" s="34" customFormat="1"/>
    <row r="1168" s="34" customFormat="1"/>
    <row r="1169" s="34" customFormat="1"/>
    <row r="1170" s="34" customFormat="1"/>
    <row r="1171" s="34" customFormat="1"/>
    <row r="1172" s="34" customFormat="1"/>
    <row r="1173" s="34" customFormat="1"/>
    <row r="1174" s="34" customFormat="1"/>
    <row r="1175" s="34" customFormat="1"/>
    <row r="1176" s="34" customFormat="1"/>
    <row r="1177" s="34" customFormat="1"/>
    <row r="1178" s="34" customFormat="1"/>
    <row r="1179" s="34" customFormat="1"/>
    <row r="1180" s="34" customFormat="1"/>
    <row r="1181" s="34" customFormat="1"/>
    <row r="1182" s="34" customFormat="1"/>
    <row r="1183" s="34" customFormat="1"/>
    <row r="1184" s="34" customFormat="1"/>
    <row r="1185" s="34" customFormat="1"/>
    <row r="1186" s="34" customFormat="1"/>
    <row r="1187" s="34" customFormat="1"/>
    <row r="1188" s="34" customFormat="1"/>
    <row r="1189" s="34" customFormat="1"/>
    <row r="1190" s="34" customFormat="1"/>
    <row r="1191" s="34" customFormat="1"/>
    <row r="1192" s="34" customFormat="1"/>
    <row r="1193" s="34" customFormat="1"/>
    <row r="1194" s="34" customFormat="1"/>
    <row r="1195" s="34" customFormat="1"/>
    <row r="1196" s="34" customFormat="1"/>
    <row r="1197" s="34" customFormat="1"/>
    <row r="1198" s="34" customFormat="1"/>
    <row r="1199" s="34" customFormat="1"/>
    <row r="1200" s="34" customFormat="1"/>
    <row r="1201" s="34" customFormat="1"/>
    <row r="1202" s="34" customFormat="1"/>
    <row r="1203" s="34" customFormat="1"/>
    <row r="1204" s="34" customFormat="1"/>
    <row r="1205" s="34" customFormat="1"/>
    <row r="1206" s="34" customFormat="1"/>
    <row r="1207" s="34" customFormat="1"/>
    <row r="1208" s="34" customFormat="1"/>
    <row r="1209" s="34" customFormat="1"/>
    <row r="1210" s="34" customFormat="1"/>
    <row r="1211" s="34" customFormat="1"/>
    <row r="1212" s="34" customFormat="1"/>
    <row r="1213" s="34" customFormat="1"/>
    <row r="1214" s="34" customFormat="1"/>
    <row r="1215" s="34" customFormat="1"/>
    <row r="1216" s="34" customFormat="1"/>
    <row r="1217" s="34" customFormat="1"/>
    <row r="1218" s="34" customFormat="1"/>
    <row r="1219" s="34" customFormat="1"/>
    <row r="1220" s="34" customFormat="1"/>
    <row r="1221" s="34" customFormat="1"/>
    <row r="1222" s="34" customFormat="1"/>
    <row r="1223" s="34" customFormat="1"/>
    <row r="1224" s="34" customFormat="1"/>
    <row r="1225" s="34" customFormat="1"/>
    <row r="1226" s="34" customFormat="1"/>
    <row r="1227" s="34" customFormat="1"/>
    <row r="1228" s="34" customFormat="1"/>
    <row r="1229" s="34" customFormat="1"/>
    <row r="1230" s="34" customFormat="1"/>
    <row r="1231" s="34" customFormat="1"/>
    <row r="1232" s="34" customFormat="1"/>
    <row r="1233" s="34" customFormat="1"/>
    <row r="1234" s="34" customFormat="1"/>
    <row r="1235" s="34" customFormat="1"/>
    <row r="1236" s="34" customFormat="1"/>
    <row r="1237" s="34" customFormat="1"/>
    <row r="1238" s="34" customFormat="1"/>
    <row r="1239" s="34" customFormat="1"/>
    <row r="1240" s="34" customFormat="1"/>
    <row r="1241" s="34" customFormat="1"/>
    <row r="1242" s="34" customFormat="1"/>
    <row r="1243" s="34" customFormat="1"/>
    <row r="1244" s="34" customFormat="1"/>
    <row r="1245" s="34" customFormat="1"/>
    <row r="1246" s="34" customFormat="1"/>
    <row r="1247" s="34" customFormat="1"/>
    <row r="1248" s="34" customFormat="1"/>
    <row r="1249" s="34" customFormat="1"/>
    <row r="1250" s="34" customFormat="1"/>
    <row r="1251" s="34" customFormat="1"/>
    <row r="1252" s="34" customFormat="1"/>
    <row r="1253" s="34" customFormat="1"/>
    <row r="1254" s="34" customFormat="1"/>
    <row r="1255" s="34" customFormat="1"/>
    <row r="1256" s="34" customFormat="1"/>
    <row r="1257" s="34" customFormat="1"/>
    <row r="1258" s="34" customFormat="1"/>
    <row r="1259" s="34" customFormat="1"/>
    <row r="1260" s="34" customFormat="1"/>
    <row r="1261" s="34" customFormat="1"/>
    <row r="1262" s="34" customFormat="1"/>
    <row r="1263" s="34" customFormat="1"/>
    <row r="1264" s="34" customFormat="1"/>
    <row r="1265" s="34" customFormat="1"/>
    <row r="1266" s="34" customFormat="1"/>
    <row r="1267" s="34" customFormat="1"/>
    <row r="1268" s="34" customFormat="1"/>
    <row r="1269" s="34" customFormat="1"/>
    <row r="1270" s="34" customFormat="1"/>
    <row r="1271" s="34" customFormat="1"/>
    <row r="1272" s="34" customFormat="1"/>
    <row r="1273" s="34" customFormat="1"/>
    <row r="1274" s="34" customFormat="1"/>
    <row r="1275" s="34" customFormat="1"/>
    <row r="1276" s="34" customFormat="1"/>
    <row r="1277" s="34" customFormat="1"/>
    <row r="1278" s="34" customFormat="1"/>
    <row r="1279" s="34" customFormat="1"/>
    <row r="1280" s="34" customFormat="1"/>
    <row r="1281" s="34" customFormat="1"/>
    <row r="1282" s="34" customFormat="1"/>
    <row r="1283" s="34" customFormat="1"/>
    <row r="1284" s="34" customFormat="1"/>
    <row r="1285" s="34" customFormat="1"/>
    <row r="1286" s="34" customFormat="1"/>
    <row r="1287" s="34" customFormat="1"/>
    <row r="1288" s="34" customFormat="1"/>
    <row r="1289" s="34" customFormat="1"/>
    <row r="1290" s="34" customFormat="1"/>
    <row r="1291" s="34" customFormat="1"/>
    <row r="1292" s="34" customFormat="1"/>
    <row r="1293" s="34" customFormat="1"/>
    <row r="1294" s="34" customFormat="1"/>
    <row r="1295" s="34" customFormat="1"/>
    <row r="1296" s="34" customFormat="1"/>
    <row r="1297" s="34" customFormat="1"/>
    <row r="1298" s="34" customFormat="1"/>
    <row r="1299" s="34" customFormat="1"/>
    <row r="1300" s="34" customFormat="1"/>
    <row r="1301" s="34" customFormat="1"/>
    <row r="1302" s="34" customFormat="1"/>
    <row r="1303" s="34" customFormat="1"/>
    <row r="1304" s="34" customFormat="1"/>
    <row r="1305" s="34" customFormat="1"/>
    <row r="1306" s="34" customFormat="1"/>
    <row r="1307" s="34" customFormat="1"/>
    <row r="1308" s="34" customFormat="1"/>
    <row r="1309" s="34" customFormat="1"/>
    <row r="1310" s="34" customFormat="1"/>
    <row r="1311" s="34" customFormat="1"/>
    <row r="1312" s="34" customFormat="1"/>
    <row r="1313" s="34" customFormat="1"/>
    <row r="1314" s="34" customFormat="1"/>
    <row r="1315" s="34" customFormat="1"/>
    <row r="1316" s="34" customFormat="1"/>
    <row r="1317" s="34" customFormat="1"/>
    <row r="1318" s="34" customFormat="1"/>
    <row r="1319" s="34" customFormat="1"/>
    <row r="1320" s="34" customFormat="1"/>
    <row r="1321" s="34" customFormat="1"/>
    <row r="1322" s="34" customFormat="1"/>
    <row r="1323" s="34" customFormat="1"/>
    <row r="1324" s="34" customFormat="1"/>
    <row r="1325" s="34" customFormat="1"/>
    <row r="1326" s="34" customFormat="1"/>
    <row r="1327" s="34" customFormat="1"/>
    <row r="1328" s="34" customFormat="1"/>
    <row r="1329" s="34" customFormat="1"/>
    <row r="1330" s="34" customFormat="1"/>
    <row r="1331" s="34" customFormat="1"/>
    <row r="1332" s="34" customFormat="1"/>
    <row r="1333" s="34" customFormat="1"/>
    <row r="1334" s="34" customFormat="1"/>
    <row r="1335" s="34" customFormat="1"/>
    <row r="1336" s="34" customFormat="1"/>
    <row r="1337" s="34" customFormat="1"/>
    <row r="1338" s="34" customFormat="1"/>
    <row r="1339" s="34" customFormat="1"/>
    <row r="1340" s="34" customFormat="1"/>
    <row r="1341" s="34" customFormat="1"/>
    <row r="1342" s="34" customFormat="1"/>
    <row r="1343" s="34" customFormat="1"/>
    <row r="1344" s="34" customFormat="1"/>
    <row r="1345" s="34" customFormat="1"/>
    <row r="1346" s="34" customFormat="1"/>
    <row r="1347" s="34" customFormat="1"/>
    <row r="1348" s="34" customFormat="1"/>
    <row r="1349" s="34" customFormat="1"/>
    <row r="1350" s="34" customFormat="1"/>
    <row r="1351" s="34" customFormat="1"/>
    <row r="1352" s="34" customFormat="1"/>
    <row r="1353" s="34" customFormat="1"/>
    <row r="1354" s="34" customFormat="1"/>
    <row r="1355" s="34" customFormat="1"/>
    <row r="1356" s="34" customFormat="1"/>
    <row r="1357" s="34" customFormat="1"/>
    <row r="1358" s="34" customFormat="1"/>
    <row r="1359" s="34" customFormat="1"/>
    <row r="1360" s="34" customFormat="1"/>
    <row r="1361" s="34" customFormat="1"/>
    <row r="1362" s="34" customFormat="1"/>
    <row r="1363" s="34" customFormat="1"/>
    <row r="1364" s="34" customFormat="1"/>
    <row r="1365" s="34" customFormat="1"/>
    <row r="1366" s="34" customFormat="1"/>
    <row r="1367" s="34" customFormat="1"/>
    <row r="1368" s="34" customFormat="1"/>
    <row r="1369" s="34" customFormat="1"/>
    <row r="1370" s="34" customFormat="1"/>
    <row r="1371" s="34" customFormat="1"/>
    <row r="1372" s="34" customFormat="1"/>
    <row r="1373" s="34" customFormat="1"/>
    <row r="1374" s="34" customFormat="1"/>
    <row r="1375" s="34" customFormat="1"/>
    <row r="1376" s="34" customFormat="1"/>
    <row r="1377" s="34" customFormat="1"/>
    <row r="1378" s="34" customFormat="1"/>
    <row r="1379" s="34" customFormat="1"/>
    <row r="1380" s="34" customFormat="1"/>
    <row r="1381" s="34" customFormat="1"/>
    <row r="1382" s="34" customFormat="1"/>
    <row r="1383" s="34" customFormat="1"/>
    <row r="1384" s="34" customFormat="1"/>
    <row r="1385" s="34" customFormat="1"/>
    <row r="1386" s="34" customFormat="1"/>
    <row r="1387" s="34" customFormat="1"/>
    <row r="1388" s="34" customFormat="1"/>
    <row r="1389" s="34" customFormat="1"/>
    <row r="1390" s="34" customFormat="1"/>
    <row r="1391" s="34" customFormat="1"/>
    <row r="1392" s="34" customFormat="1"/>
    <row r="1393" s="34" customFormat="1"/>
    <row r="1394" s="34" customFormat="1"/>
    <row r="1395" s="34" customFormat="1"/>
    <row r="1396" s="34" customFormat="1"/>
    <row r="1397" s="34" customFormat="1"/>
    <row r="1398" s="34" customFormat="1"/>
    <row r="1399" s="34" customFormat="1"/>
    <row r="1400" s="34" customFormat="1"/>
    <row r="1401" s="34" customFormat="1"/>
    <row r="1402" s="34" customFormat="1"/>
    <row r="1403" s="34" customFormat="1"/>
    <row r="1404" s="34" customFormat="1"/>
    <row r="1405" s="34" customFormat="1"/>
    <row r="1406" s="34" customFormat="1"/>
    <row r="1407" s="34" customFormat="1"/>
    <row r="1408" s="34" customFormat="1"/>
    <row r="1409" s="34" customFormat="1"/>
    <row r="1410" s="34" customFormat="1"/>
    <row r="1411" s="34" customFormat="1"/>
    <row r="1412" s="34" customFormat="1"/>
    <row r="1413" s="34" customFormat="1"/>
    <row r="1414" s="34" customFormat="1"/>
    <row r="1415" s="34" customFormat="1"/>
    <row r="1416" s="34" customFormat="1"/>
    <row r="1417" s="34" customFormat="1"/>
    <row r="1418" s="34" customFormat="1"/>
    <row r="1419" s="34" customFormat="1"/>
    <row r="1420" s="34" customFormat="1"/>
    <row r="1421" s="34" customFormat="1"/>
    <row r="1422" s="34" customFormat="1"/>
    <row r="1423" s="34" customFormat="1"/>
    <row r="1424" s="34" customFormat="1"/>
    <row r="1425" s="34" customFormat="1"/>
    <row r="1426" s="34" customFormat="1"/>
    <row r="1427" s="34" customFormat="1"/>
    <row r="1428" s="34" customFormat="1"/>
    <row r="1429" s="34" customFormat="1"/>
    <row r="1430" s="34" customFormat="1"/>
    <row r="1431" s="34" customFormat="1"/>
    <row r="1432" s="34" customFormat="1"/>
    <row r="1433" s="34" customFormat="1"/>
    <row r="1434" s="34" customFormat="1"/>
    <row r="1435" s="34" customFormat="1"/>
    <row r="1436" s="34" customFormat="1"/>
    <row r="1437" s="34" customFormat="1"/>
    <row r="1438" s="34" customFormat="1"/>
    <row r="1439" s="34" customFormat="1"/>
    <row r="1440" s="34" customFormat="1"/>
    <row r="1441" s="34" customFormat="1"/>
    <row r="1442" s="34" customFormat="1"/>
    <row r="1443" s="34" customFormat="1"/>
    <row r="1444" s="34" customFormat="1"/>
    <row r="1445" s="34" customFormat="1"/>
    <row r="1446" s="34" customFormat="1"/>
    <row r="1447" s="34" customFormat="1"/>
    <row r="1448" s="34" customFormat="1"/>
    <row r="1449" s="34" customFormat="1"/>
    <row r="1450" s="34" customFormat="1"/>
    <row r="1451" s="34" customFormat="1"/>
    <row r="1452" s="34" customFormat="1"/>
    <row r="1453" s="34" customFormat="1"/>
    <row r="1454" s="34" customFormat="1"/>
    <row r="1455" s="34" customFormat="1"/>
    <row r="1456" s="34" customFormat="1"/>
    <row r="1457" s="34" customFormat="1"/>
    <row r="1458" s="34" customFormat="1"/>
    <row r="1459" s="34" customFormat="1"/>
    <row r="1460" s="34" customFormat="1"/>
    <row r="1461" s="34" customFormat="1"/>
    <row r="1462" s="34" customFormat="1"/>
    <row r="1463" s="34" customFormat="1"/>
    <row r="1464" s="34" customFormat="1"/>
    <row r="1465" s="34" customFormat="1"/>
    <row r="1466" s="34" customFormat="1"/>
    <row r="1467" s="34" customFormat="1"/>
    <row r="1468" s="34" customFormat="1"/>
    <row r="1469" s="34" customFormat="1"/>
    <row r="1470" s="34" customFormat="1"/>
    <row r="1471" s="34" customFormat="1"/>
    <row r="1472" s="34" customFormat="1"/>
    <row r="1473" s="34" customFormat="1"/>
    <row r="1474" s="34" customFormat="1"/>
    <row r="1475" s="34" customFormat="1"/>
    <row r="1476" s="34" customFormat="1"/>
    <row r="1477" s="34" customFormat="1"/>
    <row r="1478" s="34" customFormat="1"/>
    <row r="1479" s="34" customFormat="1"/>
    <row r="1480" s="34" customFormat="1"/>
    <row r="1481" s="34" customFormat="1"/>
    <row r="1482" s="34" customFormat="1"/>
    <row r="1483" s="34" customFormat="1"/>
    <row r="1484" s="34" customFormat="1"/>
    <row r="1485" s="34" customFormat="1"/>
    <row r="1486" s="34" customFormat="1"/>
    <row r="1487" s="34" customFormat="1"/>
    <row r="1488" s="34" customFormat="1"/>
    <row r="1489" s="34" customFormat="1"/>
    <row r="1490" s="34" customFormat="1"/>
    <row r="1491" s="34" customFormat="1"/>
    <row r="1492" s="34" customFormat="1"/>
    <row r="1493" s="34" customFormat="1"/>
    <row r="1494" s="34" customFormat="1"/>
    <row r="1495" s="34" customFormat="1"/>
    <row r="1496" s="34" customFormat="1"/>
    <row r="1497" s="34" customFormat="1"/>
    <row r="1498" s="34" customFormat="1"/>
    <row r="1499" s="34" customFormat="1"/>
    <row r="1500" s="34" customFormat="1"/>
    <row r="1501" s="34" customFormat="1"/>
    <row r="1502" s="34" customFormat="1"/>
    <row r="1503" s="34" customFormat="1"/>
    <row r="1504" s="34" customFormat="1"/>
    <row r="1505" s="34" customFormat="1"/>
    <row r="1506" s="34" customFormat="1"/>
    <row r="1507" s="34" customFormat="1"/>
    <row r="1508" s="34" customFormat="1"/>
    <row r="1509" s="34" customFormat="1"/>
    <row r="1510" s="34" customFormat="1"/>
    <row r="1511" s="34" customFormat="1"/>
    <row r="1512" s="34" customFormat="1"/>
    <row r="1513" s="34" customFormat="1"/>
    <row r="1514" s="34" customFormat="1"/>
    <row r="1515" s="34" customFormat="1"/>
    <row r="1516" s="34" customFormat="1"/>
    <row r="1517" s="34" customFormat="1"/>
    <row r="1518" s="34" customFormat="1"/>
    <row r="1519" s="34" customFormat="1"/>
    <row r="1520" s="34" customFormat="1"/>
    <row r="1521" s="34" customFormat="1"/>
    <row r="1522" s="34" customFormat="1"/>
    <row r="1523" s="34" customFormat="1"/>
    <row r="1524" s="34" customFormat="1"/>
    <row r="1525" s="34" customFormat="1"/>
    <row r="1526" s="34" customFormat="1"/>
    <row r="1527" s="34" customFormat="1"/>
    <row r="1528" s="34" customFormat="1"/>
    <row r="1529" s="34" customFormat="1"/>
    <row r="1530" s="34" customFormat="1"/>
    <row r="1531" s="34" customFormat="1"/>
    <row r="1532" s="34" customFormat="1"/>
    <row r="1533" s="34" customFormat="1"/>
    <row r="1534" s="34" customFormat="1"/>
    <row r="1535" s="34" customFormat="1"/>
    <row r="1536" s="34" customFormat="1"/>
    <row r="1537" s="34" customFormat="1"/>
    <row r="1538" s="34" customFormat="1"/>
    <row r="1539" s="34" customFormat="1"/>
    <row r="1540" s="34" customFormat="1"/>
    <row r="1541" s="34" customFormat="1"/>
    <row r="1542" s="34" customFormat="1"/>
    <row r="1543" s="34" customFormat="1"/>
    <row r="1544" s="34" customFormat="1"/>
    <row r="1545" s="34" customFormat="1"/>
    <row r="1546" s="34" customFormat="1"/>
    <row r="1547" s="34" customFormat="1"/>
    <row r="1548" s="34" customFormat="1"/>
    <row r="1549" s="34" customFormat="1"/>
    <row r="1550" s="34" customFormat="1"/>
    <row r="1551" s="34" customFormat="1"/>
    <row r="1552" s="34" customFormat="1"/>
    <row r="1553" s="34" customFormat="1"/>
    <row r="1554" s="34" customFormat="1"/>
    <row r="1555" s="34" customFormat="1"/>
    <row r="1556" s="34" customFormat="1"/>
    <row r="1557" s="34" customFormat="1"/>
    <row r="1558" s="34" customFormat="1"/>
    <row r="1559" s="34" customFormat="1"/>
    <row r="1560" s="34" customFormat="1"/>
    <row r="1561" s="34" customFormat="1"/>
    <row r="1562" s="34" customFormat="1"/>
    <row r="1563" s="34" customFormat="1"/>
    <row r="1564" s="34" customFormat="1"/>
    <row r="1565" s="34" customFormat="1"/>
    <row r="1566" s="34" customFormat="1"/>
    <row r="1567" s="34" customFormat="1"/>
    <row r="1568" s="34" customFormat="1"/>
    <row r="1569" s="34" customFormat="1"/>
    <row r="1570" s="34" customFormat="1"/>
    <row r="1571" s="34" customFormat="1"/>
    <row r="1572" s="34" customFormat="1"/>
    <row r="1573" s="34" customFormat="1"/>
    <row r="1574" s="34" customFormat="1"/>
    <row r="1575" s="34" customFormat="1"/>
    <row r="1576" s="34" customFormat="1"/>
    <row r="1577" s="34" customFormat="1"/>
    <row r="1578" s="34" customFormat="1"/>
    <row r="1579" s="34" customFormat="1"/>
    <row r="1580" s="34" customFormat="1"/>
    <row r="1581" s="34" customFormat="1"/>
    <row r="1582" s="34" customFormat="1"/>
    <row r="1583" s="34" customFormat="1"/>
    <row r="1584" s="34" customFormat="1"/>
    <row r="1585" s="34" customFormat="1"/>
    <row r="1586" s="34" customFormat="1"/>
    <row r="1587" s="34" customFormat="1"/>
    <row r="1588" s="34" customFormat="1"/>
    <row r="1589" s="34" customFormat="1"/>
    <row r="1590" s="34" customFormat="1"/>
    <row r="1591" s="34" customFormat="1"/>
    <row r="1592" s="34" customFormat="1"/>
    <row r="1593" s="34" customFormat="1"/>
    <row r="1594" s="34" customFormat="1"/>
    <row r="1595" s="34" customFormat="1"/>
    <row r="1596" s="34" customFormat="1"/>
    <row r="1597" s="34" customFormat="1"/>
    <row r="1598" s="34" customFormat="1"/>
    <row r="1599" s="34" customFormat="1"/>
    <row r="1600" s="34" customFormat="1"/>
    <row r="1601" s="34" customFormat="1"/>
    <row r="1602" s="34" customFormat="1"/>
    <row r="1603" s="34" customFormat="1"/>
    <row r="1604" s="34" customFormat="1"/>
    <row r="1605" s="34" customFormat="1"/>
    <row r="1606" s="34" customFormat="1"/>
    <row r="1607" s="34" customFormat="1"/>
    <row r="1608" s="34" customFormat="1"/>
    <row r="1609" s="34" customFormat="1"/>
    <row r="1610" s="34" customFormat="1"/>
    <row r="1611" s="34" customFormat="1"/>
    <row r="1612" s="34" customFormat="1"/>
    <row r="1613" s="34" customFormat="1"/>
    <row r="1614" s="34" customFormat="1"/>
    <row r="1615" s="34" customFormat="1"/>
    <row r="1616" s="34" customFormat="1"/>
    <row r="1617" s="34" customFormat="1"/>
    <row r="1618" s="34" customFormat="1"/>
    <row r="1619" s="34" customFormat="1"/>
    <row r="1620" s="34" customFormat="1"/>
    <row r="1621" s="34" customFormat="1"/>
    <row r="1622" s="34" customFormat="1"/>
    <row r="1623" s="34" customFormat="1"/>
    <row r="1624" s="34" customFormat="1"/>
    <row r="1625" s="34" customFormat="1"/>
    <row r="1626" s="34" customFormat="1"/>
    <row r="1627" s="34" customFormat="1"/>
    <row r="1628" s="34" customFormat="1"/>
    <row r="1629" s="34" customFormat="1"/>
    <row r="1630" s="34" customFormat="1"/>
    <row r="1631" s="34" customFormat="1"/>
    <row r="1632" s="34" customFormat="1"/>
    <row r="1633" s="34" customFormat="1"/>
    <row r="1634" s="34" customFormat="1"/>
    <row r="1635" s="34" customFormat="1"/>
    <row r="1636" s="34" customFormat="1"/>
    <row r="1637" s="34" customFormat="1"/>
    <row r="1638" s="34" customFormat="1"/>
    <row r="1639" s="34" customFormat="1"/>
    <row r="1640" s="34" customFormat="1"/>
    <row r="1641" s="34" customFormat="1"/>
    <row r="1642" s="34" customFormat="1"/>
    <row r="1643" s="34" customFormat="1"/>
    <row r="1644" s="34" customFormat="1"/>
    <row r="1645" s="34" customFormat="1"/>
    <row r="1646" s="34" customFormat="1"/>
    <row r="1647" s="34" customFormat="1"/>
    <row r="1648" s="34" customFormat="1"/>
    <row r="1649" s="34" customFormat="1"/>
    <row r="1650" s="34" customFormat="1"/>
    <row r="1651" s="34" customFormat="1"/>
    <row r="1652" s="34" customFormat="1"/>
    <row r="1653" s="34" customFormat="1"/>
    <row r="1654" s="34" customFormat="1"/>
    <row r="1655" s="34" customFormat="1"/>
    <row r="1656" s="34" customFormat="1"/>
    <row r="1657" s="34" customFormat="1"/>
    <row r="1658" s="34" customFormat="1"/>
    <row r="1659" s="34" customFormat="1"/>
    <row r="1660" s="34" customFormat="1"/>
    <row r="1661" s="34" customFormat="1"/>
    <row r="1662" s="34" customFormat="1"/>
    <row r="1663" s="34" customFormat="1"/>
    <row r="1664" s="34" customFormat="1"/>
    <row r="1665" s="34" customFormat="1"/>
    <row r="1666" s="34" customFormat="1"/>
    <row r="1667" s="34" customFormat="1"/>
    <row r="1668" s="34" customFormat="1"/>
    <row r="1669" s="34" customFormat="1"/>
    <row r="1670" s="34" customFormat="1"/>
    <row r="1671" s="34" customFormat="1"/>
    <row r="1672" s="34" customFormat="1"/>
    <row r="1673" s="34" customFormat="1"/>
    <row r="1674" s="34" customFormat="1"/>
    <row r="1675" s="34" customFormat="1"/>
    <row r="1676" s="34" customFormat="1"/>
    <row r="1677" s="34" customFormat="1"/>
    <row r="1678" s="34" customFormat="1"/>
    <row r="1679" s="34" customFormat="1"/>
    <row r="1680" s="34" customFormat="1"/>
    <row r="1681" s="34" customFormat="1"/>
    <row r="1682" s="34" customFormat="1"/>
    <row r="1683" s="34" customFormat="1"/>
    <row r="1684" s="34" customFormat="1"/>
    <row r="1685" s="34" customFormat="1"/>
    <row r="1686" s="34" customFormat="1"/>
    <row r="1687" s="34" customFormat="1"/>
    <row r="1688" s="34" customFormat="1"/>
    <row r="1689" s="34" customFormat="1"/>
    <row r="1690" s="34" customFormat="1"/>
    <row r="1691" s="34" customFormat="1"/>
    <row r="1692" s="34" customFormat="1"/>
    <row r="1693" s="34" customFormat="1"/>
    <row r="1694" s="34" customFormat="1"/>
    <row r="1695" s="34" customFormat="1"/>
    <row r="1696" s="34" customFormat="1"/>
    <row r="1697" s="34" customFormat="1"/>
    <row r="1698" s="34" customFormat="1"/>
    <row r="1699" s="34" customFormat="1"/>
    <row r="1700" s="34" customFormat="1"/>
    <row r="1701" s="34" customFormat="1"/>
    <row r="1702" s="34" customFormat="1"/>
    <row r="1703" s="34" customFormat="1"/>
    <row r="1704" s="34" customFormat="1"/>
    <row r="1705" s="34" customFormat="1"/>
    <row r="1706" s="34" customFormat="1"/>
    <row r="1707" s="34" customFormat="1"/>
    <row r="1708" s="34" customFormat="1"/>
    <row r="1709" s="34" customFormat="1"/>
    <row r="1710" s="34" customFormat="1"/>
    <row r="1711" s="34" customFormat="1"/>
    <row r="1712" s="34" customFormat="1"/>
    <row r="1713" s="34" customFormat="1"/>
    <row r="1714" s="34" customFormat="1"/>
    <row r="1715" s="34" customFormat="1"/>
    <row r="1716" s="34" customFormat="1"/>
    <row r="1717" s="34" customFormat="1"/>
    <row r="1718" s="34" customFormat="1"/>
    <row r="1719" s="34" customFormat="1"/>
    <row r="1720" s="34" customFormat="1"/>
    <row r="1721" s="34" customFormat="1"/>
    <row r="1722" s="34" customFormat="1"/>
    <row r="1723" s="34" customFormat="1"/>
    <row r="1724" s="34" customFormat="1"/>
    <row r="1725" s="34" customFormat="1"/>
    <row r="1726" s="34" customFormat="1"/>
    <row r="1727" s="34" customFormat="1"/>
    <row r="1728" s="34" customFormat="1"/>
    <row r="1729" s="34" customFormat="1"/>
    <row r="1730" s="34" customFormat="1"/>
    <row r="1731" s="34" customFormat="1"/>
    <row r="1732" s="34" customFormat="1"/>
    <row r="1733" s="34" customFormat="1"/>
    <row r="1734" s="34" customFormat="1"/>
    <row r="1735" s="34" customFormat="1"/>
    <row r="1736" s="34" customFormat="1"/>
    <row r="1737" s="34" customFormat="1"/>
    <row r="1738" s="34" customFormat="1"/>
    <row r="1739" s="34" customFormat="1"/>
    <row r="1740" s="34" customFormat="1"/>
    <row r="1741" s="34" customFormat="1"/>
    <row r="1742" s="34" customFormat="1"/>
    <row r="1743" s="34" customFormat="1"/>
    <row r="1744" s="34" customFormat="1"/>
    <row r="1745" s="34" customFormat="1"/>
    <row r="1746" s="34" customFormat="1"/>
    <row r="1747" s="34" customFormat="1"/>
    <row r="1748" s="34" customFormat="1"/>
    <row r="1749" s="34" customFormat="1"/>
    <row r="1750" s="34" customFormat="1"/>
    <row r="1751" s="34" customFormat="1"/>
    <row r="1752" s="34" customFormat="1"/>
    <row r="1753" s="34" customFormat="1"/>
    <row r="1754" s="34" customFormat="1"/>
    <row r="1755" s="34" customFormat="1"/>
    <row r="1756" s="34" customFormat="1"/>
    <row r="1757" s="34" customFormat="1"/>
    <row r="1758" s="34" customFormat="1"/>
    <row r="1759" s="34" customFormat="1"/>
    <row r="1760" s="34" customFormat="1"/>
    <row r="1761" s="34" customFormat="1"/>
    <row r="1762" s="34" customFormat="1"/>
    <row r="1763" s="34" customFormat="1"/>
    <row r="1764" s="34" customFormat="1"/>
    <row r="1765" s="34" customFormat="1"/>
    <row r="1766" s="34" customFormat="1"/>
    <row r="1767" s="34" customFormat="1"/>
    <row r="1768" s="34" customFormat="1"/>
    <row r="1769" s="34" customFormat="1"/>
    <row r="1770" s="34" customFormat="1"/>
    <row r="1771" s="34" customFormat="1"/>
    <row r="1772" s="34" customFormat="1"/>
    <row r="1773" s="34" customFormat="1"/>
    <row r="1774" s="34" customFormat="1"/>
    <row r="1775" s="34" customFormat="1"/>
    <row r="1776" s="34" customFormat="1"/>
    <row r="1777" s="34" customFormat="1"/>
    <row r="1778" s="34" customFormat="1"/>
    <row r="1779" s="34" customFormat="1"/>
    <row r="1780" s="34" customFormat="1"/>
    <row r="1781" s="34" customFormat="1"/>
    <row r="1782" s="34" customFormat="1"/>
    <row r="1783" s="34" customFormat="1"/>
    <row r="1784" s="34" customFormat="1"/>
    <row r="1785" s="34" customFormat="1"/>
    <row r="1786" s="34" customFormat="1"/>
    <row r="1787" s="34" customFormat="1"/>
    <row r="1788" s="34" customFormat="1"/>
    <row r="1789" s="34" customFormat="1"/>
    <row r="1790" s="34" customFormat="1"/>
    <row r="1791" s="34" customFormat="1"/>
    <row r="1792" s="34" customFormat="1"/>
    <row r="1793" s="34" customFormat="1"/>
    <row r="1794" s="34" customFormat="1"/>
    <row r="1795" s="34" customFormat="1"/>
    <row r="1796" s="34" customFormat="1"/>
    <row r="1797" s="34" customFormat="1"/>
    <row r="1798" s="34" customFormat="1"/>
    <row r="1799" s="34" customFormat="1"/>
    <row r="1800" s="34" customFormat="1"/>
    <row r="1801" s="34" customFormat="1"/>
    <row r="1802" s="34" customFormat="1"/>
    <row r="1803" s="34" customFormat="1"/>
    <row r="1804" s="34" customFormat="1"/>
    <row r="1805" s="34" customFormat="1"/>
    <row r="1806" s="34" customFormat="1"/>
    <row r="1807" s="34" customFormat="1"/>
    <row r="1808" s="34" customFormat="1"/>
    <row r="1809" s="34" customFormat="1"/>
    <row r="1810" s="34" customFormat="1"/>
    <row r="1811" s="34" customFormat="1"/>
    <row r="1812" s="34" customFormat="1"/>
    <row r="1813" s="34" customFormat="1"/>
    <row r="1814" s="34" customFormat="1"/>
    <row r="1815" s="34" customFormat="1"/>
    <row r="1816" s="34" customFormat="1"/>
    <row r="1817" s="34" customFormat="1"/>
    <row r="1818" s="34" customFormat="1"/>
    <row r="1819" s="34" customFormat="1"/>
    <row r="1820" s="34" customFormat="1"/>
    <row r="1821" s="34" customFormat="1"/>
    <row r="1822" s="34" customFormat="1"/>
    <row r="1823" s="34" customFormat="1"/>
    <row r="1824" s="34" customFormat="1"/>
    <row r="1825" s="34" customFormat="1"/>
    <row r="1826" s="34" customFormat="1"/>
    <row r="1827" s="34" customFormat="1"/>
    <row r="1828" s="34" customFormat="1"/>
    <row r="1829" s="34" customFormat="1"/>
    <row r="1830" s="34" customFormat="1"/>
    <row r="1831" s="34" customFormat="1"/>
    <row r="1832" s="34" customFormat="1"/>
    <row r="1833" s="34" customFormat="1"/>
    <row r="1834" s="34" customFormat="1"/>
    <row r="1835" s="34" customFormat="1"/>
    <row r="1836" s="34" customFormat="1"/>
    <row r="1837" s="34" customFormat="1"/>
    <row r="1838" s="34" customFormat="1"/>
    <row r="1839" s="34" customFormat="1"/>
    <row r="1840" s="34" customFormat="1"/>
    <row r="1841" s="34" customFormat="1"/>
    <row r="1842" s="34" customFormat="1"/>
    <row r="1843" s="34" customFormat="1"/>
    <row r="1844" s="34" customFormat="1"/>
    <row r="1845" s="34" customFormat="1"/>
    <row r="1846" s="34" customFormat="1"/>
    <row r="1847" s="34" customFormat="1"/>
    <row r="1848" s="34" customFormat="1"/>
    <row r="1849" s="34" customFormat="1"/>
    <row r="1850" s="34" customFormat="1"/>
    <row r="1851" s="34" customFormat="1"/>
    <row r="1852" s="34" customFormat="1"/>
    <row r="1853" s="34" customFormat="1"/>
    <row r="1854" s="34" customFormat="1"/>
    <row r="1855" s="34" customFormat="1"/>
    <row r="1856" s="34" customFormat="1"/>
    <row r="1857" s="34" customFormat="1"/>
    <row r="1858" s="34" customFormat="1"/>
    <row r="1859" s="34" customFormat="1"/>
    <row r="1860" s="34" customFormat="1"/>
    <row r="1861" s="34" customFormat="1"/>
    <row r="1862" s="34" customFormat="1"/>
    <row r="1863" s="34" customFormat="1"/>
    <row r="1864" s="34" customFormat="1"/>
    <row r="1865" s="34" customFormat="1"/>
    <row r="1866" s="34" customFormat="1"/>
    <row r="1867" s="34" customFormat="1"/>
    <row r="1868" s="34" customFormat="1"/>
    <row r="1869" s="34" customFormat="1"/>
    <row r="1870" s="34" customFormat="1"/>
    <row r="1871" s="34" customFormat="1"/>
    <row r="1872" s="34" customFormat="1"/>
    <row r="1873" s="34" customFormat="1"/>
    <row r="1874" s="34" customFormat="1"/>
    <row r="1875" s="34" customFormat="1"/>
    <row r="1876" s="34" customFormat="1"/>
    <row r="1877" s="34" customFormat="1"/>
    <row r="1878" s="34" customFormat="1"/>
    <row r="1879" s="34" customFormat="1"/>
    <row r="1880" s="34" customFormat="1"/>
    <row r="1881" s="34" customFormat="1"/>
    <row r="1882" s="34" customFormat="1"/>
    <row r="1883" s="34" customFormat="1"/>
    <row r="1884" s="34" customFormat="1"/>
    <row r="1885" s="34" customFormat="1"/>
    <row r="1886" s="34" customFormat="1"/>
    <row r="1887" s="34" customFormat="1"/>
    <row r="1888" s="34" customFormat="1"/>
    <row r="1889" s="34" customFormat="1"/>
    <row r="1890" s="34" customFormat="1"/>
    <row r="1891" s="34" customFormat="1"/>
    <row r="1892" s="34" customFormat="1"/>
    <row r="1893" s="34" customFormat="1"/>
    <row r="1894" s="34" customFormat="1"/>
    <row r="1895" s="34" customFormat="1"/>
    <row r="1896" s="34" customFormat="1"/>
    <row r="1897" s="34" customFormat="1"/>
    <row r="1898" s="34" customFormat="1"/>
    <row r="1899" s="34" customFormat="1"/>
    <row r="1900" s="34" customFormat="1"/>
    <row r="1901" s="34" customFormat="1"/>
    <row r="1902" s="34" customFormat="1"/>
    <row r="1903" s="34" customFormat="1"/>
    <row r="1904" s="34" customFormat="1"/>
    <row r="1905" s="34" customFormat="1"/>
    <row r="1906" s="34" customFormat="1"/>
    <row r="1907" s="34" customFormat="1"/>
    <row r="1908" s="34" customFormat="1"/>
    <row r="1909" s="34" customFormat="1"/>
    <row r="1910" s="34" customFormat="1"/>
    <row r="1911" s="34" customFormat="1"/>
    <row r="1912" s="34" customFormat="1"/>
    <row r="1913" s="34" customFormat="1"/>
    <row r="1914" s="34" customFormat="1"/>
    <row r="1915" s="34" customFormat="1"/>
    <row r="1916" s="34" customFormat="1"/>
    <row r="1917" s="34" customFormat="1"/>
    <row r="1918" s="34" customFormat="1"/>
    <row r="1919" s="34" customFormat="1"/>
    <row r="1920" s="34" customFormat="1"/>
    <row r="1921" s="34" customFormat="1"/>
    <row r="1922" s="34" customFormat="1"/>
    <row r="1923" s="34" customFormat="1"/>
    <row r="1924" s="34" customFormat="1"/>
    <row r="1925" s="34" customFormat="1"/>
    <row r="1926" s="34" customFormat="1"/>
    <row r="1927" s="34" customFormat="1"/>
    <row r="1928" s="34" customFormat="1"/>
    <row r="1929" s="34" customFormat="1"/>
    <row r="1930" s="34" customFormat="1"/>
    <row r="1931" s="34" customFormat="1"/>
    <row r="1932" s="34" customFormat="1"/>
    <row r="1933" s="34" customFormat="1"/>
    <row r="1934" s="34" customFormat="1"/>
    <row r="1935" s="34" customFormat="1"/>
    <row r="1936" s="34" customFormat="1"/>
    <row r="1937" s="34" customFormat="1"/>
    <row r="1938" s="34" customFormat="1"/>
    <row r="1939" s="34" customFormat="1"/>
    <row r="1940" s="34" customFormat="1"/>
    <row r="1941" s="34" customFormat="1"/>
    <row r="1942" s="34" customFormat="1"/>
    <row r="1943" s="34" customFormat="1"/>
    <row r="1944" s="34" customFormat="1"/>
    <row r="1945" s="34" customFormat="1"/>
    <row r="1946" s="34" customFormat="1"/>
    <row r="1947" s="34" customFormat="1"/>
    <row r="1948" s="34" customFormat="1"/>
    <row r="1949" s="34" customFormat="1"/>
    <row r="1950" s="34" customFormat="1"/>
    <row r="1951" s="34" customFormat="1"/>
    <row r="1952" s="34" customFormat="1"/>
    <row r="1953" s="34" customFormat="1"/>
    <row r="1954" s="34" customFormat="1"/>
    <row r="1955" s="34" customFormat="1"/>
    <row r="1956" s="34" customFormat="1"/>
    <row r="1957" s="34" customFormat="1"/>
    <row r="1958" s="34" customFormat="1"/>
    <row r="1959" s="34" customFormat="1"/>
    <row r="1960" s="34" customFormat="1"/>
    <row r="1961" s="34" customFormat="1"/>
    <row r="1962" s="34" customFormat="1"/>
    <row r="1963" s="34" customFormat="1"/>
    <row r="1964" s="34" customFormat="1"/>
    <row r="1965" s="34" customFormat="1"/>
    <row r="1966" s="34" customFormat="1"/>
    <row r="1967" s="34" customFormat="1"/>
    <row r="1968" s="34" customFormat="1"/>
    <row r="1969" s="34" customFormat="1"/>
    <row r="1970" s="34" customFormat="1"/>
    <row r="1971" s="34" customFormat="1"/>
    <row r="1972" s="34" customFormat="1"/>
    <row r="1973" s="34" customFormat="1"/>
    <row r="1974" s="34" customFormat="1"/>
    <row r="1975" s="34" customFormat="1"/>
    <row r="1976" s="34" customFormat="1"/>
    <row r="1977" s="34" customFormat="1"/>
    <row r="1978" s="34" customFormat="1"/>
    <row r="1979" s="34" customFormat="1"/>
    <row r="1980" s="34" customFormat="1"/>
    <row r="1981" s="34" customFormat="1"/>
    <row r="1982" s="34" customFormat="1"/>
    <row r="1983" s="34" customFormat="1"/>
    <row r="1984" s="34" customFormat="1"/>
    <row r="1985" s="34" customFormat="1"/>
    <row r="1986" s="34" customFormat="1"/>
    <row r="1987" s="34" customFormat="1"/>
    <row r="1988" s="34" customFormat="1"/>
    <row r="1989" s="34" customFormat="1"/>
    <row r="1990" s="34" customFormat="1"/>
    <row r="1991" s="34" customFormat="1"/>
    <row r="1992" s="34" customFormat="1"/>
    <row r="1993" s="34" customFormat="1"/>
    <row r="1994" s="34" customFormat="1"/>
    <row r="1995" s="34" customFormat="1"/>
    <row r="1996" s="34" customFormat="1"/>
    <row r="1997" s="34" customFormat="1"/>
    <row r="1998" s="34" customFormat="1"/>
    <row r="1999" s="34" customFormat="1"/>
    <row r="2000" s="34" customFormat="1"/>
    <row r="2001" s="34" customFormat="1"/>
    <row r="2002" s="34" customFormat="1"/>
    <row r="2003" s="34" customFormat="1"/>
    <row r="2004" s="34" customFormat="1"/>
    <row r="2005" s="34" customFormat="1"/>
    <row r="2006" s="34" customFormat="1"/>
    <row r="2007" s="34" customFormat="1"/>
    <row r="2008" s="34" customFormat="1"/>
    <row r="2009" s="34" customFormat="1"/>
    <row r="2010" s="34" customFormat="1"/>
    <row r="2011" s="34" customFormat="1"/>
    <row r="2012" s="34" customFormat="1"/>
    <row r="2013" s="34" customFormat="1"/>
    <row r="2014" s="34" customFormat="1"/>
    <row r="2015" s="34" customFormat="1"/>
    <row r="2016" s="34" customFormat="1"/>
    <row r="2017" s="34" customFormat="1"/>
    <row r="2018" s="34" customFormat="1"/>
    <row r="2019" s="34" customFormat="1"/>
    <row r="2020" s="34" customFormat="1"/>
    <row r="2021" s="34" customFormat="1"/>
    <row r="2022" s="34" customFormat="1"/>
    <row r="2023" s="34" customFormat="1"/>
    <row r="2024" s="34" customFormat="1"/>
    <row r="2025" s="34" customFormat="1"/>
    <row r="2026" s="34" customFormat="1"/>
    <row r="2027" s="34" customFormat="1"/>
    <row r="2028" s="34" customFormat="1"/>
    <row r="2029" s="34" customFormat="1"/>
    <row r="2030" s="34" customFormat="1"/>
    <row r="2031" s="34" customFormat="1"/>
    <row r="2032" s="34" customFormat="1"/>
    <row r="2033" s="34" customFormat="1"/>
    <row r="2034" s="34" customFormat="1"/>
    <row r="2035" s="34" customFormat="1"/>
    <row r="2036" s="34" customFormat="1"/>
    <row r="2037" s="34" customFormat="1"/>
    <row r="2038" s="34" customFormat="1"/>
    <row r="2039" s="34" customFormat="1"/>
    <row r="2040" s="34" customFormat="1"/>
    <row r="2041" s="34" customFormat="1"/>
    <row r="2042" s="34" customFormat="1"/>
    <row r="2043" s="34" customFormat="1"/>
    <row r="2044" s="34" customFormat="1"/>
    <row r="2045" s="34" customFormat="1"/>
    <row r="2046" s="34" customFormat="1"/>
    <row r="2047" s="34" customFormat="1"/>
    <row r="2048" s="34" customFormat="1"/>
    <row r="2049" s="34" customFormat="1"/>
    <row r="2050" s="34" customFormat="1"/>
    <row r="2051" s="34" customFormat="1"/>
    <row r="2052" s="34" customFormat="1"/>
    <row r="2053" s="34" customFormat="1"/>
    <row r="2054" s="34" customFormat="1"/>
    <row r="2055" s="34" customFormat="1"/>
    <row r="2056" s="34" customFormat="1"/>
    <row r="2057" s="34" customFormat="1"/>
    <row r="2058" s="34" customFormat="1"/>
    <row r="2059" s="34" customFormat="1"/>
    <row r="2060" s="34" customFormat="1"/>
    <row r="2061" s="34" customFormat="1"/>
    <row r="2062" s="34" customFormat="1"/>
    <row r="2063" s="34" customFormat="1"/>
    <row r="2064" s="34" customFormat="1"/>
    <row r="2065" s="34" customFormat="1"/>
    <row r="2066" s="34" customFormat="1"/>
    <row r="2067" s="34" customFormat="1"/>
    <row r="2068" s="34" customFormat="1"/>
    <row r="2069" s="34" customFormat="1"/>
    <row r="2070" s="34" customFormat="1"/>
    <row r="2071" s="34" customFormat="1"/>
    <row r="2072" s="34" customFormat="1"/>
    <row r="2073" s="34" customFormat="1"/>
    <row r="2074" s="34" customFormat="1"/>
    <row r="2075" s="34" customFormat="1"/>
    <row r="2076" s="34" customFormat="1"/>
    <row r="2077" s="34" customFormat="1"/>
    <row r="2078" s="34" customFormat="1"/>
    <row r="2079" s="34" customFormat="1"/>
    <row r="2080" s="34" customFormat="1"/>
    <row r="2081" s="34" customFormat="1"/>
    <row r="2082" s="34" customFormat="1"/>
    <row r="2083" s="34" customFormat="1"/>
    <row r="2084" s="34" customFormat="1"/>
    <row r="2085" s="34" customFormat="1"/>
    <row r="2086" s="34" customFormat="1"/>
    <row r="2087" s="34" customFormat="1"/>
    <row r="2088" s="34" customFormat="1"/>
    <row r="2089" s="34" customFormat="1"/>
    <row r="2090" s="34" customFormat="1"/>
    <row r="2091" s="34" customFormat="1"/>
    <row r="2092" s="34" customFormat="1"/>
    <row r="2093" s="34" customFormat="1"/>
    <row r="2094" s="34" customFormat="1"/>
    <row r="2095" s="34" customFormat="1"/>
    <row r="2096" s="34" customFormat="1"/>
    <row r="2097" s="34" customFormat="1"/>
    <row r="2098" s="34" customFormat="1"/>
    <row r="2099" s="34" customFormat="1"/>
    <row r="2100" s="34" customFormat="1"/>
    <row r="2101" s="34" customFormat="1"/>
    <row r="2102" s="34" customFormat="1"/>
    <row r="2103" s="34" customFormat="1"/>
    <row r="2104" s="34" customFormat="1"/>
    <row r="2105" s="34" customFormat="1"/>
    <row r="2106" s="34" customFormat="1"/>
    <row r="2107" s="34" customFormat="1"/>
    <row r="2108" s="34" customFormat="1"/>
    <row r="2109" s="34" customFormat="1"/>
    <row r="2110" s="34" customFormat="1"/>
    <row r="2111" s="34" customFormat="1"/>
    <row r="2112" s="34" customFormat="1"/>
    <row r="2113" s="34" customFormat="1"/>
    <row r="2114" s="34" customFormat="1"/>
    <row r="2115" s="34" customFormat="1"/>
    <row r="2116" s="34" customFormat="1"/>
    <row r="2117" s="34" customFormat="1"/>
    <row r="2118" s="34" customFormat="1"/>
    <row r="2119" s="34" customFormat="1"/>
    <row r="2120" s="34" customFormat="1"/>
    <row r="2121" s="34" customFormat="1"/>
    <row r="2122" s="34" customFormat="1"/>
    <row r="2123" s="34" customFormat="1"/>
    <row r="2124" s="34" customFormat="1"/>
    <row r="2125" s="34" customFormat="1"/>
    <row r="2126" s="34" customFormat="1"/>
    <row r="2127" s="34" customFormat="1"/>
    <row r="2128" s="34" customFormat="1"/>
    <row r="2129" s="34" customFormat="1"/>
    <row r="2130" s="34" customFormat="1"/>
    <row r="2131" s="34" customFormat="1"/>
    <row r="2132" s="34" customFormat="1"/>
    <row r="2133" s="34" customFormat="1"/>
    <row r="2134" s="34" customFormat="1"/>
    <row r="2135" s="34" customFormat="1"/>
    <row r="2136" s="34" customFormat="1"/>
    <row r="2137" s="34" customFormat="1"/>
    <row r="2138" s="34" customFormat="1"/>
    <row r="2139" s="34" customFormat="1"/>
    <row r="2140" s="34" customFormat="1"/>
    <row r="2141" s="34" customFormat="1"/>
    <row r="2142" s="34" customFormat="1"/>
    <row r="2143" s="34" customFormat="1"/>
    <row r="2144" s="34" customFormat="1"/>
    <row r="2145" s="34" customFormat="1"/>
    <row r="2146" s="34" customFormat="1"/>
    <row r="2147" s="34" customFormat="1"/>
    <row r="2148" s="34" customFormat="1"/>
    <row r="2149" s="34" customFormat="1"/>
    <row r="2150" s="34" customFormat="1"/>
    <row r="2151" s="34" customFormat="1"/>
    <row r="2152" s="34" customFormat="1"/>
    <row r="2153" s="34" customFormat="1"/>
    <row r="2154" s="34" customFormat="1"/>
    <row r="2155" s="34" customFormat="1"/>
    <row r="2156" s="34" customFormat="1"/>
    <row r="2157" s="34" customFormat="1"/>
    <row r="2158" s="34" customFormat="1"/>
    <row r="2159" s="34" customFormat="1"/>
    <row r="2160" s="34" customFormat="1"/>
    <row r="2161" s="34" customFormat="1"/>
    <row r="2162" s="34" customFormat="1"/>
    <row r="2163" s="34" customFormat="1"/>
    <row r="2164" s="34" customFormat="1"/>
    <row r="2165" s="34" customFormat="1"/>
    <row r="2166" s="34" customFormat="1"/>
    <row r="2167" s="34" customFormat="1"/>
    <row r="2168" s="34" customFormat="1"/>
    <row r="2169" s="34" customFormat="1"/>
    <row r="2170" s="34" customFormat="1"/>
    <row r="2171" s="34" customFormat="1"/>
    <row r="2172" s="34" customFormat="1"/>
    <row r="2173" s="34" customFormat="1"/>
    <row r="2174" s="34" customFormat="1"/>
    <row r="2175" s="34" customFormat="1"/>
    <row r="2176" s="34" customFormat="1"/>
    <row r="2177" s="34" customFormat="1"/>
    <row r="2178" s="34" customFormat="1"/>
    <row r="2179" s="34" customFormat="1"/>
    <row r="2180" s="34" customFormat="1"/>
    <row r="2181" s="34" customFormat="1"/>
    <row r="2182" s="34" customFormat="1"/>
    <row r="2183" s="34" customFormat="1"/>
    <row r="2184" s="34" customFormat="1"/>
    <row r="2185" s="34" customFormat="1"/>
    <row r="2186" s="34" customFormat="1"/>
    <row r="2187" s="34" customFormat="1"/>
    <row r="2188" s="34" customFormat="1"/>
    <row r="2189" s="34" customFormat="1"/>
    <row r="2190" s="34" customFormat="1"/>
    <row r="2191" s="34" customFormat="1"/>
    <row r="2192" s="34" customFormat="1"/>
    <row r="2193" s="34" customFormat="1"/>
    <row r="2194" s="34" customFormat="1"/>
    <row r="2195" s="34" customFormat="1"/>
    <row r="2196" s="34" customFormat="1"/>
    <row r="2197" s="34" customFormat="1"/>
    <row r="2198" s="34" customFormat="1"/>
    <row r="2199" s="34" customFormat="1"/>
    <row r="2200" s="34" customFormat="1"/>
    <row r="2201" s="34" customFormat="1"/>
    <row r="2202" s="34" customFormat="1"/>
    <row r="2203" s="34" customFormat="1"/>
    <row r="2204" s="34" customFormat="1"/>
    <row r="2205" s="34" customFormat="1"/>
    <row r="2206" s="34" customFormat="1"/>
    <row r="2207" s="34" customFormat="1"/>
    <row r="2208" s="34" customFormat="1"/>
    <row r="2209" s="34" customFormat="1"/>
    <row r="2210" s="34" customFormat="1"/>
    <row r="2211" s="34" customFormat="1"/>
    <row r="2212" s="34" customFormat="1"/>
    <row r="2213" s="34" customFormat="1"/>
    <row r="2214" s="34" customFormat="1"/>
    <row r="2215" s="34" customFormat="1"/>
    <row r="2216" s="34" customFormat="1"/>
    <row r="2217" s="34" customFormat="1"/>
    <row r="2218" s="34" customFormat="1"/>
    <row r="2219" s="34" customFormat="1"/>
    <row r="2220" s="34" customFormat="1"/>
    <row r="2221" s="34" customFormat="1"/>
    <row r="2222" s="34" customFormat="1"/>
    <row r="2223" s="34" customFormat="1"/>
    <row r="2224" s="34" customFormat="1"/>
    <row r="2225" s="34" customFormat="1"/>
    <row r="2226" s="34" customFormat="1"/>
    <row r="2227" s="34" customFormat="1"/>
    <row r="2228" s="34" customFormat="1"/>
    <row r="2229" s="34" customFormat="1"/>
    <row r="2230" s="34" customFormat="1"/>
    <row r="2231" s="34" customFormat="1"/>
    <row r="2232" s="34" customFormat="1"/>
    <row r="2233" s="34" customFormat="1"/>
    <row r="2234" s="34" customFormat="1"/>
    <row r="2235" s="34" customFormat="1"/>
    <row r="2236" s="34" customFormat="1"/>
    <row r="2237" s="34" customFormat="1"/>
    <row r="2238" s="34" customFormat="1"/>
    <row r="2239" s="34" customFormat="1"/>
    <row r="2240" s="34" customFormat="1"/>
    <row r="2241" s="34" customFormat="1"/>
    <row r="2242" s="34" customFormat="1"/>
    <row r="2243" s="34" customFormat="1"/>
  </sheetData>
  <sheetProtection password="8B10" sheet="1" objects="1" scenarios="1"/>
  <phoneticPr fontId="3" type="noConversion"/>
  <pageMargins left="0.70866141732283472" right="0.70866141732283472" top="1.0236220472440944" bottom="1.0236220472440944" header="0.39370078740157483" footer="0.39370078740157483"/>
  <pageSetup paperSize="9" scale="73" orientation="landscape" r:id="rId1"/>
  <headerFooter alignWithMargins="0">
    <oddFooter>&amp;L&amp;"Frutiger 57Cn,Standard"&amp;8
Santander Consumer Bank AG
Santander-Platz 1
41061 Mönchengladbach
Tel.: +49 180 / 5556 - 499
Fax.: +49 180 / 5556 - 498</oddFooter>
  </headerFooter>
  <rowBreaks count="1" manualBreakCount="1">
    <brk id="45" max="10" man="1"/>
  </rowBreaks>
  <colBreaks count="1" manualBreakCount="1">
    <brk id="1" max="46"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M260"/>
  <sheetViews>
    <sheetView view="pageBreakPreview" zoomScale="75" zoomScaleNormal="100" workbookViewId="0">
      <selection activeCell="B3" sqref="B3"/>
    </sheetView>
  </sheetViews>
  <sheetFormatPr defaultRowHeight="12.75"/>
  <cols>
    <col min="1" max="1" width="1.28515625" style="31" customWidth="1"/>
    <col min="2" max="2" width="26" style="31" customWidth="1"/>
    <col min="3" max="3" width="24.28515625" style="31" customWidth="1"/>
    <col min="4" max="5" width="18.7109375" style="31" customWidth="1"/>
    <col min="6" max="6" width="20.7109375" style="31" customWidth="1"/>
    <col min="7" max="7" width="20.5703125" style="31" customWidth="1"/>
    <col min="8" max="8" width="19" style="31" customWidth="1"/>
    <col min="9" max="9" width="15.5703125" style="31" customWidth="1"/>
    <col min="10" max="10" width="25.5703125" style="31" customWidth="1"/>
    <col min="11" max="11" width="1.28515625" style="31" customWidth="1"/>
    <col min="12" max="12" width="4.28515625" style="31" customWidth="1"/>
    <col min="13" max="256" width="11.42578125" style="31" customWidth="1"/>
    <col min="257" max="16384" width="9.140625" style="31"/>
  </cols>
  <sheetData>
    <row r="1" spans="1:13" ht="6" customHeight="1">
      <c r="A1" s="35"/>
      <c r="B1" s="36"/>
      <c r="C1" s="36"/>
      <c r="D1" s="36"/>
      <c r="E1" s="36"/>
      <c r="F1" s="36"/>
      <c r="G1" s="36"/>
      <c r="H1" s="36"/>
      <c r="I1" s="36"/>
      <c r="J1" s="36"/>
      <c r="K1" s="37"/>
    </row>
    <row r="2" spans="1:13" s="27" customFormat="1" ht="18">
      <c r="A2" s="5"/>
      <c r="B2" s="7" t="str">
        <f>'Cover Sheet'!B2</f>
        <v>SC Germany Auto 10-1</v>
      </c>
      <c r="C2" s="7"/>
      <c r="D2" s="108" t="s">
        <v>54</v>
      </c>
      <c r="E2" s="109"/>
      <c r="F2" s="110">
        <f>'Cover Sheet'!F2</f>
        <v>41191</v>
      </c>
      <c r="G2" s="109"/>
      <c r="H2" s="109"/>
      <c r="I2" s="109"/>
      <c r="J2" s="111"/>
      <c r="K2" s="88"/>
    </row>
    <row r="3" spans="1:13" s="27" customFormat="1" ht="18">
      <c r="A3" s="5"/>
      <c r="B3" s="7" t="str">
        <f>'Cover Sheet'!B3</f>
        <v>Monthly Investor Report</v>
      </c>
      <c r="C3" s="7"/>
      <c r="D3" s="112" t="s">
        <v>4</v>
      </c>
      <c r="E3" s="113"/>
      <c r="F3" s="114">
        <f>'Cover Sheet'!F3</f>
        <v>41197</v>
      </c>
      <c r="G3" s="113"/>
      <c r="H3" s="113"/>
      <c r="I3" s="113"/>
      <c r="J3" s="115"/>
      <c r="K3" s="90"/>
    </row>
    <row r="4" spans="1:13" s="27" customFormat="1">
      <c r="A4" s="5"/>
      <c r="B4" s="42"/>
      <c r="C4" s="12"/>
      <c r="D4" s="112" t="s">
        <v>5</v>
      </c>
      <c r="E4" s="113"/>
      <c r="F4" s="122">
        <f>'Cover Sheet'!F4</f>
        <v>27</v>
      </c>
      <c r="G4" s="113"/>
      <c r="H4" s="117"/>
      <c r="I4" s="113"/>
      <c r="J4" s="118"/>
      <c r="K4" s="88"/>
    </row>
    <row r="5" spans="1:13" s="27" customFormat="1" ht="18">
      <c r="A5" s="5"/>
      <c r="B5" s="105" t="s">
        <v>396</v>
      </c>
      <c r="C5" s="14"/>
      <c r="D5" s="112" t="s">
        <v>3</v>
      </c>
      <c r="E5" s="113"/>
      <c r="F5" s="123">
        <f>'Cover Sheet'!F5</f>
        <v>41197</v>
      </c>
      <c r="G5" s="113"/>
      <c r="H5" s="117"/>
      <c r="I5" s="113"/>
      <c r="J5" s="118"/>
      <c r="K5" s="90"/>
    </row>
    <row r="6" spans="1:13" s="27" customFormat="1" ht="15" customHeight="1">
      <c r="A6" s="5"/>
      <c r="B6" s="43"/>
      <c r="C6" s="89"/>
      <c r="D6" s="552" t="str">
        <f>'Cover Sheet'!D6</f>
        <v>Interest Period</v>
      </c>
      <c r="E6" s="114" t="s">
        <v>38</v>
      </c>
      <c r="F6" s="114">
        <f>'Cover Sheet'!F6</f>
        <v>41164</v>
      </c>
      <c r="G6" s="116" t="s">
        <v>6</v>
      </c>
      <c r="H6" s="114">
        <f>'Cover Sheet'!H6</f>
        <v>41197</v>
      </c>
      <c r="I6" s="116" t="s">
        <v>18</v>
      </c>
      <c r="J6" s="542" t="str">
        <f>'Cover Sheet'!J6</f>
        <v>33 days</v>
      </c>
      <c r="K6" s="90"/>
      <c r="M6" s="30"/>
    </row>
    <row r="7" spans="1:13" s="27" customFormat="1">
      <c r="A7" s="5"/>
      <c r="B7" s="4"/>
      <c r="C7" s="4"/>
      <c r="D7" s="553" t="str">
        <f>'Cover Sheet'!D7</f>
        <v>Collection Period</v>
      </c>
      <c r="E7" s="121" t="s">
        <v>38</v>
      </c>
      <c r="F7" s="121" t="str">
        <f>'Cover Sheet'!F7</f>
        <v>01.09.2012</v>
      </c>
      <c r="G7" s="120" t="s">
        <v>6</v>
      </c>
      <c r="H7" s="121">
        <f>'Cover Sheet'!H7</f>
        <v>41182</v>
      </c>
      <c r="I7" s="543"/>
      <c r="J7" s="544"/>
      <c r="K7" s="90"/>
    </row>
    <row r="8" spans="1:13" s="27" customFormat="1">
      <c r="A8" s="5"/>
      <c r="B8" s="4"/>
      <c r="C8" s="4"/>
      <c r="D8" s="4"/>
      <c r="E8" s="9"/>
      <c r="F8" s="15"/>
      <c r="G8" s="9"/>
      <c r="H8" s="4"/>
      <c r="I8" s="16"/>
      <c r="J8" s="4"/>
      <c r="K8" s="90"/>
    </row>
    <row r="9" spans="1:13" s="27" customFormat="1">
      <c r="A9" s="5"/>
      <c r="B9" s="4"/>
      <c r="C9" s="4"/>
      <c r="D9" s="4"/>
      <c r="E9" s="4"/>
      <c r="F9" s="4"/>
      <c r="G9" s="4"/>
      <c r="H9" s="4"/>
      <c r="I9" s="4"/>
      <c r="J9" s="4"/>
      <c r="K9" s="8"/>
      <c r="M9" s="32"/>
    </row>
    <row r="10" spans="1:13" s="27" customFormat="1">
      <c r="A10" s="5"/>
      <c r="B10" s="4"/>
      <c r="C10" s="4"/>
      <c r="D10" s="34"/>
      <c r="E10" s="34"/>
      <c r="F10" s="102"/>
      <c r="G10" s="34"/>
      <c r="H10" s="34"/>
      <c r="I10" s="34"/>
      <c r="J10" s="34"/>
      <c r="K10" s="8"/>
    </row>
    <row r="11" spans="1:13" s="27" customFormat="1" ht="18">
      <c r="A11" s="5"/>
      <c r="B11" s="125"/>
      <c r="C11" s="4"/>
      <c r="D11" s="34"/>
      <c r="E11" s="34"/>
      <c r="F11" s="34"/>
      <c r="G11" s="137"/>
      <c r="H11" s="137"/>
      <c r="I11" s="34"/>
      <c r="J11" s="4"/>
      <c r="K11" s="8"/>
      <c r="M11" s="101"/>
    </row>
    <row r="12" spans="1:13" s="27" customFormat="1">
      <c r="A12" s="5"/>
      <c r="B12" s="4"/>
      <c r="C12" s="4"/>
      <c r="D12" s="34"/>
      <c r="E12" s="34"/>
      <c r="F12" s="34"/>
      <c r="G12" s="137"/>
      <c r="H12" s="137"/>
      <c r="I12" s="34"/>
      <c r="J12" s="4"/>
      <c r="K12" s="8"/>
      <c r="M12" s="101"/>
    </row>
    <row r="13" spans="1:13" s="27" customFormat="1" ht="45" customHeight="1">
      <c r="A13" s="5"/>
      <c r="B13" s="127"/>
      <c r="C13" s="34"/>
      <c r="D13" s="375"/>
      <c r="E13" s="328"/>
      <c r="F13" s="327"/>
      <c r="G13" s="328"/>
      <c r="H13" s="328"/>
      <c r="I13" s="102"/>
      <c r="J13" s="4"/>
      <c r="K13" s="8"/>
      <c r="M13" s="101"/>
    </row>
    <row r="14" spans="1:13" s="27" customFormat="1">
      <c r="A14" s="5"/>
      <c r="B14" s="138"/>
      <c r="C14" s="138"/>
      <c r="D14" s="156"/>
      <c r="E14" s="157"/>
      <c r="F14" s="141"/>
      <c r="G14" s="158"/>
      <c r="H14" s="141"/>
      <c r="I14" s="102"/>
      <c r="J14" s="4"/>
      <c r="K14" s="8"/>
      <c r="M14" s="101"/>
    </row>
    <row r="15" spans="1:13">
      <c r="A15" s="40"/>
      <c r="B15" s="139"/>
      <c r="C15" s="140"/>
      <c r="D15" s="156"/>
      <c r="E15" s="157"/>
      <c r="F15" s="141"/>
      <c r="G15" s="158"/>
      <c r="H15" s="141"/>
      <c r="I15" s="102"/>
      <c r="J15" s="34"/>
      <c r="K15" s="41"/>
      <c r="M15" s="101"/>
    </row>
    <row r="16" spans="1:13">
      <c r="A16" s="40"/>
      <c r="B16" s="139"/>
      <c r="C16" s="140"/>
      <c r="D16" s="156"/>
      <c r="E16" s="157"/>
      <c r="F16" s="141"/>
      <c r="G16" s="158"/>
      <c r="H16" s="141"/>
      <c r="I16" s="102"/>
      <c r="J16" s="34"/>
      <c r="K16" s="41"/>
      <c r="M16" s="101"/>
    </row>
    <row r="17" spans="1:13">
      <c r="A17" s="40"/>
      <c r="B17" s="139"/>
      <c r="C17" s="140"/>
      <c r="D17" s="156"/>
      <c r="E17" s="157"/>
      <c r="F17" s="141"/>
      <c r="G17" s="158"/>
      <c r="H17" s="141"/>
      <c r="I17" s="102"/>
      <c r="J17" s="34"/>
      <c r="K17" s="41"/>
      <c r="M17" s="101"/>
    </row>
    <row r="18" spans="1:13">
      <c r="A18" s="40"/>
      <c r="B18" s="139"/>
      <c r="C18" s="140"/>
      <c r="D18" s="156"/>
      <c r="E18" s="157"/>
      <c r="F18" s="141"/>
      <c r="G18" s="158"/>
      <c r="H18" s="141"/>
      <c r="I18" s="102"/>
      <c r="J18" s="34"/>
      <c r="K18" s="41"/>
      <c r="M18" s="101"/>
    </row>
    <row r="19" spans="1:13">
      <c r="A19" s="40"/>
      <c r="B19" s="139"/>
      <c r="C19" s="140"/>
      <c r="D19" s="156"/>
      <c r="E19" s="157"/>
      <c r="F19" s="141"/>
      <c r="G19" s="158"/>
      <c r="H19" s="141"/>
      <c r="I19" s="102"/>
      <c r="J19" s="34"/>
      <c r="K19" s="41"/>
      <c r="M19" s="101"/>
    </row>
    <row r="20" spans="1:13">
      <c r="A20" s="40"/>
      <c r="B20" s="139"/>
      <c r="C20" s="140"/>
      <c r="D20" s="156"/>
      <c r="E20" s="157"/>
      <c r="F20" s="141"/>
      <c r="G20" s="158"/>
      <c r="H20" s="141"/>
      <c r="I20" s="102"/>
      <c r="J20" s="34"/>
      <c r="K20" s="41"/>
      <c r="M20" s="101"/>
    </row>
    <row r="21" spans="1:13">
      <c r="A21" s="40"/>
      <c r="B21" s="139"/>
      <c r="C21" s="140"/>
      <c r="D21" s="156"/>
      <c r="E21" s="157"/>
      <c r="F21" s="141"/>
      <c r="G21" s="158"/>
      <c r="H21" s="141"/>
      <c r="I21" s="102"/>
      <c r="J21" s="34"/>
      <c r="K21" s="41"/>
      <c r="M21" s="101"/>
    </row>
    <row r="22" spans="1:13">
      <c r="A22" s="40"/>
      <c r="B22" s="139"/>
      <c r="C22" s="140"/>
      <c r="D22" s="156"/>
      <c r="E22" s="157"/>
      <c r="F22" s="141"/>
      <c r="G22" s="158"/>
      <c r="H22" s="141"/>
      <c r="I22" s="102"/>
      <c r="J22" s="34"/>
      <c r="K22" s="41"/>
      <c r="M22" s="101"/>
    </row>
    <row r="23" spans="1:13">
      <c r="A23" s="40"/>
      <c r="B23" s="139"/>
      <c r="C23" s="140"/>
      <c r="D23" s="156"/>
      <c r="E23" s="157"/>
      <c r="F23" s="141"/>
      <c r="G23" s="158"/>
      <c r="H23" s="141"/>
      <c r="I23" s="102"/>
      <c r="J23" s="34"/>
      <c r="K23" s="41"/>
      <c r="M23" s="101"/>
    </row>
    <row r="24" spans="1:13">
      <c r="A24" s="40"/>
      <c r="B24" s="139"/>
      <c r="C24" s="140"/>
      <c r="D24" s="156"/>
      <c r="E24" s="157"/>
      <c r="F24" s="141"/>
      <c r="G24" s="158"/>
      <c r="H24" s="141"/>
      <c r="I24" s="102"/>
      <c r="J24" s="34"/>
      <c r="K24" s="41"/>
      <c r="M24" s="101"/>
    </row>
    <row r="25" spans="1:13">
      <c r="A25" s="40"/>
      <c r="B25" s="139"/>
      <c r="C25" s="140"/>
      <c r="D25" s="156"/>
      <c r="E25" s="157"/>
      <c r="F25" s="141"/>
      <c r="G25" s="158"/>
      <c r="H25" s="141"/>
      <c r="I25" s="102"/>
      <c r="J25" s="34"/>
      <c r="K25" s="41"/>
      <c r="M25" s="101"/>
    </row>
    <row r="26" spans="1:13">
      <c r="A26" s="40"/>
      <c r="B26" s="139"/>
      <c r="C26" s="140"/>
      <c r="D26" s="156"/>
      <c r="E26" s="157"/>
      <c r="F26" s="141"/>
      <c r="G26" s="158"/>
      <c r="H26" s="141"/>
      <c r="I26" s="102"/>
      <c r="J26" s="34"/>
      <c r="K26" s="41"/>
      <c r="M26" s="101"/>
    </row>
    <row r="27" spans="1:13">
      <c r="A27" s="40"/>
      <c r="B27" s="139"/>
      <c r="C27" s="140"/>
      <c r="D27" s="156"/>
      <c r="E27" s="157"/>
      <c r="F27" s="141"/>
      <c r="G27" s="158"/>
      <c r="H27" s="141"/>
      <c r="I27" s="102"/>
      <c r="J27" s="34"/>
      <c r="K27" s="41"/>
      <c r="M27" s="101"/>
    </row>
    <row r="28" spans="1:13">
      <c r="A28" s="40"/>
      <c r="B28" s="139"/>
      <c r="C28" s="140"/>
      <c r="D28" s="156"/>
      <c r="E28" s="157"/>
      <c r="F28" s="141"/>
      <c r="G28" s="158"/>
      <c r="H28" s="141"/>
      <c r="I28" s="102"/>
      <c r="J28" s="34"/>
      <c r="K28" s="41"/>
      <c r="M28" s="101"/>
    </row>
    <row r="29" spans="1:13">
      <c r="A29" s="40"/>
      <c r="B29" s="139"/>
      <c r="C29" s="140"/>
      <c r="D29" s="156"/>
      <c r="E29" s="157"/>
      <c r="F29" s="141"/>
      <c r="G29" s="158"/>
      <c r="H29" s="141"/>
      <c r="I29" s="102"/>
      <c r="J29" s="34"/>
      <c r="K29" s="41"/>
      <c r="M29" s="101"/>
    </row>
    <row r="30" spans="1:13">
      <c r="A30" s="40"/>
      <c r="B30" s="139"/>
      <c r="C30" s="140"/>
      <c r="D30" s="156"/>
      <c r="E30" s="157"/>
      <c r="F30" s="141"/>
      <c r="G30" s="158"/>
      <c r="H30" s="141"/>
      <c r="I30" s="102"/>
      <c r="J30" s="102"/>
      <c r="K30" s="41"/>
      <c r="M30" s="101"/>
    </row>
    <row r="31" spans="1:13">
      <c r="A31" s="40"/>
      <c r="B31" s="139"/>
      <c r="C31" s="140"/>
      <c r="D31" s="156"/>
      <c r="E31" s="157"/>
      <c r="F31" s="141"/>
      <c r="G31" s="158"/>
      <c r="H31" s="141"/>
      <c r="I31" s="102"/>
      <c r="J31" s="102"/>
      <c r="K31" s="41"/>
    </row>
    <row r="32" spans="1:13">
      <c r="A32" s="40"/>
      <c r="B32" s="139"/>
      <c r="C32" s="140"/>
      <c r="D32" s="156"/>
      <c r="E32" s="157"/>
      <c r="F32" s="141"/>
      <c r="G32" s="158"/>
      <c r="H32" s="141"/>
      <c r="I32" s="102"/>
      <c r="J32" s="102"/>
      <c r="K32" s="41"/>
    </row>
    <row r="33" spans="1:11">
      <c r="A33" s="40"/>
      <c r="B33" s="139"/>
      <c r="C33" s="140"/>
      <c r="D33" s="156"/>
      <c r="E33" s="157"/>
      <c r="F33" s="141"/>
      <c r="G33" s="158"/>
      <c r="H33" s="141"/>
      <c r="I33" s="102"/>
      <c r="J33" s="102"/>
      <c r="K33" s="41"/>
    </row>
    <row r="34" spans="1:11">
      <c r="A34" s="40"/>
      <c r="B34" s="139"/>
      <c r="C34" s="140"/>
      <c r="D34" s="156"/>
      <c r="E34" s="157"/>
      <c r="F34" s="141"/>
      <c r="G34" s="158"/>
      <c r="H34" s="141"/>
      <c r="I34" s="102"/>
      <c r="J34" s="102"/>
      <c r="K34" s="41"/>
    </row>
    <row r="35" spans="1:11">
      <c r="A35" s="40"/>
      <c r="B35" s="139"/>
      <c r="C35" s="140"/>
      <c r="D35" s="156"/>
      <c r="E35" s="157"/>
      <c r="F35" s="141"/>
      <c r="G35" s="158"/>
      <c r="H35" s="141"/>
      <c r="I35" s="102"/>
      <c r="J35" s="102"/>
      <c r="K35" s="41"/>
    </row>
    <row r="36" spans="1:11">
      <c r="A36" s="40"/>
      <c r="B36" s="139"/>
      <c r="C36" s="140"/>
      <c r="D36" s="156"/>
      <c r="E36" s="157"/>
      <c r="F36" s="141"/>
      <c r="G36" s="158"/>
      <c r="H36" s="141"/>
      <c r="I36" s="102"/>
      <c r="J36" s="102"/>
      <c r="K36" s="41"/>
    </row>
    <row r="37" spans="1:11">
      <c r="A37" s="40"/>
      <c r="B37" s="139"/>
      <c r="C37" s="140"/>
      <c r="D37" s="156"/>
      <c r="E37" s="157"/>
      <c r="F37" s="141"/>
      <c r="G37" s="158"/>
      <c r="H37" s="141"/>
      <c r="I37" s="102"/>
      <c r="J37" s="102"/>
      <c r="K37" s="41"/>
    </row>
    <row r="38" spans="1:11">
      <c r="A38" s="40"/>
      <c r="B38" s="139"/>
      <c r="C38" s="140"/>
      <c r="D38" s="156"/>
      <c r="E38" s="157"/>
      <c r="F38" s="141"/>
      <c r="G38" s="158"/>
      <c r="H38" s="141"/>
      <c r="I38" s="102"/>
      <c r="J38" s="102"/>
      <c r="K38" s="41"/>
    </row>
    <row r="39" spans="1:11">
      <c r="A39" s="40"/>
      <c r="B39" s="139"/>
      <c r="C39" s="140"/>
      <c r="D39" s="156"/>
      <c r="E39" s="157"/>
      <c r="F39" s="141"/>
      <c r="G39" s="158"/>
      <c r="H39" s="141"/>
      <c r="I39" s="102"/>
      <c r="J39" s="102"/>
      <c r="K39" s="41"/>
    </row>
    <row r="40" spans="1:11">
      <c r="A40" s="40"/>
      <c r="B40" s="139"/>
      <c r="C40" s="140"/>
      <c r="D40" s="156"/>
      <c r="E40" s="157"/>
      <c r="F40" s="141"/>
      <c r="G40" s="158"/>
      <c r="H40" s="141"/>
      <c r="I40" s="102"/>
      <c r="J40" s="34"/>
      <c r="K40" s="41"/>
    </row>
    <row r="41" spans="1:11">
      <c r="A41" s="40"/>
      <c r="B41" s="139"/>
      <c r="C41" s="140"/>
      <c r="D41" s="156"/>
      <c r="E41" s="157"/>
      <c r="F41" s="141"/>
      <c r="G41" s="158"/>
      <c r="H41" s="141"/>
      <c r="I41" s="102"/>
      <c r="J41" s="34"/>
      <c r="K41" s="41"/>
    </row>
    <row r="42" spans="1:11">
      <c r="A42" s="40"/>
      <c r="B42" s="139"/>
      <c r="C42" s="140"/>
      <c r="D42" s="156"/>
      <c r="E42" s="157"/>
      <c r="F42" s="141"/>
      <c r="G42" s="158"/>
      <c r="H42" s="141"/>
      <c r="I42" s="102"/>
      <c r="J42" s="34"/>
      <c r="K42" s="41"/>
    </row>
    <row r="43" spans="1:11">
      <c r="A43" s="40"/>
      <c r="B43" s="139"/>
      <c r="C43" s="140"/>
      <c r="D43" s="156"/>
      <c r="E43" s="157"/>
      <c r="F43" s="141"/>
      <c r="G43" s="158"/>
      <c r="H43" s="141"/>
      <c r="I43" s="102"/>
      <c r="J43" s="34"/>
      <c r="K43" s="41"/>
    </row>
    <row r="44" spans="1:11">
      <c r="A44" s="40"/>
      <c r="B44" s="139"/>
      <c r="C44" s="140"/>
      <c r="D44" s="156"/>
      <c r="E44" s="157"/>
      <c r="F44" s="141"/>
      <c r="G44" s="158"/>
      <c r="H44" s="141"/>
      <c r="I44" s="102"/>
      <c r="J44" s="34"/>
      <c r="K44" s="41"/>
    </row>
    <row r="45" spans="1:11" s="27" customFormat="1" ht="12.75" customHeight="1">
      <c r="A45" s="5"/>
      <c r="B45" s="139"/>
      <c r="C45" s="140"/>
      <c r="D45" s="156"/>
      <c r="E45" s="157"/>
      <c r="F45" s="141"/>
      <c r="G45" s="158"/>
      <c r="H45" s="493" t="s">
        <v>180</v>
      </c>
      <c r="I45" s="102"/>
      <c r="J45" s="4"/>
      <c r="K45" s="8"/>
    </row>
    <row r="46" spans="1:11" s="27" customFormat="1">
      <c r="A46" s="5"/>
      <c r="B46" s="139"/>
      <c r="C46" s="140"/>
      <c r="D46" s="156"/>
      <c r="E46" s="157"/>
      <c r="F46" s="141"/>
      <c r="G46" s="158"/>
      <c r="H46" s="141"/>
      <c r="I46" s="102"/>
      <c r="J46" s="4"/>
      <c r="K46" s="8"/>
    </row>
    <row r="47" spans="1:11">
      <c r="A47" s="60"/>
      <c r="B47" s="61"/>
      <c r="C47" s="61"/>
      <c r="D47" s="61"/>
      <c r="E47" s="61"/>
      <c r="F47" s="61"/>
      <c r="G47" s="61"/>
      <c r="H47" s="61"/>
      <c r="I47" s="126"/>
      <c r="J47" s="61"/>
      <c r="K47" s="79"/>
    </row>
    <row r="48" spans="1:11">
      <c r="I48" s="124"/>
    </row>
    <row r="49" spans="9:9">
      <c r="I49" s="124"/>
    </row>
    <row r="50" spans="9:9">
      <c r="I50" s="124"/>
    </row>
    <row r="51" spans="9:9">
      <c r="I51" s="124"/>
    </row>
    <row r="52" spans="9:9">
      <c r="I52" s="124"/>
    </row>
    <row r="53" spans="9:9">
      <c r="I53" s="124"/>
    </row>
    <row r="54" spans="9:9">
      <c r="I54" s="124"/>
    </row>
    <row r="55" spans="9:9">
      <c r="I55" s="124"/>
    </row>
    <row r="56" spans="9:9">
      <c r="I56" s="124"/>
    </row>
    <row r="57" spans="9:9">
      <c r="I57" s="124"/>
    </row>
    <row r="58" spans="9:9">
      <c r="I58" s="124"/>
    </row>
    <row r="59" spans="9:9">
      <c r="I59" s="124"/>
    </row>
    <row r="60" spans="9:9">
      <c r="I60" s="124"/>
    </row>
    <row r="61" spans="9:9">
      <c r="I61" s="124"/>
    </row>
    <row r="62" spans="9:9">
      <c r="I62" s="124"/>
    </row>
    <row r="63" spans="9:9">
      <c r="I63" s="124"/>
    </row>
    <row r="64" spans="9:9">
      <c r="I64" s="124"/>
    </row>
    <row r="65" spans="9:9">
      <c r="I65" s="124"/>
    </row>
    <row r="66" spans="9:9">
      <c r="I66" s="124"/>
    </row>
    <row r="67" spans="9:9">
      <c r="I67" s="124"/>
    </row>
    <row r="68" spans="9:9">
      <c r="I68" s="124"/>
    </row>
    <row r="69" spans="9:9">
      <c r="I69" s="124"/>
    </row>
    <row r="70" spans="9:9">
      <c r="I70" s="124"/>
    </row>
    <row r="71" spans="9:9">
      <c r="I71" s="124"/>
    </row>
    <row r="72" spans="9:9">
      <c r="I72" s="124"/>
    </row>
    <row r="73" spans="9:9">
      <c r="I73" s="124"/>
    </row>
    <row r="74" spans="9:9">
      <c r="I74" s="124"/>
    </row>
    <row r="75" spans="9:9">
      <c r="I75" s="124"/>
    </row>
    <row r="76" spans="9:9">
      <c r="I76" s="124"/>
    </row>
    <row r="77" spans="9:9">
      <c r="I77" s="124"/>
    </row>
    <row r="78" spans="9:9">
      <c r="I78" s="124"/>
    </row>
    <row r="79" spans="9:9">
      <c r="I79" s="124"/>
    </row>
    <row r="80" spans="9:9">
      <c r="I80" s="124"/>
    </row>
    <row r="81" spans="9:9">
      <c r="I81" s="124"/>
    </row>
    <row r="82" spans="9:9">
      <c r="I82" s="124"/>
    </row>
    <row r="83" spans="9:9">
      <c r="I83" s="124"/>
    </row>
    <row r="84" spans="9:9">
      <c r="I84" s="124"/>
    </row>
    <row r="85" spans="9:9">
      <c r="I85" s="124"/>
    </row>
    <row r="86" spans="9:9">
      <c r="I86" s="124"/>
    </row>
    <row r="87" spans="9:9">
      <c r="I87" s="124"/>
    </row>
    <row r="88" spans="9:9">
      <c r="I88" s="124"/>
    </row>
    <row r="89" spans="9:9">
      <c r="I89" s="124"/>
    </row>
    <row r="90" spans="9:9">
      <c r="I90" s="124"/>
    </row>
    <row r="91" spans="9:9">
      <c r="I91" s="124"/>
    </row>
    <row r="92" spans="9:9">
      <c r="I92" s="124"/>
    </row>
    <row r="93" spans="9:9">
      <c r="I93" s="124"/>
    </row>
    <row r="94" spans="9:9">
      <c r="I94" s="124"/>
    </row>
    <row r="95" spans="9:9">
      <c r="I95" s="124"/>
    </row>
    <row r="96" spans="9:9">
      <c r="I96" s="124"/>
    </row>
    <row r="97" spans="9:9">
      <c r="I97" s="124"/>
    </row>
    <row r="98" spans="9:9">
      <c r="I98" s="124"/>
    </row>
    <row r="99" spans="9:9">
      <c r="I99" s="124"/>
    </row>
    <row r="100" spans="9:9">
      <c r="I100" s="124"/>
    </row>
    <row r="101" spans="9:9">
      <c r="I101" s="124"/>
    </row>
    <row r="102" spans="9:9">
      <c r="I102" s="124"/>
    </row>
    <row r="103" spans="9:9">
      <c r="I103" s="124"/>
    </row>
    <row r="104" spans="9:9">
      <c r="I104" s="124"/>
    </row>
    <row r="105" spans="9:9">
      <c r="I105" s="124"/>
    </row>
    <row r="106" spans="9:9">
      <c r="I106" s="124"/>
    </row>
    <row r="107" spans="9:9">
      <c r="I107" s="124"/>
    </row>
    <row r="108" spans="9:9">
      <c r="I108" s="124"/>
    </row>
    <row r="109" spans="9:9">
      <c r="I109" s="124"/>
    </row>
    <row r="110" spans="9:9">
      <c r="I110" s="124"/>
    </row>
    <row r="111" spans="9:9">
      <c r="I111" s="124"/>
    </row>
    <row r="112" spans="9:9">
      <c r="I112" s="124"/>
    </row>
    <row r="113" spans="9:9">
      <c r="I113" s="124"/>
    </row>
    <row r="114" spans="9:9">
      <c r="I114" s="124"/>
    </row>
    <row r="115" spans="9:9">
      <c r="I115" s="124"/>
    </row>
    <row r="116" spans="9:9">
      <c r="I116" s="124"/>
    </row>
    <row r="117" spans="9:9">
      <c r="I117" s="124"/>
    </row>
    <row r="118" spans="9:9">
      <c r="I118" s="124"/>
    </row>
    <row r="119" spans="9:9">
      <c r="I119" s="124"/>
    </row>
    <row r="120" spans="9:9">
      <c r="I120" s="124"/>
    </row>
    <row r="121" spans="9:9">
      <c r="I121" s="124"/>
    </row>
    <row r="122" spans="9:9">
      <c r="I122" s="124"/>
    </row>
    <row r="123" spans="9:9">
      <c r="I123" s="124"/>
    </row>
    <row r="124" spans="9:9">
      <c r="I124" s="124"/>
    </row>
    <row r="125" spans="9:9">
      <c r="I125" s="124"/>
    </row>
    <row r="126" spans="9:9">
      <c r="I126" s="124"/>
    </row>
    <row r="127" spans="9:9">
      <c r="I127" s="124"/>
    </row>
    <row r="128" spans="9:9">
      <c r="I128" s="124"/>
    </row>
    <row r="129" spans="9:9">
      <c r="I129" s="124"/>
    </row>
    <row r="130" spans="9:9">
      <c r="I130" s="124"/>
    </row>
    <row r="131" spans="9:9">
      <c r="I131" s="124"/>
    </row>
    <row r="132" spans="9:9">
      <c r="I132" s="124"/>
    </row>
    <row r="133" spans="9:9">
      <c r="I133" s="124"/>
    </row>
    <row r="134" spans="9:9">
      <c r="I134" s="124"/>
    </row>
    <row r="135" spans="9:9">
      <c r="I135" s="124"/>
    </row>
    <row r="136" spans="9:9">
      <c r="I136" s="124"/>
    </row>
    <row r="137" spans="9:9">
      <c r="I137" s="124"/>
    </row>
    <row r="138" spans="9:9">
      <c r="I138" s="124"/>
    </row>
    <row r="139" spans="9:9">
      <c r="I139" s="124"/>
    </row>
    <row r="140" spans="9:9">
      <c r="I140" s="124"/>
    </row>
    <row r="141" spans="9:9">
      <c r="I141" s="124"/>
    </row>
    <row r="142" spans="9:9">
      <c r="I142" s="124"/>
    </row>
    <row r="143" spans="9:9">
      <c r="I143" s="124"/>
    </row>
    <row r="144" spans="9:9">
      <c r="I144" s="124"/>
    </row>
    <row r="145" spans="9:9">
      <c r="I145" s="124"/>
    </row>
    <row r="146" spans="9:9">
      <c r="I146" s="124"/>
    </row>
    <row r="147" spans="9:9">
      <c r="I147" s="124"/>
    </row>
    <row r="148" spans="9:9">
      <c r="I148" s="124"/>
    </row>
    <row r="149" spans="9:9">
      <c r="I149" s="124"/>
    </row>
    <row r="150" spans="9:9">
      <c r="I150" s="124"/>
    </row>
    <row r="151" spans="9:9">
      <c r="I151" s="124"/>
    </row>
    <row r="152" spans="9:9">
      <c r="I152" s="124"/>
    </row>
    <row r="153" spans="9:9">
      <c r="I153" s="124"/>
    </row>
    <row r="154" spans="9:9">
      <c r="I154" s="124"/>
    </row>
    <row r="155" spans="9:9">
      <c r="I155" s="124"/>
    </row>
    <row r="156" spans="9:9">
      <c r="I156" s="124"/>
    </row>
    <row r="157" spans="9:9">
      <c r="I157" s="124"/>
    </row>
    <row r="158" spans="9:9">
      <c r="I158" s="124"/>
    </row>
    <row r="159" spans="9:9">
      <c r="I159" s="124"/>
    </row>
    <row r="160" spans="9:9">
      <c r="I160" s="124"/>
    </row>
    <row r="161" spans="9:9">
      <c r="I161" s="124"/>
    </row>
    <row r="162" spans="9:9">
      <c r="I162" s="124"/>
    </row>
    <row r="163" spans="9:9">
      <c r="I163" s="124"/>
    </row>
    <row r="164" spans="9:9">
      <c r="I164" s="124"/>
    </row>
    <row r="165" spans="9:9">
      <c r="I165" s="124"/>
    </row>
    <row r="166" spans="9:9">
      <c r="I166" s="124"/>
    </row>
    <row r="167" spans="9:9">
      <c r="I167" s="124"/>
    </row>
    <row r="168" spans="9:9">
      <c r="I168" s="124"/>
    </row>
    <row r="169" spans="9:9">
      <c r="I169" s="124"/>
    </row>
    <row r="170" spans="9:9">
      <c r="I170" s="124"/>
    </row>
    <row r="171" spans="9:9">
      <c r="I171" s="124"/>
    </row>
    <row r="172" spans="9:9">
      <c r="I172" s="124"/>
    </row>
    <row r="173" spans="9:9">
      <c r="I173" s="124"/>
    </row>
    <row r="174" spans="9:9">
      <c r="I174" s="124"/>
    </row>
    <row r="175" spans="9:9">
      <c r="I175" s="124"/>
    </row>
    <row r="176" spans="9:9">
      <c r="I176" s="124"/>
    </row>
    <row r="177" spans="9:9">
      <c r="I177" s="124"/>
    </row>
    <row r="178" spans="9:9">
      <c r="I178" s="124"/>
    </row>
    <row r="179" spans="9:9">
      <c r="I179" s="124"/>
    </row>
    <row r="180" spans="9:9">
      <c r="I180" s="124"/>
    </row>
    <row r="181" spans="9:9">
      <c r="I181" s="124"/>
    </row>
    <row r="182" spans="9:9">
      <c r="I182" s="124"/>
    </row>
    <row r="183" spans="9:9">
      <c r="I183" s="124"/>
    </row>
    <row r="184" spans="9:9">
      <c r="I184" s="124"/>
    </row>
    <row r="185" spans="9:9">
      <c r="I185" s="124"/>
    </row>
    <row r="186" spans="9:9">
      <c r="I186" s="124"/>
    </row>
    <row r="187" spans="9:9">
      <c r="I187" s="124"/>
    </row>
    <row r="188" spans="9:9">
      <c r="I188" s="124"/>
    </row>
    <row r="189" spans="9:9">
      <c r="I189" s="124"/>
    </row>
    <row r="190" spans="9:9">
      <c r="I190" s="124"/>
    </row>
    <row r="191" spans="9:9">
      <c r="I191" s="124"/>
    </row>
    <row r="192" spans="9:9">
      <c r="I192" s="124"/>
    </row>
    <row r="193" spans="9:9">
      <c r="I193" s="124"/>
    </row>
    <row r="194" spans="9:9">
      <c r="I194" s="124"/>
    </row>
    <row r="195" spans="9:9">
      <c r="I195" s="124"/>
    </row>
    <row r="196" spans="9:9">
      <c r="I196" s="124"/>
    </row>
    <row r="197" spans="9:9">
      <c r="I197" s="124"/>
    </row>
    <row r="198" spans="9:9">
      <c r="I198" s="124"/>
    </row>
    <row r="199" spans="9:9">
      <c r="I199" s="124"/>
    </row>
    <row r="200" spans="9:9">
      <c r="I200" s="124"/>
    </row>
    <row r="201" spans="9:9">
      <c r="I201" s="124"/>
    </row>
    <row r="202" spans="9:9">
      <c r="I202" s="124"/>
    </row>
    <row r="203" spans="9:9">
      <c r="I203" s="124"/>
    </row>
    <row r="204" spans="9:9">
      <c r="I204" s="124"/>
    </row>
    <row r="205" spans="9:9">
      <c r="I205" s="124"/>
    </row>
    <row r="206" spans="9:9">
      <c r="I206" s="124"/>
    </row>
    <row r="207" spans="9:9">
      <c r="I207" s="124"/>
    </row>
    <row r="208" spans="9:9">
      <c r="I208" s="124"/>
    </row>
    <row r="209" spans="9:9">
      <c r="I209" s="124"/>
    </row>
    <row r="210" spans="9:9">
      <c r="I210" s="124"/>
    </row>
    <row r="211" spans="9:9">
      <c r="I211" s="124"/>
    </row>
    <row r="212" spans="9:9">
      <c r="I212" s="124"/>
    </row>
    <row r="213" spans="9:9">
      <c r="I213" s="124"/>
    </row>
    <row r="214" spans="9:9">
      <c r="I214" s="124"/>
    </row>
    <row r="215" spans="9:9">
      <c r="I215" s="124"/>
    </row>
    <row r="216" spans="9:9">
      <c r="I216" s="124"/>
    </row>
    <row r="217" spans="9:9">
      <c r="I217" s="124"/>
    </row>
    <row r="218" spans="9:9">
      <c r="I218" s="124"/>
    </row>
    <row r="219" spans="9:9">
      <c r="I219" s="124"/>
    </row>
    <row r="220" spans="9:9">
      <c r="I220" s="124"/>
    </row>
    <row r="221" spans="9:9">
      <c r="I221" s="124"/>
    </row>
    <row r="222" spans="9:9">
      <c r="I222" s="124"/>
    </row>
    <row r="223" spans="9:9">
      <c r="I223" s="124"/>
    </row>
    <row r="224" spans="9:9">
      <c r="I224" s="124"/>
    </row>
    <row r="225" spans="9:9">
      <c r="I225" s="124"/>
    </row>
    <row r="226" spans="9:9">
      <c r="I226" s="124"/>
    </row>
    <row r="227" spans="9:9">
      <c r="I227" s="124"/>
    </row>
    <row r="228" spans="9:9">
      <c r="I228" s="124"/>
    </row>
    <row r="229" spans="9:9">
      <c r="I229" s="124"/>
    </row>
    <row r="230" spans="9:9">
      <c r="I230" s="124"/>
    </row>
    <row r="231" spans="9:9">
      <c r="I231" s="124"/>
    </row>
    <row r="232" spans="9:9">
      <c r="I232" s="124"/>
    </row>
    <row r="233" spans="9:9">
      <c r="I233" s="124"/>
    </row>
    <row r="234" spans="9:9">
      <c r="I234" s="124"/>
    </row>
    <row r="235" spans="9:9">
      <c r="I235" s="124"/>
    </row>
    <row r="236" spans="9:9">
      <c r="I236" s="124"/>
    </row>
    <row r="237" spans="9:9">
      <c r="I237" s="124"/>
    </row>
    <row r="238" spans="9:9">
      <c r="I238" s="124"/>
    </row>
    <row r="239" spans="9:9">
      <c r="I239" s="124"/>
    </row>
    <row r="240" spans="9:9">
      <c r="I240" s="124"/>
    </row>
    <row r="241" spans="9:9">
      <c r="I241" s="124"/>
    </row>
    <row r="242" spans="9:9">
      <c r="I242" s="124"/>
    </row>
    <row r="243" spans="9:9">
      <c r="I243" s="124"/>
    </row>
    <row r="244" spans="9:9">
      <c r="I244" s="124"/>
    </row>
    <row r="245" spans="9:9">
      <c r="I245" s="124"/>
    </row>
    <row r="246" spans="9:9">
      <c r="I246" s="124"/>
    </row>
    <row r="247" spans="9:9">
      <c r="I247" s="124"/>
    </row>
    <row r="248" spans="9:9">
      <c r="I248" s="124"/>
    </row>
    <row r="249" spans="9:9">
      <c r="I249" s="124"/>
    </row>
    <row r="250" spans="9:9">
      <c r="I250" s="124"/>
    </row>
    <row r="251" spans="9:9">
      <c r="I251" s="124"/>
    </row>
    <row r="252" spans="9:9">
      <c r="I252" s="124"/>
    </row>
    <row r="253" spans="9:9">
      <c r="I253" s="124"/>
    </row>
    <row r="254" spans="9:9">
      <c r="I254" s="124"/>
    </row>
    <row r="255" spans="9:9">
      <c r="I255" s="124"/>
    </row>
    <row r="256" spans="9:9">
      <c r="I256" s="124"/>
    </row>
    <row r="257" spans="9:9">
      <c r="I257" s="124"/>
    </row>
    <row r="258" spans="9:9">
      <c r="I258" s="124"/>
    </row>
    <row r="259" spans="9:9">
      <c r="I259" s="124"/>
    </row>
    <row r="260" spans="9:9">
      <c r="I260" s="124"/>
    </row>
  </sheetData>
  <sheetProtection password="8B10" sheet="1" objects="1" scenarios="1"/>
  <phoneticPr fontId="3" type="noConversion"/>
  <pageMargins left="0.70866141732283472" right="0.70866141732283472" top="1.0236220472440944" bottom="1.0236220472440944" header="0.39370078740157483" footer="0.39370078740157483"/>
  <pageSetup paperSize="9" scale="69" orientation="landscape" r:id="rId1"/>
  <headerFooter alignWithMargins="0">
    <oddFooter>&amp;L&amp;"Frutiger 57Cn,Standard"&amp;8
Santander Consumer Bank AG
Santander-Platz 1
41061 Mönchengladbach
Tel.: +49 180 / 5556 - 499
Fax.: +49 180 / 5556 - 498</oddFooter>
  </headerFooter>
  <colBreaks count="1" manualBreakCount="1">
    <brk id="1" max="95" man="1"/>
  </col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Q2248"/>
  <sheetViews>
    <sheetView view="pageBreakPreview" zoomScale="75" zoomScaleNormal="100" workbookViewId="0">
      <selection activeCell="B3" sqref="B3"/>
    </sheetView>
  </sheetViews>
  <sheetFormatPr defaultRowHeight="12.75"/>
  <cols>
    <col min="1" max="1" width="1.28515625" style="31" customWidth="1"/>
    <col min="2" max="2" width="26" style="31" customWidth="1"/>
    <col min="3" max="3" width="14.85546875" style="31" bestFit="1" customWidth="1"/>
    <col min="4" max="4" width="18.7109375" style="31" customWidth="1"/>
    <col min="5" max="5" width="18.5703125" style="31" customWidth="1"/>
    <col min="6" max="6" width="19.5703125" style="31" customWidth="1"/>
    <col min="7" max="8" width="19" style="31" customWidth="1"/>
    <col min="9" max="9" width="9.28515625" style="31" customWidth="1"/>
    <col min="10" max="10" width="15.42578125" style="31" customWidth="1"/>
    <col min="11" max="11" width="1.28515625" style="31" customWidth="1"/>
    <col min="12" max="12" width="3.140625" style="31" customWidth="1"/>
    <col min="13" max="13" width="18.7109375" style="34" customWidth="1"/>
    <col min="14" max="14" width="18.5703125" style="34" customWidth="1"/>
    <col min="15" max="15" width="19.5703125" style="34" customWidth="1"/>
    <col min="16" max="17" width="19" style="34" customWidth="1"/>
    <col min="18" max="256" width="11.42578125" style="31" customWidth="1"/>
    <col min="257" max="16384" width="9.140625" style="31"/>
  </cols>
  <sheetData>
    <row r="1" spans="1:17" ht="6" customHeight="1">
      <c r="A1" s="35"/>
      <c r="B1" s="36"/>
      <c r="C1" s="36"/>
      <c r="D1" s="36"/>
      <c r="E1" s="36"/>
      <c r="F1" s="36"/>
      <c r="G1" s="36"/>
      <c r="H1" s="36"/>
      <c r="I1" s="36"/>
      <c r="J1" s="36"/>
      <c r="K1" s="37"/>
    </row>
    <row r="2" spans="1:17" s="27" customFormat="1" ht="18">
      <c r="A2" s="5"/>
      <c r="B2" s="7" t="str">
        <f>'Cover Sheet'!B2</f>
        <v>SC Germany Auto 10-1</v>
      </c>
      <c r="C2" s="7"/>
      <c r="D2" s="108" t="s">
        <v>54</v>
      </c>
      <c r="E2" s="109"/>
      <c r="F2" s="110">
        <f>'Cover Sheet'!F2</f>
        <v>41191</v>
      </c>
      <c r="G2" s="109"/>
      <c r="H2" s="109"/>
      <c r="I2" s="109"/>
      <c r="J2" s="111"/>
      <c r="K2" s="88"/>
      <c r="M2" s="28"/>
      <c r="N2" s="34"/>
      <c r="O2" s="372"/>
      <c r="P2" s="34"/>
      <c r="Q2" s="34"/>
    </row>
    <row r="3" spans="1:17" s="27" customFormat="1" ht="18">
      <c r="A3" s="5"/>
      <c r="B3" s="7" t="str">
        <f>'Cover Sheet'!B3</f>
        <v>Monthly Investor Report</v>
      </c>
      <c r="C3" s="7"/>
      <c r="D3" s="112" t="s">
        <v>4</v>
      </c>
      <c r="E3" s="113"/>
      <c r="F3" s="114">
        <f>'Cover Sheet'!F3</f>
        <v>41197</v>
      </c>
      <c r="G3" s="113"/>
      <c r="H3" s="113"/>
      <c r="I3" s="113"/>
      <c r="J3" s="115"/>
      <c r="K3" s="90"/>
      <c r="M3" s="28"/>
      <c r="N3" s="34"/>
      <c r="O3" s="372"/>
      <c r="P3" s="34"/>
      <c r="Q3" s="34"/>
    </row>
    <row r="4" spans="1:17" s="27" customFormat="1">
      <c r="A4" s="5"/>
      <c r="B4" s="42"/>
      <c r="C4" s="12"/>
      <c r="D4" s="112" t="s">
        <v>5</v>
      </c>
      <c r="E4" s="113"/>
      <c r="F4" s="122">
        <f>'Cover Sheet'!F4</f>
        <v>27</v>
      </c>
      <c r="G4" s="113"/>
      <c r="H4" s="117"/>
      <c r="I4" s="113"/>
      <c r="J4" s="118"/>
      <c r="K4" s="88"/>
      <c r="M4" s="28"/>
      <c r="N4" s="34"/>
      <c r="O4" s="45"/>
      <c r="P4" s="34"/>
      <c r="Q4" s="28"/>
    </row>
    <row r="5" spans="1:17" s="27" customFormat="1" ht="18">
      <c r="A5" s="5"/>
      <c r="B5" s="105" t="s">
        <v>397</v>
      </c>
      <c r="C5" s="14"/>
      <c r="D5" s="112" t="s">
        <v>3</v>
      </c>
      <c r="E5" s="113"/>
      <c r="F5" s="123">
        <f>'Cover Sheet'!F5</f>
        <v>41197</v>
      </c>
      <c r="G5" s="113"/>
      <c r="H5" s="117"/>
      <c r="I5" s="113"/>
      <c r="J5" s="118"/>
      <c r="K5" s="90"/>
      <c r="M5" s="28"/>
      <c r="N5" s="34"/>
      <c r="O5" s="373"/>
      <c r="P5" s="34"/>
      <c r="Q5" s="28"/>
    </row>
    <row r="6" spans="1:17" s="27" customFormat="1" ht="15" customHeight="1">
      <c r="A6" s="5"/>
      <c r="B6" s="43"/>
      <c r="C6" s="89"/>
      <c r="D6" s="552" t="str">
        <f>'Cover Sheet'!D6</f>
        <v>Interest Period</v>
      </c>
      <c r="E6" s="114" t="s">
        <v>38</v>
      </c>
      <c r="F6" s="114">
        <f>'Cover Sheet'!F6</f>
        <v>41164</v>
      </c>
      <c r="G6" s="116" t="s">
        <v>6</v>
      </c>
      <c r="H6" s="114">
        <f>'Cover Sheet'!H6</f>
        <v>41197</v>
      </c>
      <c r="I6" s="116" t="s">
        <v>18</v>
      </c>
      <c r="J6" s="542" t="str">
        <f>'Cover Sheet'!J6</f>
        <v>33 days</v>
      </c>
      <c r="K6" s="90"/>
      <c r="M6" s="28"/>
      <c r="N6" s="45"/>
      <c r="O6" s="372"/>
      <c r="P6" s="45"/>
      <c r="Q6" s="372"/>
    </row>
    <row r="7" spans="1:17" s="27" customFormat="1">
      <c r="A7" s="5"/>
      <c r="B7" s="4"/>
      <c r="C7" s="4"/>
      <c r="D7" s="553" t="str">
        <f>'Cover Sheet'!D7</f>
        <v>Collection Period</v>
      </c>
      <c r="E7" s="121" t="s">
        <v>38</v>
      </c>
      <c r="F7" s="121" t="str">
        <f>'Cover Sheet'!F7</f>
        <v>01.09.2012</v>
      </c>
      <c r="G7" s="120" t="s">
        <v>6</v>
      </c>
      <c r="H7" s="121">
        <f>'Cover Sheet'!H7</f>
        <v>41182</v>
      </c>
      <c r="I7" s="543"/>
      <c r="J7" s="544"/>
      <c r="K7" s="90"/>
      <c r="M7" s="28"/>
      <c r="N7" s="34"/>
      <c r="O7" s="374"/>
      <c r="P7" s="45"/>
      <c r="Q7" s="372"/>
    </row>
    <row r="8" spans="1:17" s="27" customFormat="1">
      <c r="A8" s="5"/>
      <c r="B8" s="4"/>
      <c r="C8" s="4"/>
      <c r="D8" s="4"/>
      <c r="E8" s="9"/>
      <c r="F8" s="15"/>
      <c r="G8" s="9"/>
      <c r="H8" s="4"/>
      <c r="I8" s="16"/>
      <c r="J8" s="4"/>
      <c r="K8" s="90"/>
      <c r="M8" s="34"/>
      <c r="N8" s="44"/>
      <c r="O8" s="45"/>
      <c r="P8" s="44"/>
      <c r="Q8" s="34"/>
    </row>
    <row r="9" spans="1:17" s="27" customFormat="1">
      <c r="A9" s="5"/>
      <c r="K9" s="8"/>
      <c r="M9" s="34"/>
      <c r="N9" s="34"/>
      <c r="O9" s="34"/>
      <c r="P9" s="34"/>
      <c r="Q9" s="34"/>
    </row>
    <row r="10" spans="1:17" s="27" customFormat="1">
      <c r="A10" s="5"/>
      <c r="B10" s="4"/>
      <c r="C10" s="4"/>
      <c r="D10" s="4"/>
      <c r="E10" s="4"/>
      <c r="F10" s="18"/>
      <c r="G10" s="4"/>
      <c r="H10" s="4"/>
      <c r="I10" s="34"/>
      <c r="J10" s="34"/>
      <c r="K10" s="8"/>
      <c r="M10" s="34"/>
      <c r="N10" s="34"/>
      <c r="O10" s="102"/>
      <c r="P10" s="34"/>
      <c r="Q10" s="34"/>
    </row>
    <row r="11" spans="1:17" s="27" customFormat="1" ht="18">
      <c r="A11" s="5"/>
      <c r="B11" s="125"/>
      <c r="C11" s="4"/>
      <c r="D11" s="4"/>
      <c r="E11" s="4"/>
      <c r="F11" s="34"/>
      <c r="G11" s="100"/>
      <c r="H11" s="100"/>
      <c r="I11" s="34"/>
      <c r="K11" s="8"/>
      <c r="M11" s="47"/>
      <c r="N11" s="34"/>
      <c r="O11" s="34"/>
      <c r="P11" s="137"/>
      <c r="Q11" s="137"/>
    </row>
    <row r="12" spans="1:17" s="27" customFormat="1" ht="13.5" thickBot="1">
      <c r="A12" s="5"/>
      <c r="B12" s="4"/>
      <c r="C12" s="34"/>
      <c r="D12" s="34"/>
      <c r="E12" s="34"/>
      <c r="F12" s="34"/>
      <c r="G12" s="137"/>
      <c r="H12" s="137"/>
      <c r="I12" s="34"/>
      <c r="K12" s="8"/>
      <c r="M12" s="34"/>
      <c r="N12" s="34"/>
      <c r="O12" s="34"/>
      <c r="P12" s="137"/>
      <c r="Q12" s="137"/>
    </row>
    <row r="13" spans="1:17" s="27" customFormat="1" ht="28.5">
      <c r="A13" s="5"/>
      <c r="B13" s="127"/>
      <c r="C13" s="34"/>
      <c r="D13" s="286" t="s">
        <v>97</v>
      </c>
      <c r="E13" s="287" t="s">
        <v>91</v>
      </c>
      <c r="F13" s="288" t="s">
        <v>70</v>
      </c>
      <c r="G13" s="289" t="s">
        <v>71</v>
      </c>
      <c r="H13" s="290" t="s">
        <v>72</v>
      </c>
      <c r="I13" s="102"/>
      <c r="K13" s="8"/>
      <c r="M13" s="317"/>
      <c r="N13" s="329"/>
      <c r="O13" s="327"/>
      <c r="P13" s="328"/>
      <c r="Q13" s="328"/>
    </row>
    <row r="14" spans="1:17" s="27" customFormat="1">
      <c r="A14" s="5"/>
      <c r="B14" s="138"/>
      <c r="C14" s="138"/>
      <c r="D14" s="247" t="s">
        <v>526</v>
      </c>
      <c r="E14" s="248">
        <v>746825.95</v>
      </c>
      <c r="F14" s="249">
        <v>3.4328375918715663E-3</v>
      </c>
      <c r="G14" s="250">
        <v>97</v>
      </c>
      <c r="H14" s="251">
        <v>2.3033267637071688E-3</v>
      </c>
      <c r="I14" s="102"/>
      <c r="K14" s="8"/>
      <c r="M14" s="413"/>
      <c r="N14" s="254"/>
      <c r="O14" s="255"/>
      <c r="P14" s="256"/>
      <c r="Q14" s="255"/>
    </row>
    <row r="15" spans="1:17">
      <c r="A15" s="40"/>
      <c r="B15" s="139"/>
      <c r="C15" s="140"/>
      <c r="D15" s="247" t="s">
        <v>527</v>
      </c>
      <c r="E15" s="248">
        <v>78197840.339999825</v>
      </c>
      <c r="F15" s="249">
        <v>0.35944182968243438</v>
      </c>
      <c r="G15" s="250">
        <v>11720</v>
      </c>
      <c r="H15" s="251">
        <v>0.27829886258400022</v>
      </c>
      <c r="I15" s="102"/>
      <c r="K15" s="41"/>
      <c r="M15" s="413"/>
      <c r="N15" s="254"/>
      <c r="O15" s="255"/>
      <c r="P15" s="256"/>
      <c r="Q15" s="255"/>
    </row>
    <row r="16" spans="1:17">
      <c r="A16" s="40"/>
      <c r="B16" s="139"/>
      <c r="C16" s="140"/>
      <c r="D16" s="247" t="s">
        <v>528</v>
      </c>
      <c r="E16" s="248">
        <v>47543770.169999994</v>
      </c>
      <c r="F16" s="249">
        <v>0.21853825713859834</v>
      </c>
      <c r="G16" s="250">
        <v>8332</v>
      </c>
      <c r="H16" s="251">
        <v>0.19784864531142402</v>
      </c>
      <c r="I16" s="102"/>
      <c r="K16" s="41"/>
      <c r="M16" s="413"/>
      <c r="N16" s="254"/>
      <c r="O16" s="255"/>
      <c r="P16" s="256"/>
      <c r="Q16" s="255"/>
    </row>
    <row r="17" spans="1:17">
      <c r="A17" s="40"/>
      <c r="B17" s="139"/>
      <c r="C17" s="140"/>
      <c r="D17" s="252" t="s">
        <v>529</v>
      </c>
      <c r="E17" s="248">
        <v>38345104.750000022</v>
      </c>
      <c r="F17" s="249">
        <v>0.17625594966277355</v>
      </c>
      <c r="G17" s="250">
        <v>8429</v>
      </c>
      <c r="H17" s="251">
        <v>0.20015197207513119</v>
      </c>
      <c r="I17" s="102"/>
      <c r="K17" s="41"/>
      <c r="M17" s="414"/>
      <c r="N17" s="254"/>
      <c r="O17" s="255"/>
      <c r="P17" s="256"/>
      <c r="Q17" s="255"/>
    </row>
    <row r="18" spans="1:17">
      <c r="A18" s="40"/>
      <c r="B18" s="139"/>
      <c r="C18" s="140"/>
      <c r="D18" s="252" t="s">
        <v>530</v>
      </c>
      <c r="E18" s="248">
        <v>18802013.419999987</v>
      </c>
      <c r="F18" s="249">
        <v>8.6424766668926845E-2</v>
      </c>
      <c r="G18" s="250">
        <v>4641</v>
      </c>
      <c r="H18" s="251">
        <v>0.11020350010685537</v>
      </c>
      <c r="I18" s="102"/>
      <c r="K18" s="41"/>
      <c r="M18" s="414"/>
      <c r="N18" s="254"/>
      <c r="O18" s="255"/>
      <c r="P18" s="256"/>
      <c r="Q18" s="255"/>
    </row>
    <row r="19" spans="1:17">
      <c r="A19" s="40"/>
      <c r="B19" s="139"/>
      <c r="C19" s="140"/>
      <c r="D19" s="252" t="s">
        <v>531</v>
      </c>
      <c r="E19" s="248">
        <v>16231387.999999981</v>
      </c>
      <c r="F19" s="249">
        <v>7.4608707550471401E-2</v>
      </c>
      <c r="G19" s="250">
        <v>3925</v>
      </c>
      <c r="H19" s="251">
        <v>9.3201624201552966E-2</v>
      </c>
      <c r="I19" s="102"/>
      <c r="K19" s="41"/>
      <c r="M19" s="414"/>
      <c r="N19" s="254"/>
      <c r="O19" s="255"/>
      <c r="P19" s="256"/>
      <c r="Q19" s="255"/>
    </row>
    <row r="20" spans="1:17">
      <c r="A20" s="40"/>
      <c r="B20" s="139"/>
      <c r="C20" s="140"/>
      <c r="D20" s="252" t="s">
        <v>532</v>
      </c>
      <c r="E20" s="248">
        <v>7709468.4199999943</v>
      </c>
      <c r="F20" s="249">
        <v>3.5437109550789804E-2</v>
      </c>
      <c r="G20" s="250">
        <v>1814</v>
      </c>
      <c r="H20" s="251">
        <v>4.3074585044997983E-2</v>
      </c>
      <c r="I20" s="102"/>
      <c r="K20" s="41"/>
      <c r="M20" s="414"/>
      <c r="N20" s="254"/>
      <c r="O20" s="255"/>
      <c r="P20" s="256"/>
      <c r="Q20" s="255"/>
    </row>
    <row r="21" spans="1:17">
      <c r="A21" s="40"/>
      <c r="B21" s="139"/>
      <c r="C21" s="140"/>
      <c r="D21" s="252" t="s">
        <v>533</v>
      </c>
      <c r="E21" s="248">
        <v>5253138.0300000012</v>
      </c>
      <c r="F21" s="249">
        <v>2.4146415513111388E-2</v>
      </c>
      <c r="G21" s="250">
        <v>1563</v>
      </c>
      <c r="H21" s="251">
        <v>3.7114430223446439E-2</v>
      </c>
      <c r="I21" s="102"/>
      <c r="K21" s="41"/>
      <c r="M21" s="414"/>
      <c r="N21" s="254"/>
      <c r="O21" s="255"/>
      <c r="P21" s="256"/>
      <c r="Q21" s="255"/>
    </row>
    <row r="22" spans="1:17">
      <c r="A22" s="40"/>
      <c r="B22" s="139"/>
      <c r="C22" s="140"/>
      <c r="D22" s="309" t="s">
        <v>534</v>
      </c>
      <c r="E22" s="248">
        <v>3210298.4400000018</v>
      </c>
      <c r="F22" s="249">
        <v>1.4756360790567941E-2</v>
      </c>
      <c r="G22" s="250">
        <v>1027</v>
      </c>
      <c r="H22" s="251">
        <v>2.4386768931208891E-2</v>
      </c>
      <c r="I22" s="102"/>
      <c r="K22" s="41"/>
      <c r="M22" s="415"/>
      <c r="N22" s="254"/>
      <c r="O22" s="255"/>
      <c r="P22" s="256"/>
      <c r="Q22" s="255"/>
    </row>
    <row r="23" spans="1:17">
      <c r="A23" s="40"/>
      <c r="B23" s="139"/>
      <c r="C23" s="140"/>
      <c r="D23" s="310" t="s">
        <v>535</v>
      </c>
      <c r="E23" s="248">
        <v>725102.60999999952</v>
      </c>
      <c r="F23" s="249">
        <v>3.3329847437306992E-3</v>
      </c>
      <c r="G23" s="250">
        <v>239</v>
      </c>
      <c r="H23" s="251">
        <v>5.6752071806805502E-3</v>
      </c>
      <c r="I23" s="102"/>
      <c r="K23" s="41"/>
      <c r="M23" s="416"/>
      <c r="N23" s="254"/>
      <c r="O23" s="255"/>
      <c r="P23" s="256"/>
      <c r="Q23" s="255"/>
    </row>
    <row r="24" spans="1:17" ht="12.75" customHeight="1">
      <c r="A24" s="40"/>
      <c r="B24" s="139"/>
      <c r="C24" s="140"/>
      <c r="D24" s="310" t="s">
        <v>536</v>
      </c>
      <c r="E24" s="248">
        <v>363231.58999999997</v>
      </c>
      <c r="F24" s="249">
        <v>1.6696193493373926E-3</v>
      </c>
      <c r="G24" s="250">
        <v>114</v>
      </c>
      <c r="H24" s="251">
        <v>2.7070025882744045E-3</v>
      </c>
      <c r="I24" s="102"/>
      <c r="K24" s="41"/>
      <c r="M24" s="416"/>
      <c r="N24" s="254"/>
      <c r="O24" s="255"/>
      <c r="P24" s="256"/>
      <c r="Q24" s="255"/>
    </row>
    <row r="25" spans="1:17" ht="12.75" customHeight="1">
      <c r="A25" s="40"/>
      <c r="B25" s="139"/>
      <c r="C25" s="140"/>
      <c r="D25" s="310" t="s">
        <v>537</v>
      </c>
      <c r="E25" s="248">
        <v>207155.85</v>
      </c>
      <c r="F25" s="249">
        <v>9.5220631963325252E-4</v>
      </c>
      <c r="G25" s="250">
        <v>100</v>
      </c>
      <c r="H25" s="251">
        <v>2.3745636739249164E-3</v>
      </c>
      <c r="I25" s="102"/>
      <c r="K25" s="41"/>
      <c r="M25" s="416"/>
      <c r="N25" s="254"/>
      <c r="O25" s="255"/>
      <c r="P25" s="256"/>
      <c r="Q25" s="255"/>
    </row>
    <row r="26" spans="1:17" ht="12.75" customHeight="1">
      <c r="A26" s="40"/>
      <c r="B26" s="139"/>
      <c r="C26" s="140"/>
      <c r="D26" s="310" t="s">
        <v>538</v>
      </c>
      <c r="E26" s="248">
        <v>119757.91999999998</v>
      </c>
      <c r="F26" s="249">
        <v>5.5047563585645042E-4</v>
      </c>
      <c r="G26" s="250">
        <v>58</v>
      </c>
      <c r="H26" s="251">
        <v>1.3772469308764514E-3</v>
      </c>
      <c r="I26" s="102"/>
      <c r="K26" s="41"/>
      <c r="M26" s="416"/>
      <c r="N26" s="254"/>
      <c r="O26" s="255"/>
      <c r="P26" s="256"/>
      <c r="Q26" s="255"/>
    </row>
    <row r="27" spans="1:17" ht="12.75" customHeight="1">
      <c r="A27" s="40"/>
      <c r="B27" s="139"/>
      <c r="C27" s="140"/>
      <c r="D27" s="310" t="s">
        <v>539</v>
      </c>
      <c r="E27" s="248">
        <v>46785.17</v>
      </c>
      <c r="F27" s="249">
        <v>2.1505129852290462E-4</v>
      </c>
      <c r="G27" s="250">
        <v>18</v>
      </c>
      <c r="H27" s="251">
        <v>4.2742146130648491E-4</v>
      </c>
      <c r="I27" s="102"/>
      <c r="K27" s="41"/>
      <c r="M27" s="416"/>
      <c r="N27" s="254"/>
      <c r="O27" s="255"/>
      <c r="P27" s="256"/>
      <c r="Q27" s="255"/>
    </row>
    <row r="28" spans="1:17" ht="12.75" customHeight="1">
      <c r="A28" s="40"/>
      <c r="B28" s="139"/>
      <c r="C28" s="140"/>
      <c r="D28" s="310" t="s">
        <v>540</v>
      </c>
      <c r="E28" s="248">
        <v>18713.54</v>
      </c>
      <c r="F28" s="249">
        <v>8.6018092420318606E-5</v>
      </c>
      <c r="G28" s="250">
        <v>5</v>
      </c>
      <c r="H28" s="251">
        <v>1.1872818369624582E-4</v>
      </c>
      <c r="I28" s="102"/>
      <c r="K28" s="41"/>
      <c r="M28" s="416"/>
      <c r="N28" s="254"/>
      <c r="O28" s="255"/>
      <c r="P28" s="256"/>
      <c r="Q28" s="255"/>
    </row>
    <row r="29" spans="1:17" ht="12.75" customHeight="1">
      <c r="A29" s="40"/>
      <c r="B29" s="139"/>
      <c r="C29" s="140"/>
      <c r="D29" s="310" t="s">
        <v>541</v>
      </c>
      <c r="E29" s="248">
        <v>8102.3</v>
      </c>
      <c r="F29" s="249">
        <v>3.7242787319617101E-5</v>
      </c>
      <c r="G29" s="250">
        <v>6</v>
      </c>
      <c r="H29" s="251">
        <v>1.4247382043549499E-4</v>
      </c>
      <c r="I29" s="102"/>
      <c r="K29" s="41"/>
      <c r="M29" s="416"/>
      <c r="N29" s="254"/>
      <c r="O29" s="255"/>
      <c r="P29" s="256"/>
      <c r="Q29" s="255"/>
    </row>
    <row r="30" spans="1:17" ht="12.75" customHeight="1">
      <c r="A30" s="40"/>
      <c r="B30" s="139"/>
      <c r="C30" s="140"/>
      <c r="D30" s="310" t="s">
        <v>542</v>
      </c>
      <c r="E30" s="248">
        <v>15739.259999999998</v>
      </c>
      <c r="F30" s="249">
        <v>7.234660685831882E-5</v>
      </c>
      <c r="G30" s="250">
        <v>11</v>
      </c>
      <c r="H30" s="251">
        <v>2.6120200413174078E-4</v>
      </c>
      <c r="I30" s="102"/>
      <c r="K30" s="41"/>
      <c r="M30" s="416"/>
      <c r="N30" s="254"/>
      <c r="O30" s="255"/>
      <c r="P30" s="256"/>
      <c r="Q30" s="255"/>
    </row>
    <row r="31" spans="1:17" ht="12.75" customHeight="1">
      <c r="A31" s="40"/>
      <c r="B31" s="139"/>
      <c r="C31" s="140"/>
      <c r="D31" s="310" t="s">
        <v>543</v>
      </c>
      <c r="E31" s="248">
        <v>3333.52</v>
      </c>
      <c r="F31" s="249">
        <v>1.5322757289373388E-5</v>
      </c>
      <c r="G31" s="250">
        <v>3</v>
      </c>
      <c r="H31" s="251">
        <v>7.1236910217747495E-5</v>
      </c>
      <c r="I31" s="102"/>
      <c r="K31" s="41"/>
      <c r="M31" s="416"/>
      <c r="N31" s="254"/>
      <c r="O31" s="255"/>
      <c r="P31" s="256"/>
      <c r="Q31" s="255"/>
    </row>
    <row r="32" spans="1:17" ht="12.75" customHeight="1" thickBot="1">
      <c r="A32" s="40"/>
      <c r="B32" s="139"/>
      <c r="C32" s="140"/>
      <c r="D32" s="310" t="s">
        <v>544</v>
      </c>
      <c r="E32" s="248">
        <v>5764.7900000000009</v>
      </c>
      <c r="F32" s="249">
        <v>2.6498259495730286E-5</v>
      </c>
      <c r="G32" s="250">
        <v>11</v>
      </c>
      <c r="H32" s="251">
        <v>2.6120200413174078E-4</v>
      </c>
      <c r="I32" s="102"/>
      <c r="K32" s="41"/>
      <c r="M32" s="416"/>
      <c r="N32" s="254"/>
      <c r="O32" s="255"/>
      <c r="P32" s="256"/>
      <c r="Q32" s="255"/>
    </row>
    <row r="33" spans="1:17" ht="14.25" thickTop="1" thickBot="1">
      <c r="A33" s="40"/>
      <c r="B33" s="139"/>
      <c r="C33" s="140"/>
      <c r="D33" s="291" t="s">
        <v>40</v>
      </c>
      <c r="E33" s="292">
        <f>SUM(E14:E32)</f>
        <v>217553534.06999978</v>
      </c>
      <c r="F33" s="311">
        <f>SUM(F14:F32)</f>
        <v>1.0000000000000093</v>
      </c>
      <c r="G33" s="293">
        <f>SUM(G14:G32)</f>
        <v>42113</v>
      </c>
      <c r="H33" s="312">
        <f>SUM(H14:H32)</f>
        <v>1.0000000000000002</v>
      </c>
      <c r="I33" s="102"/>
      <c r="J33" s="102"/>
      <c r="K33" s="41"/>
      <c r="M33" s="360"/>
      <c r="N33" s="361"/>
      <c r="O33" s="346"/>
      <c r="P33" s="390"/>
      <c r="Q33" s="318"/>
    </row>
    <row r="34" spans="1:17">
      <c r="A34" s="40"/>
      <c r="B34" s="139"/>
      <c r="C34" s="140"/>
      <c r="D34" s="347"/>
      <c r="E34" s="348"/>
      <c r="F34" s="346"/>
      <c r="G34" s="326"/>
      <c r="H34" s="325"/>
      <c r="I34" s="102"/>
      <c r="J34" s="102"/>
      <c r="K34" s="41"/>
      <c r="M34" s="360"/>
      <c r="N34" s="361"/>
      <c r="O34" s="346"/>
      <c r="P34" s="390"/>
      <c r="Q34" s="318"/>
    </row>
    <row r="35" spans="1:17">
      <c r="A35" s="40"/>
      <c r="B35" s="139"/>
      <c r="C35" s="140"/>
      <c r="D35" s="360"/>
      <c r="E35" s="361"/>
      <c r="F35" s="346"/>
      <c r="G35" s="326"/>
      <c r="H35" s="325"/>
      <c r="I35" s="102"/>
      <c r="J35" s="102"/>
      <c r="K35" s="41"/>
      <c r="M35" s="360"/>
      <c r="N35" s="361"/>
      <c r="O35" s="346"/>
      <c r="P35" s="390"/>
      <c r="Q35" s="318"/>
    </row>
    <row r="36" spans="1:17" ht="13.5" thickBot="1">
      <c r="A36" s="40"/>
      <c r="B36" s="139"/>
      <c r="C36" s="140"/>
      <c r="D36" s="448" t="s">
        <v>89</v>
      </c>
      <c r="E36" s="448"/>
      <c r="F36" s="132"/>
      <c r="G36" s="132"/>
      <c r="H36" s="132"/>
      <c r="I36" s="102"/>
      <c r="J36" s="102"/>
      <c r="K36" s="41"/>
      <c r="M36" s="148"/>
      <c r="N36" s="333"/>
      <c r="O36" s="148"/>
      <c r="P36" s="148"/>
      <c r="Q36" s="148"/>
    </row>
    <row r="37" spans="1:17" ht="13.5" thickBot="1">
      <c r="A37" s="40"/>
      <c r="B37" s="139"/>
      <c r="C37" s="140"/>
      <c r="D37" s="489" t="s">
        <v>95</v>
      </c>
      <c r="E37" s="490">
        <v>35.792733667818005</v>
      </c>
      <c r="F37" s="132"/>
      <c r="G37" s="132"/>
      <c r="H37" s="132"/>
      <c r="I37" s="102"/>
      <c r="J37" s="102"/>
      <c r="K37" s="41"/>
      <c r="M37" s="148"/>
      <c r="N37" s="333"/>
      <c r="O37" s="148"/>
      <c r="P37" s="148"/>
      <c r="Q37" s="148"/>
    </row>
    <row r="38" spans="1:17">
      <c r="A38" s="40"/>
      <c r="B38" s="139"/>
      <c r="C38" s="140"/>
      <c r="D38" s="134"/>
      <c r="E38" s="146"/>
      <c r="F38" s="132"/>
      <c r="G38" s="132"/>
      <c r="H38" s="132"/>
      <c r="I38" s="102"/>
      <c r="J38" s="102"/>
      <c r="K38" s="41"/>
      <c r="M38" s="148"/>
      <c r="N38" s="333"/>
      <c r="O38" s="148"/>
      <c r="P38" s="148"/>
      <c r="Q38" s="148"/>
    </row>
    <row r="39" spans="1:17">
      <c r="A39" s="40"/>
      <c r="B39" s="139"/>
      <c r="C39" s="140"/>
      <c r="D39" s="142"/>
      <c r="E39" s="146"/>
      <c r="F39" s="132"/>
      <c r="G39" s="132"/>
      <c r="H39" s="132"/>
      <c r="I39" s="102"/>
      <c r="J39" s="102"/>
      <c r="K39" s="41"/>
      <c r="M39" s="148"/>
      <c r="N39" s="333"/>
      <c r="O39" s="148"/>
      <c r="P39" s="148"/>
      <c r="Q39" s="148"/>
    </row>
    <row r="40" spans="1:17">
      <c r="A40" s="40"/>
      <c r="B40" s="139"/>
      <c r="C40" s="140"/>
      <c r="D40" s="173"/>
      <c r="E40" s="333"/>
      <c r="F40" s="132"/>
      <c r="G40" s="132"/>
      <c r="H40" s="132"/>
      <c r="I40" s="102"/>
      <c r="J40" s="102"/>
      <c r="K40" s="41"/>
      <c r="M40" s="148"/>
      <c r="N40" s="333"/>
      <c r="O40" s="148"/>
      <c r="P40" s="148"/>
      <c r="Q40" s="148"/>
    </row>
    <row r="41" spans="1:17">
      <c r="A41" s="40"/>
      <c r="B41" s="139"/>
      <c r="C41" s="140"/>
      <c r="D41" s="173"/>
      <c r="E41" s="333"/>
      <c r="F41" s="132"/>
      <c r="G41" s="132"/>
      <c r="H41" s="132"/>
      <c r="I41" s="102"/>
      <c r="J41" s="102"/>
      <c r="K41" s="41"/>
      <c r="M41" s="148"/>
      <c r="N41" s="333"/>
      <c r="O41" s="148"/>
      <c r="P41" s="148"/>
      <c r="Q41" s="148"/>
    </row>
    <row r="42" spans="1:17">
      <c r="A42" s="40"/>
      <c r="B42" s="139"/>
      <c r="C42" s="140"/>
      <c r="D42" s="173"/>
      <c r="E42" s="333"/>
      <c r="F42" s="132"/>
      <c r="G42" s="132"/>
      <c r="H42" s="132"/>
      <c r="I42" s="102"/>
      <c r="J42" s="102"/>
      <c r="K42" s="41"/>
      <c r="M42" s="148"/>
      <c r="N42" s="333"/>
      <c r="O42" s="148"/>
      <c r="P42" s="148"/>
      <c r="Q42" s="148"/>
    </row>
    <row r="43" spans="1:17">
      <c r="A43" s="40"/>
      <c r="B43" s="139"/>
      <c r="C43" s="140"/>
      <c r="D43" s="173"/>
      <c r="E43" s="333"/>
      <c r="F43" s="132"/>
      <c r="G43" s="132"/>
      <c r="H43" s="132"/>
      <c r="I43" s="102"/>
      <c r="J43" s="102"/>
      <c r="K43" s="41"/>
      <c r="M43" s="148"/>
      <c r="N43" s="333"/>
      <c r="O43" s="148"/>
      <c r="P43" s="148"/>
      <c r="Q43" s="148"/>
    </row>
    <row r="44" spans="1:17">
      <c r="A44" s="40"/>
      <c r="B44" s="139"/>
      <c r="C44" s="140"/>
      <c r="D44" s="173"/>
      <c r="E44" s="333"/>
      <c r="F44" s="132"/>
      <c r="G44" s="132"/>
      <c r="H44" s="132"/>
      <c r="I44" s="102"/>
      <c r="J44" s="102"/>
      <c r="K44" s="41"/>
      <c r="M44" s="148"/>
      <c r="N44" s="333"/>
      <c r="O44" s="148"/>
      <c r="P44" s="148"/>
      <c r="Q44" s="148"/>
    </row>
    <row r="45" spans="1:17">
      <c r="A45" s="60"/>
      <c r="B45" s="167"/>
      <c r="C45" s="168"/>
      <c r="D45" s="169"/>
      <c r="E45" s="170"/>
      <c r="F45" s="171"/>
      <c r="G45" s="172"/>
      <c r="H45" s="171"/>
      <c r="I45" s="126"/>
      <c r="J45" s="61"/>
      <c r="K45" s="79"/>
      <c r="M45" s="156"/>
      <c r="N45" s="157"/>
      <c r="O45" s="141"/>
      <c r="P45" s="158"/>
      <c r="Q45" s="141"/>
    </row>
    <row r="46" spans="1:17">
      <c r="A46" s="36"/>
      <c r="B46" s="139"/>
      <c r="C46" s="140"/>
      <c r="D46" s="156"/>
      <c r="E46" s="157"/>
      <c r="F46" s="141"/>
      <c r="G46" s="158"/>
      <c r="H46" s="141"/>
      <c r="I46" s="102"/>
      <c r="J46" s="34"/>
      <c r="K46" s="34"/>
      <c r="L46" s="34"/>
      <c r="M46" s="156"/>
      <c r="N46" s="157"/>
      <c r="O46" s="141"/>
      <c r="P46" s="158"/>
      <c r="Q46" s="141"/>
    </row>
    <row r="47" spans="1:17" s="34" customFormat="1">
      <c r="B47" s="139"/>
      <c r="C47" s="140"/>
      <c r="D47" s="156"/>
      <c r="E47" s="157"/>
      <c r="F47" s="141"/>
      <c r="G47" s="158"/>
      <c r="H47" s="141"/>
      <c r="I47" s="102"/>
      <c r="M47" s="156"/>
      <c r="N47" s="157"/>
      <c r="O47" s="141"/>
      <c r="P47" s="158"/>
      <c r="Q47" s="141"/>
    </row>
    <row r="48" spans="1:17" s="34" customFormat="1">
      <c r="B48" s="139"/>
      <c r="C48" s="140"/>
      <c r="D48" s="156"/>
      <c r="E48" s="157"/>
      <c r="F48" s="141"/>
      <c r="G48" s="158"/>
      <c r="H48" s="141"/>
      <c r="I48" s="102"/>
      <c r="M48" s="156"/>
      <c r="N48" s="157"/>
      <c r="O48" s="141"/>
      <c r="P48" s="158"/>
      <c r="Q48" s="141"/>
    </row>
    <row r="49" spans="2:17" s="4" customFormat="1" ht="15" customHeight="1">
      <c r="B49" s="139"/>
      <c r="C49" s="140"/>
      <c r="D49" s="156"/>
      <c r="E49" s="157"/>
      <c r="F49" s="141"/>
      <c r="G49" s="158"/>
      <c r="H49" s="141"/>
      <c r="I49" s="18"/>
      <c r="M49" s="156"/>
      <c r="N49" s="157"/>
      <c r="O49" s="141"/>
      <c r="P49" s="158"/>
      <c r="Q49" s="141"/>
    </row>
    <row r="50" spans="2:17" s="4" customFormat="1">
      <c r="B50" s="139"/>
      <c r="C50" s="140"/>
      <c r="D50" s="156"/>
      <c r="E50" s="157"/>
      <c r="F50" s="141"/>
      <c r="G50" s="158"/>
      <c r="H50" s="141"/>
      <c r="I50" s="18"/>
      <c r="M50" s="156"/>
      <c r="N50" s="157"/>
      <c r="O50" s="141"/>
      <c r="P50" s="158"/>
      <c r="Q50" s="141"/>
    </row>
    <row r="51" spans="2:17" s="34" customFormat="1">
      <c r="B51" s="139"/>
      <c r="C51" s="140"/>
      <c r="D51" s="156"/>
      <c r="E51" s="157"/>
      <c r="F51" s="141"/>
      <c r="G51" s="158"/>
      <c r="H51" s="141"/>
      <c r="I51" s="102"/>
      <c r="M51" s="156"/>
      <c r="N51" s="157"/>
      <c r="O51" s="141"/>
      <c r="P51" s="158"/>
      <c r="Q51" s="141"/>
    </row>
    <row r="52" spans="2:17" s="34" customFormat="1">
      <c r="B52" s="139"/>
      <c r="C52" s="140"/>
      <c r="D52" s="156"/>
      <c r="E52" s="157"/>
      <c r="F52" s="141"/>
      <c r="G52" s="158"/>
      <c r="H52" s="141"/>
      <c r="I52" s="102"/>
      <c r="M52" s="156"/>
      <c r="N52" s="157"/>
      <c r="O52" s="141"/>
      <c r="P52" s="158"/>
      <c r="Q52" s="141"/>
    </row>
    <row r="53" spans="2:17" s="34" customFormat="1">
      <c r="B53" s="139"/>
      <c r="C53" s="140"/>
      <c r="D53" s="156"/>
      <c r="E53" s="157"/>
      <c r="F53" s="141"/>
      <c r="G53" s="158"/>
      <c r="H53" s="141"/>
      <c r="I53" s="102"/>
      <c r="M53" s="156"/>
      <c r="N53" s="157"/>
      <c r="O53" s="141"/>
      <c r="P53" s="158"/>
      <c r="Q53" s="141"/>
    </row>
    <row r="54" spans="2:17" s="34" customFormat="1">
      <c r="B54" s="139"/>
      <c r="C54" s="140"/>
      <c r="D54" s="156"/>
      <c r="E54" s="157"/>
      <c r="F54" s="141"/>
      <c r="G54" s="158"/>
      <c r="H54" s="141"/>
      <c r="I54" s="102"/>
      <c r="M54" s="156"/>
      <c r="N54" s="157"/>
      <c r="O54" s="141"/>
      <c r="P54" s="158"/>
      <c r="Q54" s="141"/>
    </row>
    <row r="55" spans="2:17" s="34" customFormat="1">
      <c r="B55" s="139"/>
      <c r="C55" s="140"/>
      <c r="D55" s="156"/>
      <c r="E55" s="157"/>
      <c r="F55" s="141"/>
      <c r="G55" s="158"/>
      <c r="H55" s="141"/>
      <c r="I55" s="102"/>
      <c r="M55" s="156"/>
      <c r="N55" s="157"/>
      <c r="O55" s="141"/>
      <c r="P55" s="158"/>
      <c r="Q55" s="141"/>
    </row>
    <row r="56" spans="2:17" s="34" customFormat="1">
      <c r="B56" s="139"/>
      <c r="C56" s="140"/>
      <c r="D56" s="156"/>
      <c r="E56" s="157"/>
      <c r="F56" s="141"/>
      <c r="G56" s="158"/>
      <c r="H56" s="141"/>
      <c r="I56" s="102"/>
      <c r="M56" s="156"/>
      <c r="N56" s="157"/>
      <c r="O56" s="141"/>
      <c r="P56" s="158"/>
      <c r="Q56" s="141"/>
    </row>
    <row r="57" spans="2:17" s="34" customFormat="1">
      <c r="B57" s="139"/>
      <c r="C57" s="140"/>
      <c r="D57" s="156"/>
      <c r="E57" s="157"/>
      <c r="F57" s="141"/>
      <c r="G57" s="158"/>
      <c r="H57" s="141"/>
      <c r="I57" s="102"/>
      <c r="M57" s="156"/>
      <c r="N57" s="157"/>
      <c r="O57" s="141"/>
      <c r="P57" s="158"/>
      <c r="Q57" s="141"/>
    </row>
    <row r="58" spans="2:17" s="34" customFormat="1">
      <c r="B58" s="139"/>
      <c r="C58" s="140"/>
      <c r="D58" s="156"/>
      <c r="E58" s="157"/>
      <c r="F58" s="141"/>
      <c r="G58" s="158"/>
      <c r="H58" s="141"/>
      <c r="I58" s="102"/>
      <c r="M58" s="156"/>
      <c r="N58" s="157"/>
      <c r="O58" s="141"/>
      <c r="P58" s="158"/>
      <c r="Q58" s="141"/>
    </row>
    <row r="59" spans="2:17" s="34" customFormat="1">
      <c r="B59" s="139"/>
      <c r="C59" s="140"/>
      <c r="D59" s="156"/>
      <c r="E59" s="157"/>
      <c r="F59" s="141"/>
      <c r="G59" s="158"/>
      <c r="H59" s="141"/>
      <c r="I59" s="102"/>
      <c r="M59" s="156"/>
      <c r="N59" s="157"/>
      <c r="O59" s="141"/>
      <c r="P59" s="158"/>
      <c r="Q59" s="141"/>
    </row>
    <row r="60" spans="2:17" s="34" customFormat="1">
      <c r="B60" s="139"/>
      <c r="C60" s="140"/>
      <c r="D60" s="156"/>
      <c r="E60" s="157"/>
      <c r="F60" s="141"/>
      <c r="G60" s="158"/>
      <c r="H60" s="141"/>
      <c r="I60" s="102"/>
      <c r="M60" s="156"/>
      <c r="N60" s="157"/>
      <c r="O60" s="141"/>
      <c r="P60" s="158"/>
      <c r="Q60" s="141"/>
    </row>
    <row r="61" spans="2:17" s="34" customFormat="1">
      <c r="B61" s="139"/>
      <c r="C61" s="140"/>
      <c r="D61" s="156"/>
      <c r="E61" s="157"/>
      <c r="F61" s="141"/>
      <c r="G61" s="158"/>
      <c r="H61" s="141"/>
      <c r="I61" s="102"/>
      <c r="M61" s="156"/>
      <c r="N61" s="157"/>
      <c r="O61" s="141"/>
      <c r="P61" s="158"/>
      <c r="Q61" s="141"/>
    </row>
    <row r="62" spans="2:17" s="34" customFormat="1">
      <c r="B62" s="139"/>
      <c r="C62" s="140"/>
      <c r="D62" s="156"/>
      <c r="E62" s="157"/>
      <c r="F62" s="141"/>
      <c r="G62" s="158"/>
      <c r="H62" s="141"/>
      <c r="I62" s="102"/>
      <c r="M62" s="156"/>
      <c r="N62" s="157"/>
      <c r="O62" s="141"/>
      <c r="P62" s="158"/>
      <c r="Q62" s="141"/>
    </row>
    <row r="63" spans="2:17" s="34" customFormat="1">
      <c r="B63" s="139"/>
      <c r="C63" s="140"/>
      <c r="D63" s="156"/>
      <c r="E63" s="157"/>
      <c r="F63" s="141"/>
      <c r="G63" s="158"/>
      <c r="H63" s="141"/>
      <c r="I63" s="102"/>
      <c r="M63" s="156"/>
      <c r="N63" s="157"/>
      <c r="O63" s="141"/>
      <c r="P63" s="158"/>
      <c r="Q63" s="141"/>
    </row>
    <row r="64" spans="2:17" s="34" customFormat="1">
      <c r="B64" s="139"/>
      <c r="C64" s="140"/>
      <c r="D64" s="156"/>
      <c r="E64" s="157"/>
      <c r="F64" s="141"/>
      <c r="G64" s="158"/>
      <c r="H64" s="141"/>
      <c r="I64" s="102"/>
      <c r="M64" s="156"/>
      <c r="N64" s="157"/>
      <c r="O64" s="141"/>
      <c r="P64" s="158"/>
      <c r="Q64" s="141"/>
    </row>
    <row r="65" spans="2:17" s="34" customFormat="1">
      <c r="B65" s="139"/>
      <c r="C65" s="140"/>
      <c r="D65" s="156"/>
      <c r="E65" s="157"/>
      <c r="F65" s="141"/>
      <c r="G65" s="158"/>
      <c r="H65" s="141"/>
      <c r="I65" s="102"/>
      <c r="M65" s="156"/>
      <c r="N65" s="157"/>
      <c r="O65" s="141"/>
      <c r="P65" s="158"/>
      <c r="Q65" s="141"/>
    </row>
    <row r="66" spans="2:17" s="34" customFormat="1">
      <c r="B66" s="139"/>
      <c r="C66" s="140"/>
      <c r="D66" s="156"/>
      <c r="E66" s="157"/>
      <c r="F66" s="141"/>
      <c r="G66" s="158"/>
      <c r="H66" s="141"/>
      <c r="I66" s="102"/>
      <c r="M66" s="156"/>
      <c r="N66" s="157"/>
      <c r="O66" s="141"/>
      <c r="P66" s="158"/>
      <c r="Q66" s="141"/>
    </row>
    <row r="67" spans="2:17" s="34" customFormat="1">
      <c r="B67" s="139"/>
      <c r="C67" s="140"/>
      <c r="D67" s="156"/>
      <c r="E67" s="157"/>
      <c r="F67" s="141"/>
      <c r="G67" s="158"/>
      <c r="H67" s="141"/>
      <c r="I67" s="102"/>
      <c r="M67" s="156"/>
      <c r="N67" s="157"/>
      <c r="O67" s="141"/>
      <c r="P67" s="158"/>
      <c r="Q67" s="141"/>
    </row>
    <row r="68" spans="2:17" s="34" customFormat="1">
      <c r="B68" s="139"/>
      <c r="C68" s="140"/>
      <c r="D68" s="156"/>
      <c r="E68" s="157"/>
      <c r="F68" s="141"/>
      <c r="G68" s="158"/>
      <c r="H68" s="141"/>
      <c r="I68" s="102"/>
      <c r="M68" s="156"/>
      <c r="N68" s="157"/>
      <c r="O68" s="141"/>
      <c r="P68" s="158"/>
      <c r="Q68" s="141"/>
    </row>
    <row r="69" spans="2:17" s="34" customFormat="1">
      <c r="B69" s="139"/>
      <c r="C69" s="140"/>
      <c r="D69" s="156"/>
      <c r="E69" s="157"/>
      <c r="F69" s="141"/>
      <c r="G69" s="158"/>
      <c r="H69" s="141"/>
      <c r="I69" s="102"/>
      <c r="M69" s="156"/>
      <c r="N69" s="157"/>
      <c r="O69" s="141"/>
      <c r="P69" s="158"/>
      <c r="Q69" s="141"/>
    </row>
    <row r="70" spans="2:17" s="34" customFormat="1">
      <c r="B70" s="139"/>
      <c r="C70" s="140"/>
      <c r="D70" s="156"/>
      <c r="E70" s="157"/>
      <c r="F70" s="141"/>
      <c r="G70" s="158"/>
      <c r="H70" s="141"/>
      <c r="I70" s="102"/>
      <c r="M70" s="156"/>
      <c r="N70" s="157"/>
      <c r="O70" s="141"/>
      <c r="P70" s="158"/>
      <c r="Q70" s="141"/>
    </row>
    <row r="71" spans="2:17" s="34" customFormat="1">
      <c r="B71" s="139"/>
      <c r="C71" s="140"/>
      <c r="D71" s="156"/>
      <c r="E71" s="157"/>
      <c r="F71" s="141"/>
      <c r="G71" s="158"/>
      <c r="H71" s="141"/>
      <c r="I71" s="102"/>
      <c r="M71" s="156"/>
      <c r="N71" s="157"/>
      <c r="O71" s="141"/>
      <c r="P71" s="158"/>
      <c r="Q71" s="141"/>
    </row>
    <row r="72" spans="2:17" s="34" customFormat="1">
      <c r="B72" s="139"/>
      <c r="C72" s="140"/>
      <c r="D72" s="156"/>
      <c r="E72" s="157"/>
      <c r="F72" s="141"/>
      <c r="G72" s="158"/>
      <c r="H72" s="141"/>
      <c r="I72" s="102"/>
      <c r="M72" s="156"/>
      <c r="N72" s="157"/>
      <c r="O72" s="141"/>
      <c r="P72" s="158"/>
      <c r="Q72" s="141"/>
    </row>
    <row r="73" spans="2:17" s="34" customFormat="1">
      <c r="B73" s="139"/>
      <c r="C73" s="140"/>
      <c r="D73" s="156"/>
      <c r="E73" s="157"/>
      <c r="F73" s="141"/>
      <c r="G73" s="158"/>
      <c r="H73" s="141"/>
      <c r="I73" s="102"/>
      <c r="M73" s="156"/>
      <c r="N73" s="157"/>
      <c r="O73" s="141"/>
      <c r="P73" s="158"/>
      <c r="Q73" s="141"/>
    </row>
    <row r="74" spans="2:17" s="34" customFormat="1">
      <c r="B74" s="139"/>
      <c r="C74" s="140"/>
      <c r="D74" s="156"/>
      <c r="E74" s="157"/>
      <c r="F74" s="141"/>
      <c r="G74" s="158"/>
      <c r="H74" s="141"/>
      <c r="I74" s="102"/>
      <c r="M74" s="156"/>
      <c r="N74" s="157"/>
      <c r="O74" s="141"/>
      <c r="P74" s="158"/>
      <c r="Q74" s="141"/>
    </row>
    <row r="75" spans="2:17" s="34" customFormat="1">
      <c r="B75" s="139"/>
      <c r="C75" s="140"/>
      <c r="D75" s="156"/>
      <c r="E75" s="157"/>
      <c r="F75" s="141"/>
      <c r="G75" s="158"/>
      <c r="H75" s="141"/>
      <c r="I75" s="102"/>
      <c r="M75" s="156"/>
      <c r="N75" s="157"/>
      <c r="O75" s="141"/>
      <c r="P75" s="158"/>
      <c r="Q75" s="141"/>
    </row>
    <row r="76" spans="2:17" s="34" customFormat="1">
      <c r="B76" s="139"/>
      <c r="C76" s="140"/>
      <c r="D76" s="156"/>
      <c r="E76" s="157"/>
      <c r="F76" s="141"/>
      <c r="G76" s="158"/>
      <c r="H76" s="141"/>
      <c r="I76" s="102"/>
      <c r="M76" s="156"/>
      <c r="N76" s="157"/>
      <c r="O76" s="141"/>
      <c r="P76" s="158"/>
      <c r="Q76" s="141"/>
    </row>
    <row r="77" spans="2:17" s="34" customFormat="1">
      <c r="B77" s="139"/>
      <c r="C77" s="140"/>
      <c r="D77" s="156"/>
      <c r="E77" s="157"/>
      <c r="F77" s="141"/>
      <c r="G77" s="158"/>
      <c r="H77" s="141"/>
      <c r="I77" s="102"/>
      <c r="M77" s="156"/>
      <c r="N77" s="157"/>
      <c r="O77" s="141"/>
      <c r="P77" s="158"/>
      <c r="Q77" s="141"/>
    </row>
    <row r="78" spans="2:17" s="34" customFormat="1">
      <c r="B78" s="139"/>
      <c r="C78" s="140"/>
      <c r="D78" s="156"/>
      <c r="E78" s="157"/>
      <c r="F78" s="141"/>
      <c r="G78" s="158"/>
      <c r="H78" s="141"/>
      <c r="I78" s="102"/>
      <c r="M78" s="156"/>
      <c r="N78" s="157"/>
      <c r="O78" s="141"/>
      <c r="P78" s="158"/>
      <c r="Q78" s="141"/>
    </row>
    <row r="79" spans="2:17" s="34" customFormat="1">
      <c r="B79" s="139"/>
      <c r="C79" s="140"/>
      <c r="D79" s="142"/>
      <c r="E79" s="134"/>
      <c r="F79" s="143"/>
      <c r="G79" s="144"/>
      <c r="H79" s="143"/>
      <c r="I79" s="102"/>
      <c r="M79" s="142"/>
      <c r="N79" s="134"/>
      <c r="O79" s="143"/>
      <c r="P79" s="144"/>
      <c r="Q79" s="143"/>
    </row>
    <row r="80" spans="2:17" s="34" customFormat="1">
      <c r="B80" s="139"/>
      <c r="C80" s="140"/>
      <c r="D80" s="142"/>
      <c r="E80" s="142"/>
      <c r="F80" s="142"/>
      <c r="G80" s="142"/>
      <c r="H80" s="142"/>
      <c r="I80" s="102"/>
      <c r="M80" s="142"/>
      <c r="N80" s="142"/>
      <c r="O80" s="142"/>
      <c r="P80" s="142"/>
      <c r="Q80" s="142"/>
    </row>
    <row r="81" spans="2:17" s="34" customFormat="1">
      <c r="B81" s="139"/>
      <c r="C81" s="140"/>
      <c r="D81" s="142"/>
      <c r="E81" s="142"/>
      <c r="F81" s="142"/>
      <c r="G81" s="142"/>
      <c r="H81" s="142"/>
      <c r="I81" s="102"/>
      <c r="M81" s="142"/>
      <c r="N81" s="142"/>
      <c r="O81" s="142"/>
      <c r="P81" s="142"/>
      <c r="Q81" s="142"/>
    </row>
    <row r="82" spans="2:17" s="34" customFormat="1">
      <c r="B82" s="139"/>
      <c r="C82" s="140"/>
      <c r="D82" s="145"/>
      <c r="E82" s="146"/>
      <c r="F82" s="142"/>
      <c r="G82" s="142"/>
      <c r="H82" s="142"/>
      <c r="I82" s="102"/>
      <c r="M82" s="145"/>
      <c r="N82" s="146"/>
      <c r="O82" s="142"/>
      <c r="P82" s="142"/>
      <c r="Q82" s="142"/>
    </row>
    <row r="83" spans="2:17" s="34" customFormat="1">
      <c r="B83" s="139"/>
      <c r="C83" s="140"/>
      <c r="D83" s="134"/>
      <c r="E83" s="146"/>
      <c r="F83" s="142"/>
      <c r="G83" s="142"/>
      <c r="H83" s="142"/>
      <c r="I83" s="102"/>
      <c r="M83" s="134"/>
      <c r="N83" s="146"/>
      <c r="O83" s="142"/>
      <c r="P83" s="142"/>
      <c r="Q83" s="142"/>
    </row>
    <row r="84" spans="2:17" s="34" customFormat="1">
      <c r="B84" s="139"/>
      <c r="C84" s="140"/>
      <c r="D84" s="142"/>
      <c r="E84" s="146"/>
      <c r="F84" s="142"/>
      <c r="G84" s="142"/>
      <c r="H84" s="142"/>
      <c r="I84" s="102"/>
      <c r="M84" s="142"/>
      <c r="N84" s="146"/>
      <c r="O84" s="142"/>
      <c r="P84" s="142"/>
      <c r="Q84" s="142"/>
    </row>
    <row r="85" spans="2:17" s="34" customFormat="1" ht="14.25">
      <c r="B85" s="142"/>
      <c r="C85" s="134"/>
      <c r="D85" s="150"/>
      <c r="E85" s="150"/>
      <c r="F85" s="150"/>
      <c r="G85" s="150"/>
      <c r="H85" s="150"/>
      <c r="I85" s="102"/>
      <c r="M85" s="150"/>
      <c r="N85" s="150"/>
      <c r="O85" s="150"/>
      <c r="P85" s="150"/>
      <c r="Q85" s="150"/>
    </row>
    <row r="86" spans="2:17" s="34" customFormat="1" ht="14.25">
      <c r="B86" s="173"/>
      <c r="C86" s="173"/>
      <c r="D86" s="150"/>
      <c r="E86" s="150"/>
      <c r="F86" s="150"/>
      <c r="G86" s="150"/>
      <c r="H86" s="150"/>
      <c r="I86" s="102"/>
      <c r="M86" s="150"/>
      <c r="N86" s="150"/>
      <c r="O86" s="150"/>
      <c r="P86" s="150"/>
      <c r="Q86" s="150"/>
    </row>
    <row r="87" spans="2:17" s="34" customFormat="1" ht="14.25">
      <c r="B87" s="173"/>
      <c r="C87" s="173"/>
      <c r="D87" s="151"/>
      <c r="E87" s="152"/>
      <c r="F87" s="150"/>
      <c r="G87" s="150"/>
      <c r="H87" s="150"/>
      <c r="I87" s="102"/>
      <c r="M87" s="151"/>
      <c r="N87" s="152"/>
      <c r="O87" s="150"/>
      <c r="P87" s="150"/>
      <c r="Q87" s="150"/>
    </row>
    <row r="88" spans="2:17" s="34" customFormat="1" ht="14.25">
      <c r="B88" s="145"/>
      <c r="C88" s="146"/>
      <c r="D88" s="153"/>
      <c r="E88" s="152"/>
      <c r="F88" s="150"/>
      <c r="G88" s="150"/>
      <c r="H88" s="150"/>
      <c r="I88" s="102"/>
      <c r="M88" s="153"/>
      <c r="N88" s="152"/>
      <c r="O88" s="150"/>
      <c r="P88" s="150"/>
      <c r="Q88" s="150"/>
    </row>
    <row r="89" spans="2:17" s="34" customFormat="1" ht="14.25">
      <c r="B89" s="147"/>
      <c r="C89" s="146"/>
      <c r="D89" s="150"/>
      <c r="E89" s="152"/>
      <c r="F89" s="150"/>
      <c r="G89" s="150"/>
      <c r="H89" s="150"/>
      <c r="I89" s="102"/>
      <c r="M89" s="150"/>
      <c r="N89" s="152"/>
      <c r="O89" s="150"/>
      <c r="P89" s="150"/>
      <c r="Q89" s="150"/>
    </row>
    <row r="90" spans="2:17" s="34" customFormat="1">
      <c r="B90" s="148"/>
      <c r="C90" s="146"/>
      <c r="D90" s="148"/>
      <c r="E90" s="148"/>
      <c r="F90" s="148"/>
      <c r="I90" s="102"/>
      <c r="M90" s="148"/>
      <c r="N90" s="148"/>
      <c r="O90" s="148"/>
    </row>
    <row r="91" spans="2:17" s="34" customFormat="1">
      <c r="I91" s="102"/>
    </row>
    <row r="92" spans="2:17" s="34" customFormat="1">
      <c r="I92" s="102"/>
    </row>
    <row r="93" spans="2:17" s="34" customFormat="1">
      <c r="I93" s="102"/>
    </row>
    <row r="94" spans="2:17" s="34" customFormat="1">
      <c r="I94" s="102"/>
    </row>
    <row r="95" spans="2:17" s="34" customFormat="1">
      <c r="I95" s="102"/>
    </row>
    <row r="96" spans="2:17" s="34" customFormat="1">
      <c r="I96" s="102"/>
    </row>
    <row r="97" spans="9:9" s="34" customFormat="1">
      <c r="I97" s="102"/>
    </row>
    <row r="98" spans="9:9" s="34" customFormat="1">
      <c r="I98" s="102"/>
    </row>
    <row r="99" spans="9:9" s="34" customFormat="1">
      <c r="I99" s="102"/>
    </row>
    <row r="100" spans="9:9" s="34" customFormat="1">
      <c r="I100" s="102"/>
    </row>
    <row r="101" spans="9:9" s="34" customFormat="1">
      <c r="I101" s="102"/>
    </row>
    <row r="102" spans="9:9" s="34" customFormat="1">
      <c r="I102" s="102"/>
    </row>
    <row r="103" spans="9:9" s="34" customFormat="1">
      <c r="I103" s="102"/>
    </row>
    <row r="104" spans="9:9" s="34" customFormat="1">
      <c r="I104" s="102"/>
    </row>
    <row r="105" spans="9:9" s="34" customFormat="1">
      <c r="I105" s="102"/>
    </row>
    <row r="106" spans="9:9" s="34" customFormat="1">
      <c r="I106" s="102"/>
    </row>
    <row r="107" spans="9:9" s="34" customFormat="1">
      <c r="I107" s="102"/>
    </row>
    <row r="108" spans="9:9" s="34" customFormat="1">
      <c r="I108" s="102"/>
    </row>
    <row r="109" spans="9:9" s="34" customFormat="1">
      <c r="I109" s="102"/>
    </row>
    <row r="110" spans="9:9" s="34" customFormat="1">
      <c r="I110" s="102"/>
    </row>
    <row r="111" spans="9:9" s="34" customFormat="1">
      <c r="I111" s="102"/>
    </row>
    <row r="112" spans="9:9" s="34" customFormat="1">
      <c r="I112" s="102"/>
    </row>
    <row r="113" spans="9:9" s="34" customFormat="1">
      <c r="I113" s="102"/>
    </row>
    <row r="114" spans="9:9" s="34" customFormat="1">
      <c r="I114" s="102"/>
    </row>
    <row r="115" spans="9:9" s="34" customFormat="1">
      <c r="I115" s="102"/>
    </row>
    <row r="116" spans="9:9" s="34" customFormat="1">
      <c r="I116" s="102"/>
    </row>
    <row r="117" spans="9:9" s="34" customFormat="1">
      <c r="I117" s="102"/>
    </row>
    <row r="118" spans="9:9" s="34" customFormat="1">
      <c r="I118" s="102"/>
    </row>
    <row r="119" spans="9:9" s="34" customFormat="1">
      <c r="I119" s="102"/>
    </row>
    <row r="120" spans="9:9" s="34" customFormat="1">
      <c r="I120" s="102"/>
    </row>
    <row r="121" spans="9:9" s="34" customFormat="1">
      <c r="I121" s="102"/>
    </row>
    <row r="122" spans="9:9" s="34" customFormat="1">
      <c r="I122" s="102"/>
    </row>
    <row r="123" spans="9:9" s="34" customFormat="1">
      <c r="I123" s="102"/>
    </row>
    <row r="124" spans="9:9" s="34" customFormat="1">
      <c r="I124" s="102"/>
    </row>
    <row r="125" spans="9:9" s="34" customFormat="1">
      <c r="I125" s="102"/>
    </row>
    <row r="126" spans="9:9" s="34" customFormat="1">
      <c r="I126" s="102"/>
    </row>
    <row r="127" spans="9:9" s="34" customFormat="1">
      <c r="I127" s="102"/>
    </row>
    <row r="128" spans="9:9" s="34" customFormat="1">
      <c r="I128" s="102"/>
    </row>
    <row r="129" spans="9:9" s="34" customFormat="1">
      <c r="I129" s="102"/>
    </row>
    <row r="130" spans="9:9" s="34" customFormat="1">
      <c r="I130" s="102"/>
    </row>
    <row r="131" spans="9:9" s="34" customFormat="1">
      <c r="I131" s="102"/>
    </row>
    <row r="132" spans="9:9" s="34" customFormat="1">
      <c r="I132" s="102"/>
    </row>
    <row r="133" spans="9:9" s="34" customFormat="1">
      <c r="I133" s="102"/>
    </row>
    <row r="134" spans="9:9" s="34" customFormat="1">
      <c r="I134" s="102"/>
    </row>
    <row r="135" spans="9:9" s="34" customFormat="1">
      <c r="I135" s="102"/>
    </row>
    <row r="136" spans="9:9" s="34" customFormat="1">
      <c r="I136" s="102"/>
    </row>
    <row r="137" spans="9:9" s="34" customFormat="1">
      <c r="I137" s="102"/>
    </row>
    <row r="138" spans="9:9" s="34" customFormat="1">
      <c r="I138" s="102"/>
    </row>
    <row r="139" spans="9:9" s="34" customFormat="1">
      <c r="I139" s="102"/>
    </row>
    <row r="140" spans="9:9" s="34" customFormat="1">
      <c r="I140" s="102"/>
    </row>
    <row r="141" spans="9:9" s="34" customFormat="1">
      <c r="I141" s="102"/>
    </row>
    <row r="142" spans="9:9" s="34" customFormat="1">
      <c r="I142" s="102"/>
    </row>
    <row r="143" spans="9:9" s="34" customFormat="1">
      <c r="I143" s="102"/>
    </row>
    <row r="144" spans="9:9" s="34" customFormat="1">
      <c r="I144" s="102"/>
    </row>
    <row r="145" spans="9:9" s="34" customFormat="1">
      <c r="I145" s="102"/>
    </row>
    <row r="146" spans="9:9" s="34" customFormat="1">
      <c r="I146" s="102"/>
    </row>
    <row r="147" spans="9:9" s="34" customFormat="1">
      <c r="I147" s="102"/>
    </row>
    <row r="148" spans="9:9" s="34" customFormat="1">
      <c r="I148" s="102"/>
    </row>
    <row r="149" spans="9:9" s="34" customFormat="1">
      <c r="I149" s="102"/>
    </row>
    <row r="150" spans="9:9" s="34" customFormat="1">
      <c r="I150" s="102"/>
    </row>
    <row r="151" spans="9:9" s="34" customFormat="1">
      <c r="I151" s="102"/>
    </row>
    <row r="152" spans="9:9" s="34" customFormat="1">
      <c r="I152" s="102"/>
    </row>
    <row r="153" spans="9:9" s="34" customFormat="1">
      <c r="I153" s="102"/>
    </row>
    <row r="154" spans="9:9" s="34" customFormat="1">
      <c r="I154" s="102"/>
    </row>
    <row r="155" spans="9:9" s="34" customFormat="1">
      <c r="I155" s="102"/>
    </row>
    <row r="156" spans="9:9" s="34" customFormat="1">
      <c r="I156" s="102"/>
    </row>
    <row r="157" spans="9:9" s="34" customFormat="1">
      <c r="I157" s="102"/>
    </row>
    <row r="158" spans="9:9" s="34" customFormat="1">
      <c r="I158" s="102"/>
    </row>
    <row r="159" spans="9:9" s="34" customFormat="1">
      <c r="I159" s="102"/>
    </row>
    <row r="160" spans="9:9" s="34" customFormat="1">
      <c r="I160" s="102"/>
    </row>
    <row r="161" spans="9:9" s="34" customFormat="1">
      <c r="I161" s="102"/>
    </row>
    <row r="162" spans="9:9" s="34" customFormat="1">
      <c r="I162" s="102"/>
    </row>
    <row r="163" spans="9:9" s="34" customFormat="1">
      <c r="I163" s="102"/>
    </row>
    <row r="164" spans="9:9" s="34" customFormat="1">
      <c r="I164" s="102"/>
    </row>
    <row r="165" spans="9:9" s="34" customFormat="1">
      <c r="I165" s="102"/>
    </row>
    <row r="166" spans="9:9" s="34" customFormat="1">
      <c r="I166" s="102"/>
    </row>
    <row r="167" spans="9:9" s="34" customFormat="1">
      <c r="I167" s="102"/>
    </row>
    <row r="168" spans="9:9" s="34" customFormat="1">
      <c r="I168" s="102"/>
    </row>
    <row r="169" spans="9:9" s="34" customFormat="1">
      <c r="I169" s="102"/>
    </row>
    <row r="170" spans="9:9" s="34" customFormat="1">
      <c r="I170" s="102"/>
    </row>
    <row r="171" spans="9:9" s="34" customFormat="1">
      <c r="I171" s="102"/>
    </row>
    <row r="172" spans="9:9" s="34" customFormat="1">
      <c r="I172" s="102"/>
    </row>
    <row r="173" spans="9:9" s="34" customFormat="1">
      <c r="I173" s="102"/>
    </row>
    <row r="174" spans="9:9" s="34" customFormat="1">
      <c r="I174" s="102"/>
    </row>
    <row r="175" spans="9:9" s="34" customFormat="1">
      <c r="I175" s="102"/>
    </row>
    <row r="176" spans="9:9" s="34" customFormat="1">
      <c r="I176" s="102"/>
    </row>
    <row r="177" spans="9:9" s="34" customFormat="1">
      <c r="I177" s="102"/>
    </row>
    <row r="178" spans="9:9" s="34" customFormat="1">
      <c r="I178" s="102"/>
    </row>
    <row r="179" spans="9:9" s="34" customFormat="1">
      <c r="I179" s="102"/>
    </row>
    <row r="180" spans="9:9" s="34" customFormat="1">
      <c r="I180" s="102"/>
    </row>
    <row r="181" spans="9:9" s="34" customFormat="1">
      <c r="I181" s="102"/>
    </row>
    <row r="182" spans="9:9" s="34" customFormat="1">
      <c r="I182" s="102"/>
    </row>
    <row r="183" spans="9:9" s="34" customFormat="1">
      <c r="I183" s="102"/>
    </row>
    <row r="184" spans="9:9" s="34" customFormat="1">
      <c r="I184" s="102"/>
    </row>
    <row r="185" spans="9:9" s="34" customFormat="1">
      <c r="I185" s="102"/>
    </row>
    <row r="186" spans="9:9" s="34" customFormat="1">
      <c r="I186" s="102"/>
    </row>
    <row r="187" spans="9:9" s="34" customFormat="1">
      <c r="I187" s="102"/>
    </row>
    <row r="188" spans="9:9" s="34" customFormat="1">
      <c r="I188" s="102"/>
    </row>
    <row r="189" spans="9:9" s="34" customFormat="1">
      <c r="I189" s="102"/>
    </row>
    <row r="190" spans="9:9" s="34" customFormat="1">
      <c r="I190" s="102"/>
    </row>
    <row r="191" spans="9:9" s="34" customFormat="1">
      <c r="I191" s="102"/>
    </row>
    <row r="192" spans="9:9" s="34" customFormat="1">
      <c r="I192" s="102"/>
    </row>
    <row r="193" spans="9:9" s="34" customFormat="1">
      <c r="I193" s="102"/>
    </row>
    <row r="194" spans="9:9" s="34" customFormat="1">
      <c r="I194" s="102"/>
    </row>
    <row r="195" spans="9:9" s="34" customFormat="1">
      <c r="I195" s="102"/>
    </row>
    <row r="196" spans="9:9" s="34" customFormat="1">
      <c r="I196" s="102"/>
    </row>
    <row r="197" spans="9:9" s="34" customFormat="1">
      <c r="I197" s="102"/>
    </row>
    <row r="198" spans="9:9" s="34" customFormat="1">
      <c r="I198" s="102"/>
    </row>
    <row r="199" spans="9:9" s="34" customFormat="1">
      <c r="I199" s="102"/>
    </row>
    <row r="200" spans="9:9" s="34" customFormat="1">
      <c r="I200" s="102"/>
    </row>
    <row r="201" spans="9:9" s="34" customFormat="1">
      <c r="I201" s="102"/>
    </row>
    <row r="202" spans="9:9" s="34" customFormat="1">
      <c r="I202" s="102"/>
    </row>
    <row r="203" spans="9:9" s="34" customFormat="1">
      <c r="I203" s="102"/>
    </row>
    <row r="204" spans="9:9" s="34" customFormat="1">
      <c r="I204" s="102"/>
    </row>
    <row r="205" spans="9:9" s="34" customFormat="1">
      <c r="I205" s="102"/>
    </row>
    <row r="206" spans="9:9" s="34" customFormat="1">
      <c r="I206" s="102"/>
    </row>
    <row r="207" spans="9:9" s="34" customFormat="1">
      <c r="I207" s="102"/>
    </row>
    <row r="208" spans="9:9" s="34" customFormat="1">
      <c r="I208" s="102"/>
    </row>
    <row r="209" spans="9:9" s="34" customFormat="1">
      <c r="I209" s="102"/>
    </row>
    <row r="210" spans="9:9" s="34" customFormat="1">
      <c r="I210" s="102"/>
    </row>
    <row r="211" spans="9:9" s="34" customFormat="1">
      <c r="I211" s="102"/>
    </row>
    <row r="212" spans="9:9" s="34" customFormat="1">
      <c r="I212" s="102"/>
    </row>
    <row r="213" spans="9:9" s="34" customFormat="1">
      <c r="I213" s="102"/>
    </row>
    <row r="214" spans="9:9" s="34" customFormat="1">
      <c r="I214" s="102"/>
    </row>
    <row r="215" spans="9:9" s="34" customFormat="1">
      <c r="I215" s="102"/>
    </row>
    <row r="216" spans="9:9" s="34" customFormat="1">
      <c r="I216" s="102"/>
    </row>
    <row r="217" spans="9:9" s="34" customFormat="1">
      <c r="I217" s="102"/>
    </row>
    <row r="218" spans="9:9" s="34" customFormat="1">
      <c r="I218" s="102"/>
    </row>
    <row r="219" spans="9:9" s="34" customFormat="1">
      <c r="I219" s="102"/>
    </row>
    <row r="220" spans="9:9" s="34" customFormat="1">
      <c r="I220" s="102"/>
    </row>
    <row r="221" spans="9:9" s="34" customFormat="1">
      <c r="I221" s="102"/>
    </row>
    <row r="222" spans="9:9" s="34" customFormat="1">
      <c r="I222" s="102"/>
    </row>
    <row r="223" spans="9:9" s="34" customFormat="1">
      <c r="I223" s="102"/>
    </row>
    <row r="224" spans="9:9" s="34" customFormat="1">
      <c r="I224" s="102"/>
    </row>
    <row r="225" spans="9:9" s="34" customFormat="1">
      <c r="I225" s="102"/>
    </row>
    <row r="226" spans="9:9" s="34" customFormat="1">
      <c r="I226" s="102"/>
    </row>
    <row r="227" spans="9:9" s="34" customFormat="1">
      <c r="I227" s="102"/>
    </row>
    <row r="228" spans="9:9" s="34" customFormat="1">
      <c r="I228" s="102"/>
    </row>
    <row r="229" spans="9:9" s="34" customFormat="1">
      <c r="I229" s="102"/>
    </row>
    <row r="230" spans="9:9" s="34" customFormat="1">
      <c r="I230" s="102"/>
    </row>
    <row r="231" spans="9:9" s="34" customFormat="1">
      <c r="I231" s="102"/>
    </row>
    <row r="232" spans="9:9" s="34" customFormat="1">
      <c r="I232" s="102"/>
    </row>
    <row r="233" spans="9:9" s="34" customFormat="1">
      <c r="I233" s="102"/>
    </row>
    <row r="234" spans="9:9" s="34" customFormat="1">
      <c r="I234" s="102"/>
    </row>
    <row r="235" spans="9:9" s="34" customFormat="1">
      <c r="I235" s="102"/>
    </row>
    <row r="236" spans="9:9" s="34" customFormat="1">
      <c r="I236" s="102"/>
    </row>
    <row r="237" spans="9:9" s="34" customFormat="1">
      <c r="I237" s="102"/>
    </row>
    <row r="238" spans="9:9" s="34" customFormat="1">
      <c r="I238" s="102"/>
    </row>
    <row r="239" spans="9:9" s="34" customFormat="1">
      <c r="I239" s="102"/>
    </row>
    <row r="240" spans="9:9" s="34" customFormat="1">
      <c r="I240" s="102"/>
    </row>
    <row r="241" spans="9:9" s="34" customFormat="1">
      <c r="I241" s="102"/>
    </row>
    <row r="242" spans="9:9" s="34" customFormat="1">
      <c r="I242" s="102"/>
    </row>
    <row r="243" spans="9:9" s="34" customFormat="1">
      <c r="I243" s="102"/>
    </row>
    <row r="244" spans="9:9" s="34" customFormat="1">
      <c r="I244" s="102"/>
    </row>
    <row r="245" spans="9:9" s="34" customFormat="1">
      <c r="I245" s="102"/>
    </row>
    <row r="246" spans="9:9" s="34" customFormat="1">
      <c r="I246" s="102"/>
    </row>
    <row r="247" spans="9:9" s="34" customFormat="1">
      <c r="I247" s="102"/>
    </row>
    <row r="248" spans="9:9" s="34" customFormat="1">
      <c r="I248" s="102"/>
    </row>
    <row r="249" spans="9:9" s="34" customFormat="1">
      <c r="I249" s="102"/>
    </row>
    <row r="250" spans="9:9" s="34" customFormat="1">
      <c r="I250" s="102"/>
    </row>
    <row r="251" spans="9:9" s="34" customFormat="1">
      <c r="I251" s="102"/>
    </row>
    <row r="252" spans="9:9" s="34" customFormat="1">
      <c r="I252" s="102"/>
    </row>
    <row r="253" spans="9:9" s="34" customFormat="1">
      <c r="I253" s="102"/>
    </row>
    <row r="254" spans="9:9" s="34" customFormat="1">
      <c r="I254" s="102"/>
    </row>
    <row r="255" spans="9:9" s="34" customFormat="1">
      <c r="I255" s="102"/>
    </row>
    <row r="256" spans="9:9" s="34" customFormat="1">
      <c r="I256" s="102"/>
    </row>
    <row r="257" spans="9:9" s="34" customFormat="1">
      <c r="I257" s="102"/>
    </row>
    <row r="258" spans="9:9" s="34" customFormat="1">
      <c r="I258" s="102"/>
    </row>
    <row r="259" spans="9:9" s="34" customFormat="1">
      <c r="I259" s="102"/>
    </row>
    <row r="260" spans="9:9" s="34" customFormat="1">
      <c r="I260" s="102"/>
    </row>
    <row r="261" spans="9:9" s="34" customFormat="1">
      <c r="I261" s="102"/>
    </row>
    <row r="262" spans="9:9" s="34" customFormat="1">
      <c r="I262" s="102"/>
    </row>
    <row r="263" spans="9:9" s="34" customFormat="1">
      <c r="I263" s="102"/>
    </row>
    <row r="264" spans="9:9" s="34" customFormat="1">
      <c r="I264" s="102"/>
    </row>
    <row r="265" spans="9:9" s="34" customFormat="1">
      <c r="I265" s="102"/>
    </row>
    <row r="266" spans="9:9" s="34" customFormat="1">
      <c r="I266" s="102"/>
    </row>
    <row r="267" spans="9:9" s="34" customFormat="1">
      <c r="I267" s="102"/>
    </row>
    <row r="268" spans="9:9" s="34" customFormat="1">
      <c r="I268" s="102"/>
    </row>
    <row r="269" spans="9:9" s="34" customFormat="1">
      <c r="I269" s="102"/>
    </row>
    <row r="270" spans="9:9" s="34" customFormat="1">
      <c r="I270" s="102"/>
    </row>
    <row r="271" spans="9:9" s="34" customFormat="1">
      <c r="I271" s="102"/>
    </row>
    <row r="272" spans="9:9" s="34" customFormat="1">
      <c r="I272" s="102"/>
    </row>
    <row r="273" spans="9:9" s="34" customFormat="1">
      <c r="I273" s="102"/>
    </row>
    <row r="274" spans="9:9" s="34" customFormat="1">
      <c r="I274" s="102"/>
    </row>
    <row r="275" spans="9:9" s="34" customFormat="1">
      <c r="I275" s="102"/>
    </row>
    <row r="276" spans="9:9" s="34" customFormat="1">
      <c r="I276" s="102"/>
    </row>
    <row r="277" spans="9:9" s="34" customFormat="1">
      <c r="I277" s="102"/>
    </row>
    <row r="278" spans="9:9" s="34" customFormat="1">
      <c r="I278" s="102"/>
    </row>
    <row r="279" spans="9:9" s="34" customFormat="1">
      <c r="I279" s="102"/>
    </row>
    <row r="280" spans="9:9" s="34" customFormat="1">
      <c r="I280" s="102"/>
    </row>
    <row r="281" spans="9:9" s="34" customFormat="1">
      <c r="I281" s="102"/>
    </row>
    <row r="282" spans="9:9" s="34" customFormat="1">
      <c r="I282" s="102"/>
    </row>
    <row r="283" spans="9:9" s="34" customFormat="1">
      <c r="I283" s="102"/>
    </row>
    <row r="284" spans="9:9" s="34" customFormat="1">
      <c r="I284" s="102"/>
    </row>
    <row r="285" spans="9:9" s="34" customFormat="1">
      <c r="I285" s="102"/>
    </row>
    <row r="286" spans="9:9" s="34" customFormat="1">
      <c r="I286" s="102"/>
    </row>
    <row r="287" spans="9:9" s="34" customFormat="1">
      <c r="I287" s="102"/>
    </row>
    <row r="288" spans="9:9" s="34" customFormat="1">
      <c r="I288" s="102"/>
    </row>
    <row r="289" spans="9:9" s="34" customFormat="1">
      <c r="I289" s="102"/>
    </row>
    <row r="290" spans="9:9" s="34" customFormat="1">
      <c r="I290" s="102"/>
    </row>
    <row r="291" spans="9:9" s="34" customFormat="1">
      <c r="I291" s="102"/>
    </row>
    <row r="292" spans="9:9" s="34" customFormat="1">
      <c r="I292" s="102"/>
    </row>
    <row r="293" spans="9:9" s="34" customFormat="1">
      <c r="I293" s="102"/>
    </row>
    <row r="294" spans="9:9" s="34" customFormat="1">
      <c r="I294" s="102"/>
    </row>
    <row r="295" spans="9:9" s="34" customFormat="1">
      <c r="I295" s="102"/>
    </row>
    <row r="296" spans="9:9" s="34" customFormat="1">
      <c r="I296" s="102"/>
    </row>
    <row r="297" spans="9:9" s="34" customFormat="1">
      <c r="I297" s="102"/>
    </row>
    <row r="298" spans="9:9" s="34" customFormat="1">
      <c r="I298" s="102"/>
    </row>
    <row r="299" spans="9:9" s="34" customFormat="1">
      <c r="I299" s="102"/>
    </row>
    <row r="300" spans="9:9" s="34" customFormat="1">
      <c r="I300" s="102"/>
    </row>
    <row r="301" spans="9:9" s="34" customFormat="1">
      <c r="I301" s="102"/>
    </row>
    <row r="302" spans="9:9" s="34" customFormat="1">
      <c r="I302" s="102"/>
    </row>
    <row r="303" spans="9:9" s="34" customFormat="1">
      <c r="I303" s="102"/>
    </row>
    <row r="304" spans="9:9" s="34" customFormat="1">
      <c r="I304" s="102"/>
    </row>
    <row r="305" spans="9:9" s="34" customFormat="1">
      <c r="I305" s="102"/>
    </row>
    <row r="306" spans="9:9" s="34" customFormat="1">
      <c r="I306" s="102"/>
    </row>
    <row r="307" spans="9:9" s="34" customFormat="1">
      <c r="I307" s="102"/>
    </row>
    <row r="308" spans="9:9" s="34" customFormat="1">
      <c r="I308" s="102"/>
    </row>
    <row r="309" spans="9:9" s="34" customFormat="1"/>
    <row r="310" spans="9:9" s="34" customFormat="1"/>
    <row r="311" spans="9:9" s="34" customFormat="1"/>
    <row r="312" spans="9:9" s="34" customFormat="1"/>
    <row r="313" spans="9:9" s="34" customFormat="1"/>
    <row r="314" spans="9:9" s="34" customFormat="1"/>
    <row r="315" spans="9:9" s="34" customFormat="1"/>
    <row r="316" spans="9:9" s="34" customFormat="1"/>
    <row r="317" spans="9:9" s="34" customFormat="1"/>
    <row r="318" spans="9:9" s="34" customFormat="1"/>
    <row r="319" spans="9:9" s="34" customFormat="1"/>
    <row r="320" spans="9:9" s="34" customFormat="1"/>
    <row r="321" s="34" customFormat="1"/>
    <row r="322" s="34" customFormat="1"/>
    <row r="323" s="34" customFormat="1"/>
    <row r="324" s="34" customFormat="1"/>
    <row r="325" s="34" customFormat="1"/>
    <row r="326" s="34" customFormat="1"/>
    <row r="327" s="34" customFormat="1"/>
    <row r="328" s="34" customFormat="1"/>
    <row r="329" s="34" customFormat="1"/>
    <row r="330" s="34" customFormat="1"/>
    <row r="331" s="34" customFormat="1"/>
    <row r="332" s="34" customFormat="1"/>
    <row r="333" s="34" customFormat="1"/>
    <row r="334" s="34" customFormat="1"/>
    <row r="335" s="34" customFormat="1"/>
    <row r="336" s="34" customFormat="1"/>
    <row r="337" s="34" customFormat="1"/>
    <row r="338" s="34" customFormat="1"/>
    <row r="339" s="34" customFormat="1"/>
    <row r="340" s="34" customFormat="1"/>
    <row r="341" s="34" customFormat="1"/>
    <row r="342" s="34" customFormat="1"/>
    <row r="343" s="34" customFormat="1"/>
    <row r="344" s="34" customFormat="1"/>
    <row r="345" s="34" customFormat="1"/>
    <row r="346" s="34" customFormat="1"/>
    <row r="347" s="34" customFormat="1"/>
    <row r="348" s="34" customFormat="1"/>
    <row r="349" s="34" customFormat="1"/>
    <row r="350" s="34" customFormat="1"/>
    <row r="351" s="34" customFormat="1"/>
    <row r="352" s="34" customFormat="1"/>
    <row r="353" s="34" customFormat="1"/>
    <row r="354" s="34" customFormat="1"/>
    <row r="355" s="34" customFormat="1"/>
    <row r="356" s="34" customFormat="1"/>
    <row r="357" s="34" customFormat="1"/>
    <row r="358" s="34" customFormat="1"/>
    <row r="359" s="34" customFormat="1"/>
    <row r="360" s="34" customFormat="1"/>
    <row r="361" s="34" customFormat="1"/>
    <row r="362" s="34" customFormat="1"/>
    <row r="363" s="34" customFormat="1"/>
    <row r="364" s="34" customFormat="1"/>
    <row r="365" s="34" customFormat="1"/>
    <row r="366" s="34" customFormat="1"/>
    <row r="367" s="34" customFormat="1"/>
    <row r="368" s="34" customFormat="1"/>
    <row r="369" s="34" customFormat="1"/>
    <row r="370" s="34" customFormat="1"/>
    <row r="371" s="34" customFormat="1"/>
    <row r="372" s="34" customFormat="1"/>
    <row r="373" s="34" customFormat="1"/>
    <row r="374" s="34" customFormat="1"/>
    <row r="375" s="34" customFormat="1"/>
    <row r="376" s="34" customFormat="1"/>
    <row r="377" s="34" customFormat="1"/>
    <row r="378" s="34" customFormat="1"/>
    <row r="379" s="34" customFormat="1"/>
    <row r="380" s="34" customFormat="1"/>
    <row r="381" s="34" customFormat="1"/>
    <row r="382" s="34" customFormat="1"/>
    <row r="383" s="34" customFormat="1"/>
    <row r="384" s="34" customFormat="1"/>
    <row r="385" s="34" customFormat="1"/>
    <row r="386" s="34" customFormat="1"/>
    <row r="387" s="34" customFormat="1"/>
    <row r="388" s="34" customFormat="1"/>
    <row r="389" s="34" customFormat="1"/>
    <row r="390" s="34" customFormat="1"/>
    <row r="391" s="34" customFormat="1"/>
    <row r="392" s="34" customFormat="1"/>
    <row r="393" s="34" customFormat="1"/>
    <row r="394" s="34" customFormat="1"/>
    <row r="395" s="34" customFormat="1"/>
    <row r="396" s="34" customFormat="1"/>
    <row r="397" s="34" customFormat="1"/>
    <row r="398" s="34" customFormat="1"/>
    <row r="399" s="34" customFormat="1"/>
    <row r="400" s="34" customFormat="1"/>
    <row r="401" s="34" customFormat="1"/>
    <row r="402" s="34" customFormat="1"/>
    <row r="403" s="34" customFormat="1"/>
    <row r="404" s="34" customFormat="1"/>
    <row r="405" s="34" customFormat="1"/>
    <row r="406" s="34" customFormat="1"/>
    <row r="407" s="34" customFormat="1"/>
    <row r="408" s="34" customFormat="1"/>
    <row r="409" s="34" customFormat="1"/>
    <row r="410" s="34" customFormat="1"/>
    <row r="411" s="34" customFormat="1"/>
    <row r="412" s="34" customFormat="1"/>
    <row r="413" s="34" customFormat="1"/>
    <row r="414" s="34" customFormat="1"/>
    <row r="415" s="34" customFormat="1"/>
    <row r="416" s="34" customFormat="1"/>
    <row r="417" s="34" customFormat="1"/>
    <row r="418" s="34" customFormat="1"/>
    <row r="419" s="34" customFormat="1"/>
    <row r="420" s="34" customFormat="1"/>
    <row r="421" s="34" customFormat="1"/>
    <row r="422" s="34" customFormat="1"/>
    <row r="423" s="34" customFormat="1"/>
    <row r="424" s="34" customFormat="1"/>
    <row r="425" s="34" customFormat="1"/>
    <row r="426" s="34" customFormat="1"/>
    <row r="427" s="34" customFormat="1"/>
    <row r="428" s="34" customFormat="1"/>
    <row r="429" s="34" customFormat="1"/>
    <row r="430" s="34" customFormat="1"/>
    <row r="431" s="34" customFormat="1"/>
    <row r="432" s="34" customFormat="1"/>
    <row r="433" s="34" customFormat="1"/>
    <row r="434" s="34" customFormat="1"/>
    <row r="435" s="34" customFormat="1"/>
    <row r="436" s="34" customFormat="1"/>
    <row r="437" s="34" customFormat="1"/>
    <row r="438" s="34" customFormat="1"/>
    <row r="439" s="34" customFormat="1"/>
    <row r="440" s="34" customFormat="1"/>
    <row r="441" s="34" customFormat="1"/>
    <row r="442" s="34" customFormat="1"/>
    <row r="443" s="34" customFormat="1"/>
    <row r="444" s="34" customFormat="1"/>
    <row r="445" s="34" customFormat="1"/>
    <row r="446" s="34" customFormat="1"/>
    <row r="447" s="34" customFormat="1"/>
    <row r="448" s="34" customFormat="1"/>
    <row r="449" s="34" customFormat="1"/>
    <row r="450" s="34" customFormat="1"/>
    <row r="451" s="34" customFormat="1"/>
    <row r="452" s="34" customFormat="1"/>
    <row r="453" s="34" customFormat="1"/>
    <row r="454" s="34" customFormat="1"/>
    <row r="455" s="34" customFormat="1"/>
    <row r="456" s="34" customFormat="1"/>
    <row r="457" s="34" customFormat="1"/>
    <row r="458" s="34" customFormat="1"/>
    <row r="459" s="34" customFormat="1"/>
    <row r="460" s="34" customFormat="1"/>
    <row r="461" s="34" customFormat="1"/>
    <row r="462" s="34" customFormat="1"/>
    <row r="463" s="34" customFormat="1"/>
    <row r="464" s="34" customFormat="1"/>
    <row r="465" s="34" customFormat="1"/>
    <row r="466" s="34" customFormat="1"/>
    <row r="467" s="34" customFormat="1"/>
    <row r="468" s="34" customFormat="1"/>
    <row r="469" s="34" customFormat="1"/>
    <row r="470" s="34" customFormat="1"/>
    <row r="471" s="34" customFormat="1"/>
    <row r="472" s="34" customFormat="1"/>
    <row r="473" s="34" customFormat="1"/>
    <row r="474" s="34" customFormat="1"/>
    <row r="475" s="34" customFormat="1"/>
    <row r="476" s="34" customFormat="1"/>
    <row r="477" s="34" customFormat="1"/>
    <row r="478" s="34" customFormat="1"/>
    <row r="479" s="34" customFormat="1"/>
    <row r="480" s="34" customFormat="1"/>
    <row r="481" s="34" customFormat="1"/>
    <row r="482" s="34" customFormat="1"/>
    <row r="483" s="34" customFormat="1"/>
    <row r="484" s="34" customFormat="1"/>
    <row r="485" s="34" customFormat="1"/>
    <row r="486" s="34" customFormat="1"/>
    <row r="487" s="34" customFormat="1"/>
    <row r="488" s="34" customFormat="1"/>
    <row r="489" s="34" customFormat="1"/>
    <row r="490" s="34" customFormat="1"/>
    <row r="491" s="34" customFormat="1"/>
    <row r="492" s="34" customFormat="1"/>
    <row r="493" s="34" customFormat="1"/>
    <row r="494" s="34" customFormat="1"/>
    <row r="495" s="34" customFormat="1"/>
    <row r="496" s="34" customFormat="1"/>
    <row r="497" s="34" customFormat="1"/>
    <row r="498" s="34" customFormat="1"/>
    <row r="499" s="34" customFormat="1"/>
    <row r="500" s="34" customFormat="1"/>
    <row r="501" s="34" customFormat="1"/>
    <row r="502" s="34" customFormat="1"/>
    <row r="503" s="34" customFormat="1"/>
    <row r="504" s="34" customFormat="1"/>
    <row r="505" s="34" customFormat="1"/>
    <row r="506" s="34" customFormat="1"/>
    <row r="507" s="34" customFormat="1"/>
    <row r="508" s="34" customFormat="1"/>
    <row r="509" s="34" customFormat="1"/>
    <row r="510" s="34" customFormat="1"/>
    <row r="511" s="34" customFormat="1"/>
    <row r="512" s="34" customFormat="1"/>
    <row r="513" s="34" customFormat="1"/>
    <row r="514" s="34" customFormat="1"/>
    <row r="515" s="34" customFormat="1"/>
    <row r="516" s="34" customFormat="1"/>
    <row r="517" s="34" customFormat="1"/>
    <row r="518" s="34" customFormat="1"/>
    <row r="519" s="34" customFormat="1"/>
    <row r="520" s="34" customFormat="1"/>
    <row r="521" s="34" customFormat="1"/>
    <row r="522" s="34" customFormat="1"/>
    <row r="523" s="34" customFormat="1"/>
    <row r="524" s="34" customFormat="1"/>
    <row r="525" s="34" customFormat="1"/>
    <row r="526" s="34" customFormat="1"/>
    <row r="527" s="34" customFormat="1"/>
    <row r="528" s="34" customFormat="1"/>
    <row r="529" s="34" customFormat="1"/>
    <row r="530" s="34" customFormat="1"/>
    <row r="531" s="34" customFormat="1"/>
    <row r="532" s="34" customFormat="1"/>
    <row r="533" s="34" customFormat="1"/>
    <row r="534" s="34" customFormat="1"/>
    <row r="535" s="34" customFormat="1"/>
    <row r="536" s="34" customFormat="1"/>
    <row r="537" s="34" customFormat="1"/>
    <row r="538" s="34" customFormat="1"/>
    <row r="539" s="34" customFormat="1"/>
    <row r="540" s="34" customFormat="1"/>
    <row r="541" s="34" customFormat="1"/>
    <row r="542" s="34" customFormat="1"/>
    <row r="543" s="34" customFormat="1"/>
    <row r="544" s="34" customFormat="1"/>
    <row r="545" s="34" customFormat="1"/>
    <row r="546" s="34" customFormat="1"/>
    <row r="547" s="34" customFormat="1"/>
    <row r="548" s="34" customFormat="1"/>
    <row r="549" s="34" customFormat="1"/>
    <row r="550" s="34" customFormat="1"/>
    <row r="551" s="34" customFormat="1"/>
    <row r="552" s="34" customFormat="1"/>
    <row r="553" s="34" customFormat="1"/>
    <row r="554" s="34" customFormat="1"/>
    <row r="555" s="34" customFormat="1"/>
    <row r="556" s="34" customFormat="1"/>
    <row r="557" s="34" customFormat="1"/>
    <row r="558" s="34" customFormat="1"/>
    <row r="559" s="34" customFormat="1"/>
    <row r="560" s="34" customFormat="1"/>
    <row r="561" s="34" customFormat="1"/>
    <row r="562" s="34" customFormat="1"/>
    <row r="563" s="34" customFormat="1"/>
    <row r="564" s="34" customFormat="1"/>
    <row r="565" s="34" customFormat="1"/>
    <row r="566" s="34" customFormat="1"/>
    <row r="567" s="34" customFormat="1"/>
    <row r="568" s="34" customFormat="1"/>
    <row r="569" s="34" customFormat="1"/>
    <row r="570" s="34" customFormat="1"/>
    <row r="571" s="34" customFormat="1"/>
    <row r="572" s="34" customFormat="1"/>
    <row r="573" s="34" customFormat="1"/>
    <row r="574" s="34" customFormat="1"/>
    <row r="575" s="34" customFormat="1"/>
    <row r="576" s="34" customFormat="1"/>
    <row r="577" s="34" customFormat="1"/>
    <row r="578" s="34" customFormat="1"/>
    <row r="579" s="34" customFormat="1"/>
    <row r="580" s="34" customFormat="1"/>
    <row r="581" s="34" customFormat="1"/>
    <row r="582" s="34" customFormat="1"/>
    <row r="583" s="34" customFormat="1"/>
    <row r="584" s="34" customFormat="1"/>
    <row r="585" s="34" customFormat="1"/>
    <row r="586" s="34" customFormat="1"/>
    <row r="587" s="34" customFormat="1"/>
    <row r="588" s="34" customFormat="1"/>
    <row r="589" s="34" customFormat="1"/>
    <row r="590" s="34" customFormat="1"/>
    <row r="591" s="34" customFormat="1"/>
    <row r="592" s="34" customFormat="1"/>
    <row r="593" s="34" customFormat="1"/>
    <row r="594" s="34" customFormat="1"/>
    <row r="595" s="34" customFormat="1"/>
    <row r="596" s="34" customFormat="1"/>
    <row r="597" s="34" customFormat="1"/>
    <row r="598" s="34" customFormat="1"/>
    <row r="599" s="34" customFormat="1"/>
    <row r="600" s="34" customFormat="1"/>
    <row r="601" s="34" customFormat="1"/>
    <row r="602" s="34" customFormat="1"/>
    <row r="603" s="34" customFormat="1"/>
    <row r="604" s="34" customFormat="1"/>
    <row r="605" s="34" customFormat="1"/>
    <row r="606" s="34" customFormat="1"/>
    <row r="607" s="34" customFormat="1"/>
    <row r="608" s="34" customFormat="1"/>
    <row r="609" s="34" customFormat="1"/>
    <row r="610" s="34" customFormat="1"/>
    <row r="611" s="34" customFormat="1"/>
    <row r="612" s="34" customFormat="1"/>
    <row r="613" s="34" customFormat="1"/>
    <row r="614" s="34" customFormat="1"/>
    <row r="615" s="34" customFormat="1"/>
    <row r="616" s="34" customFormat="1"/>
    <row r="617" s="34" customFormat="1"/>
    <row r="618" s="34" customFormat="1"/>
    <row r="619" s="34" customFormat="1"/>
    <row r="620" s="34" customFormat="1"/>
    <row r="621" s="34" customFormat="1"/>
    <row r="622" s="34" customFormat="1"/>
    <row r="623" s="34" customFormat="1"/>
    <row r="624" s="34" customFormat="1"/>
    <row r="625" s="34" customFormat="1"/>
    <row r="626" s="34" customFormat="1"/>
    <row r="627" s="34" customFormat="1"/>
    <row r="628" s="34" customFormat="1"/>
    <row r="629" s="34" customFormat="1"/>
    <row r="630" s="34" customFormat="1"/>
    <row r="631" s="34" customFormat="1"/>
    <row r="632" s="34" customFormat="1"/>
    <row r="633" s="34" customFormat="1"/>
    <row r="634" s="34" customFormat="1"/>
    <row r="635" s="34" customFormat="1"/>
    <row r="636" s="34" customFormat="1"/>
    <row r="637" s="34" customFormat="1"/>
    <row r="638" s="34" customFormat="1"/>
    <row r="639" s="34" customFormat="1"/>
    <row r="640" s="34" customFormat="1"/>
    <row r="641" s="34" customFormat="1"/>
    <row r="642" s="34" customFormat="1"/>
    <row r="643" s="34" customFormat="1"/>
    <row r="644" s="34" customFormat="1"/>
    <row r="645" s="34" customFormat="1"/>
    <row r="646" s="34" customFormat="1"/>
    <row r="647" s="34" customFormat="1"/>
    <row r="648" s="34" customFormat="1"/>
    <row r="649" s="34" customFormat="1"/>
    <row r="650" s="34" customFormat="1"/>
    <row r="651" s="34" customFormat="1"/>
    <row r="652" s="34" customFormat="1"/>
    <row r="653" s="34" customFormat="1"/>
    <row r="654" s="34" customFormat="1"/>
    <row r="655" s="34" customFormat="1"/>
    <row r="656" s="34" customFormat="1"/>
    <row r="657" s="34" customFormat="1"/>
    <row r="658" s="34" customFormat="1"/>
    <row r="659" s="34" customFormat="1"/>
    <row r="660" s="34" customFormat="1"/>
    <row r="661" s="34" customFormat="1"/>
    <row r="662" s="34" customFormat="1"/>
    <row r="663" s="34" customFormat="1"/>
    <row r="664" s="34" customFormat="1"/>
    <row r="665" s="34" customFormat="1"/>
    <row r="666" s="34" customFormat="1"/>
    <row r="667" s="34" customFormat="1"/>
    <row r="668" s="34" customFormat="1"/>
    <row r="669" s="34" customFormat="1"/>
    <row r="670" s="34" customFormat="1"/>
    <row r="671" s="34" customFormat="1"/>
    <row r="672" s="34" customFormat="1"/>
    <row r="673" s="34" customFormat="1"/>
    <row r="674" s="34" customFormat="1"/>
    <row r="675" s="34" customFormat="1"/>
    <row r="676" s="34" customFormat="1"/>
    <row r="677" s="34" customFormat="1"/>
    <row r="678" s="34" customFormat="1"/>
    <row r="679" s="34" customFormat="1"/>
    <row r="680" s="34" customFormat="1"/>
    <row r="681" s="34" customFormat="1"/>
    <row r="682" s="34" customFormat="1"/>
    <row r="683" s="34" customFormat="1"/>
    <row r="684" s="34" customFormat="1"/>
    <row r="685" s="34" customFormat="1"/>
    <row r="686" s="34" customFormat="1"/>
    <row r="687" s="34" customFormat="1"/>
    <row r="688" s="34" customFormat="1"/>
    <row r="689" s="34" customFormat="1"/>
    <row r="690" s="34" customFormat="1"/>
    <row r="691" s="34" customFormat="1"/>
    <row r="692" s="34" customFormat="1"/>
    <row r="693" s="34" customFormat="1"/>
    <row r="694" s="34" customFormat="1"/>
    <row r="695" s="34" customFormat="1"/>
    <row r="696" s="34" customFormat="1"/>
    <row r="697" s="34" customFormat="1"/>
    <row r="698" s="34" customFormat="1"/>
    <row r="699" s="34" customFormat="1"/>
    <row r="700" s="34" customFormat="1"/>
    <row r="701" s="34" customFormat="1"/>
    <row r="702" s="34" customFormat="1"/>
    <row r="703" s="34" customFormat="1"/>
    <row r="704" s="34" customFormat="1"/>
    <row r="705" s="34" customFormat="1"/>
    <row r="706" s="34" customFormat="1"/>
    <row r="707" s="34" customFormat="1"/>
    <row r="708" s="34" customFormat="1"/>
    <row r="709" s="34" customFormat="1"/>
    <row r="710" s="34" customFormat="1"/>
    <row r="711" s="34" customFormat="1"/>
    <row r="712" s="34" customFormat="1"/>
    <row r="713" s="34" customFormat="1"/>
    <row r="714" s="34" customFormat="1"/>
    <row r="715" s="34" customFormat="1"/>
    <row r="716" s="34" customFormat="1"/>
    <row r="717" s="34" customFormat="1"/>
    <row r="718" s="34" customFormat="1"/>
    <row r="719" s="34" customFormat="1"/>
    <row r="720" s="34" customFormat="1"/>
    <row r="721" s="34" customFormat="1"/>
    <row r="722" s="34" customFormat="1"/>
    <row r="723" s="34" customFormat="1"/>
    <row r="724" s="34" customFormat="1"/>
    <row r="725" s="34" customFormat="1"/>
    <row r="726" s="34" customFormat="1"/>
    <row r="727" s="34" customFormat="1"/>
    <row r="728" s="34" customFormat="1"/>
    <row r="729" s="34" customFormat="1"/>
    <row r="730" s="34" customFormat="1"/>
    <row r="731" s="34" customFormat="1"/>
    <row r="732" s="34" customFormat="1"/>
    <row r="733" s="34" customFormat="1"/>
    <row r="734" s="34" customFormat="1"/>
    <row r="735" s="34" customFormat="1"/>
    <row r="736" s="34" customFormat="1"/>
    <row r="737" s="34" customFormat="1"/>
    <row r="738" s="34" customFormat="1"/>
    <row r="739" s="34" customFormat="1"/>
    <row r="740" s="34" customFormat="1"/>
    <row r="741" s="34" customFormat="1"/>
    <row r="742" s="34" customFormat="1"/>
    <row r="743" s="34" customFormat="1"/>
    <row r="744" s="34" customFormat="1"/>
    <row r="745" s="34" customFormat="1"/>
    <row r="746" s="34" customFormat="1"/>
    <row r="747" s="34" customFormat="1"/>
    <row r="748" s="34" customFormat="1"/>
    <row r="749" s="34" customFormat="1"/>
    <row r="750" s="34" customFormat="1"/>
    <row r="751" s="34" customFormat="1"/>
    <row r="752" s="34" customFormat="1"/>
    <row r="753" s="34" customFormat="1"/>
    <row r="754" s="34" customFormat="1"/>
    <row r="755" s="34" customFormat="1"/>
    <row r="756" s="34" customFormat="1"/>
    <row r="757" s="34" customFormat="1"/>
    <row r="758" s="34" customFormat="1"/>
    <row r="759" s="34" customFormat="1"/>
    <row r="760" s="34" customFormat="1"/>
    <row r="761" s="34" customFormat="1"/>
    <row r="762" s="34" customFormat="1"/>
    <row r="763" s="34" customFormat="1"/>
    <row r="764" s="34" customFormat="1"/>
    <row r="765" s="34" customFormat="1"/>
    <row r="766" s="34" customFormat="1"/>
    <row r="767" s="34" customFormat="1"/>
    <row r="768" s="34" customFormat="1"/>
    <row r="769" s="34" customFormat="1"/>
    <row r="770" s="34" customFormat="1"/>
    <row r="771" s="34" customFormat="1"/>
    <row r="772" s="34" customFormat="1"/>
    <row r="773" s="34" customFormat="1"/>
    <row r="774" s="34" customFormat="1"/>
    <row r="775" s="34" customFormat="1"/>
    <row r="776" s="34" customFormat="1"/>
    <row r="777" s="34" customFormat="1"/>
    <row r="778" s="34" customFormat="1"/>
    <row r="779" s="34" customFormat="1"/>
    <row r="780" s="34" customFormat="1"/>
    <row r="781" s="34" customFormat="1"/>
    <row r="782" s="34" customFormat="1"/>
    <row r="783" s="34" customFormat="1"/>
    <row r="784" s="34" customFormat="1"/>
    <row r="785" s="34" customFormat="1"/>
    <row r="786" s="34" customFormat="1"/>
    <row r="787" s="34" customFormat="1"/>
    <row r="788" s="34" customFormat="1"/>
    <row r="789" s="34" customFormat="1"/>
    <row r="790" s="34" customFormat="1"/>
    <row r="791" s="34" customFormat="1"/>
    <row r="792" s="34" customFormat="1"/>
    <row r="793" s="34" customFormat="1"/>
    <row r="794" s="34" customFormat="1"/>
    <row r="795" s="34" customFormat="1"/>
    <row r="796" s="34" customFormat="1"/>
    <row r="797" s="34" customFormat="1"/>
    <row r="798" s="34" customFormat="1"/>
    <row r="799" s="34" customFormat="1"/>
    <row r="800" s="34" customFormat="1"/>
    <row r="801" s="34" customFormat="1"/>
    <row r="802" s="34" customFormat="1"/>
    <row r="803" s="34" customFormat="1"/>
    <row r="804" s="34" customFormat="1"/>
    <row r="805" s="34" customFormat="1"/>
    <row r="806" s="34" customFormat="1"/>
    <row r="807" s="34" customFormat="1"/>
    <row r="808" s="34" customFormat="1"/>
    <row r="809" s="34" customFormat="1"/>
    <row r="810" s="34" customFormat="1"/>
    <row r="811" s="34" customFormat="1"/>
    <row r="812" s="34" customFormat="1"/>
    <row r="813" s="34" customFormat="1"/>
    <row r="814" s="34" customFormat="1"/>
    <row r="815" s="34" customFormat="1"/>
    <row r="816" s="34" customFormat="1"/>
    <row r="817" s="34" customFormat="1"/>
    <row r="818" s="34" customFormat="1"/>
    <row r="819" s="34" customFormat="1"/>
    <row r="820" s="34" customFormat="1"/>
    <row r="821" s="34" customFormat="1"/>
    <row r="822" s="34" customFormat="1"/>
    <row r="823" s="34" customFormat="1"/>
    <row r="824" s="34" customFormat="1"/>
    <row r="825" s="34" customFormat="1"/>
    <row r="826" s="34" customFormat="1"/>
    <row r="827" s="34" customFormat="1"/>
    <row r="828" s="34" customFormat="1"/>
    <row r="829" s="34" customFormat="1"/>
    <row r="830" s="34" customFormat="1"/>
    <row r="831" s="34" customFormat="1"/>
    <row r="832" s="34" customFormat="1"/>
    <row r="833" s="34" customFormat="1"/>
    <row r="834" s="34" customFormat="1"/>
    <row r="835" s="34" customFormat="1"/>
    <row r="836" s="34" customFormat="1"/>
    <row r="837" s="34" customFormat="1"/>
    <row r="838" s="34" customFormat="1"/>
    <row r="839" s="34" customFormat="1"/>
    <row r="840" s="34" customFormat="1"/>
    <row r="841" s="34" customFormat="1"/>
    <row r="842" s="34" customFormat="1"/>
    <row r="843" s="34" customFormat="1"/>
    <row r="844" s="34" customFormat="1"/>
    <row r="845" s="34" customFormat="1"/>
    <row r="846" s="34" customFormat="1"/>
    <row r="847" s="34" customFormat="1"/>
    <row r="848" s="34" customFormat="1"/>
    <row r="849" s="34" customFormat="1"/>
    <row r="850" s="34" customFormat="1"/>
    <row r="851" s="34" customFormat="1"/>
    <row r="852" s="34" customFormat="1"/>
    <row r="853" s="34" customFormat="1"/>
    <row r="854" s="34" customFormat="1"/>
    <row r="855" s="34" customFormat="1"/>
    <row r="856" s="34" customFormat="1"/>
    <row r="857" s="34" customFormat="1"/>
    <row r="858" s="34" customFormat="1"/>
    <row r="859" s="34" customFormat="1"/>
    <row r="860" s="34" customFormat="1"/>
    <row r="861" s="34" customFormat="1"/>
    <row r="862" s="34" customFormat="1"/>
    <row r="863" s="34" customFormat="1"/>
    <row r="864" s="34" customFormat="1"/>
    <row r="865" s="34" customFormat="1"/>
    <row r="866" s="34" customFormat="1"/>
    <row r="867" s="34" customFormat="1"/>
    <row r="868" s="34" customFormat="1"/>
    <row r="869" s="34" customFormat="1"/>
    <row r="870" s="34" customFormat="1"/>
    <row r="871" s="34" customFormat="1"/>
    <row r="872" s="34" customFormat="1"/>
    <row r="873" s="34" customFormat="1"/>
    <row r="874" s="34" customFormat="1"/>
    <row r="875" s="34" customFormat="1"/>
    <row r="876" s="34" customFormat="1"/>
    <row r="877" s="34" customFormat="1"/>
    <row r="878" s="34" customFormat="1"/>
    <row r="879" s="34" customFormat="1"/>
    <row r="880" s="34" customFormat="1"/>
    <row r="881" s="34" customFormat="1"/>
    <row r="882" s="34" customFormat="1"/>
    <row r="883" s="34" customFormat="1"/>
    <row r="884" s="34" customFormat="1"/>
    <row r="885" s="34" customFormat="1"/>
    <row r="886" s="34" customFormat="1"/>
    <row r="887" s="34" customFormat="1"/>
    <row r="888" s="34" customFormat="1"/>
    <row r="889" s="34" customFormat="1"/>
    <row r="890" s="34" customFormat="1"/>
    <row r="891" s="34" customFormat="1"/>
    <row r="892" s="34" customFormat="1"/>
    <row r="893" s="34" customFormat="1"/>
    <row r="894" s="34" customFormat="1"/>
    <row r="895" s="34" customFormat="1"/>
    <row r="896" s="34" customFormat="1"/>
    <row r="897" s="34" customFormat="1"/>
    <row r="898" s="34" customFormat="1"/>
    <row r="899" s="34" customFormat="1"/>
    <row r="900" s="34" customFormat="1"/>
    <row r="901" s="34" customFormat="1"/>
    <row r="902" s="34" customFormat="1"/>
    <row r="903" s="34" customFormat="1"/>
    <row r="904" s="34" customFormat="1"/>
    <row r="905" s="34" customFormat="1"/>
    <row r="906" s="34" customFormat="1"/>
    <row r="907" s="34" customFormat="1"/>
    <row r="908" s="34" customFormat="1"/>
    <row r="909" s="34" customFormat="1"/>
    <row r="910" s="34" customFormat="1"/>
    <row r="911" s="34" customFormat="1"/>
    <row r="912" s="34" customFormat="1"/>
    <row r="913" s="34" customFormat="1"/>
    <row r="914" s="34" customFormat="1"/>
    <row r="915" s="34" customFormat="1"/>
    <row r="916" s="34" customFormat="1"/>
    <row r="917" s="34" customFormat="1"/>
    <row r="918" s="34" customFormat="1"/>
    <row r="919" s="34" customFormat="1"/>
    <row r="920" s="34" customFormat="1"/>
    <row r="921" s="34" customFormat="1"/>
    <row r="922" s="34" customFormat="1"/>
    <row r="923" s="34" customFormat="1"/>
    <row r="924" s="34" customFormat="1"/>
    <row r="925" s="34" customFormat="1"/>
    <row r="926" s="34" customFormat="1"/>
    <row r="927" s="34" customFormat="1"/>
    <row r="928" s="34" customFormat="1"/>
    <row r="929" s="34" customFormat="1"/>
    <row r="930" s="34" customFormat="1"/>
    <row r="931" s="34" customFormat="1"/>
    <row r="932" s="34" customFormat="1"/>
    <row r="933" s="34" customFormat="1"/>
    <row r="934" s="34" customFormat="1"/>
    <row r="935" s="34" customFormat="1"/>
    <row r="936" s="34" customFormat="1"/>
    <row r="937" s="34" customFormat="1"/>
    <row r="938" s="34" customFormat="1"/>
    <row r="939" s="34" customFormat="1"/>
    <row r="940" s="34" customFormat="1"/>
    <row r="941" s="34" customFormat="1"/>
    <row r="942" s="34" customFormat="1"/>
    <row r="943" s="34" customFormat="1"/>
    <row r="944" s="34" customFormat="1"/>
    <row r="945" s="34" customFormat="1"/>
    <row r="946" s="34" customFormat="1"/>
    <row r="947" s="34" customFormat="1"/>
    <row r="948" s="34" customFormat="1"/>
    <row r="949" s="34" customFormat="1"/>
    <row r="950" s="34" customFormat="1"/>
    <row r="951" s="34" customFormat="1"/>
    <row r="952" s="34" customFormat="1"/>
    <row r="953" s="34" customFormat="1"/>
    <row r="954" s="34" customFormat="1"/>
    <row r="955" s="34" customFormat="1"/>
    <row r="956" s="34" customFormat="1"/>
    <row r="957" s="34" customFormat="1"/>
    <row r="958" s="34" customFormat="1"/>
    <row r="959" s="34" customFormat="1"/>
    <row r="960" s="34" customFormat="1"/>
    <row r="961" s="34" customFormat="1"/>
    <row r="962" s="34" customFormat="1"/>
    <row r="963" s="34" customFormat="1"/>
    <row r="964" s="34" customFormat="1"/>
    <row r="965" s="34" customFormat="1"/>
    <row r="966" s="34" customFormat="1"/>
    <row r="967" s="34" customFormat="1"/>
    <row r="968" s="34" customFormat="1"/>
    <row r="969" s="34" customFormat="1"/>
    <row r="970" s="34" customFormat="1"/>
    <row r="971" s="34" customFormat="1"/>
    <row r="972" s="34" customFormat="1"/>
    <row r="973" s="34" customFormat="1"/>
    <row r="974" s="34" customFormat="1"/>
    <row r="975" s="34" customFormat="1"/>
    <row r="976" s="34" customFormat="1"/>
    <row r="977" s="34" customFormat="1"/>
    <row r="978" s="34" customFormat="1"/>
    <row r="979" s="34" customFormat="1"/>
    <row r="980" s="34" customFormat="1"/>
    <row r="981" s="34" customFormat="1"/>
    <row r="982" s="34" customFormat="1"/>
    <row r="983" s="34" customFormat="1"/>
    <row r="984" s="34" customFormat="1"/>
    <row r="985" s="34" customFormat="1"/>
    <row r="986" s="34" customFormat="1"/>
    <row r="987" s="34" customFormat="1"/>
    <row r="988" s="34" customFormat="1"/>
    <row r="989" s="34" customFormat="1"/>
    <row r="990" s="34" customFormat="1"/>
    <row r="991" s="34" customFormat="1"/>
    <row r="992" s="34" customFormat="1"/>
    <row r="993" s="34" customFormat="1"/>
    <row r="994" s="34" customFormat="1"/>
    <row r="995" s="34" customFormat="1"/>
    <row r="996" s="34" customFormat="1"/>
    <row r="997" s="34" customFormat="1"/>
    <row r="998" s="34" customFormat="1"/>
    <row r="999" s="34" customFormat="1"/>
    <row r="1000" s="34" customFormat="1"/>
    <row r="1001" s="34" customFormat="1"/>
    <row r="1002" s="34" customFormat="1"/>
    <row r="1003" s="34" customFormat="1"/>
    <row r="1004" s="34" customFormat="1"/>
    <row r="1005" s="34" customFormat="1"/>
    <row r="1006" s="34" customFormat="1"/>
    <row r="1007" s="34" customFormat="1"/>
    <row r="1008" s="34" customFormat="1"/>
    <row r="1009" s="34" customFormat="1"/>
    <row r="1010" s="34" customFormat="1"/>
    <row r="1011" s="34" customFormat="1"/>
    <row r="1012" s="34" customFormat="1"/>
    <row r="1013" s="34" customFormat="1"/>
    <row r="1014" s="34" customFormat="1"/>
    <row r="1015" s="34" customFormat="1"/>
    <row r="1016" s="34" customFormat="1"/>
    <row r="1017" s="34" customFormat="1"/>
    <row r="1018" s="34" customFormat="1"/>
    <row r="1019" s="34" customFormat="1"/>
    <row r="1020" s="34" customFormat="1"/>
    <row r="1021" s="34" customFormat="1"/>
    <row r="1022" s="34" customFormat="1"/>
    <row r="1023" s="34" customFormat="1"/>
    <row r="1024" s="34" customFormat="1"/>
    <row r="1025" s="34" customFormat="1"/>
    <row r="1026" s="34" customFormat="1"/>
    <row r="1027" s="34" customFormat="1"/>
    <row r="1028" s="34" customFormat="1"/>
    <row r="1029" s="34" customFormat="1"/>
    <row r="1030" s="34" customFormat="1"/>
    <row r="1031" s="34" customFormat="1"/>
    <row r="1032" s="34" customFormat="1"/>
    <row r="1033" s="34" customFormat="1"/>
    <row r="1034" s="34" customFormat="1"/>
    <row r="1035" s="34" customFormat="1"/>
    <row r="1036" s="34" customFormat="1"/>
    <row r="1037" s="34" customFormat="1"/>
    <row r="1038" s="34" customFormat="1"/>
    <row r="1039" s="34" customFormat="1"/>
    <row r="1040" s="34" customFormat="1"/>
    <row r="1041" s="34" customFormat="1"/>
    <row r="1042" s="34" customFormat="1"/>
    <row r="1043" s="34" customFormat="1"/>
    <row r="1044" s="34" customFormat="1"/>
    <row r="1045" s="34" customFormat="1"/>
    <row r="1046" s="34" customFormat="1"/>
    <row r="1047" s="34" customFormat="1"/>
    <row r="1048" s="34" customFormat="1"/>
    <row r="1049" s="34" customFormat="1"/>
    <row r="1050" s="34" customFormat="1"/>
    <row r="1051" s="34" customFormat="1"/>
    <row r="1052" s="34" customFormat="1"/>
    <row r="1053" s="34" customFormat="1"/>
    <row r="1054" s="34" customFormat="1"/>
    <row r="1055" s="34" customFormat="1"/>
    <row r="1056" s="34" customFormat="1"/>
    <row r="1057" s="34" customFormat="1"/>
    <row r="1058" s="34" customFormat="1"/>
    <row r="1059" s="34" customFormat="1"/>
    <row r="1060" s="34" customFormat="1"/>
    <row r="1061" s="34" customFormat="1"/>
    <row r="1062" s="34" customFormat="1"/>
    <row r="1063" s="34" customFormat="1"/>
    <row r="1064" s="34" customFormat="1"/>
    <row r="1065" s="34" customFormat="1"/>
    <row r="1066" s="34" customFormat="1"/>
    <row r="1067" s="34" customFormat="1"/>
    <row r="1068" s="34" customFormat="1"/>
    <row r="1069" s="34" customFormat="1"/>
    <row r="1070" s="34" customFormat="1"/>
    <row r="1071" s="34" customFormat="1"/>
    <row r="1072" s="34" customFormat="1"/>
    <row r="1073" s="34" customFormat="1"/>
    <row r="1074" s="34" customFormat="1"/>
    <row r="1075" s="34" customFormat="1"/>
    <row r="1076" s="34" customFormat="1"/>
    <row r="1077" s="34" customFormat="1"/>
    <row r="1078" s="34" customFormat="1"/>
    <row r="1079" s="34" customFormat="1"/>
    <row r="1080" s="34" customFormat="1"/>
    <row r="1081" s="34" customFormat="1"/>
    <row r="1082" s="34" customFormat="1"/>
    <row r="1083" s="34" customFormat="1"/>
    <row r="1084" s="34" customFormat="1"/>
    <row r="1085" s="34" customFormat="1"/>
    <row r="1086" s="34" customFormat="1"/>
    <row r="1087" s="34" customFormat="1"/>
    <row r="1088" s="34" customFormat="1"/>
    <row r="1089" s="34" customFormat="1"/>
    <row r="1090" s="34" customFormat="1"/>
    <row r="1091" s="34" customFormat="1"/>
    <row r="1092" s="34" customFormat="1"/>
    <row r="1093" s="34" customFormat="1"/>
    <row r="1094" s="34" customFormat="1"/>
    <row r="1095" s="34" customFormat="1"/>
    <row r="1096" s="34" customFormat="1"/>
    <row r="1097" s="34" customFormat="1"/>
    <row r="1098" s="34" customFormat="1"/>
    <row r="1099" s="34" customFormat="1"/>
    <row r="1100" s="34" customFormat="1"/>
    <row r="1101" s="34" customFormat="1"/>
    <row r="1102" s="34" customFormat="1"/>
    <row r="1103" s="34" customFormat="1"/>
    <row r="1104" s="34" customFormat="1"/>
    <row r="1105" s="34" customFormat="1"/>
    <row r="1106" s="34" customFormat="1"/>
    <row r="1107" s="34" customFormat="1"/>
    <row r="1108" s="34" customFormat="1"/>
    <row r="1109" s="34" customFormat="1"/>
    <row r="1110" s="34" customFormat="1"/>
    <row r="1111" s="34" customFormat="1"/>
    <row r="1112" s="34" customFormat="1"/>
    <row r="1113" s="34" customFormat="1"/>
    <row r="1114" s="34" customFormat="1"/>
    <row r="1115" s="34" customFormat="1"/>
    <row r="1116" s="34" customFormat="1"/>
    <row r="1117" s="34" customFormat="1"/>
    <row r="1118" s="34" customFormat="1"/>
    <row r="1119" s="34" customFormat="1"/>
    <row r="1120" s="34" customFormat="1"/>
    <row r="1121" s="34" customFormat="1"/>
    <row r="1122" s="34" customFormat="1"/>
    <row r="1123" s="34" customFormat="1"/>
    <row r="1124" s="34" customFormat="1"/>
    <row r="1125" s="34" customFormat="1"/>
    <row r="1126" s="34" customFormat="1"/>
    <row r="1127" s="34" customFormat="1"/>
    <row r="1128" s="34" customFormat="1"/>
    <row r="1129" s="34" customFormat="1"/>
    <row r="1130" s="34" customFormat="1"/>
    <row r="1131" s="34" customFormat="1"/>
    <row r="1132" s="34" customFormat="1"/>
    <row r="1133" s="34" customFormat="1"/>
    <row r="1134" s="34" customFormat="1"/>
    <row r="1135" s="34" customFormat="1"/>
    <row r="1136" s="34" customFormat="1"/>
    <row r="1137" s="34" customFormat="1"/>
    <row r="1138" s="34" customFormat="1"/>
    <row r="1139" s="34" customFormat="1"/>
    <row r="1140" s="34" customFormat="1"/>
    <row r="1141" s="34" customFormat="1"/>
    <row r="1142" s="34" customFormat="1"/>
    <row r="1143" s="34" customFormat="1"/>
    <row r="1144" s="34" customFormat="1"/>
    <row r="1145" s="34" customFormat="1"/>
    <row r="1146" s="34" customFormat="1"/>
    <row r="1147" s="34" customFormat="1"/>
    <row r="1148" s="34" customFormat="1"/>
    <row r="1149" s="34" customFormat="1"/>
    <row r="1150" s="34" customFormat="1"/>
    <row r="1151" s="34" customFormat="1"/>
    <row r="1152" s="34" customFormat="1"/>
    <row r="1153" s="34" customFormat="1"/>
    <row r="1154" s="34" customFormat="1"/>
    <row r="1155" s="34" customFormat="1"/>
    <row r="1156" s="34" customFormat="1"/>
    <row r="1157" s="34" customFormat="1"/>
    <row r="1158" s="34" customFormat="1"/>
    <row r="1159" s="34" customFormat="1"/>
    <row r="1160" s="34" customFormat="1"/>
    <row r="1161" s="34" customFormat="1"/>
    <row r="1162" s="34" customFormat="1"/>
    <row r="1163" s="34" customFormat="1"/>
    <row r="1164" s="34" customFormat="1"/>
    <row r="1165" s="34" customFormat="1"/>
    <row r="1166" s="34" customFormat="1"/>
    <row r="1167" s="34" customFormat="1"/>
    <row r="1168" s="34" customFormat="1"/>
    <row r="1169" s="34" customFormat="1"/>
    <row r="1170" s="34" customFormat="1"/>
    <row r="1171" s="34" customFormat="1"/>
    <row r="1172" s="34" customFormat="1"/>
    <row r="1173" s="34" customFormat="1"/>
    <row r="1174" s="34" customFormat="1"/>
    <row r="1175" s="34" customFormat="1"/>
    <row r="1176" s="34" customFormat="1"/>
    <row r="1177" s="34" customFormat="1"/>
    <row r="1178" s="34" customFormat="1"/>
    <row r="1179" s="34" customFormat="1"/>
    <row r="1180" s="34" customFormat="1"/>
    <row r="1181" s="34" customFormat="1"/>
    <row r="1182" s="34" customFormat="1"/>
    <row r="1183" s="34" customFormat="1"/>
    <row r="1184" s="34" customFormat="1"/>
    <row r="1185" s="34" customFormat="1"/>
    <row r="1186" s="34" customFormat="1"/>
    <row r="1187" s="34" customFormat="1"/>
    <row r="1188" s="34" customFormat="1"/>
    <row r="1189" s="34" customFormat="1"/>
    <row r="1190" s="34" customFormat="1"/>
    <row r="1191" s="34" customFormat="1"/>
    <row r="1192" s="34" customFormat="1"/>
    <row r="1193" s="34" customFormat="1"/>
    <row r="1194" s="34" customFormat="1"/>
    <row r="1195" s="34" customFormat="1"/>
    <row r="1196" s="34" customFormat="1"/>
    <row r="1197" s="34" customFormat="1"/>
    <row r="1198" s="34" customFormat="1"/>
    <row r="1199" s="34" customFormat="1"/>
    <row r="1200" s="34" customFormat="1"/>
    <row r="1201" s="34" customFormat="1"/>
    <row r="1202" s="34" customFormat="1"/>
    <row r="1203" s="34" customFormat="1"/>
    <row r="1204" s="34" customFormat="1"/>
    <row r="1205" s="34" customFormat="1"/>
    <row r="1206" s="34" customFormat="1"/>
    <row r="1207" s="34" customFormat="1"/>
    <row r="1208" s="34" customFormat="1"/>
    <row r="1209" s="34" customFormat="1"/>
    <row r="1210" s="34" customFormat="1"/>
    <row r="1211" s="34" customFormat="1"/>
    <row r="1212" s="34" customFormat="1"/>
    <row r="1213" s="34" customFormat="1"/>
    <row r="1214" s="34" customFormat="1"/>
    <row r="1215" s="34" customFormat="1"/>
    <row r="1216" s="34" customFormat="1"/>
    <row r="1217" s="34" customFormat="1"/>
    <row r="1218" s="34" customFormat="1"/>
    <row r="1219" s="34" customFormat="1"/>
    <row r="1220" s="34" customFormat="1"/>
    <row r="1221" s="34" customFormat="1"/>
    <row r="1222" s="34" customFormat="1"/>
    <row r="1223" s="34" customFormat="1"/>
    <row r="1224" s="34" customFormat="1"/>
    <row r="1225" s="34" customFormat="1"/>
    <row r="1226" s="34" customFormat="1"/>
    <row r="1227" s="34" customFormat="1"/>
    <row r="1228" s="34" customFormat="1"/>
    <row r="1229" s="34" customFormat="1"/>
    <row r="1230" s="34" customFormat="1"/>
    <row r="1231" s="34" customFormat="1"/>
    <row r="1232" s="34" customFormat="1"/>
    <row r="1233" s="34" customFormat="1"/>
    <row r="1234" s="34" customFormat="1"/>
    <row r="1235" s="34" customFormat="1"/>
    <row r="1236" s="34" customFormat="1"/>
    <row r="1237" s="34" customFormat="1"/>
    <row r="1238" s="34" customFormat="1"/>
    <row r="1239" s="34" customFormat="1"/>
    <row r="1240" s="34" customFormat="1"/>
    <row r="1241" s="34" customFormat="1"/>
    <row r="1242" s="34" customFormat="1"/>
    <row r="1243" s="34" customFormat="1"/>
    <row r="1244" s="34" customFormat="1"/>
    <row r="1245" s="34" customFormat="1"/>
    <row r="1246" s="34" customFormat="1"/>
    <row r="1247" s="34" customFormat="1"/>
    <row r="1248" s="34" customFormat="1"/>
    <row r="1249" s="34" customFormat="1"/>
    <row r="1250" s="34" customFormat="1"/>
    <row r="1251" s="34" customFormat="1"/>
    <row r="1252" s="34" customFormat="1"/>
    <row r="1253" s="34" customFormat="1"/>
    <row r="1254" s="34" customFormat="1"/>
    <row r="1255" s="34" customFormat="1"/>
    <row r="1256" s="34" customFormat="1"/>
    <row r="1257" s="34" customFormat="1"/>
    <row r="1258" s="34" customFormat="1"/>
    <row r="1259" s="34" customFormat="1"/>
    <row r="1260" s="34" customFormat="1"/>
    <row r="1261" s="34" customFormat="1"/>
    <row r="1262" s="34" customFormat="1"/>
    <row r="1263" s="34" customFormat="1"/>
    <row r="1264" s="34" customFormat="1"/>
    <row r="1265" s="34" customFormat="1"/>
    <row r="1266" s="34" customFormat="1"/>
    <row r="1267" s="34" customFormat="1"/>
    <row r="1268" s="34" customFormat="1"/>
    <row r="1269" s="34" customFormat="1"/>
    <row r="1270" s="34" customFormat="1"/>
    <row r="1271" s="34" customFormat="1"/>
    <row r="1272" s="34" customFormat="1"/>
    <row r="1273" s="34" customFormat="1"/>
    <row r="1274" s="34" customFormat="1"/>
    <row r="1275" s="34" customFormat="1"/>
    <row r="1276" s="34" customFormat="1"/>
    <row r="1277" s="34" customFormat="1"/>
    <row r="1278" s="34" customFormat="1"/>
    <row r="1279" s="34" customFormat="1"/>
    <row r="1280" s="34" customFormat="1"/>
    <row r="1281" s="34" customFormat="1"/>
    <row r="1282" s="34" customFormat="1"/>
    <row r="1283" s="34" customFormat="1"/>
    <row r="1284" s="34" customFormat="1"/>
    <row r="1285" s="34" customFormat="1"/>
    <row r="1286" s="34" customFormat="1"/>
    <row r="1287" s="34" customFormat="1"/>
    <row r="1288" s="34" customFormat="1"/>
    <row r="1289" s="34" customFormat="1"/>
    <row r="1290" s="34" customFormat="1"/>
    <row r="1291" s="34" customFormat="1"/>
    <row r="1292" s="34" customFormat="1"/>
    <row r="1293" s="34" customFormat="1"/>
    <row r="1294" s="34" customFormat="1"/>
    <row r="1295" s="34" customFormat="1"/>
    <row r="1296" s="34" customFormat="1"/>
    <row r="1297" s="34" customFormat="1"/>
    <row r="1298" s="34" customFormat="1"/>
    <row r="1299" s="34" customFormat="1"/>
    <row r="1300" s="34" customFormat="1"/>
    <row r="1301" s="34" customFormat="1"/>
    <row r="1302" s="34" customFormat="1"/>
    <row r="1303" s="34" customFormat="1"/>
    <row r="1304" s="34" customFormat="1"/>
    <row r="1305" s="34" customFormat="1"/>
    <row r="1306" s="34" customFormat="1"/>
    <row r="1307" s="34" customFormat="1"/>
    <row r="1308" s="34" customFormat="1"/>
    <row r="1309" s="34" customFormat="1"/>
    <row r="1310" s="34" customFormat="1"/>
    <row r="1311" s="34" customFormat="1"/>
    <row r="1312" s="34" customFormat="1"/>
    <row r="1313" s="34" customFormat="1"/>
    <row r="1314" s="34" customFormat="1"/>
    <row r="1315" s="34" customFormat="1"/>
    <row r="1316" s="34" customFormat="1"/>
    <row r="1317" s="34" customFormat="1"/>
    <row r="1318" s="34" customFormat="1"/>
    <row r="1319" s="34" customFormat="1"/>
    <row r="1320" s="34" customFormat="1"/>
    <row r="1321" s="34" customFormat="1"/>
    <row r="1322" s="34" customFormat="1"/>
    <row r="1323" s="34" customFormat="1"/>
    <row r="1324" s="34" customFormat="1"/>
    <row r="1325" s="34" customFormat="1"/>
    <row r="1326" s="34" customFormat="1"/>
    <row r="1327" s="34" customFormat="1"/>
    <row r="1328" s="34" customFormat="1"/>
    <row r="1329" s="34" customFormat="1"/>
    <row r="1330" s="34" customFormat="1"/>
    <row r="1331" s="34" customFormat="1"/>
    <row r="1332" s="34" customFormat="1"/>
    <row r="1333" s="34" customFormat="1"/>
    <row r="1334" s="34" customFormat="1"/>
    <row r="1335" s="34" customFormat="1"/>
    <row r="1336" s="34" customFormat="1"/>
    <row r="1337" s="34" customFormat="1"/>
    <row r="1338" s="34" customFormat="1"/>
    <row r="1339" s="34" customFormat="1"/>
    <row r="1340" s="34" customFormat="1"/>
    <row r="1341" s="34" customFormat="1"/>
    <row r="1342" s="34" customFormat="1"/>
    <row r="1343" s="34" customFormat="1"/>
    <row r="1344" s="34" customFormat="1"/>
    <row r="1345" s="34" customFormat="1"/>
    <row r="1346" s="34" customFormat="1"/>
    <row r="1347" s="34" customFormat="1"/>
    <row r="1348" s="34" customFormat="1"/>
    <row r="1349" s="34" customFormat="1"/>
    <row r="1350" s="34" customFormat="1"/>
    <row r="1351" s="34" customFormat="1"/>
    <row r="1352" s="34" customFormat="1"/>
    <row r="1353" s="34" customFormat="1"/>
    <row r="1354" s="34" customFormat="1"/>
    <row r="1355" s="34" customFormat="1"/>
    <row r="1356" s="34" customFormat="1"/>
    <row r="1357" s="34" customFormat="1"/>
    <row r="1358" s="34" customFormat="1"/>
    <row r="1359" s="34" customFormat="1"/>
    <row r="1360" s="34" customFormat="1"/>
    <row r="1361" s="34" customFormat="1"/>
    <row r="1362" s="34" customFormat="1"/>
    <row r="1363" s="34" customFormat="1"/>
    <row r="1364" s="34" customFormat="1"/>
    <row r="1365" s="34" customFormat="1"/>
    <row r="1366" s="34" customFormat="1"/>
    <row r="1367" s="34" customFormat="1"/>
    <row r="1368" s="34" customFormat="1"/>
    <row r="1369" s="34" customFormat="1"/>
    <row r="1370" s="34" customFormat="1"/>
    <row r="1371" s="34" customFormat="1"/>
    <row r="1372" s="34" customFormat="1"/>
    <row r="1373" s="34" customFormat="1"/>
    <row r="1374" s="34" customFormat="1"/>
    <row r="1375" s="34" customFormat="1"/>
    <row r="1376" s="34" customFormat="1"/>
    <row r="1377" s="34" customFormat="1"/>
    <row r="1378" s="34" customFormat="1"/>
    <row r="1379" s="34" customFormat="1"/>
    <row r="1380" s="34" customFormat="1"/>
    <row r="1381" s="34" customFormat="1"/>
    <row r="1382" s="34" customFormat="1"/>
    <row r="1383" s="34" customFormat="1"/>
    <row r="1384" s="34" customFormat="1"/>
    <row r="1385" s="34" customFormat="1"/>
    <row r="1386" s="34" customFormat="1"/>
    <row r="1387" s="34" customFormat="1"/>
    <row r="1388" s="34" customFormat="1"/>
    <row r="1389" s="34" customFormat="1"/>
    <row r="1390" s="34" customFormat="1"/>
    <row r="1391" s="34" customFormat="1"/>
    <row r="1392" s="34" customFormat="1"/>
    <row r="1393" s="34" customFormat="1"/>
    <row r="1394" s="34" customFormat="1"/>
    <row r="1395" s="34" customFormat="1"/>
    <row r="1396" s="34" customFormat="1"/>
    <row r="1397" s="34" customFormat="1"/>
    <row r="1398" s="34" customFormat="1"/>
    <row r="1399" s="34" customFormat="1"/>
    <row r="1400" s="34" customFormat="1"/>
    <row r="1401" s="34" customFormat="1"/>
    <row r="1402" s="34" customFormat="1"/>
    <row r="1403" s="34" customFormat="1"/>
    <row r="1404" s="34" customFormat="1"/>
    <row r="1405" s="34" customFormat="1"/>
    <row r="1406" s="34" customFormat="1"/>
    <row r="1407" s="34" customFormat="1"/>
    <row r="1408" s="34" customFormat="1"/>
    <row r="1409" s="34" customFormat="1"/>
    <row r="1410" s="34" customFormat="1"/>
    <row r="1411" s="34" customFormat="1"/>
    <row r="1412" s="34" customFormat="1"/>
    <row r="1413" s="34" customFormat="1"/>
    <row r="1414" s="34" customFormat="1"/>
    <row r="1415" s="34" customFormat="1"/>
    <row r="1416" s="34" customFormat="1"/>
    <row r="1417" s="34" customFormat="1"/>
    <row r="1418" s="34" customFormat="1"/>
    <row r="1419" s="34" customFormat="1"/>
    <row r="1420" s="34" customFormat="1"/>
    <row r="1421" s="34" customFormat="1"/>
    <row r="1422" s="34" customFormat="1"/>
    <row r="1423" s="34" customFormat="1"/>
    <row r="1424" s="34" customFormat="1"/>
    <row r="1425" s="34" customFormat="1"/>
    <row r="1426" s="34" customFormat="1"/>
    <row r="1427" s="34" customFormat="1"/>
    <row r="1428" s="34" customFormat="1"/>
    <row r="1429" s="34" customFormat="1"/>
    <row r="1430" s="34" customFormat="1"/>
    <row r="1431" s="34" customFormat="1"/>
    <row r="1432" s="34" customFormat="1"/>
    <row r="1433" s="34" customFormat="1"/>
    <row r="1434" s="34" customFormat="1"/>
    <row r="1435" s="34" customFormat="1"/>
    <row r="1436" s="34" customFormat="1"/>
    <row r="1437" s="34" customFormat="1"/>
    <row r="1438" s="34" customFormat="1"/>
    <row r="1439" s="34" customFormat="1"/>
    <row r="1440" s="34" customFormat="1"/>
    <row r="1441" s="34" customFormat="1"/>
    <row r="1442" s="34" customFormat="1"/>
    <row r="1443" s="34" customFormat="1"/>
    <row r="1444" s="34" customFormat="1"/>
    <row r="1445" s="34" customFormat="1"/>
    <row r="1446" s="34" customFormat="1"/>
    <row r="1447" s="34" customFormat="1"/>
    <row r="1448" s="34" customFormat="1"/>
    <row r="1449" s="34" customFormat="1"/>
    <row r="1450" s="34" customFormat="1"/>
    <row r="1451" s="34" customFormat="1"/>
    <row r="1452" s="34" customFormat="1"/>
    <row r="1453" s="34" customFormat="1"/>
    <row r="1454" s="34" customFormat="1"/>
    <row r="1455" s="34" customFormat="1"/>
    <row r="1456" s="34" customFormat="1"/>
    <row r="1457" s="34" customFormat="1"/>
    <row r="1458" s="34" customFormat="1"/>
    <row r="1459" s="34" customFormat="1"/>
    <row r="1460" s="34" customFormat="1"/>
    <row r="1461" s="34" customFormat="1"/>
    <row r="1462" s="34" customFormat="1"/>
    <row r="1463" s="34" customFormat="1"/>
    <row r="1464" s="34" customFormat="1"/>
    <row r="1465" s="34" customFormat="1"/>
    <row r="1466" s="34" customFormat="1"/>
    <row r="1467" s="34" customFormat="1"/>
    <row r="1468" s="34" customFormat="1"/>
    <row r="1469" s="34" customFormat="1"/>
    <row r="1470" s="34" customFormat="1"/>
    <row r="1471" s="34" customFormat="1"/>
    <row r="1472" s="34" customFormat="1"/>
    <row r="1473" s="34" customFormat="1"/>
    <row r="1474" s="34" customFormat="1"/>
    <row r="1475" s="34" customFormat="1"/>
    <row r="1476" s="34" customFormat="1"/>
    <row r="1477" s="34" customFormat="1"/>
    <row r="1478" s="34" customFormat="1"/>
    <row r="1479" s="34" customFormat="1"/>
    <row r="1480" s="34" customFormat="1"/>
    <row r="1481" s="34" customFormat="1"/>
    <row r="1482" s="34" customFormat="1"/>
    <row r="1483" s="34" customFormat="1"/>
    <row r="1484" s="34" customFormat="1"/>
    <row r="1485" s="34" customFormat="1"/>
    <row r="1486" s="34" customFormat="1"/>
    <row r="1487" s="34" customFormat="1"/>
    <row r="1488" s="34" customFormat="1"/>
    <row r="1489" s="34" customFormat="1"/>
    <row r="1490" s="34" customFormat="1"/>
    <row r="1491" s="34" customFormat="1"/>
    <row r="1492" s="34" customFormat="1"/>
    <row r="1493" s="34" customFormat="1"/>
    <row r="1494" s="34" customFormat="1"/>
    <row r="1495" s="34" customFormat="1"/>
    <row r="1496" s="34" customFormat="1"/>
    <row r="1497" s="34" customFormat="1"/>
    <row r="1498" s="34" customFormat="1"/>
    <row r="1499" s="34" customFormat="1"/>
    <row r="1500" s="34" customFormat="1"/>
    <row r="1501" s="34" customFormat="1"/>
    <row r="1502" s="34" customFormat="1"/>
    <row r="1503" s="34" customFormat="1"/>
    <row r="1504" s="34" customFormat="1"/>
    <row r="1505" s="34" customFormat="1"/>
    <row r="1506" s="34" customFormat="1"/>
    <row r="1507" s="34" customFormat="1"/>
    <row r="1508" s="34" customFormat="1"/>
    <row r="1509" s="34" customFormat="1"/>
    <row r="1510" s="34" customFormat="1"/>
    <row r="1511" s="34" customFormat="1"/>
    <row r="1512" s="34" customFormat="1"/>
    <row r="1513" s="34" customFormat="1"/>
    <row r="1514" s="34" customFormat="1"/>
    <row r="1515" s="34" customFormat="1"/>
    <row r="1516" s="34" customFormat="1"/>
    <row r="1517" s="34" customFormat="1"/>
    <row r="1518" s="34" customFormat="1"/>
    <row r="1519" s="34" customFormat="1"/>
    <row r="1520" s="34" customFormat="1"/>
    <row r="1521" s="34" customFormat="1"/>
    <row r="1522" s="34" customFormat="1"/>
    <row r="1523" s="34" customFormat="1"/>
    <row r="1524" s="34" customFormat="1"/>
    <row r="1525" s="34" customFormat="1"/>
    <row r="1526" s="34" customFormat="1"/>
    <row r="1527" s="34" customFormat="1"/>
    <row r="1528" s="34" customFormat="1"/>
    <row r="1529" s="34" customFormat="1"/>
    <row r="1530" s="34" customFormat="1"/>
    <row r="1531" s="34" customFormat="1"/>
    <row r="1532" s="34" customFormat="1"/>
    <row r="1533" s="34" customFormat="1"/>
    <row r="1534" s="34" customFormat="1"/>
    <row r="1535" s="34" customFormat="1"/>
    <row r="1536" s="34" customFormat="1"/>
    <row r="1537" s="34" customFormat="1"/>
    <row r="1538" s="34" customFormat="1"/>
    <row r="1539" s="34" customFormat="1"/>
    <row r="1540" s="34" customFormat="1"/>
    <row r="1541" s="34" customFormat="1"/>
    <row r="1542" s="34" customFormat="1"/>
    <row r="1543" s="34" customFormat="1"/>
    <row r="1544" s="34" customFormat="1"/>
    <row r="1545" s="34" customFormat="1"/>
    <row r="1546" s="34" customFormat="1"/>
    <row r="1547" s="34" customFormat="1"/>
    <row r="1548" s="34" customFormat="1"/>
    <row r="1549" s="34" customFormat="1"/>
    <row r="1550" s="34" customFormat="1"/>
    <row r="1551" s="34" customFormat="1"/>
    <row r="1552" s="34" customFormat="1"/>
    <row r="1553" s="34" customFormat="1"/>
    <row r="1554" s="34" customFormat="1"/>
    <row r="1555" s="34" customFormat="1"/>
    <row r="1556" s="34" customFormat="1"/>
    <row r="1557" s="34" customFormat="1"/>
    <row r="1558" s="34" customFormat="1"/>
    <row r="1559" s="34" customFormat="1"/>
    <row r="1560" s="34" customFormat="1"/>
    <row r="1561" s="34" customFormat="1"/>
    <row r="1562" s="34" customFormat="1"/>
    <row r="1563" s="34" customFormat="1"/>
    <row r="1564" s="34" customFormat="1"/>
    <row r="1565" s="34" customFormat="1"/>
    <row r="1566" s="34" customFormat="1"/>
    <row r="1567" s="34" customFormat="1"/>
    <row r="1568" s="34" customFormat="1"/>
    <row r="1569" s="34" customFormat="1"/>
    <row r="1570" s="34" customFormat="1"/>
    <row r="1571" s="34" customFormat="1"/>
    <row r="1572" s="34" customFormat="1"/>
    <row r="1573" s="34" customFormat="1"/>
    <row r="1574" s="34" customFormat="1"/>
    <row r="1575" s="34" customFormat="1"/>
    <row r="1576" s="34" customFormat="1"/>
    <row r="1577" s="34" customFormat="1"/>
    <row r="1578" s="34" customFormat="1"/>
    <row r="1579" s="34" customFormat="1"/>
    <row r="1580" s="34" customFormat="1"/>
    <row r="1581" s="34" customFormat="1"/>
    <row r="1582" s="34" customFormat="1"/>
    <row r="1583" s="34" customFormat="1"/>
    <row r="1584" s="34" customFormat="1"/>
    <row r="1585" s="34" customFormat="1"/>
    <row r="1586" s="34" customFormat="1"/>
    <row r="1587" s="34" customFormat="1"/>
    <row r="1588" s="34" customFormat="1"/>
    <row r="1589" s="34" customFormat="1"/>
    <row r="1590" s="34" customFormat="1"/>
    <row r="1591" s="34" customFormat="1"/>
    <row r="1592" s="34" customFormat="1"/>
    <row r="1593" s="34" customFormat="1"/>
    <row r="1594" s="34" customFormat="1"/>
    <row r="1595" s="34" customFormat="1"/>
    <row r="1596" s="34" customFormat="1"/>
    <row r="1597" s="34" customFormat="1"/>
    <row r="1598" s="34" customFormat="1"/>
    <row r="1599" s="34" customFormat="1"/>
    <row r="1600" s="34" customFormat="1"/>
    <row r="1601" s="34" customFormat="1"/>
    <row r="1602" s="34" customFormat="1"/>
    <row r="1603" s="34" customFormat="1"/>
    <row r="1604" s="34" customFormat="1"/>
    <row r="1605" s="34" customFormat="1"/>
    <row r="1606" s="34" customFormat="1"/>
    <row r="1607" s="34" customFormat="1"/>
    <row r="1608" s="34" customFormat="1"/>
    <row r="1609" s="34" customFormat="1"/>
    <row r="1610" s="34" customFormat="1"/>
    <row r="1611" s="34" customFormat="1"/>
    <row r="1612" s="34" customFormat="1"/>
    <row r="1613" s="34" customFormat="1"/>
    <row r="1614" s="34" customFormat="1"/>
    <row r="1615" s="34" customFormat="1"/>
    <row r="1616" s="34" customFormat="1"/>
    <row r="1617" s="34" customFormat="1"/>
    <row r="1618" s="34" customFormat="1"/>
    <row r="1619" s="34" customFormat="1"/>
    <row r="1620" s="34" customFormat="1"/>
    <row r="1621" s="34" customFormat="1"/>
    <row r="1622" s="34" customFormat="1"/>
    <row r="1623" s="34" customFormat="1"/>
    <row r="1624" s="34" customFormat="1"/>
    <row r="1625" s="34" customFormat="1"/>
    <row r="1626" s="34" customFormat="1"/>
    <row r="1627" s="34" customFormat="1"/>
    <row r="1628" s="34" customFormat="1"/>
    <row r="1629" s="34" customFormat="1"/>
    <row r="1630" s="34" customFormat="1"/>
    <row r="1631" s="34" customFormat="1"/>
    <row r="1632" s="34" customFormat="1"/>
    <row r="1633" s="34" customFormat="1"/>
    <row r="1634" s="34" customFormat="1"/>
    <row r="1635" s="34" customFormat="1"/>
    <row r="1636" s="34" customFormat="1"/>
    <row r="1637" s="34" customFormat="1"/>
    <row r="1638" s="34" customFormat="1"/>
    <row r="1639" s="34" customFormat="1"/>
    <row r="1640" s="34" customFormat="1"/>
    <row r="1641" s="34" customFormat="1"/>
    <row r="1642" s="34" customFormat="1"/>
    <row r="1643" s="34" customFormat="1"/>
    <row r="1644" s="34" customFormat="1"/>
    <row r="1645" s="34" customFormat="1"/>
    <row r="1646" s="34" customFormat="1"/>
    <row r="1647" s="34" customFormat="1"/>
    <row r="1648" s="34" customFormat="1"/>
    <row r="1649" s="34" customFormat="1"/>
    <row r="1650" s="34" customFormat="1"/>
    <row r="1651" s="34" customFormat="1"/>
    <row r="1652" s="34" customFormat="1"/>
    <row r="1653" s="34" customFormat="1"/>
    <row r="1654" s="34" customFormat="1"/>
    <row r="1655" s="34" customFormat="1"/>
    <row r="1656" s="34" customFormat="1"/>
    <row r="1657" s="34" customFormat="1"/>
    <row r="1658" s="34" customFormat="1"/>
    <row r="1659" s="34" customFormat="1"/>
    <row r="1660" s="34" customFormat="1"/>
    <row r="1661" s="34" customFormat="1"/>
    <row r="1662" s="34" customFormat="1"/>
    <row r="1663" s="34" customFormat="1"/>
    <row r="1664" s="34" customFormat="1"/>
    <row r="1665" s="34" customFormat="1"/>
    <row r="1666" s="34" customFormat="1"/>
    <row r="1667" s="34" customFormat="1"/>
    <row r="1668" s="34" customFormat="1"/>
    <row r="1669" s="34" customFormat="1"/>
    <row r="1670" s="34" customFormat="1"/>
    <row r="1671" s="34" customFormat="1"/>
    <row r="1672" s="34" customFormat="1"/>
    <row r="1673" s="34" customFormat="1"/>
    <row r="1674" s="34" customFormat="1"/>
    <row r="1675" s="34" customFormat="1"/>
    <row r="1676" s="34" customFormat="1"/>
    <row r="1677" s="34" customFormat="1"/>
    <row r="1678" s="34" customFormat="1"/>
    <row r="1679" s="34" customFormat="1"/>
    <row r="1680" s="34" customFormat="1"/>
    <row r="1681" s="34" customFormat="1"/>
    <row r="1682" s="34" customFormat="1"/>
    <row r="1683" s="34" customFormat="1"/>
    <row r="1684" s="34" customFormat="1"/>
    <row r="1685" s="34" customFormat="1"/>
    <row r="1686" s="34" customFormat="1"/>
    <row r="1687" s="34" customFormat="1"/>
    <row r="1688" s="34" customFormat="1"/>
    <row r="1689" s="34" customFormat="1"/>
    <row r="1690" s="34" customFormat="1"/>
    <row r="1691" s="34" customFormat="1"/>
    <row r="1692" s="34" customFormat="1"/>
    <row r="1693" s="34" customFormat="1"/>
    <row r="1694" s="34" customFormat="1"/>
    <row r="1695" s="34" customFormat="1"/>
    <row r="1696" s="34" customFormat="1"/>
    <row r="1697" s="34" customFormat="1"/>
    <row r="1698" s="34" customFormat="1"/>
    <row r="1699" s="34" customFormat="1"/>
    <row r="1700" s="34" customFormat="1"/>
    <row r="1701" s="34" customFormat="1"/>
    <row r="1702" s="34" customFormat="1"/>
    <row r="1703" s="34" customFormat="1"/>
    <row r="1704" s="34" customFormat="1"/>
    <row r="1705" s="34" customFormat="1"/>
    <row r="1706" s="34" customFormat="1"/>
    <row r="1707" s="34" customFormat="1"/>
    <row r="1708" s="34" customFormat="1"/>
    <row r="1709" s="34" customFormat="1"/>
    <row r="1710" s="34" customFormat="1"/>
    <row r="1711" s="34" customFormat="1"/>
    <row r="1712" s="34" customFormat="1"/>
    <row r="1713" s="34" customFormat="1"/>
    <row r="1714" s="34" customFormat="1"/>
    <row r="1715" s="34" customFormat="1"/>
    <row r="1716" s="34" customFormat="1"/>
    <row r="1717" s="34" customFormat="1"/>
    <row r="1718" s="34" customFormat="1"/>
    <row r="1719" s="34" customFormat="1"/>
    <row r="1720" s="34" customFormat="1"/>
    <row r="1721" s="34" customFormat="1"/>
    <row r="1722" s="34" customFormat="1"/>
    <row r="1723" s="34" customFormat="1"/>
    <row r="1724" s="34" customFormat="1"/>
    <row r="1725" s="34" customFormat="1"/>
    <row r="1726" s="34" customFormat="1"/>
    <row r="1727" s="34" customFormat="1"/>
    <row r="1728" s="34" customFormat="1"/>
    <row r="1729" s="34" customFormat="1"/>
    <row r="1730" s="34" customFormat="1"/>
    <row r="1731" s="34" customFormat="1"/>
    <row r="1732" s="34" customFormat="1"/>
    <row r="1733" s="34" customFormat="1"/>
    <row r="1734" s="34" customFormat="1"/>
    <row r="1735" s="34" customFormat="1"/>
    <row r="1736" s="34" customFormat="1"/>
    <row r="1737" s="34" customFormat="1"/>
    <row r="1738" s="34" customFormat="1"/>
    <row r="1739" s="34" customFormat="1"/>
    <row r="1740" s="34" customFormat="1"/>
    <row r="1741" s="34" customFormat="1"/>
    <row r="1742" s="34" customFormat="1"/>
    <row r="1743" s="34" customFormat="1"/>
    <row r="1744" s="34" customFormat="1"/>
    <row r="1745" s="34" customFormat="1"/>
    <row r="1746" s="34" customFormat="1"/>
    <row r="1747" s="34" customFormat="1"/>
    <row r="1748" s="34" customFormat="1"/>
    <row r="1749" s="34" customFormat="1"/>
    <row r="1750" s="34" customFormat="1"/>
    <row r="1751" s="34" customFormat="1"/>
    <row r="1752" s="34" customFormat="1"/>
    <row r="1753" s="34" customFormat="1"/>
    <row r="1754" s="34" customFormat="1"/>
    <row r="1755" s="34" customFormat="1"/>
    <row r="1756" s="34" customFormat="1"/>
    <row r="1757" s="34" customFormat="1"/>
    <row r="1758" s="34" customFormat="1"/>
    <row r="1759" s="34" customFormat="1"/>
    <row r="1760" s="34" customFormat="1"/>
    <row r="1761" s="34" customFormat="1"/>
    <row r="1762" s="34" customFormat="1"/>
    <row r="1763" s="34" customFormat="1"/>
    <row r="1764" s="34" customFormat="1"/>
    <row r="1765" s="34" customFormat="1"/>
    <row r="1766" s="34" customFormat="1"/>
    <row r="1767" s="34" customFormat="1"/>
    <row r="1768" s="34" customFormat="1"/>
    <row r="1769" s="34" customFormat="1"/>
    <row r="1770" s="34" customFormat="1"/>
    <row r="1771" s="34" customFormat="1"/>
    <row r="1772" s="34" customFormat="1"/>
    <row r="1773" s="34" customFormat="1"/>
    <row r="1774" s="34" customFormat="1"/>
    <row r="1775" s="34" customFormat="1"/>
    <row r="1776" s="34" customFormat="1"/>
    <row r="1777" s="34" customFormat="1"/>
    <row r="1778" s="34" customFormat="1"/>
    <row r="1779" s="34" customFormat="1"/>
    <row r="1780" s="34" customFormat="1"/>
    <row r="1781" s="34" customFormat="1"/>
    <row r="1782" s="34" customFormat="1"/>
    <row r="1783" s="34" customFormat="1"/>
    <row r="1784" s="34" customFormat="1"/>
    <row r="1785" s="34" customFormat="1"/>
    <row r="1786" s="34" customFormat="1"/>
    <row r="1787" s="34" customFormat="1"/>
    <row r="1788" s="34" customFormat="1"/>
    <row r="1789" s="34" customFormat="1"/>
    <row r="1790" s="34" customFormat="1"/>
    <row r="1791" s="34" customFormat="1"/>
    <row r="1792" s="34" customFormat="1"/>
    <row r="1793" s="34" customFormat="1"/>
    <row r="1794" s="34" customFormat="1"/>
    <row r="1795" s="34" customFormat="1"/>
    <row r="1796" s="34" customFormat="1"/>
    <row r="1797" s="34" customFormat="1"/>
    <row r="1798" s="34" customFormat="1"/>
    <row r="1799" s="34" customFormat="1"/>
    <row r="1800" s="34" customFormat="1"/>
    <row r="1801" s="34" customFormat="1"/>
    <row r="1802" s="34" customFormat="1"/>
    <row r="1803" s="34" customFormat="1"/>
    <row r="1804" s="34" customFormat="1"/>
    <row r="1805" s="34" customFormat="1"/>
    <row r="1806" s="34" customFormat="1"/>
    <row r="1807" s="34" customFormat="1"/>
    <row r="1808" s="34" customFormat="1"/>
    <row r="1809" s="34" customFormat="1"/>
    <row r="1810" s="34" customFormat="1"/>
    <row r="1811" s="34" customFormat="1"/>
    <row r="1812" s="34" customFormat="1"/>
    <row r="1813" s="34" customFormat="1"/>
    <row r="1814" s="34" customFormat="1"/>
    <row r="1815" s="34" customFormat="1"/>
    <row r="1816" s="34" customFormat="1"/>
    <row r="1817" s="34" customFormat="1"/>
    <row r="1818" s="34" customFormat="1"/>
    <row r="1819" s="34" customFormat="1"/>
    <row r="1820" s="34" customFormat="1"/>
    <row r="1821" s="34" customFormat="1"/>
    <row r="1822" s="34" customFormat="1"/>
    <row r="1823" s="34" customFormat="1"/>
    <row r="1824" s="34" customFormat="1"/>
    <row r="1825" s="34" customFormat="1"/>
    <row r="1826" s="34" customFormat="1"/>
    <row r="1827" s="34" customFormat="1"/>
    <row r="1828" s="34" customFormat="1"/>
    <row r="1829" s="34" customFormat="1"/>
    <row r="1830" s="34" customFormat="1"/>
    <row r="1831" s="34" customFormat="1"/>
    <row r="1832" s="34" customFormat="1"/>
    <row r="1833" s="34" customFormat="1"/>
    <row r="1834" s="34" customFormat="1"/>
    <row r="1835" s="34" customFormat="1"/>
    <row r="1836" s="34" customFormat="1"/>
    <row r="1837" s="34" customFormat="1"/>
    <row r="1838" s="34" customFormat="1"/>
    <row r="1839" s="34" customFormat="1"/>
    <row r="1840" s="34" customFormat="1"/>
    <row r="1841" s="34" customFormat="1"/>
    <row r="1842" s="34" customFormat="1"/>
    <row r="1843" s="34" customFormat="1"/>
    <row r="1844" s="34" customFormat="1"/>
    <row r="1845" s="34" customFormat="1"/>
    <row r="1846" s="34" customFormat="1"/>
    <row r="1847" s="34" customFormat="1"/>
    <row r="1848" s="34" customFormat="1"/>
    <row r="1849" s="34" customFormat="1"/>
    <row r="1850" s="34" customFormat="1"/>
    <row r="1851" s="34" customFormat="1"/>
    <row r="1852" s="34" customFormat="1"/>
    <row r="1853" s="34" customFormat="1"/>
    <row r="1854" s="34" customFormat="1"/>
    <row r="1855" s="34" customFormat="1"/>
    <row r="1856" s="34" customFormat="1"/>
    <row r="1857" s="34" customFormat="1"/>
    <row r="1858" s="34" customFormat="1"/>
    <row r="1859" s="34" customFormat="1"/>
    <row r="1860" s="34" customFormat="1"/>
    <row r="1861" s="34" customFormat="1"/>
    <row r="1862" s="34" customFormat="1"/>
    <row r="1863" s="34" customFormat="1"/>
    <row r="1864" s="34" customFormat="1"/>
    <row r="1865" s="34" customFormat="1"/>
    <row r="1866" s="34" customFormat="1"/>
    <row r="1867" s="34" customFormat="1"/>
    <row r="1868" s="34" customFormat="1"/>
    <row r="1869" s="34" customFormat="1"/>
    <row r="1870" s="34" customFormat="1"/>
    <row r="1871" s="34" customFormat="1"/>
    <row r="1872" s="34" customFormat="1"/>
    <row r="1873" s="34" customFormat="1"/>
    <row r="1874" s="34" customFormat="1"/>
    <row r="1875" s="34" customFormat="1"/>
    <row r="1876" s="34" customFormat="1"/>
    <row r="1877" s="34" customFormat="1"/>
    <row r="1878" s="34" customFormat="1"/>
    <row r="1879" s="34" customFormat="1"/>
    <row r="1880" s="34" customFormat="1"/>
    <row r="1881" s="34" customFormat="1"/>
    <row r="1882" s="34" customFormat="1"/>
    <row r="1883" s="34" customFormat="1"/>
    <row r="1884" s="34" customFormat="1"/>
    <row r="1885" s="34" customFormat="1"/>
    <row r="1886" s="34" customFormat="1"/>
    <row r="1887" s="34" customFormat="1"/>
    <row r="1888" s="34" customFormat="1"/>
    <row r="1889" s="34" customFormat="1"/>
    <row r="1890" s="34" customFormat="1"/>
    <row r="1891" s="34" customFormat="1"/>
    <row r="1892" s="34" customFormat="1"/>
    <row r="1893" s="34" customFormat="1"/>
    <row r="1894" s="34" customFormat="1"/>
    <row r="1895" s="34" customFormat="1"/>
    <row r="1896" s="34" customFormat="1"/>
    <row r="1897" s="34" customFormat="1"/>
    <row r="1898" s="34" customFormat="1"/>
    <row r="1899" s="34" customFormat="1"/>
    <row r="1900" s="34" customFormat="1"/>
    <row r="1901" s="34" customFormat="1"/>
    <row r="1902" s="34" customFormat="1"/>
    <row r="1903" s="34" customFormat="1"/>
    <row r="1904" s="34" customFormat="1"/>
    <row r="1905" s="34" customFormat="1"/>
    <row r="1906" s="34" customFormat="1"/>
    <row r="1907" s="34" customFormat="1"/>
    <row r="1908" s="34" customFormat="1"/>
    <row r="1909" s="34" customFormat="1"/>
    <row r="1910" s="34" customFormat="1"/>
    <row r="1911" s="34" customFormat="1"/>
    <row r="1912" s="34" customFormat="1"/>
    <row r="1913" s="34" customFormat="1"/>
    <row r="1914" s="34" customFormat="1"/>
    <row r="1915" s="34" customFormat="1"/>
    <row r="1916" s="34" customFormat="1"/>
    <row r="1917" s="34" customFormat="1"/>
    <row r="1918" s="34" customFormat="1"/>
    <row r="1919" s="34" customFormat="1"/>
    <row r="1920" s="34" customFormat="1"/>
    <row r="1921" s="34" customFormat="1"/>
    <row r="1922" s="34" customFormat="1"/>
    <row r="1923" s="34" customFormat="1"/>
    <row r="1924" s="34" customFormat="1"/>
    <row r="1925" s="34" customFormat="1"/>
    <row r="1926" s="34" customFormat="1"/>
    <row r="1927" s="34" customFormat="1"/>
    <row r="1928" s="34" customFormat="1"/>
    <row r="1929" s="34" customFormat="1"/>
    <row r="1930" s="34" customFormat="1"/>
    <row r="1931" s="34" customFormat="1"/>
    <row r="1932" s="34" customFormat="1"/>
    <row r="1933" s="34" customFormat="1"/>
    <row r="1934" s="34" customFormat="1"/>
    <row r="1935" s="34" customFormat="1"/>
    <row r="1936" s="34" customFormat="1"/>
    <row r="1937" s="34" customFormat="1"/>
    <row r="1938" s="34" customFormat="1"/>
    <row r="1939" s="34" customFormat="1"/>
    <row r="1940" s="34" customFormat="1"/>
    <row r="1941" s="34" customFormat="1"/>
    <row r="1942" s="34" customFormat="1"/>
    <row r="1943" s="34" customFormat="1"/>
    <row r="1944" s="34" customFormat="1"/>
    <row r="1945" s="34" customFormat="1"/>
    <row r="1946" s="34" customFormat="1"/>
    <row r="1947" s="34" customFormat="1"/>
    <row r="1948" s="34" customFormat="1"/>
    <row r="1949" s="34" customFormat="1"/>
    <row r="1950" s="34" customFormat="1"/>
    <row r="1951" s="34" customFormat="1"/>
    <row r="1952" s="34" customFormat="1"/>
    <row r="1953" s="34" customFormat="1"/>
    <row r="1954" s="34" customFormat="1"/>
    <row r="1955" s="34" customFormat="1"/>
    <row r="1956" s="34" customFormat="1"/>
    <row r="1957" s="34" customFormat="1"/>
    <row r="1958" s="34" customFormat="1"/>
    <row r="1959" s="34" customFormat="1"/>
    <row r="1960" s="34" customFormat="1"/>
    <row r="1961" s="34" customFormat="1"/>
    <row r="1962" s="34" customFormat="1"/>
    <row r="1963" s="34" customFormat="1"/>
    <row r="1964" s="34" customFormat="1"/>
    <row r="1965" s="34" customFormat="1"/>
    <row r="1966" s="34" customFormat="1"/>
    <row r="1967" s="34" customFormat="1"/>
    <row r="1968" s="34" customFormat="1"/>
    <row r="1969" s="34" customFormat="1"/>
    <row r="1970" s="34" customFormat="1"/>
    <row r="1971" s="34" customFormat="1"/>
    <row r="1972" s="34" customFormat="1"/>
    <row r="1973" s="34" customFormat="1"/>
    <row r="1974" s="34" customFormat="1"/>
    <row r="1975" s="34" customFormat="1"/>
    <row r="1976" s="34" customFormat="1"/>
    <row r="1977" s="34" customFormat="1"/>
    <row r="1978" s="34" customFormat="1"/>
    <row r="1979" s="34" customFormat="1"/>
    <row r="1980" s="34" customFormat="1"/>
    <row r="1981" s="34" customFormat="1"/>
    <row r="1982" s="34" customFormat="1"/>
    <row r="1983" s="34" customFormat="1"/>
    <row r="1984" s="34" customFormat="1"/>
    <row r="1985" s="34" customFormat="1"/>
    <row r="1986" s="34" customFormat="1"/>
    <row r="1987" s="34" customFormat="1"/>
    <row r="1988" s="34" customFormat="1"/>
    <row r="1989" s="34" customFormat="1"/>
    <row r="1990" s="34" customFormat="1"/>
    <row r="1991" s="34" customFormat="1"/>
    <row r="1992" s="34" customFormat="1"/>
    <row r="1993" s="34" customFormat="1"/>
    <row r="1994" s="34" customFormat="1"/>
    <row r="1995" s="34" customFormat="1"/>
    <row r="1996" s="34" customFormat="1"/>
    <row r="1997" s="34" customFormat="1"/>
    <row r="1998" s="34" customFormat="1"/>
    <row r="1999" s="34" customFormat="1"/>
    <row r="2000" s="34" customFormat="1"/>
    <row r="2001" s="34" customFormat="1"/>
    <row r="2002" s="34" customFormat="1"/>
    <row r="2003" s="34" customFormat="1"/>
    <row r="2004" s="34" customFormat="1"/>
    <row r="2005" s="34" customFormat="1"/>
    <row r="2006" s="34" customFormat="1"/>
    <row r="2007" s="34" customFormat="1"/>
    <row r="2008" s="34" customFormat="1"/>
    <row r="2009" s="34" customFormat="1"/>
    <row r="2010" s="34" customFormat="1"/>
    <row r="2011" s="34" customFormat="1"/>
    <row r="2012" s="34" customFormat="1"/>
    <row r="2013" s="34" customFormat="1"/>
    <row r="2014" s="34" customFormat="1"/>
    <row r="2015" s="34" customFormat="1"/>
    <row r="2016" s="34" customFormat="1"/>
    <row r="2017" s="34" customFormat="1"/>
    <row r="2018" s="34" customFormat="1"/>
    <row r="2019" s="34" customFormat="1"/>
    <row r="2020" s="34" customFormat="1"/>
    <row r="2021" s="34" customFormat="1"/>
    <row r="2022" s="34" customFormat="1"/>
    <row r="2023" s="34" customFormat="1"/>
    <row r="2024" s="34" customFormat="1"/>
    <row r="2025" s="34" customFormat="1"/>
    <row r="2026" s="34" customFormat="1"/>
    <row r="2027" s="34" customFormat="1"/>
    <row r="2028" s="34" customFormat="1"/>
    <row r="2029" s="34" customFormat="1"/>
    <row r="2030" s="34" customFormat="1"/>
    <row r="2031" s="34" customFormat="1"/>
    <row r="2032" s="34" customFormat="1"/>
    <row r="2033" s="34" customFormat="1"/>
    <row r="2034" s="34" customFormat="1"/>
    <row r="2035" s="34" customFormat="1"/>
    <row r="2036" s="34" customFormat="1"/>
    <row r="2037" s="34" customFormat="1"/>
    <row r="2038" s="34" customFormat="1"/>
    <row r="2039" s="34" customFormat="1"/>
    <row r="2040" s="34" customFormat="1"/>
    <row r="2041" s="34" customFormat="1"/>
    <row r="2042" s="34" customFormat="1"/>
    <row r="2043" s="34" customFormat="1"/>
    <row r="2044" s="34" customFormat="1"/>
    <row r="2045" s="34" customFormat="1"/>
    <row r="2046" s="34" customFormat="1"/>
    <row r="2047" s="34" customFormat="1"/>
    <row r="2048" s="34" customFormat="1"/>
    <row r="2049" s="34" customFormat="1"/>
    <row r="2050" s="34" customFormat="1"/>
    <row r="2051" s="34" customFormat="1"/>
    <row r="2052" s="34" customFormat="1"/>
    <row r="2053" s="34" customFormat="1"/>
    <row r="2054" s="34" customFormat="1"/>
    <row r="2055" s="34" customFormat="1"/>
    <row r="2056" s="34" customFormat="1"/>
    <row r="2057" s="34" customFormat="1"/>
    <row r="2058" s="34" customFormat="1"/>
    <row r="2059" s="34" customFormat="1"/>
    <row r="2060" s="34" customFormat="1"/>
    <row r="2061" s="34" customFormat="1"/>
    <row r="2062" s="34" customFormat="1"/>
    <row r="2063" s="34" customFormat="1"/>
    <row r="2064" s="34" customFormat="1"/>
    <row r="2065" s="34" customFormat="1"/>
    <row r="2066" s="34" customFormat="1"/>
    <row r="2067" s="34" customFormat="1"/>
    <row r="2068" s="34" customFormat="1"/>
    <row r="2069" s="34" customFormat="1"/>
    <row r="2070" s="34" customFormat="1"/>
    <row r="2071" s="34" customFormat="1"/>
    <row r="2072" s="34" customFormat="1"/>
    <row r="2073" s="34" customFormat="1"/>
    <row r="2074" s="34" customFormat="1"/>
    <row r="2075" s="34" customFormat="1"/>
    <row r="2076" s="34" customFormat="1"/>
    <row r="2077" s="34" customFormat="1"/>
    <row r="2078" s="34" customFormat="1"/>
    <row r="2079" s="34" customFormat="1"/>
    <row r="2080" s="34" customFormat="1"/>
    <row r="2081" s="34" customFormat="1"/>
    <row r="2082" s="34" customFormat="1"/>
    <row r="2083" s="34" customFormat="1"/>
    <row r="2084" s="34" customFormat="1"/>
    <row r="2085" s="34" customFormat="1"/>
    <row r="2086" s="34" customFormat="1"/>
    <row r="2087" s="34" customFormat="1"/>
    <row r="2088" s="34" customFormat="1"/>
    <row r="2089" s="34" customFormat="1"/>
    <row r="2090" s="34" customFormat="1"/>
    <row r="2091" s="34" customFormat="1"/>
    <row r="2092" s="34" customFormat="1"/>
    <row r="2093" s="34" customFormat="1"/>
    <row r="2094" s="34" customFormat="1"/>
    <row r="2095" s="34" customFormat="1"/>
    <row r="2096" s="34" customFormat="1"/>
    <row r="2097" s="34" customFormat="1"/>
    <row r="2098" s="34" customFormat="1"/>
    <row r="2099" s="34" customFormat="1"/>
    <row r="2100" s="34" customFormat="1"/>
    <row r="2101" s="34" customFormat="1"/>
    <row r="2102" s="34" customFormat="1"/>
    <row r="2103" s="34" customFormat="1"/>
    <row r="2104" s="34" customFormat="1"/>
    <row r="2105" s="34" customFormat="1"/>
    <row r="2106" s="34" customFormat="1"/>
    <row r="2107" s="34" customFormat="1"/>
    <row r="2108" s="34" customFormat="1"/>
    <row r="2109" s="34" customFormat="1"/>
    <row r="2110" s="34" customFormat="1"/>
    <row r="2111" s="34" customFormat="1"/>
    <row r="2112" s="34" customFormat="1"/>
    <row r="2113" s="34" customFormat="1"/>
    <row r="2114" s="34" customFormat="1"/>
    <row r="2115" s="34" customFormat="1"/>
    <row r="2116" s="34" customFormat="1"/>
    <row r="2117" s="34" customFormat="1"/>
    <row r="2118" s="34" customFormat="1"/>
    <row r="2119" s="34" customFormat="1"/>
    <row r="2120" s="34" customFormat="1"/>
    <row r="2121" s="34" customFormat="1"/>
    <row r="2122" s="34" customFormat="1"/>
    <row r="2123" s="34" customFormat="1"/>
    <row r="2124" s="34" customFormat="1"/>
    <row r="2125" s="34" customFormat="1"/>
    <row r="2126" s="34" customFormat="1"/>
    <row r="2127" s="34" customFormat="1"/>
    <row r="2128" s="34" customFormat="1"/>
    <row r="2129" s="34" customFormat="1"/>
    <row r="2130" s="34" customFormat="1"/>
    <row r="2131" s="34" customFormat="1"/>
    <row r="2132" s="34" customFormat="1"/>
    <row r="2133" s="34" customFormat="1"/>
    <row r="2134" s="34" customFormat="1"/>
    <row r="2135" s="34" customFormat="1"/>
    <row r="2136" s="34" customFormat="1"/>
    <row r="2137" s="34" customFormat="1"/>
    <row r="2138" s="34" customFormat="1"/>
    <row r="2139" s="34" customFormat="1"/>
    <row r="2140" s="34" customFormat="1"/>
    <row r="2141" s="34" customFormat="1"/>
    <row r="2142" s="34" customFormat="1"/>
    <row r="2143" s="34" customFormat="1"/>
    <row r="2144" s="34" customFormat="1"/>
    <row r="2145" s="34" customFormat="1"/>
    <row r="2146" s="34" customFormat="1"/>
    <row r="2147" s="34" customFormat="1"/>
    <row r="2148" s="34" customFormat="1"/>
    <row r="2149" s="34" customFormat="1"/>
    <row r="2150" s="34" customFormat="1"/>
    <row r="2151" s="34" customFormat="1"/>
    <row r="2152" s="34" customFormat="1"/>
    <row r="2153" s="34" customFormat="1"/>
    <row r="2154" s="34" customFormat="1"/>
    <row r="2155" s="34" customFormat="1"/>
    <row r="2156" s="34" customFormat="1"/>
    <row r="2157" s="34" customFormat="1"/>
    <row r="2158" s="34" customFormat="1"/>
    <row r="2159" s="34" customFormat="1"/>
    <row r="2160" s="34" customFormat="1"/>
    <row r="2161" s="34" customFormat="1"/>
    <row r="2162" s="34" customFormat="1"/>
    <row r="2163" s="34" customFormat="1"/>
    <row r="2164" s="34" customFormat="1"/>
    <row r="2165" s="34" customFormat="1"/>
    <row r="2166" s="34" customFormat="1"/>
    <row r="2167" s="34" customFormat="1"/>
    <row r="2168" s="34" customFormat="1"/>
    <row r="2169" s="34" customFormat="1"/>
    <row r="2170" s="34" customFormat="1"/>
    <row r="2171" s="34" customFormat="1"/>
    <row r="2172" s="34" customFormat="1"/>
    <row r="2173" s="34" customFormat="1"/>
    <row r="2174" s="34" customFormat="1"/>
    <row r="2175" s="34" customFormat="1"/>
    <row r="2176" s="34" customFormat="1"/>
    <row r="2177" s="34" customFormat="1"/>
    <row r="2178" s="34" customFormat="1"/>
    <row r="2179" s="34" customFormat="1"/>
    <row r="2180" s="34" customFormat="1"/>
    <row r="2181" s="34" customFormat="1"/>
    <row r="2182" s="34" customFormat="1"/>
    <row r="2183" s="34" customFormat="1"/>
    <row r="2184" s="34" customFormat="1"/>
    <row r="2185" s="34" customFormat="1"/>
    <row r="2186" s="34" customFormat="1"/>
    <row r="2187" s="34" customFormat="1"/>
    <row r="2188" s="34" customFormat="1"/>
    <row r="2189" s="34" customFormat="1"/>
    <row r="2190" s="34" customFormat="1"/>
    <row r="2191" s="34" customFormat="1"/>
    <row r="2192" s="34" customFormat="1"/>
    <row r="2193" s="34" customFormat="1"/>
    <row r="2194" s="34" customFormat="1"/>
    <row r="2195" s="34" customFormat="1"/>
    <row r="2196" s="34" customFormat="1"/>
    <row r="2197" s="34" customFormat="1"/>
    <row r="2198" s="34" customFormat="1"/>
    <row r="2199" s="34" customFormat="1"/>
    <row r="2200" s="34" customFormat="1"/>
    <row r="2201" s="34" customFormat="1"/>
    <row r="2202" s="34" customFormat="1"/>
    <row r="2203" s="34" customFormat="1"/>
    <row r="2204" s="34" customFormat="1"/>
    <row r="2205" s="34" customFormat="1"/>
    <row r="2206" s="34" customFormat="1"/>
    <row r="2207" s="34" customFormat="1"/>
    <row r="2208" s="34" customFormat="1"/>
    <row r="2209" s="34" customFormat="1"/>
    <row r="2210" s="34" customFormat="1"/>
    <row r="2211" s="34" customFormat="1"/>
    <row r="2212" s="34" customFormat="1"/>
    <row r="2213" s="34" customFormat="1"/>
    <row r="2214" s="34" customFormat="1"/>
    <row r="2215" s="34" customFormat="1"/>
    <row r="2216" s="34" customFormat="1"/>
    <row r="2217" s="34" customFormat="1"/>
    <row r="2218" s="34" customFormat="1"/>
    <row r="2219" s="34" customFormat="1"/>
    <row r="2220" s="34" customFormat="1"/>
    <row r="2221" s="34" customFormat="1"/>
    <row r="2222" s="34" customFormat="1"/>
    <row r="2223" s="34" customFormat="1"/>
    <row r="2224" s="34" customFormat="1"/>
    <row r="2225" s="34" customFormat="1"/>
    <row r="2226" s="34" customFormat="1"/>
    <row r="2227" s="34" customFormat="1"/>
    <row r="2228" s="34" customFormat="1"/>
    <row r="2229" s="34" customFormat="1"/>
    <row r="2230" s="34" customFormat="1"/>
    <row r="2231" s="34" customFormat="1"/>
    <row r="2232" s="34" customFormat="1"/>
    <row r="2233" s="34" customFormat="1"/>
    <row r="2234" s="34" customFormat="1"/>
    <row r="2235" s="34" customFormat="1"/>
    <row r="2236" s="34" customFormat="1"/>
    <row r="2237" s="34" customFormat="1"/>
    <row r="2238" s="34" customFormat="1"/>
    <row r="2239" s="34" customFormat="1"/>
    <row r="2240" s="34" customFormat="1"/>
    <row r="2241" s="34" customFormat="1"/>
    <row r="2242" s="34" customFormat="1"/>
    <row r="2243" s="34" customFormat="1"/>
    <row r="2244" s="34" customFormat="1"/>
    <row r="2245" s="34" customFormat="1"/>
    <row r="2246" s="34" customFormat="1"/>
    <row r="2247" s="34" customFormat="1"/>
    <row r="2248" s="34" customFormat="1"/>
  </sheetData>
  <sheetProtection password="8B10" sheet="1" objects="1" scenarios="1"/>
  <phoneticPr fontId="3" type="noConversion"/>
  <pageMargins left="0.70866141732283472" right="0.70866141732283472" top="1.0236220472440944" bottom="1.0236220472440944" header="0.39370078740157483" footer="0.39370078740157483"/>
  <pageSetup paperSize="9" scale="75" orientation="landscape" r:id="rId1"/>
  <headerFooter alignWithMargins="0">
    <oddFooter>&amp;L&amp;"Frutiger 57Cn,Standard"&amp;8
Santander Consumer Bank AG
Santander-Platz 1
41061 Mönchengladbach
Tel.: +49 180 / 5556 - 499
Fax.: +49 180 / 5556 - 498</oddFooter>
  </headerFooter>
  <rowBreaks count="1" manualBreakCount="1">
    <brk id="50" max="11" man="1"/>
  </rowBreaks>
  <colBreaks count="1" manualBreakCount="1">
    <brk id="1" max="46" man="1"/>
  </col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M260"/>
  <sheetViews>
    <sheetView view="pageBreakPreview" zoomScale="75" zoomScaleNormal="100" workbookViewId="0">
      <selection activeCell="B3" sqref="B3"/>
    </sheetView>
  </sheetViews>
  <sheetFormatPr defaultRowHeight="12.75"/>
  <cols>
    <col min="1" max="1" width="1.28515625" style="31" customWidth="1"/>
    <col min="2" max="2" width="26" style="31" customWidth="1"/>
    <col min="3" max="3" width="24.28515625" style="31" customWidth="1"/>
    <col min="4" max="5" width="18.7109375" style="31" customWidth="1"/>
    <col min="6" max="6" width="20.7109375" style="31" customWidth="1"/>
    <col min="7" max="7" width="20.5703125" style="31" customWidth="1"/>
    <col min="8" max="8" width="19" style="31" customWidth="1"/>
    <col min="9" max="9" width="15.5703125" style="31" customWidth="1"/>
    <col min="10" max="10" width="25.5703125" style="31" customWidth="1"/>
    <col min="11" max="11" width="1.28515625" style="31" customWidth="1"/>
    <col min="12" max="12" width="4.28515625" style="31" customWidth="1"/>
    <col min="13" max="256" width="11.42578125" style="31" customWidth="1"/>
    <col min="257" max="16384" width="9.140625" style="31"/>
  </cols>
  <sheetData>
    <row r="1" spans="1:13" ht="6" customHeight="1">
      <c r="A1" s="35"/>
      <c r="B1" s="36"/>
      <c r="C1" s="36"/>
      <c r="D1" s="36"/>
      <c r="E1" s="36"/>
      <c r="F1" s="36"/>
      <c r="G1" s="36"/>
      <c r="H1" s="36"/>
      <c r="I1" s="36"/>
      <c r="J1" s="36"/>
      <c r="K1" s="37"/>
    </row>
    <row r="2" spans="1:13" s="27" customFormat="1" ht="18">
      <c r="A2" s="5"/>
      <c r="B2" s="7" t="str">
        <f>'Cover Sheet'!B2</f>
        <v>SC Germany Auto 10-1</v>
      </c>
      <c r="C2" s="7"/>
      <c r="D2" s="108" t="s">
        <v>54</v>
      </c>
      <c r="E2" s="109"/>
      <c r="F2" s="110">
        <f>'Cover Sheet'!F2</f>
        <v>41191</v>
      </c>
      <c r="G2" s="109"/>
      <c r="H2" s="109"/>
      <c r="I2" s="109"/>
      <c r="J2" s="111"/>
      <c r="K2" s="88"/>
    </row>
    <row r="3" spans="1:13" s="27" customFormat="1" ht="18">
      <c r="A3" s="5"/>
      <c r="B3" s="7" t="str">
        <f>'Cover Sheet'!B3</f>
        <v>Monthly Investor Report</v>
      </c>
      <c r="C3" s="7"/>
      <c r="D3" s="112" t="s">
        <v>4</v>
      </c>
      <c r="E3" s="113"/>
      <c r="F3" s="114">
        <f>'Cover Sheet'!F3</f>
        <v>41197</v>
      </c>
      <c r="G3" s="113"/>
      <c r="H3" s="113"/>
      <c r="I3" s="113"/>
      <c r="J3" s="115"/>
      <c r="K3" s="90"/>
    </row>
    <row r="4" spans="1:13" s="27" customFormat="1">
      <c r="A4" s="5"/>
      <c r="B4" s="42"/>
      <c r="C4" s="12"/>
      <c r="D4" s="112" t="s">
        <v>5</v>
      </c>
      <c r="E4" s="113"/>
      <c r="F4" s="122">
        <f>'Cover Sheet'!F4</f>
        <v>27</v>
      </c>
      <c r="G4" s="113"/>
      <c r="H4" s="117"/>
      <c r="I4" s="113"/>
      <c r="J4" s="118"/>
      <c r="K4" s="88"/>
    </row>
    <row r="5" spans="1:13" s="27" customFormat="1" ht="18">
      <c r="A5" s="5"/>
      <c r="B5" s="105" t="s">
        <v>398</v>
      </c>
      <c r="C5" s="14"/>
      <c r="D5" s="112" t="s">
        <v>3</v>
      </c>
      <c r="E5" s="113"/>
      <c r="F5" s="123">
        <f>'Cover Sheet'!F5</f>
        <v>41197</v>
      </c>
      <c r="G5" s="113"/>
      <c r="H5" s="117"/>
      <c r="I5" s="113"/>
      <c r="J5" s="118"/>
      <c r="K5" s="90"/>
    </row>
    <row r="6" spans="1:13" s="27" customFormat="1" ht="15" customHeight="1">
      <c r="A6" s="5"/>
      <c r="B6" s="43"/>
      <c r="C6" s="89"/>
      <c r="D6" s="552" t="str">
        <f>'Cover Sheet'!D6</f>
        <v>Interest Period</v>
      </c>
      <c r="E6" s="114" t="s">
        <v>38</v>
      </c>
      <c r="F6" s="114">
        <f>'Cover Sheet'!F6</f>
        <v>41164</v>
      </c>
      <c r="G6" s="116" t="s">
        <v>6</v>
      </c>
      <c r="H6" s="114">
        <f>'Cover Sheet'!H6</f>
        <v>41197</v>
      </c>
      <c r="I6" s="116" t="s">
        <v>18</v>
      </c>
      <c r="J6" s="542" t="str">
        <f>'Cover Sheet'!J6</f>
        <v>33 days</v>
      </c>
      <c r="K6" s="90"/>
      <c r="M6" s="30"/>
    </row>
    <row r="7" spans="1:13" s="27" customFormat="1">
      <c r="A7" s="5"/>
      <c r="B7" s="4"/>
      <c r="C7" s="4"/>
      <c r="D7" s="553" t="str">
        <f>'Cover Sheet'!D7</f>
        <v>Collection Period</v>
      </c>
      <c r="E7" s="121" t="s">
        <v>38</v>
      </c>
      <c r="F7" s="121" t="str">
        <f>'Cover Sheet'!F7</f>
        <v>01.09.2012</v>
      </c>
      <c r="G7" s="120" t="s">
        <v>6</v>
      </c>
      <c r="H7" s="121">
        <f>'Cover Sheet'!H7</f>
        <v>41182</v>
      </c>
      <c r="I7" s="543"/>
      <c r="J7" s="544"/>
      <c r="K7" s="90"/>
    </row>
    <row r="8" spans="1:13" s="27" customFormat="1">
      <c r="A8" s="5"/>
      <c r="B8" s="4"/>
      <c r="C8" s="4"/>
      <c r="D8" s="4"/>
      <c r="E8" s="9"/>
      <c r="F8" s="15"/>
      <c r="G8" s="9"/>
      <c r="H8" s="4"/>
      <c r="I8" s="16"/>
      <c r="J8" s="4"/>
      <c r="K8" s="90"/>
    </row>
    <row r="9" spans="1:13" s="27" customFormat="1">
      <c r="A9" s="5"/>
      <c r="B9" s="4"/>
      <c r="C9" s="4"/>
      <c r="D9" s="4"/>
      <c r="E9" s="4"/>
      <c r="F9" s="4"/>
      <c r="G9" s="4"/>
      <c r="H9" s="4"/>
      <c r="I9" s="4"/>
      <c r="J9" s="4"/>
      <c r="K9" s="8"/>
      <c r="M9" s="32"/>
    </row>
    <row r="10" spans="1:13" s="27" customFormat="1">
      <c r="A10" s="5"/>
      <c r="B10" s="4"/>
      <c r="C10" s="4"/>
      <c r="D10" s="34"/>
      <c r="E10" s="34"/>
      <c r="F10" s="102"/>
      <c r="G10" s="34"/>
      <c r="H10" s="34"/>
      <c r="I10" s="34"/>
      <c r="J10" s="34"/>
      <c r="K10" s="8"/>
    </row>
    <row r="11" spans="1:13" s="27" customFormat="1" ht="18">
      <c r="A11" s="5"/>
      <c r="B11" s="125"/>
      <c r="C11" s="4"/>
      <c r="D11" s="34"/>
      <c r="E11" s="34"/>
      <c r="F11" s="34"/>
      <c r="G11" s="137"/>
      <c r="H11" s="137"/>
      <c r="I11" s="34"/>
      <c r="J11" s="4"/>
      <c r="K11" s="8"/>
      <c r="M11" s="101"/>
    </row>
    <row r="12" spans="1:13" s="27" customFormat="1">
      <c r="A12" s="5"/>
      <c r="B12" s="4"/>
      <c r="C12" s="4"/>
      <c r="D12" s="34"/>
      <c r="E12" s="34"/>
      <c r="F12" s="34"/>
      <c r="G12" s="137"/>
      <c r="H12" s="137"/>
      <c r="I12" s="34"/>
      <c r="J12" s="4"/>
      <c r="K12" s="8"/>
      <c r="M12" s="101"/>
    </row>
    <row r="13" spans="1:13" s="27" customFormat="1" ht="45" customHeight="1">
      <c r="A13" s="5"/>
      <c r="B13" s="127"/>
      <c r="C13" s="34"/>
      <c r="D13" s="375"/>
      <c r="E13" s="328"/>
      <c r="F13" s="327"/>
      <c r="G13" s="328"/>
      <c r="H13" s="328"/>
      <c r="I13" s="102"/>
      <c r="J13" s="4"/>
      <c r="K13" s="8"/>
      <c r="M13" s="101"/>
    </row>
    <row r="14" spans="1:13" s="27" customFormat="1">
      <c r="A14" s="5"/>
      <c r="B14" s="138"/>
      <c r="C14" s="138"/>
      <c r="D14" s="156"/>
      <c r="E14" s="157"/>
      <c r="F14" s="141"/>
      <c r="G14" s="158"/>
      <c r="H14" s="141"/>
      <c r="I14" s="102"/>
      <c r="J14" s="4"/>
      <c r="K14" s="8"/>
      <c r="M14" s="101"/>
    </row>
    <row r="15" spans="1:13">
      <c r="A15" s="40"/>
      <c r="B15" s="139"/>
      <c r="C15" s="140"/>
      <c r="D15" s="156"/>
      <c r="E15" s="157"/>
      <c r="F15" s="141"/>
      <c r="G15" s="158"/>
      <c r="H15" s="141"/>
      <c r="I15" s="102"/>
      <c r="J15" s="34"/>
      <c r="K15" s="41"/>
      <c r="M15" s="101"/>
    </row>
    <row r="16" spans="1:13">
      <c r="A16" s="40"/>
      <c r="B16" s="139"/>
      <c r="C16" s="140"/>
      <c r="D16" s="156"/>
      <c r="E16" s="157"/>
      <c r="F16" s="141"/>
      <c r="G16" s="158"/>
      <c r="H16" s="141"/>
      <c r="I16" s="102"/>
      <c r="J16" s="34"/>
      <c r="K16" s="41"/>
      <c r="M16" s="101"/>
    </row>
    <row r="17" spans="1:13">
      <c r="A17" s="40"/>
      <c r="B17" s="139"/>
      <c r="C17" s="140"/>
      <c r="D17" s="156"/>
      <c r="E17" s="157"/>
      <c r="F17" s="141"/>
      <c r="G17" s="158"/>
      <c r="H17" s="141"/>
      <c r="I17" s="102"/>
      <c r="J17" s="34"/>
      <c r="K17" s="41"/>
      <c r="M17" s="101"/>
    </row>
    <row r="18" spans="1:13">
      <c r="A18" s="40"/>
      <c r="B18" s="139"/>
      <c r="C18" s="140"/>
      <c r="D18" s="156"/>
      <c r="E18" s="157"/>
      <c r="F18" s="141"/>
      <c r="G18" s="158"/>
      <c r="H18" s="141"/>
      <c r="I18" s="102"/>
      <c r="J18" s="34"/>
      <c r="K18" s="41"/>
      <c r="M18" s="101"/>
    </row>
    <row r="19" spans="1:13">
      <c r="A19" s="40"/>
      <c r="B19" s="139"/>
      <c r="C19" s="140"/>
      <c r="D19" s="156"/>
      <c r="E19" s="157"/>
      <c r="F19" s="141"/>
      <c r="G19" s="158"/>
      <c r="H19" s="141"/>
      <c r="I19" s="102"/>
      <c r="J19" s="34"/>
      <c r="K19" s="41"/>
      <c r="M19" s="101"/>
    </row>
    <row r="20" spans="1:13">
      <c r="A20" s="40"/>
      <c r="B20" s="139"/>
      <c r="C20" s="140"/>
      <c r="D20" s="156"/>
      <c r="E20" s="157"/>
      <c r="F20" s="141"/>
      <c r="G20" s="158"/>
      <c r="H20" s="141"/>
      <c r="I20" s="102"/>
      <c r="J20" s="34"/>
      <c r="K20" s="41"/>
      <c r="M20" s="101"/>
    </row>
    <row r="21" spans="1:13">
      <c r="A21" s="40"/>
      <c r="B21" s="139"/>
      <c r="C21" s="140"/>
      <c r="D21" s="156"/>
      <c r="E21" s="157"/>
      <c r="F21" s="141"/>
      <c r="G21" s="158"/>
      <c r="H21" s="141"/>
      <c r="I21" s="102"/>
      <c r="J21" s="34"/>
      <c r="K21" s="41"/>
      <c r="M21" s="101"/>
    </row>
    <row r="22" spans="1:13">
      <c r="A22" s="40"/>
      <c r="B22" s="139"/>
      <c r="C22" s="140"/>
      <c r="D22" s="156"/>
      <c r="E22" s="157"/>
      <c r="F22" s="141"/>
      <c r="G22" s="158"/>
      <c r="H22" s="141"/>
      <c r="I22" s="102"/>
      <c r="J22" s="34"/>
      <c r="K22" s="41"/>
      <c r="M22" s="101"/>
    </row>
    <row r="23" spans="1:13">
      <c r="A23" s="40"/>
      <c r="B23" s="139"/>
      <c r="C23" s="140"/>
      <c r="D23" s="156"/>
      <c r="E23" s="157"/>
      <c r="F23" s="141"/>
      <c r="G23" s="158"/>
      <c r="H23" s="141"/>
      <c r="I23" s="102"/>
      <c r="J23" s="34"/>
      <c r="K23" s="41"/>
      <c r="M23" s="101"/>
    </row>
    <row r="24" spans="1:13">
      <c r="A24" s="40"/>
      <c r="B24" s="139"/>
      <c r="C24" s="140"/>
      <c r="D24" s="156"/>
      <c r="E24" s="157"/>
      <c r="F24" s="141"/>
      <c r="G24" s="158"/>
      <c r="H24" s="141"/>
      <c r="I24" s="102"/>
      <c r="J24" s="34"/>
      <c r="K24" s="41"/>
      <c r="M24" s="101"/>
    </row>
    <row r="25" spans="1:13">
      <c r="A25" s="40"/>
      <c r="B25" s="139"/>
      <c r="C25" s="140"/>
      <c r="D25" s="156"/>
      <c r="E25" s="157"/>
      <c r="F25" s="141"/>
      <c r="G25" s="158"/>
      <c r="H25" s="141"/>
      <c r="I25" s="102"/>
      <c r="J25" s="34"/>
      <c r="K25" s="41"/>
      <c r="M25" s="101"/>
    </row>
    <row r="26" spans="1:13">
      <c r="A26" s="40"/>
      <c r="B26" s="139"/>
      <c r="C26" s="140"/>
      <c r="D26" s="156"/>
      <c r="E26" s="157"/>
      <c r="F26" s="141"/>
      <c r="G26" s="158"/>
      <c r="H26" s="141"/>
      <c r="I26" s="102"/>
      <c r="J26" s="34"/>
      <c r="K26" s="41"/>
      <c r="M26" s="101"/>
    </row>
    <row r="27" spans="1:13">
      <c r="A27" s="40"/>
      <c r="B27" s="139"/>
      <c r="C27" s="140"/>
      <c r="D27" s="156"/>
      <c r="E27" s="157"/>
      <c r="F27" s="141"/>
      <c r="G27" s="158"/>
      <c r="H27" s="141"/>
      <c r="I27" s="102"/>
      <c r="J27" s="34"/>
      <c r="K27" s="41"/>
      <c r="M27" s="101"/>
    </row>
    <row r="28" spans="1:13">
      <c r="A28" s="40"/>
      <c r="B28" s="139"/>
      <c r="C28" s="140"/>
      <c r="D28" s="156"/>
      <c r="E28" s="157"/>
      <c r="F28" s="141"/>
      <c r="G28" s="158"/>
      <c r="H28" s="141"/>
      <c r="I28" s="102"/>
      <c r="J28" s="34"/>
      <c r="K28" s="41"/>
      <c r="M28" s="101"/>
    </row>
    <row r="29" spans="1:13">
      <c r="A29" s="40"/>
      <c r="B29" s="139"/>
      <c r="C29" s="140"/>
      <c r="D29" s="156"/>
      <c r="E29" s="157"/>
      <c r="F29" s="141"/>
      <c r="G29" s="158"/>
      <c r="H29" s="141"/>
      <c r="I29" s="102"/>
      <c r="J29" s="34"/>
      <c r="K29" s="41"/>
      <c r="M29" s="101"/>
    </row>
    <row r="30" spans="1:13">
      <c r="A30" s="40"/>
      <c r="B30" s="139"/>
      <c r="C30" s="140"/>
      <c r="D30" s="156"/>
      <c r="E30" s="157"/>
      <c r="F30" s="141"/>
      <c r="G30" s="158"/>
      <c r="H30" s="141"/>
      <c r="I30" s="102"/>
      <c r="J30" s="102"/>
      <c r="K30" s="41"/>
      <c r="M30" s="101"/>
    </row>
    <row r="31" spans="1:13">
      <c r="A31" s="40"/>
      <c r="B31" s="139"/>
      <c r="C31" s="140"/>
      <c r="D31" s="156"/>
      <c r="E31" s="157"/>
      <c r="F31" s="141"/>
      <c r="G31" s="158"/>
      <c r="H31" s="141"/>
      <c r="I31" s="102"/>
      <c r="J31" s="102"/>
      <c r="K31" s="41"/>
    </row>
    <row r="32" spans="1:13">
      <c r="A32" s="40"/>
      <c r="B32" s="139"/>
      <c r="C32" s="140"/>
      <c r="D32" s="156"/>
      <c r="E32" s="157"/>
      <c r="F32" s="141"/>
      <c r="G32" s="158"/>
      <c r="H32" s="141"/>
      <c r="I32" s="102"/>
      <c r="J32" s="102"/>
      <c r="K32" s="41"/>
    </row>
    <row r="33" spans="1:11">
      <c r="A33" s="40"/>
      <c r="B33" s="139"/>
      <c r="C33" s="140"/>
      <c r="D33" s="156"/>
      <c r="E33" s="157"/>
      <c r="F33" s="141"/>
      <c r="G33" s="158"/>
      <c r="H33" s="141"/>
      <c r="I33" s="102"/>
      <c r="J33" s="102"/>
      <c r="K33" s="41"/>
    </row>
    <row r="34" spans="1:11">
      <c r="A34" s="40"/>
      <c r="B34" s="139"/>
      <c r="C34" s="140"/>
      <c r="D34" s="156"/>
      <c r="E34" s="157"/>
      <c r="F34" s="141"/>
      <c r="G34" s="158"/>
      <c r="H34" s="141"/>
      <c r="I34" s="102"/>
      <c r="J34" s="102"/>
      <c r="K34" s="41"/>
    </row>
    <row r="35" spans="1:11">
      <c r="A35" s="40"/>
      <c r="B35" s="139"/>
      <c r="C35" s="140"/>
      <c r="D35" s="156"/>
      <c r="E35" s="157"/>
      <c r="F35" s="141"/>
      <c r="G35" s="158"/>
      <c r="H35" s="141"/>
      <c r="I35" s="102"/>
      <c r="J35" s="102"/>
      <c r="K35" s="41"/>
    </row>
    <row r="36" spans="1:11">
      <c r="A36" s="40"/>
      <c r="B36" s="139"/>
      <c r="C36" s="140"/>
      <c r="D36" s="156"/>
      <c r="E36" s="157"/>
      <c r="F36" s="141"/>
      <c r="G36" s="158"/>
      <c r="H36" s="141"/>
      <c r="I36" s="102"/>
      <c r="J36" s="102"/>
      <c r="K36" s="41"/>
    </row>
    <row r="37" spans="1:11">
      <c r="A37" s="40"/>
      <c r="B37" s="139"/>
      <c r="C37" s="140"/>
      <c r="D37" s="156"/>
      <c r="E37" s="157"/>
      <c r="F37" s="141"/>
      <c r="G37" s="158"/>
      <c r="H37" s="141"/>
      <c r="I37" s="102"/>
      <c r="J37" s="102"/>
      <c r="K37" s="41"/>
    </row>
    <row r="38" spans="1:11">
      <c r="A38" s="40"/>
      <c r="B38" s="139"/>
      <c r="C38" s="140"/>
      <c r="D38" s="156"/>
      <c r="E38" s="157"/>
      <c r="F38" s="141"/>
      <c r="G38" s="158"/>
      <c r="H38" s="141"/>
      <c r="I38" s="102"/>
      <c r="J38" s="102"/>
      <c r="K38" s="41"/>
    </row>
    <row r="39" spans="1:11">
      <c r="A39" s="40"/>
      <c r="B39" s="139"/>
      <c r="C39" s="140"/>
      <c r="D39" s="156"/>
      <c r="E39" s="157"/>
      <c r="F39" s="141"/>
      <c r="G39" s="158"/>
      <c r="H39" s="141"/>
      <c r="I39" s="102"/>
      <c r="J39" s="102"/>
      <c r="K39" s="41"/>
    </row>
    <row r="40" spans="1:11">
      <c r="A40" s="40"/>
      <c r="B40" s="139"/>
      <c r="C40" s="140"/>
      <c r="D40" s="156"/>
      <c r="E40" s="157"/>
      <c r="F40" s="141"/>
      <c r="G40" s="158"/>
      <c r="H40" s="141"/>
      <c r="I40" s="102"/>
      <c r="J40" s="34"/>
      <c r="K40" s="41"/>
    </row>
    <row r="41" spans="1:11">
      <c r="A41" s="40"/>
      <c r="B41" s="139"/>
      <c r="C41" s="140"/>
      <c r="D41" s="156"/>
      <c r="E41" s="157"/>
      <c r="F41" s="141"/>
      <c r="G41" s="158"/>
      <c r="H41" s="141"/>
      <c r="I41" s="102"/>
      <c r="J41" s="34"/>
      <c r="K41" s="41"/>
    </row>
    <row r="42" spans="1:11">
      <c r="A42" s="40"/>
      <c r="B42" s="139"/>
      <c r="C42" s="140"/>
      <c r="D42" s="156"/>
      <c r="E42" s="157"/>
      <c r="F42" s="141"/>
      <c r="G42" s="158"/>
      <c r="H42" s="141"/>
      <c r="I42" s="102"/>
      <c r="J42" s="34"/>
      <c r="K42" s="41"/>
    </row>
    <row r="43" spans="1:11">
      <c r="A43" s="40"/>
      <c r="B43" s="139"/>
      <c r="C43" s="140"/>
      <c r="D43" s="156"/>
      <c r="E43" s="157"/>
      <c r="F43" s="141"/>
      <c r="G43" s="158"/>
      <c r="H43" s="141"/>
      <c r="I43" s="102"/>
      <c r="J43" s="34"/>
      <c r="K43" s="41"/>
    </row>
    <row r="44" spans="1:11">
      <c r="A44" s="40"/>
      <c r="B44" s="139"/>
      <c r="C44" s="140"/>
      <c r="D44" s="156"/>
      <c r="E44" s="157"/>
      <c r="F44" s="141"/>
      <c r="G44" s="158"/>
      <c r="H44" s="141"/>
      <c r="I44" s="102"/>
      <c r="J44" s="34"/>
      <c r="K44" s="41"/>
    </row>
    <row r="45" spans="1:11" s="27" customFormat="1" ht="12.75" customHeight="1">
      <c r="A45" s="5"/>
      <c r="B45" s="139"/>
      <c r="C45" s="140"/>
      <c r="D45" s="156"/>
      <c r="E45" s="157"/>
      <c r="F45" s="141"/>
      <c r="G45" s="158"/>
      <c r="H45" s="141"/>
      <c r="I45" s="102"/>
      <c r="J45" s="4"/>
      <c r="K45" s="8"/>
    </row>
    <row r="46" spans="1:11" s="27" customFormat="1">
      <c r="A46" s="5"/>
      <c r="B46" s="139"/>
      <c r="C46" s="140"/>
      <c r="D46" s="156"/>
      <c r="E46" s="157"/>
      <c r="F46" s="141"/>
      <c r="G46" s="158"/>
      <c r="H46" s="141"/>
      <c r="I46" s="102"/>
      <c r="J46" s="4"/>
      <c r="K46" s="8"/>
    </row>
    <row r="47" spans="1:11">
      <c r="A47" s="60"/>
      <c r="B47" s="61"/>
      <c r="C47" s="61"/>
      <c r="D47" s="61"/>
      <c r="E47" s="61"/>
      <c r="F47" s="61"/>
      <c r="G47" s="61"/>
      <c r="H47" s="61"/>
      <c r="I47" s="126"/>
      <c r="J47" s="61"/>
      <c r="K47" s="79"/>
    </row>
    <row r="48" spans="1:11">
      <c r="I48" s="124"/>
    </row>
    <row r="49" spans="9:9">
      <c r="I49" s="124"/>
    </row>
    <row r="50" spans="9:9">
      <c r="I50" s="124"/>
    </row>
    <row r="51" spans="9:9">
      <c r="I51" s="124"/>
    </row>
    <row r="52" spans="9:9">
      <c r="I52" s="124"/>
    </row>
    <row r="53" spans="9:9">
      <c r="I53" s="124"/>
    </row>
    <row r="54" spans="9:9">
      <c r="I54" s="124"/>
    </row>
    <row r="55" spans="9:9">
      <c r="I55" s="124"/>
    </row>
    <row r="56" spans="9:9">
      <c r="I56" s="124"/>
    </row>
    <row r="57" spans="9:9">
      <c r="I57" s="124"/>
    </row>
    <row r="58" spans="9:9">
      <c r="I58" s="124"/>
    </row>
    <row r="59" spans="9:9">
      <c r="I59" s="124"/>
    </row>
    <row r="60" spans="9:9">
      <c r="I60" s="124"/>
    </row>
    <row r="61" spans="9:9">
      <c r="I61" s="124"/>
    </row>
    <row r="62" spans="9:9">
      <c r="I62" s="124"/>
    </row>
    <row r="63" spans="9:9">
      <c r="I63" s="124"/>
    </row>
    <row r="64" spans="9:9">
      <c r="I64" s="124"/>
    </row>
    <row r="65" spans="9:9">
      <c r="I65" s="124"/>
    </row>
    <row r="66" spans="9:9">
      <c r="I66" s="124"/>
    </row>
    <row r="67" spans="9:9">
      <c r="I67" s="124"/>
    </row>
    <row r="68" spans="9:9">
      <c r="I68" s="124"/>
    </row>
    <row r="69" spans="9:9">
      <c r="I69" s="124"/>
    </row>
    <row r="70" spans="9:9">
      <c r="I70" s="124"/>
    </row>
    <row r="71" spans="9:9">
      <c r="I71" s="124"/>
    </row>
    <row r="72" spans="9:9">
      <c r="I72" s="124"/>
    </row>
    <row r="73" spans="9:9">
      <c r="I73" s="124"/>
    </row>
    <row r="74" spans="9:9">
      <c r="I74" s="124"/>
    </row>
    <row r="75" spans="9:9">
      <c r="I75" s="124"/>
    </row>
    <row r="76" spans="9:9">
      <c r="I76" s="124"/>
    </row>
    <row r="77" spans="9:9">
      <c r="I77" s="124"/>
    </row>
    <row r="78" spans="9:9">
      <c r="I78" s="124"/>
    </row>
    <row r="79" spans="9:9">
      <c r="I79" s="124"/>
    </row>
    <row r="80" spans="9:9">
      <c r="I80" s="124"/>
    </row>
    <row r="81" spans="9:9">
      <c r="I81" s="124"/>
    </row>
    <row r="82" spans="9:9">
      <c r="I82" s="124"/>
    </row>
    <row r="83" spans="9:9">
      <c r="I83" s="124"/>
    </row>
    <row r="84" spans="9:9">
      <c r="I84" s="124"/>
    </row>
    <row r="85" spans="9:9">
      <c r="I85" s="124"/>
    </row>
    <row r="86" spans="9:9">
      <c r="I86" s="124"/>
    </row>
    <row r="87" spans="9:9">
      <c r="I87" s="124"/>
    </row>
    <row r="88" spans="9:9">
      <c r="I88" s="124"/>
    </row>
    <row r="89" spans="9:9">
      <c r="I89" s="124"/>
    </row>
    <row r="90" spans="9:9">
      <c r="I90" s="124"/>
    </row>
    <row r="91" spans="9:9">
      <c r="I91" s="124"/>
    </row>
    <row r="92" spans="9:9">
      <c r="I92" s="124"/>
    </row>
    <row r="93" spans="9:9">
      <c r="I93" s="124"/>
    </row>
    <row r="94" spans="9:9">
      <c r="I94" s="124"/>
    </row>
    <row r="95" spans="9:9">
      <c r="I95" s="124"/>
    </row>
    <row r="96" spans="9:9">
      <c r="I96" s="124"/>
    </row>
    <row r="97" spans="9:9">
      <c r="I97" s="124"/>
    </row>
    <row r="98" spans="9:9">
      <c r="I98" s="124"/>
    </row>
    <row r="99" spans="9:9">
      <c r="I99" s="124"/>
    </row>
    <row r="100" spans="9:9">
      <c r="I100" s="124"/>
    </row>
    <row r="101" spans="9:9">
      <c r="I101" s="124"/>
    </row>
    <row r="102" spans="9:9">
      <c r="I102" s="124"/>
    </row>
    <row r="103" spans="9:9">
      <c r="I103" s="124"/>
    </row>
    <row r="104" spans="9:9">
      <c r="I104" s="124"/>
    </row>
    <row r="105" spans="9:9">
      <c r="I105" s="124"/>
    </row>
    <row r="106" spans="9:9">
      <c r="I106" s="124"/>
    </row>
    <row r="107" spans="9:9">
      <c r="I107" s="124"/>
    </row>
    <row r="108" spans="9:9">
      <c r="I108" s="124"/>
    </row>
    <row r="109" spans="9:9">
      <c r="I109" s="124"/>
    </row>
    <row r="110" spans="9:9">
      <c r="I110" s="124"/>
    </row>
    <row r="111" spans="9:9">
      <c r="I111" s="124"/>
    </row>
    <row r="112" spans="9:9">
      <c r="I112" s="124"/>
    </row>
    <row r="113" spans="9:9">
      <c r="I113" s="124"/>
    </row>
    <row r="114" spans="9:9">
      <c r="I114" s="124"/>
    </row>
    <row r="115" spans="9:9">
      <c r="I115" s="124"/>
    </row>
    <row r="116" spans="9:9">
      <c r="I116" s="124"/>
    </row>
    <row r="117" spans="9:9">
      <c r="I117" s="124"/>
    </row>
    <row r="118" spans="9:9">
      <c r="I118" s="124"/>
    </row>
    <row r="119" spans="9:9">
      <c r="I119" s="124"/>
    </row>
    <row r="120" spans="9:9">
      <c r="I120" s="124"/>
    </row>
    <row r="121" spans="9:9">
      <c r="I121" s="124"/>
    </row>
    <row r="122" spans="9:9">
      <c r="I122" s="124"/>
    </row>
    <row r="123" spans="9:9">
      <c r="I123" s="124"/>
    </row>
    <row r="124" spans="9:9">
      <c r="I124" s="124"/>
    </row>
    <row r="125" spans="9:9">
      <c r="I125" s="124"/>
    </row>
    <row r="126" spans="9:9">
      <c r="I126" s="124"/>
    </row>
    <row r="127" spans="9:9">
      <c r="I127" s="124"/>
    </row>
    <row r="128" spans="9:9">
      <c r="I128" s="124"/>
    </row>
    <row r="129" spans="9:9">
      <c r="I129" s="124"/>
    </row>
    <row r="130" spans="9:9">
      <c r="I130" s="124"/>
    </row>
    <row r="131" spans="9:9">
      <c r="I131" s="124"/>
    </row>
    <row r="132" spans="9:9">
      <c r="I132" s="124"/>
    </row>
    <row r="133" spans="9:9">
      <c r="I133" s="124"/>
    </row>
    <row r="134" spans="9:9">
      <c r="I134" s="124"/>
    </row>
    <row r="135" spans="9:9">
      <c r="I135" s="124"/>
    </row>
    <row r="136" spans="9:9">
      <c r="I136" s="124"/>
    </row>
    <row r="137" spans="9:9">
      <c r="I137" s="124"/>
    </row>
    <row r="138" spans="9:9">
      <c r="I138" s="124"/>
    </row>
    <row r="139" spans="9:9">
      <c r="I139" s="124"/>
    </row>
    <row r="140" spans="9:9">
      <c r="I140" s="124"/>
    </row>
    <row r="141" spans="9:9">
      <c r="I141" s="124"/>
    </row>
    <row r="142" spans="9:9">
      <c r="I142" s="124"/>
    </row>
    <row r="143" spans="9:9">
      <c r="I143" s="124"/>
    </row>
    <row r="144" spans="9:9">
      <c r="I144" s="124"/>
    </row>
    <row r="145" spans="9:9">
      <c r="I145" s="124"/>
    </row>
    <row r="146" spans="9:9">
      <c r="I146" s="124"/>
    </row>
    <row r="147" spans="9:9">
      <c r="I147" s="124"/>
    </row>
    <row r="148" spans="9:9">
      <c r="I148" s="124"/>
    </row>
    <row r="149" spans="9:9">
      <c r="I149" s="124"/>
    </row>
    <row r="150" spans="9:9">
      <c r="I150" s="124"/>
    </row>
    <row r="151" spans="9:9">
      <c r="I151" s="124"/>
    </row>
    <row r="152" spans="9:9">
      <c r="I152" s="124"/>
    </row>
    <row r="153" spans="9:9">
      <c r="I153" s="124"/>
    </row>
    <row r="154" spans="9:9">
      <c r="I154" s="124"/>
    </row>
    <row r="155" spans="9:9">
      <c r="I155" s="124"/>
    </row>
    <row r="156" spans="9:9">
      <c r="I156" s="124"/>
    </row>
    <row r="157" spans="9:9">
      <c r="I157" s="124"/>
    </row>
    <row r="158" spans="9:9">
      <c r="I158" s="124"/>
    </row>
    <row r="159" spans="9:9">
      <c r="I159" s="124"/>
    </row>
    <row r="160" spans="9:9">
      <c r="I160" s="124"/>
    </row>
    <row r="161" spans="9:9">
      <c r="I161" s="124"/>
    </row>
    <row r="162" spans="9:9">
      <c r="I162" s="124"/>
    </row>
    <row r="163" spans="9:9">
      <c r="I163" s="124"/>
    </row>
    <row r="164" spans="9:9">
      <c r="I164" s="124"/>
    </row>
    <row r="165" spans="9:9">
      <c r="I165" s="124"/>
    </row>
    <row r="166" spans="9:9">
      <c r="I166" s="124"/>
    </row>
    <row r="167" spans="9:9">
      <c r="I167" s="124"/>
    </row>
    <row r="168" spans="9:9">
      <c r="I168" s="124"/>
    </row>
    <row r="169" spans="9:9">
      <c r="I169" s="124"/>
    </row>
    <row r="170" spans="9:9">
      <c r="I170" s="124"/>
    </row>
    <row r="171" spans="9:9">
      <c r="I171" s="124"/>
    </row>
    <row r="172" spans="9:9">
      <c r="I172" s="124"/>
    </row>
    <row r="173" spans="9:9">
      <c r="I173" s="124"/>
    </row>
    <row r="174" spans="9:9">
      <c r="I174" s="124"/>
    </row>
    <row r="175" spans="9:9">
      <c r="I175" s="124"/>
    </row>
    <row r="176" spans="9:9">
      <c r="I176" s="124"/>
    </row>
    <row r="177" spans="9:9">
      <c r="I177" s="124"/>
    </row>
    <row r="178" spans="9:9">
      <c r="I178" s="124"/>
    </row>
    <row r="179" spans="9:9">
      <c r="I179" s="124"/>
    </row>
    <row r="180" spans="9:9">
      <c r="I180" s="124"/>
    </row>
    <row r="181" spans="9:9">
      <c r="I181" s="124"/>
    </row>
    <row r="182" spans="9:9">
      <c r="I182" s="124"/>
    </row>
    <row r="183" spans="9:9">
      <c r="I183" s="124"/>
    </row>
    <row r="184" spans="9:9">
      <c r="I184" s="124"/>
    </row>
    <row r="185" spans="9:9">
      <c r="I185" s="124"/>
    </row>
    <row r="186" spans="9:9">
      <c r="I186" s="124"/>
    </row>
    <row r="187" spans="9:9">
      <c r="I187" s="124"/>
    </row>
    <row r="188" spans="9:9">
      <c r="I188" s="124"/>
    </row>
    <row r="189" spans="9:9">
      <c r="I189" s="124"/>
    </row>
    <row r="190" spans="9:9">
      <c r="I190" s="124"/>
    </row>
    <row r="191" spans="9:9">
      <c r="I191" s="124"/>
    </row>
    <row r="192" spans="9:9">
      <c r="I192" s="124"/>
    </row>
    <row r="193" spans="9:9">
      <c r="I193" s="124"/>
    </row>
    <row r="194" spans="9:9">
      <c r="I194" s="124"/>
    </row>
    <row r="195" spans="9:9">
      <c r="I195" s="124"/>
    </row>
    <row r="196" spans="9:9">
      <c r="I196" s="124"/>
    </row>
    <row r="197" spans="9:9">
      <c r="I197" s="124"/>
    </row>
    <row r="198" spans="9:9">
      <c r="I198" s="124"/>
    </row>
    <row r="199" spans="9:9">
      <c r="I199" s="124"/>
    </row>
    <row r="200" spans="9:9">
      <c r="I200" s="124"/>
    </row>
    <row r="201" spans="9:9">
      <c r="I201" s="124"/>
    </row>
    <row r="202" spans="9:9">
      <c r="I202" s="124"/>
    </row>
    <row r="203" spans="9:9">
      <c r="I203" s="124"/>
    </row>
    <row r="204" spans="9:9">
      <c r="I204" s="124"/>
    </row>
    <row r="205" spans="9:9">
      <c r="I205" s="124"/>
    </row>
    <row r="206" spans="9:9">
      <c r="I206" s="124"/>
    </row>
    <row r="207" spans="9:9">
      <c r="I207" s="124"/>
    </row>
    <row r="208" spans="9:9">
      <c r="I208" s="124"/>
    </row>
    <row r="209" spans="9:9">
      <c r="I209" s="124"/>
    </row>
    <row r="210" spans="9:9">
      <c r="I210" s="124"/>
    </row>
    <row r="211" spans="9:9">
      <c r="I211" s="124"/>
    </row>
    <row r="212" spans="9:9">
      <c r="I212" s="124"/>
    </row>
    <row r="213" spans="9:9">
      <c r="I213" s="124"/>
    </row>
    <row r="214" spans="9:9">
      <c r="I214" s="124"/>
    </row>
    <row r="215" spans="9:9">
      <c r="I215" s="124"/>
    </row>
    <row r="216" spans="9:9">
      <c r="I216" s="124"/>
    </row>
    <row r="217" spans="9:9">
      <c r="I217" s="124"/>
    </row>
    <row r="218" spans="9:9">
      <c r="I218" s="124"/>
    </row>
    <row r="219" spans="9:9">
      <c r="I219" s="124"/>
    </row>
    <row r="220" spans="9:9">
      <c r="I220" s="124"/>
    </row>
    <row r="221" spans="9:9">
      <c r="I221" s="124"/>
    </row>
    <row r="222" spans="9:9">
      <c r="I222" s="124"/>
    </row>
    <row r="223" spans="9:9">
      <c r="I223" s="124"/>
    </row>
    <row r="224" spans="9:9">
      <c r="I224" s="124"/>
    </row>
    <row r="225" spans="9:9">
      <c r="I225" s="124"/>
    </row>
    <row r="226" spans="9:9">
      <c r="I226" s="124"/>
    </row>
    <row r="227" spans="9:9">
      <c r="I227" s="124"/>
    </row>
    <row r="228" spans="9:9">
      <c r="I228" s="124"/>
    </row>
    <row r="229" spans="9:9">
      <c r="I229" s="124"/>
    </row>
    <row r="230" spans="9:9">
      <c r="I230" s="124"/>
    </row>
    <row r="231" spans="9:9">
      <c r="I231" s="124"/>
    </row>
    <row r="232" spans="9:9">
      <c r="I232" s="124"/>
    </row>
    <row r="233" spans="9:9">
      <c r="I233" s="124"/>
    </row>
    <row r="234" spans="9:9">
      <c r="I234" s="124"/>
    </row>
    <row r="235" spans="9:9">
      <c r="I235" s="124"/>
    </row>
    <row r="236" spans="9:9">
      <c r="I236" s="124"/>
    </row>
    <row r="237" spans="9:9">
      <c r="I237" s="124"/>
    </row>
    <row r="238" spans="9:9">
      <c r="I238" s="124"/>
    </row>
    <row r="239" spans="9:9">
      <c r="I239" s="124"/>
    </row>
    <row r="240" spans="9:9">
      <c r="I240" s="124"/>
    </row>
    <row r="241" spans="9:9">
      <c r="I241" s="124"/>
    </row>
    <row r="242" spans="9:9">
      <c r="I242" s="124"/>
    </row>
    <row r="243" spans="9:9">
      <c r="I243" s="124"/>
    </row>
    <row r="244" spans="9:9">
      <c r="I244" s="124"/>
    </row>
    <row r="245" spans="9:9">
      <c r="I245" s="124"/>
    </row>
    <row r="246" spans="9:9">
      <c r="I246" s="124"/>
    </row>
    <row r="247" spans="9:9">
      <c r="I247" s="124"/>
    </row>
    <row r="248" spans="9:9">
      <c r="I248" s="124"/>
    </row>
    <row r="249" spans="9:9">
      <c r="I249" s="124"/>
    </row>
    <row r="250" spans="9:9">
      <c r="I250" s="124"/>
    </row>
    <row r="251" spans="9:9">
      <c r="I251" s="124"/>
    </row>
    <row r="252" spans="9:9">
      <c r="I252" s="124"/>
    </row>
    <row r="253" spans="9:9">
      <c r="I253" s="124"/>
    </row>
    <row r="254" spans="9:9">
      <c r="I254" s="124"/>
    </row>
    <row r="255" spans="9:9">
      <c r="I255" s="124"/>
    </row>
    <row r="256" spans="9:9">
      <c r="I256" s="124"/>
    </row>
    <row r="257" spans="9:9">
      <c r="I257" s="124"/>
    </row>
    <row r="258" spans="9:9">
      <c r="I258" s="124"/>
    </row>
    <row r="259" spans="9:9">
      <c r="I259" s="124"/>
    </row>
    <row r="260" spans="9:9">
      <c r="I260" s="124"/>
    </row>
  </sheetData>
  <sheetProtection password="8B10" sheet="1" objects="1" scenarios="1"/>
  <phoneticPr fontId="3" type="noConversion"/>
  <pageMargins left="0.70866141732283472" right="0.70866141732283472" top="1.0236220472440944" bottom="1.0236220472440944" header="0.39370078740157483" footer="0.39370078740157483"/>
  <pageSetup paperSize="9" scale="69" orientation="landscape" r:id="rId1"/>
  <headerFooter alignWithMargins="0">
    <oddFooter>&amp;L&amp;"Frutiger 57Cn,Standard"&amp;8
Santander Consumer Bank AG
Santander-Platz 1
41061 Mönchengladbach
Tel.: +49 180 / 5556 - 499
Fax.: +49 180 / 5556 - 498</oddFooter>
  </headerFooter>
  <colBreaks count="1" manualBreakCount="1">
    <brk id="1" max="95" man="1"/>
  </col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Q2247"/>
  <sheetViews>
    <sheetView view="pageBreakPreview" zoomScale="75" zoomScaleNormal="100" workbookViewId="0">
      <selection activeCell="B3" sqref="B3"/>
    </sheetView>
  </sheetViews>
  <sheetFormatPr defaultRowHeight="12.75"/>
  <cols>
    <col min="1" max="1" width="1.28515625" style="31" customWidth="1"/>
    <col min="2" max="2" width="26" style="31" customWidth="1"/>
    <col min="3" max="3" width="14.85546875" style="31" bestFit="1" customWidth="1"/>
    <col min="4" max="4" width="18.7109375" style="31" customWidth="1"/>
    <col min="5" max="5" width="18.5703125" style="31" customWidth="1"/>
    <col min="6" max="6" width="19.5703125" style="31" customWidth="1"/>
    <col min="7" max="8" width="19" style="31" customWidth="1"/>
    <col min="9" max="10" width="15.42578125" style="31" customWidth="1"/>
    <col min="11" max="11" width="1.28515625" style="31" customWidth="1"/>
    <col min="12" max="12" width="3.140625" style="31" customWidth="1"/>
    <col min="13" max="13" width="18.7109375" style="34" customWidth="1"/>
    <col min="14" max="14" width="18.5703125" style="34" customWidth="1"/>
    <col min="15" max="15" width="19.5703125" style="34" customWidth="1"/>
    <col min="16" max="17" width="19" style="34" customWidth="1"/>
    <col min="18" max="256" width="11.42578125" style="31" customWidth="1"/>
    <col min="257" max="16384" width="9.140625" style="31"/>
  </cols>
  <sheetData>
    <row r="1" spans="1:17" ht="6" customHeight="1">
      <c r="A1" s="35"/>
      <c r="B1" s="36"/>
      <c r="C1" s="36"/>
      <c r="D1" s="36"/>
      <c r="E1" s="36"/>
      <c r="F1" s="36"/>
      <c r="G1" s="36"/>
      <c r="H1" s="36"/>
      <c r="I1" s="36"/>
      <c r="J1" s="36"/>
      <c r="K1" s="37"/>
    </row>
    <row r="2" spans="1:17" s="27" customFormat="1" ht="18">
      <c r="A2" s="5"/>
      <c r="B2" s="7" t="str">
        <f>'Cover Sheet'!B2</f>
        <v>SC Germany Auto 10-1</v>
      </c>
      <c r="C2" s="7"/>
      <c r="D2" s="108" t="s">
        <v>54</v>
      </c>
      <c r="E2" s="109"/>
      <c r="F2" s="110">
        <f>'Cover Sheet'!F2</f>
        <v>41191</v>
      </c>
      <c r="G2" s="109"/>
      <c r="H2" s="109"/>
      <c r="I2" s="109"/>
      <c r="J2" s="111"/>
      <c r="K2" s="88"/>
      <c r="M2" s="28"/>
      <c r="N2" s="34"/>
      <c r="O2" s="372"/>
      <c r="P2" s="34"/>
      <c r="Q2" s="34"/>
    </row>
    <row r="3" spans="1:17" s="27" customFormat="1" ht="18">
      <c r="A3" s="5"/>
      <c r="B3" s="7" t="str">
        <f>'Cover Sheet'!B3</f>
        <v>Monthly Investor Report</v>
      </c>
      <c r="C3" s="7"/>
      <c r="D3" s="112" t="s">
        <v>4</v>
      </c>
      <c r="E3" s="113"/>
      <c r="F3" s="114">
        <f>'Cover Sheet'!F3</f>
        <v>41197</v>
      </c>
      <c r="G3" s="113"/>
      <c r="H3" s="113"/>
      <c r="I3" s="113"/>
      <c r="J3" s="115"/>
      <c r="K3" s="90"/>
      <c r="M3" s="28"/>
      <c r="N3" s="34"/>
      <c r="O3" s="372"/>
      <c r="P3" s="34"/>
      <c r="Q3" s="34"/>
    </row>
    <row r="4" spans="1:17" s="27" customFormat="1">
      <c r="A4" s="5"/>
      <c r="B4" s="42"/>
      <c r="C4" s="12"/>
      <c r="D4" s="112" t="s">
        <v>5</v>
      </c>
      <c r="E4" s="113"/>
      <c r="F4" s="122">
        <f>'Cover Sheet'!F4</f>
        <v>27</v>
      </c>
      <c r="G4" s="113"/>
      <c r="H4" s="117"/>
      <c r="I4" s="113"/>
      <c r="J4" s="118"/>
      <c r="K4" s="88"/>
      <c r="M4" s="28"/>
      <c r="N4" s="34"/>
      <c r="O4" s="45"/>
      <c r="P4" s="34"/>
      <c r="Q4" s="28"/>
    </row>
    <row r="5" spans="1:17" s="27" customFormat="1" ht="18">
      <c r="A5" s="5"/>
      <c r="B5" s="105" t="s">
        <v>399</v>
      </c>
      <c r="C5" s="14"/>
      <c r="D5" s="112" t="s">
        <v>3</v>
      </c>
      <c r="E5" s="113"/>
      <c r="F5" s="123">
        <f>'Cover Sheet'!F5</f>
        <v>41197</v>
      </c>
      <c r="G5" s="113"/>
      <c r="H5" s="117"/>
      <c r="I5" s="113"/>
      <c r="J5" s="118"/>
      <c r="K5" s="90"/>
      <c r="M5" s="28"/>
      <c r="N5" s="34"/>
      <c r="O5" s="373"/>
      <c r="P5" s="34"/>
      <c r="Q5" s="28"/>
    </row>
    <row r="6" spans="1:17" s="27" customFormat="1" ht="15" customHeight="1">
      <c r="A6" s="5"/>
      <c r="B6" s="43"/>
      <c r="C6" s="89"/>
      <c r="D6" s="552" t="str">
        <f>'Cover Sheet'!D6</f>
        <v>Interest Period</v>
      </c>
      <c r="E6" s="114" t="s">
        <v>38</v>
      </c>
      <c r="F6" s="114">
        <f>'Cover Sheet'!F6</f>
        <v>41164</v>
      </c>
      <c r="G6" s="116" t="s">
        <v>6</v>
      </c>
      <c r="H6" s="114">
        <f>'Cover Sheet'!H6</f>
        <v>41197</v>
      </c>
      <c r="I6" s="116" t="s">
        <v>18</v>
      </c>
      <c r="J6" s="542" t="str">
        <f>'Cover Sheet'!J6</f>
        <v>33 days</v>
      </c>
      <c r="K6" s="90"/>
      <c r="M6" s="28"/>
      <c r="N6" s="45"/>
      <c r="O6" s="372"/>
      <c r="P6" s="45"/>
      <c r="Q6" s="372"/>
    </row>
    <row r="7" spans="1:17" s="27" customFormat="1">
      <c r="A7" s="5"/>
      <c r="B7" s="4"/>
      <c r="C7" s="4"/>
      <c r="D7" s="553" t="str">
        <f>'Cover Sheet'!D7</f>
        <v>Collection Period</v>
      </c>
      <c r="E7" s="121" t="s">
        <v>38</v>
      </c>
      <c r="F7" s="121" t="str">
        <f>'Cover Sheet'!F7</f>
        <v>01.09.2012</v>
      </c>
      <c r="G7" s="120" t="s">
        <v>6</v>
      </c>
      <c r="H7" s="121">
        <f>'Cover Sheet'!H7</f>
        <v>41182</v>
      </c>
      <c r="I7" s="543"/>
      <c r="J7" s="544"/>
      <c r="K7" s="90"/>
      <c r="M7" s="28"/>
      <c r="N7" s="34"/>
      <c r="O7" s="374"/>
      <c r="P7" s="45"/>
      <c r="Q7" s="372"/>
    </row>
    <row r="8" spans="1:17" s="27" customFormat="1">
      <c r="A8" s="5"/>
      <c r="B8" s="4"/>
      <c r="C8" s="4"/>
      <c r="D8" s="4"/>
      <c r="E8" s="9"/>
      <c r="F8" s="15"/>
      <c r="G8" s="9"/>
      <c r="H8" s="4"/>
      <c r="I8" s="16"/>
      <c r="J8" s="4"/>
      <c r="K8" s="90"/>
      <c r="M8" s="34"/>
      <c r="N8" s="44"/>
      <c r="O8" s="45"/>
      <c r="P8" s="44"/>
      <c r="Q8" s="34"/>
    </row>
    <row r="9" spans="1:17" s="27" customFormat="1">
      <c r="A9" s="5"/>
      <c r="K9" s="8"/>
      <c r="M9" s="34"/>
      <c r="N9" s="34"/>
      <c r="O9" s="34"/>
      <c r="P9" s="34"/>
      <c r="Q9" s="34"/>
    </row>
    <row r="10" spans="1:17" s="27" customFormat="1">
      <c r="A10" s="5"/>
      <c r="B10" s="4"/>
      <c r="C10" s="4"/>
      <c r="D10" s="4"/>
      <c r="E10" s="4"/>
      <c r="F10" s="18"/>
      <c r="G10" s="4"/>
      <c r="H10" s="4"/>
      <c r="I10" s="34"/>
      <c r="J10" s="34"/>
      <c r="K10" s="8"/>
      <c r="M10" s="34"/>
      <c r="N10" s="34"/>
      <c r="O10" s="102"/>
      <c r="P10" s="34"/>
      <c r="Q10" s="34"/>
    </row>
    <row r="11" spans="1:17" s="27" customFormat="1" ht="18">
      <c r="A11" s="5"/>
      <c r="B11" s="125"/>
      <c r="C11" s="4"/>
      <c r="D11" s="4"/>
      <c r="E11" s="4"/>
      <c r="F11" s="34"/>
      <c r="G11" s="100"/>
      <c r="H11" s="100"/>
      <c r="I11" s="34"/>
      <c r="K11" s="8"/>
      <c r="M11" s="47"/>
      <c r="N11" s="34"/>
      <c r="O11" s="34"/>
      <c r="P11" s="137"/>
      <c r="Q11" s="137"/>
    </row>
    <row r="12" spans="1:17" s="27" customFormat="1" ht="13.5" thickBot="1">
      <c r="A12" s="5"/>
      <c r="B12" s="4"/>
      <c r="C12" s="34"/>
      <c r="D12" s="34"/>
      <c r="E12" s="34"/>
      <c r="F12" s="34"/>
      <c r="G12" s="137"/>
      <c r="H12" s="137"/>
      <c r="I12" s="34"/>
      <c r="K12" s="8"/>
      <c r="M12" s="34"/>
      <c r="N12" s="34"/>
      <c r="O12" s="34"/>
      <c r="P12" s="137"/>
      <c r="Q12" s="137"/>
    </row>
    <row r="13" spans="1:17" s="27" customFormat="1" ht="28.5">
      <c r="A13" s="5"/>
      <c r="B13" s="138"/>
      <c r="C13" s="138"/>
      <c r="D13" s="319" t="s">
        <v>96</v>
      </c>
      <c r="E13" s="288" t="s">
        <v>91</v>
      </c>
      <c r="F13" s="289" t="s">
        <v>70</v>
      </c>
      <c r="G13" s="313" t="s">
        <v>71</v>
      </c>
      <c r="H13" s="499" t="s">
        <v>72</v>
      </c>
      <c r="I13" s="317"/>
      <c r="K13" s="8"/>
      <c r="M13" s="417"/>
      <c r="N13" s="327"/>
      <c r="O13" s="328"/>
      <c r="P13" s="328"/>
      <c r="Q13" s="317"/>
    </row>
    <row r="14" spans="1:17">
      <c r="A14" s="40"/>
      <c r="B14" s="139"/>
      <c r="C14" s="140"/>
      <c r="D14" s="320" t="s">
        <v>551</v>
      </c>
      <c r="E14" s="259">
        <v>14960672.850000026</v>
      </c>
      <c r="F14" s="260">
        <v>6.8767776694385635E-2</v>
      </c>
      <c r="G14" s="261">
        <v>7883</v>
      </c>
      <c r="H14" s="262">
        <v>0.18718685441550115</v>
      </c>
      <c r="I14" s="315"/>
      <c r="K14" s="41"/>
      <c r="M14" s="418"/>
      <c r="N14" s="419"/>
      <c r="O14" s="315"/>
      <c r="P14" s="420"/>
      <c r="Q14" s="315"/>
    </row>
    <row r="15" spans="1:17">
      <c r="A15" s="40"/>
      <c r="B15" s="139"/>
      <c r="C15" s="140"/>
      <c r="D15" s="320" t="s">
        <v>552</v>
      </c>
      <c r="E15" s="259">
        <v>18444532.460000012</v>
      </c>
      <c r="F15" s="260">
        <v>8.4781580491657238E-2</v>
      </c>
      <c r="G15" s="261">
        <v>5456</v>
      </c>
      <c r="H15" s="262">
        <v>0.12955619404934343</v>
      </c>
      <c r="I15" s="315"/>
      <c r="K15" s="41"/>
      <c r="M15" s="418"/>
      <c r="N15" s="419"/>
      <c r="O15" s="315"/>
      <c r="P15" s="420"/>
      <c r="Q15" s="315"/>
    </row>
    <row r="16" spans="1:17">
      <c r="A16" s="40"/>
      <c r="B16" s="139"/>
      <c r="C16" s="140"/>
      <c r="D16" s="320" t="s">
        <v>553</v>
      </c>
      <c r="E16" s="259">
        <v>39467787.430000119</v>
      </c>
      <c r="F16" s="260">
        <v>0.18141643894096141</v>
      </c>
      <c r="G16" s="261">
        <v>7569</v>
      </c>
      <c r="H16" s="262">
        <v>0.17973072447937691</v>
      </c>
      <c r="I16" s="315"/>
      <c r="K16" s="41"/>
      <c r="M16" s="418"/>
      <c r="N16" s="419"/>
      <c r="O16" s="315"/>
      <c r="P16" s="420"/>
      <c r="Q16" s="315"/>
    </row>
    <row r="17" spans="1:17">
      <c r="A17" s="40"/>
      <c r="B17" s="139"/>
      <c r="C17" s="140"/>
      <c r="D17" s="320" t="s">
        <v>554</v>
      </c>
      <c r="E17" s="259">
        <v>36572787.170000128</v>
      </c>
      <c r="F17" s="260">
        <v>0.16810936823592507</v>
      </c>
      <c r="G17" s="261">
        <v>6644</v>
      </c>
      <c r="H17" s="262">
        <v>0.15776601049557143</v>
      </c>
      <c r="I17" s="315"/>
      <c r="K17" s="41"/>
      <c r="M17" s="418"/>
      <c r="N17" s="419"/>
      <c r="O17" s="315"/>
      <c r="P17" s="420"/>
      <c r="Q17" s="315"/>
    </row>
    <row r="18" spans="1:17">
      <c r="A18" s="40"/>
      <c r="B18" s="139"/>
      <c r="C18" s="140"/>
      <c r="D18" s="320" t="s">
        <v>555</v>
      </c>
      <c r="E18" s="259">
        <v>37558208.669999979</v>
      </c>
      <c r="F18" s="260">
        <v>0.17263892692230703</v>
      </c>
      <c r="G18" s="261">
        <v>5760</v>
      </c>
      <c r="H18" s="262">
        <v>0.13677486761807517</v>
      </c>
      <c r="I18" s="315"/>
      <c r="K18" s="41"/>
      <c r="M18" s="418"/>
      <c r="N18" s="419"/>
      <c r="O18" s="315"/>
      <c r="P18" s="420"/>
      <c r="Q18" s="315"/>
    </row>
    <row r="19" spans="1:17">
      <c r="A19" s="40"/>
      <c r="B19" s="139"/>
      <c r="C19" s="140"/>
      <c r="D19" s="320" t="s">
        <v>556</v>
      </c>
      <c r="E19" s="259">
        <v>31031340.07</v>
      </c>
      <c r="F19" s="260">
        <v>0.14263771996466706</v>
      </c>
      <c r="G19" s="261">
        <v>4353</v>
      </c>
      <c r="H19" s="262">
        <v>0.10336475672595161</v>
      </c>
      <c r="I19" s="315"/>
      <c r="K19" s="41"/>
      <c r="M19" s="418"/>
      <c r="N19" s="419"/>
      <c r="O19" s="315"/>
      <c r="P19" s="420"/>
      <c r="Q19" s="315"/>
    </row>
    <row r="20" spans="1:17">
      <c r="A20" s="40"/>
      <c r="B20" s="139"/>
      <c r="C20" s="140"/>
      <c r="D20" s="320" t="s">
        <v>557</v>
      </c>
      <c r="E20" s="259">
        <v>18002254.930000026</v>
      </c>
      <c r="F20" s="260">
        <v>8.2748620963370809E-2</v>
      </c>
      <c r="G20" s="261">
        <v>2262</v>
      </c>
      <c r="H20" s="262">
        <v>5.3712630304181608E-2</v>
      </c>
      <c r="I20" s="315"/>
      <c r="K20" s="41"/>
      <c r="M20" s="418"/>
      <c r="N20" s="419"/>
      <c r="O20" s="315"/>
      <c r="P20" s="420"/>
      <c r="Q20" s="315"/>
    </row>
    <row r="21" spans="1:17">
      <c r="A21" s="40"/>
      <c r="B21" s="139"/>
      <c r="C21" s="140"/>
      <c r="D21" s="320" t="s">
        <v>558</v>
      </c>
      <c r="E21" s="259">
        <v>20274630.240000013</v>
      </c>
      <c r="F21" s="260">
        <v>9.3193752639645272E-2</v>
      </c>
      <c r="G21" s="261">
        <v>2077</v>
      </c>
      <c r="H21" s="262">
        <v>4.9319687507420509E-2</v>
      </c>
      <c r="I21" s="315"/>
      <c r="K21" s="41"/>
      <c r="M21" s="418"/>
      <c r="N21" s="419"/>
      <c r="O21" s="315"/>
      <c r="P21" s="420"/>
      <c r="Q21" s="315"/>
    </row>
    <row r="22" spans="1:17">
      <c r="A22" s="40"/>
      <c r="B22" s="139"/>
      <c r="C22" s="140"/>
      <c r="D22" s="320" t="s">
        <v>559</v>
      </c>
      <c r="E22" s="259">
        <v>1053818.7500000005</v>
      </c>
      <c r="F22" s="260">
        <v>4.8439514186928104E-3</v>
      </c>
      <c r="G22" s="261">
        <v>94</v>
      </c>
      <c r="H22" s="262">
        <v>2.2320898534894215E-3</v>
      </c>
      <c r="I22" s="315"/>
      <c r="K22" s="41"/>
      <c r="M22" s="418"/>
      <c r="N22" s="419"/>
      <c r="O22" s="315"/>
      <c r="P22" s="420"/>
      <c r="Q22" s="315"/>
    </row>
    <row r="23" spans="1:17">
      <c r="A23" s="40"/>
      <c r="B23" s="139"/>
      <c r="C23" s="140"/>
      <c r="D23" s="320" t="s">
        <v>560</v>
      </c>
      <c r="E23" s="259">
        <v>180486.51</v>
      </c>
      <c r="F23" s="260">
        <v>8.2961883736592634E-4</v>
      </c>
      <c r="G23" s="261">
        <v>14</v>
      </c>
      <c r="H23" s="262">
        <v>3.3243891434948827E-4</v>
      </c>
      <c r="I23" s="315"/>
      <c r="K23" s="41"/>
      <c r="M23" s="418"/>
      <c r="N23" s="419"/>
      <c r="O23" s="315"/>
      <c r="P23" s="420"/>
      <c r="Q23" s="315"/>
    </row>
    <row r="24" spans="1:17" ht="12.75" customHeight="1" thickBot="1">
      <c r="A24" s="40"/>
      <c r="B24" s="139"/>
      <c r="C24" s="140"/>
      <c r="D24" s="320" t="s">
        <v>561</v>
      </c>
      <c r="E24" s="259">
        <v>7014.99</v>
      </c>
      <c r="F24" s="260">
        <v>3.2244891033316559E-5</v>
      </c>
      <c r="G24" s="261">
        <v>1</v>
      </c>
      <c r="H24" s="262">
        <v>2.3745636739249164E-5</v>
      </c>
      <c r="I24" s="315"/>
      <c r="K24" s="41"/>
      <c r="M24" s="418"/>
      <c r="N24" s="419"/>
      <c r="O24" s="315"/>
      <c r="P24" s="420"/>
      <c r="Q24" s="315"/>
    </row>
    <row r="25" spans="1:17" ht="14.25" thickTop="1" thickBot="1">
      <c r="A25" s="40"/>
      <c r="B25" s="139"/>
      <c r="C25" s="140"/>
      <c r="D25" s="321" t="s">
        <v>40</v>
      </c>
      <c r="E25" s="292">
        <f>SUM(E14:E24)</f>
        <v>217553534.07000032</v>
      </c>
      <c r="F25" s="314">
        <f>SUM(F14:F24)</f>
        <v>1.0000000000000115</v>
      </c>
      <c r="G25" s="293">
        <f>SUM(G14:G24)</f>
        <v>42113</v>
      </c>
      <c r="H25" s="312">
        <f>SUM(H14:H24)</f>
        <v>0.99999999999999989</v>
      </c>
      <c r="I25" s="318"/>
      <c r="K25" s="41"/>
      <c r="M25" s="421"/>
      <c r="N25" s="361"/>
      <c r="O25" s="318"/>
      <c r="P25" s="390"/>
      <c r="Q25" s="318"/>
    </row>
    <row r="26" spans="1:17">
      <c r="A26" s="40"/>
      <c r="B26" s="139"/>
      <c r="C26" s="140"/>
      <c r="D26" s="349"/>
      <c r="E26" s="324"/>
      <c r="F26" s="325"/>
      <c r="G26" s="326"/>
      <c r="H26" s="325"/>
      <c r="I26" s="318"/>
      <c r="K26" s="41"/>
      <c r="M26" s="421"/>
      <c r="N26" s="361"/>
      <c r="O26" s="318"/>
      <c r="P26" s="390"/>
      <c r="Q26" s="318"/>
    </row>
    <row r="27" spans="1:17">
      <c r="A27" s="40"/>
      <c r="B27" s="139"/>
      <c r="C27" s="140"/>
      <c r="D27" s="349"/>
      <c r="E27" s="324"/>
      <c r="F27" s="325"/>
      <c r="G27" s="326"/>
      <c r="H27" s="325"/>
      <c r="I27" s="318"/>
      <c r="K27" s="41"/>
      <c r="M27" s="421"/>
      <c r="N27" s="361"/>
      <c r="O27" s="318"/>
      <c r="P27" s="390"/>
      <c r="Q27" s="318"/>
    </row>
    <row r="28" spans="1:17">
      <c r="A28" s="40"/>
      <c r="B28" s="139"/>
      <c r="C28" s="140"/>
      <c r="D28" s="132"/>
      <c r="E28" s="132"/>
      <c r="F28" s="132"/>
      <c r="G28" s="132"/>
      <c r="H28" s="132"/>
      <c r="I28" s="148"/>
      <c r="J28" s="102"/>
      <c r="K28" s="41"/>
      <c r="M28" s="148"/>
      <c r="N28" s="148"/>
      <c r="O28" s="148"/>
      <c r="P28" s="148"/>
      <c r="Q28" s="148"/>
    </row>
    <row r="29" spans="1:17" ht="13.5" thickBot="1">
      <c r="A29" s="40"/>
      <c r="B29" s="139"/>
      <c r="C29" s="140"/>
      <c r="D29" s="448" t="s">
        <v>89</v>
      </c>
      <c r="E29" s="448"/>
      <c r="F29" s="132"/>
      <c r="G29" s="132"/>
      <c r="H29" s="132"/>
      <c r="I29" s="148"/>
      <c r="J29" s="102"/>
      <c r="K29" s="41"/>
      <c r="M29" s="422"/>
      <c r="N29" s="333"/>
      <c r="O29" s="148"/>
      <c r="P29" s="148"/>
      <c r="Q29" s="148"/>
    </row>
    <row r="30" spans="1:17" ht="13.5" thickBot="1">
      <c r="A30" s="40"/>
      <c r="B30" s="139"/>
      <c r="C30" s="140"/>
      <c r="D30" s="489" t="s">
        <v>84</v>
      </c>
      <c r="E30" s="490">
        <v>27.823742527171891</v>
      </c>
      <c r="F30" s="255"/>
      <c r="G30" s="256"/>
      <c r="H30" s="255"/>
      <c r="I30" s="102"/>
      <c r="J30" s="102"/>
      <c r="K30" s="41"/>
      <c r="M30" s="257"/>
      <c r="N30" s="254"/>
      <c r="O30" s="255"/>
      <c r="P30" s="256"/>
      <c r="Q30" s="255"/>
    </row>
    <row r="31" spans="1:17">
      <c r="A31" s="40"/>
      <c r="B31" s="139"/>
      <c r="C31" s="140"/>
      <c r="D31" s="134"/>
      <c r="E31" s="146"/>
      <c r="F31" s="255"/>
      <c r="G31" s="256"/>
      <c r="H31" s="255"/>
      <c r="I31" s="102"/>
      <c r="J31" s="102"/>
      <c r="K31" s="41"/>
      <c r="M31" s="257"/>
      <c r="N31" s="254"/>
      <c r="O31" s="255"/>
      <c r="P31" s="256"/>
      <c r="Q31" s="255"/>
    </row>
    <row r="32" spans="1:17">
      <c r="A32" s="40"/>
      <c r="B32" s="139"/>
      <c r="C32" s="140"/>
      <c r="D32" s="142"/>
      <c r="E32" s="146"/>
      <c r="F32" s="255"/>
      <c r="G32" s="256"/>
      <c r="H32" s="255"/>
      <c r="I32" s="102"/>
      <c r="J32" s="102"/>
      <c r="K32" s="41"/>
      <c r="M32" s="257"/>
      <c r="N32" s="254"/>
      <c r="O32" s="255"/>
      <c r="P32" s="256"/>
      <c r="Q32" s="255"/>
    </row>
    <row r="33" spans="1:17">
      <c r="A33" s="40"/>
      <c r="B33" s="139"/>
      <c r="C33" s="140"/>
      <c r="D33" s="257"/>
      <c r="E33" s="254"/>
      <c r="F33" s="255"/>
      <c r="G33" s="256"/>
      <c r="H33" s="255"/>
      <c r="I33" s="102"/>
      <c r="J33" s="102"/>
      <c r="K33" s="41"/>
      <c r="M33" s="257"/>
      <c r="N33" s="254"/>
      <c r="O33" s="255"/>
      <c r="P33" s="256"/>
      <c r="Q33" s="255"/>
    </row>
    <row r="34" spans="1:17">
      <c r="A34" s="40"/>
      <c r="B34" s="139"/>
      <c r="C34" s="140"/>
      <c r="D34" s="257"/>
      <c r="E34" s="254"/>
      <c r="F34" s="255"/>
      <c r="G34" s="256"/>
      <c r="H34" s="255"/>
      <c r="I34" s="102"/>
      <c r="J34" s="102"/>
      <c r="K34" s="41"/>
      <c r="M34" s="257"/>
      <c r="N34" s="254"/>
      <c r="O34" s="255"/>
      <c r="P34" s="256"/>
      <c r="Q34" s="255"/>
    </row>
    <row r="35" spans="1:17">
      <c r="A35" s="40"/>
      <c r="B35" s="139"/>
      <c r="C35" s="140"/>
      <c r="D35" s="257"/>
      <c r="E35" s="254"/>
      <c r="F35" s="255"/>
      <c r="G35" s="256"/>
      <c r="H35" s="255"/>
      <c r="I35" s="102"/>
      <c r="J35" s="102"/>
      <c r="K35" s="41"/>
      <c r="M35" s="257"/>
      <c r="N35" s="254"/>
      <c r="O35" s="255"/>
      <c r="P35" s="256"/>
      <c r="Q35" s="255"/>
    </row>
    <row r="36" spans="1:17">
      <c r="A36" s="40"/>
      <c r="B36" s="139"/>
      <c r="C36" s="140"/>
      <c r="D36" s="257"/>
      <c r="E36" s="254"/>
      <c r="F36" s="255"/>
      <c r="G36" s="256"/>
      <c r="H36" s="255"/>
      <c r="I36" s="102"/>
      <c r="J36" s="102"/>
      <c r="K36" s="41"/>
      <c r="M36" s="257"/>
      <c r="N36" s="254"/>
      <c r="O36" s="255"/>
      <c r="P36" s="256"/>
      <c r="Q36" s="255"/>
    </row>
    <row r="37" spans="1:17">
      <c r="A37" s="40"/>
      <c r="B37" s="139"/>
      <c r="C37" s="140"/>
      <c r="D37" s="257"/>
      <c r="E37" s="254"/>
      <c r="F37" s="255"/>
      <c r="G37" s="256"/>
      <c r="H37" s="255"/>
      <c r="I37" s="102"/>
      <c r="J37" s="102"/>
      <c r="K37" s="41"/>
      <c r="M37" s="257"/>
      <c r="N37" s="254"/>
      <c r="O37" s="255"/>
      <c r="P37" s="256"/>
      <c r="Q37" s="255"/>
    </row>
    <row r="38" spans="1:17">
      <c r="A38" s="40"/>
      <c r="B38" s="139"/>
      <c r="C38" s="140"/>
      <c r="D38" s="257"/>
      <c r="E38" s="254"/>
      <c r="F38" s="255"/>
      <c r="G38" s="256"/>
      <c r="H38" s="255"/>
      <c r="I38" s="102"/>
      <c r="J38" s="102"/>
      <c r="K38" s="41"/>
      <c r="M38" s="257"/>
      <c r="N38" s="254"/>
      <c r="O38" s="255"/>
      <c r="P38" s="256"/>
      <c r="Q38" s="255"/>
    </row>
    <row r="39" spans="1:17">
      <c r="A39" s="40"/>
      <c r="B39" s="139"/>
      <c r="C39" s="140"/>
      <c r="D39" s="257"/>
      <c r="E39" s="254"/>
      <c r="F39" s="255"/>
      <c r="G39" s="256"/>
      <c r="H39" s="255"/>
      <c r="I39" s="102"/>
      <c r="J39" s="102"/>
      <c r="K39" s="41"/>
      <c r="M39" s="257"/>
      <c r="N39" s="254"/>
      <c r="O39" s="255"/>
      <c r="P39" s="256"/>
      <c r="Q39" s="255"/>
    </row>
    <row r="40" spans="1:17">
      <c r="A40" s="40"/>
      <c r="B40" s="139"/>
      <c r="C40" s="140"/>
      <c r="D40" s="257"/>
      <c r="E40" s="254"/>
      <c r="F40" s="255"/>
      <c r="G40" s="256"/>
      <c r="H40" s="255"/>
      <c r="I40" s="102"/>
      <c r="J40" s="102"/>
      <c r="K40" s="41"/>
      <c r="M40" s="257"/>
      <c r="N40" s="254"/>
      <c r="O40" s="255"/>
      <c r="P40" s="256"/>
      <c r="Q40" s="255"/>
    </row>
    <row r="41" spans="1:17">
      <c r="A41" s="40"/>
      <c r="B41" s="139"/>
      <c r="C41" s="140"/>
      <c r="D41" s="257"/>
      <c r="E41" s="254"/>
      <c r="F41" s="255"/>
      <c r="G41" s="256"/>
      <c r="H41" s="255"/>
      <c r="I41" s="102"/>
      <c r="J41" s="102"/>
      <c r="K41" s="41"/>
      <c r="M41" s="257"/>
      <c r="N41" s="254"/>
      <c r="O41" s="255"/>
      <c r="P41" s="256"/>
      <c r="Q41" s="255"/>
    </row>
    <row r="42" spans="1:17">
      <c r="A42" s="40"/>
      <c r="B42" s="139"/>
      <c r="C42" s="140"/>
      <c r="D42" s="257"/>
      <c r="E42" s="254"/>
      <c r="F42" s="255"/>
      <c r="G42" s="256"/>
      <c r="H42" s="255"/>
      <c r="I42" s="102"/>
      <c r="J42" s="102"/>
      <c r="K42" s="41"/>
      <c r="M42" s="257"/>
      <c r="N42" s="254"/>
      <c r="O42" s="255"/>
      <c r="P42" s="256"/>
      <c r="Q42" s="255"/>
    </row>
    <row r="43" spans="1:17">
      <c r="A43" s="40"/>
      <c r="B43" s="139"/>
      <c r="C43" s="140"/>
      <c r="D43" s="257"/>
      <c r="E43" s="254"/>
      <c r="F43" s="255"/>
      <c r="G43" s="256"/>
      <c r="H43" s="255"/>
      <c r="I43" s="102"/>
      <c r="J43" s="102"/>
      <c r="K43" s="41"/>
      <c r="M43" s="257"/>
      <c r="N43" s="254"/>
      <c r="O43" s="255"/>
      <c r="P43" s="256"/>
      <c r="Q43" s="255"/>
    </row>
    <row r="44" spans="1:17">
      <c r="A44" s="60"/>
      <c r="B44" s="167"/>
      <c r="C44" s="168"/>
      <c r="D44" s="169"/>
      <c r="E44" s="170"/>
      <c r="F44" s="171"/>
      <c r="G44" s="172"/>
      <c r="H44" s="171"/>
      <c r="I44" s="126"/>
      <c r="J44" s="61"/>
      <c r="K44" s="79"/>
      <c r="M44" s="156"/>
      <c r="N44" s="157"/>
      <c r="O44" s="141"/>
      <c r="P44" s="158"/>
      <c r="Q44" s="141"/>
    </row>
    <row r="45" spans="1:17">
      <c r="A45" s="36"/>
      <c r="B45" s="139"/>
      <c r="C45" s="140"/>
      <c r="D45" s="156"/>
      <c r="E45" s="157"/>
      <c r="F45" s="141"/>
      <c r="G45" s="158"/>
      <c r="H45" s="141"/>
      <c r="I45" s="102"/>
      <c r="J45" s="34"/>
      <c r="K45" s="34"/>
      <c r="L45" s="34"/>
      <c r="M45" s="156"/>
      <c r="N45" s="157"/>
      <c r="O45" s="141"/>
      <c r="P45" s="158"/>
      <c r="Q45" s="141"/>
    </row>
    <row r="46" spans="1:17" s="34" customFormat="1">
      <c r="B46" s="139"/>
      <c r="C46" s="140"/>
      <c r="D46" s="156"/>
      <c r="E46" s="157"/>
      <c r="F46" s="141"/>
      <c r="G46" s="158"/>
      <c r="H46" s="141"/>
      <c r="I46" s="102"/>
      <c r="M46" s="156"/>
      <c r="N46" s="157"/>
      <c r="O46" s="141"/>
      <c r="P46" s="158"/>
      <c r="Q46" s="141"/>
    </row>
    <row r="47" spans="1:17" s="34" customFormat="1">
      <c r="B47" s="139"/>
      <c r="C47" s="140"/>
      <c r="D47" s="156"/>
      <c r="E47" s="157"/>
      <c r="F47" s="141"/>
      <c r="G47" s="158"/>
      <c r="H47" s="141"/>
      <c r="I47" s="102"/>
      <c r="M47" s="156"/>
      <c r="N47" s="157"/>
      <c r="O47" s="141"/>
      <c r="P47" s="158"/>
      <c r="Q47" s="141"/>
    </row>
    <row r="48" spans="1:17" s="4" customFormat="1" ht="15" customHeight="1">
      <c r="B48" s="139"/>
      <c r="C48" s="140"/>
      <c r="D48" s="156"/>
      <c r="E48" s="157"/>
      <c r="F48" s="141"/>
      <c r="G48" s="158"/>
      <c r="H48" s="141"/>
      <c r="I48" s="18"/>
      <c r="M48" s="156"/>
      <c r="N48" s="157"/>
      <c r="O48" s="141"/>
      <c r="P48" s="158"/>
      <c r="Q48" s="141"/>
    </row>
    <row r="49" spans="2:17" s="4" customFormat="1">
      <c r="B49" s="139"/>
      <c r="C49" s="140"/>
      <c r="D49" s="156"/>
      <c r="E49" s="157"/>
      <c r="F49" s="141"/>
      <c r="G49" s="158"/>
      <c r="H49" s="141"/>
      <c r="I49" s="18"/>
      <c r="M49" s="156"/>
      <c r="N49" s="157"/>
      <c r="O49" s="141"/>
      <c r="P49" s="158"/>
      <c r="Q49" s="141"/>
    </row>
    <row r="50" spans="2:17" s="34" customFormat="1">
      <c r="B50" s="139"/>
      <c r="C50" s="140"/>
      <c r="D50" s="156"/>
      <c r="E50" s="157"/>
      <c r="F50" s="141"/>
      <c r="G50" s="158"/>
      <c r="H50" s="141"/>
      <c r="I50" s="102"/>
      <c r="M50" s="156"/>
      <c r="N50" s="157"/>
      <c r="O50" s="141"/>
      <c r="P50" s="158"/>
      <c r="Q50" s="141"/>
    </row>
    <row r="51" spans="2:17" s="34" customFormat="1">
      <c r="B51" s="139"/>
      <c r="C51" s="140"/>
      <c r="D51" s="156"/>
      <c r="E51" s="157"/>
      <c r="F51" s="141"/>
      <c r="G51" s="158"/>
      <c r="H51" s="141"/>
      <c r="I51" s="102"/>
      <c r="M51" s="156"/>
      <c r="N51" s="157"/>
      <c r="O51" s="141"/>
      <c r="P51" s="158"/>
      <c r="Q51" s="141"/>
    </row>
    <row r="52" spans="2:17" s="34" customFormat="1">
      <c r="B52" s="139"/>
      <c r="C52" s="140"/>
      <c r="D52" s="156"/>
      <c r="E52" s="157"/>
      <c r="F52" s="141"/>
      <c r="G52" s="158"/>
      <c r="H52" s="141"/>
      <c r="I52" s="102"/>
      <c r="M52" s="156"/>
      <c r="N52" s="157"/>
      <c r="O52" s="141"/>
      <c r="P52" s="158"/>
      <c r="Q52" s="141"/>
    </row>
    <row r="53" spans="2:17" s="34" customFormat="1">
      <c r="B53" s="139"/>
      <c r="C53" s="140"/>
      <c r="D53" s="156"/>
      <c r="E53" s="157"/>
      <c r="F53" s="141"/>
      <c r="G53" s="158"/>
      <c r="H53" s="141"/>
      <c r="I53" s="102"/>
      <c r="M53" s="156"/>
      <c r="N53" s="157"/>
      <c r="O53" s="141"/>
      <c r="P53" s="158"/>
      <c r="Q53" s="141"/>
    </row>
    <row r="54" spans="2:17" s="34" customFormat="1">
      <c r="B54" s="139"/>
      <c r="C54" s="140"/>
      <c r="D54" s="156"/>
      <c r="E54" s="157"/>
      <c r="F54" s="141"/>
      <c r="G54" s="158"/>
      <c r="H54" s="141"/>
      <c r="I54" s="102"/>
      <c r="M54" s="156"/>
      <c r="N54" s="157"/>
      <c r="O54" s="141"/>
      <c r="P54" s="158"/>
      <c r="Q54" s="141"/>
    </row>
    <row r="55" spans="2:17" s="34" customFormat="1">
      <c r="B55" s="139"/>
      <c r="C55" s="140"/>
      <c r="D55" s="156"/>
      <c r="E55" s="157"/>
      <c r="F55" s="141"/>
      <c r="G55" s="158"/>
      <c r="H55" s="141"/>
      <c r="I55" s="102"/>
      <c r="M55" s="156"/>
      <c r="N55" s="157"/>
      <c r="O55" s="141"/>
      <c r="P55" s="158"/>
      <c r="Q55" s="141"/>
    </row>
    <row r="56" spans="2:17" s="34" customFormat="1">
      <c r="B56" s="139"/>
      <c r="C56" s="140"/>
      <c r="D56" s="156"/>
      <c r="E56" s="157"/>
      <c r="F56" s="141"/>
      <c r="G56" s="158"/>
      <c r="H56" s="141"/>
      <c r="I56" s="102"/>
      <c r="M56" s="156"/>
      <c r="N56" s="157"/>
      <c r="O56" s="141"/>
      <c r="P56" s="158"/>
      <c r="Q56" s="141"/>
    </row>
    <row r="57" spans="2:17" s="34" customFormat="1">
      <c r="B57" s="139"/>
      <c r="C57" s="140"/>
      <c r="D57" s="156"/>
      <c r="E57" s="157"/>
      <c r="F57" s="141"/>
      <c r="G57" s="158"/>
      <c r="H57" s="141"/>
      <c r="I57" s="102"/>
      <c r="M57" s="156"/>
      <c r="N57" s="157"/>
      <c r="O57" s="141"/>
      <c r="P57" s="158"/>
      <c r="Q57" s="141"/>
    </row>
    <row r="58" spans="2:17" s="34" customFormat="1">
      <c r="B58" s="139"/>
      <c r="C58" s="140"/>
      <c r="D58" s="156"/>
      <c r="E58" s="157"/>
      <c r="F58" s="141"/>
      <c r="G58" s="158"/>
      <c r="H58" s="141"/>
      <c r="I58" s="102"/>
      <c r="M58" s="156"/>
      <c r="N58" s="157"/>
      <c r="O58" s="141"/>
      <c r="P58" s="158"/>
      <c r="Q58" s="141"/>
    </row>
    <row r="59" spans="2:17" s="34" customFormat="1">
      <c r="B59" s="139"/>
      <c r="C59" s="140"/>
      <c r="D59" s="156"/>
      <c r="E59" s="157"/>
      <c r="F59" s="141"/>
      <c r="G59" s="158"/>
      <c r="H59" s="141"/>
      <c r="I59" s="102"/>
      <c r="M59" s="156"/>
      <c r="N59" s="157"/>
      <c r="O59" s="141"/>
      <c r="P59" s="158"/>
      <c r="Q59" s="141"/>
    </row>
    <row r="60" spans="2:17" s="34" customFormat="1">
      <c r="B60" s="139"/>
      <c r="C60" s="140"/>
      <c r="D60" s="156"/>
      <c r="E60" s="157"/>
      <c r="F60" s="141"/>
      <c r="G60" s="158"/>
      <c r="H60" s="141"/>
      <c r="I60" s="102"/>
      <c r="M60" s="156"/>
      <c r="N60" s="157"/>
      <c r="O60" s="141"/>
      <c r="P60" s="158"/>
      <c r="Q60" s="141"/>
    </row>
    <row r="61" spans="2:17" s="34" customFormat="1">
      <c r="B61" s="139"/>
      <c r="C61" s="140"/>
      <c r="D61" s="156"/>
      <c r="E61" s="157"/>
      <c r="F61" s="141"/>
      <c r="G61" s="158"/>
      <c r="H61" s="141"/>
      <c r="I61" s="102"/>
      <c r="M61" s="156"/>
      <c r="N61" s="157"/>
      <c r="O61" s="141"/>
      <c r="P61" s="158"/>
      <c r="Q61" s="141"/>
    </row>
    <row r="62" spans="2:17" s="34" customFormat="1">
      <c r="B62" s="139"/>
      <c r="C62" s="140"/>
      <c r="D62" s="156"/>
      <c r="E62" s="157"/>
      <c r="F62" s="141"/>
      <c r="G62" s="158"/>
      <c r="H62" s="141"/>
      <c r="I62" s="102"/>
      <c r="M62" s="156"/>
      <c r="N62" s="157"/>
      <c r="O62" s="141"/>
      <c r="P62" s="158"/>
      <c r="Q62" s="141"/>
    </row>
    <row r="63" spans="2:17" s="34" customFormat="1">
      <c r="B63" s="139"/>
      <c r="C63" s="140"/>
      <c r="D63" s="156"/>
      <c r="E63" s="157"/>
      <c r="F63" s="141"/>
      <c r="G63" s="158"/>
      <c r="H63" s="141"/>
      <c r="I63" s="102"/>
      <c r="M63" s="156"/>
      <c r="N63" s="157"/>
      <c r="O63" s="141"/>
      <c r="P63" s="158"/>
      <c r="Q63" s="141"/>
    </row>
    <row r="64" spans="2:17" s="34" customFormat="1">
      <c r="B64" s="139"/>
      <c r="C64" s="140"/>
      <c r="D64" s="156"/>
      <c r="E64" s="157"/>
      <c r="F64" s="141"/>
      <c r="G64" s="158"/>
      <c r="H64" s="141"/>
      <c r="I64" s="102"/>
      <c r="M64" s="156"/>
      <c r="N64" s="157"/>
      <c r="O64" s="141"/>
      <c r="P64" s="158"/>
      <c r="Q64" s="141"/>
    </row>
    <row r="65" spans="2:17" s="34" customFormat="1">
      <c r="B65" s="139"/>
      <c r="C65" s="140"/>
      <c r="D65" s="156"/>
      <c r="E65" s="157"/>
      <c r="F65" s="141"/>
      <c r="G65" s="158"/>
      <c r="H65" s="141"/>
      <c r="I65" s="102"/>
      <c r="M65" s="156"/>
      <c r="N65" s="157"/>
      <c r="O65" s="141"/>
      <c r="P65" s="158"/>
      <c r="Q65" s="141"/>
    </row>
    <row r="66" spans="2:17" s="34" customFormat="1">
      <c r="B66" s="139"/>
      <c r="C66" s="140"/>
      <c r="D66" s="156"/>
      <c r="E66" s="157"/>
      <c r="F66" s="141"/>
      <c r="G66" s="158"/>
      <c r="H66" s="141"/>
      <c r="I66" s="102"/>
      <c r="M66" s="156"/>
      <c r="N66" s="157"/>
      <c r="O66" s="141"/>
      <c r="P66" s="158"/>
      <c r="Q66" s="141"/>
    </row>
    <row r="67" spans="2:17" s="34" customFormat="1">
      <c r="B67" s="139"/>
      <c r="C67" s="140"/>
      <c r="D67" s="156"/>
      <c r="E67" s="157"/>
      <c r="F67" s="141"/>
      <c r="G67" s="158"/>
      <c r="H67" s="141"/>
      <c r="I67" s="102"/>
      <c r="M67" s="156"/>
      <c r="N67" s="157"/>
      <c r="O67" s="141"/>
      <c r="P67" s="158"/>
      <c r="Q67" s="141"/>
    </row>
    <row r="68" spans="2:17" s="34" customFormat="1">
      <c r="B68" s="139"/>
      <c r="C68" s="140"/>
      <c r="D68" s="156"/>
      <c r="E68" s="157"/>
      <c r="F68" s="141"/>
      <c r="G68" s="158"/>
      <c r="H68" s="141"/>
      <c r="I68" s="102"/>
      <c r="M68" s="156"/>
      <c r="N68" s="157"/>
      <c r="O68" s="141"/>
      <c r="P68" s="158"/>
      <c r="Q68" s="141"/>
    </row>
    <row r="69" spans="2:17" s="34" customFormat="1">
      <c r="B69" s="139"/>
      <c r="C69" s="140"/>
      <c r="D69" s="156"/>
      <c r="E69" s="157"/>
      <c r="F69" s="141"/>
      <c r="G69" s="158"/>
      <c r="H69" s="141"/>
      <c r="I69" s="102"/>
      <c r="M69" s="156"/>
      <c r="N69" s="157"/>
      <c r="O69" s="141"/>
      <c r="P69" s="158"/>
      <c r="Q69" s="141"/>
    </row>
    <row r="70" spans="2:17" s="34" customFormat="1">
      <c r="B70" s="139"/>
      <c r="C70" s="140"/>
      <c r="D70" s="156"/>
      <c r="E70" s="157"/>
      <c r="F70" s="141"/>
      <c r="G70" s="158"/>
      <c r="H70" s="141"/>
      <c r="I70" s="102"/>
      <c r="M70" s="156"/>
      <c r="N70" s="157"/>
      <c r="O70" s="141"/>
      <c r="P70" s="158"/>
      <c r="Q70" s="141"/>
    </row>
    <row r="71" spans="2:17" s="34" customFormat="1">
      <c r="B71" s="139"/>
      <c r="C71" s="140"/>
      <c r="D71" s="156"/>
      <c r="E71" s="157"/>
      <c r="F71" s="141"/>
      <c r="G71" s="158"/>
      <c r="H71" s="141"/>
      <c r="I71" s="102"/>
      <c r="M71" s="156"/>
      <c r="N71" s="157"/>
      <c r="O71" s="141"/>
      <c r="P71" s="158"/>
      <c r="Q71" s="141"/>
    </row>
    <row r="72" spans="2:17" s="34" customFormat="1">
      <c r="B72" s="139"/>
      <c r="C72" s="140"/>
      <c r="D72" s="156"/>
      <c r="E72" s="157"/>
      <c r="F72" s="141"/>
      <c r="G72" s="158"/>
      <c r="H72" s="141"/>
      <c r="I72" s="102"/>
      <c r="M72" s="156"/>
      <c r="N72" s="157"/>
      <c r="O72" s="141"/>
      <c r="P72" s="158"/>
      <c r="Q72" s="141"/>
    </row>
    <row r="73" spans="2:17" s="34" customFormat="1">
      <c r="B73" s="139"/>
      <c r="C73" s="140"/>
      <c r="D73" s="156"/>
      <c r="E73" s="157"/>
      <c r="F73" s="141"/>
      <c r="G73" s="158"/>
      <c r="H73" s="141"/>
      <c r="I73" s="102"/>
      <c r="M73" s="156"/>
      <c r="N73" s="157"/>
      <c r="O73" s="141"/>
      <c r="P73" s="158"/>
      <c r="Q73" s="141"/>
    </row>
    <row r="74" spans="2:17" s="34" customFormat="1">
      <c r="B74" s="139"/>
      <c r="C74" s="140"/>
      <c r="D74" s="156"/>
      <c r="E74" s="157"/>
      <c r="F74" s="141"/>
      <c r="G74" s="158"/>
      <c r="H74" s="141"/>
      <c r="I74" s="102"/>
      <c r="M74" s="156"/>
      <c r="N74" s="157"/>
      <c r="O74" s="141"/>
      <c r="P74" s="158"/>
      <c r="Q74" s="141"/>
    </row>
    <row r="75" spans="2:17" s="34" customFormat="1">
      <c r="B75" s="139"/>
      <c r="C75" s="140"/>
      <c r="D75" s="156"/>
      <c r="E75" s="157"/>
      <c r="F75" s="141"/>
      <c r="G75" s="158"/>
      <c r="H75" s="141"/>
      <c r="I75" s="102"/>
      <c r="M75" s="156"/>
      <c r="N75" s="157"/>
      <c r="O75" s="141"/>
      <c r="P75" s="158"/>
      <c r="Q75" s="141"/>
    </row>
    <row r="76" spans="2:17" s="34" customFormat="1">
      <c r="B76" s="139"/>
      <c r="C76" s="140"/>
      <c r="D76" s="156"/>
      <c r="E76" s="157"/>
      <c r="F76" s="141"/>
      <c r="G76" s="158"/>
      <c r="H76" s="141"/>
      <c r="I76" s="102"/>
      <c r="M76" s="156"/>
      <c r="N76" s="157"/>
      <c r="O76" s="141"/>
      <c r="P76" s="158"/>
      <c r="Q76" s="141"/>
    </row>
    <row r="77" spans="2:17" s="34" customFormat="1">
      <c r="B77" s="139"/>
      <c r="C77" s="140"/>
      <c r="D77" s="156"/>
      <c r="E77" s="157"/>
      <c r="F77" s="141"/>
      <c r="G77" s="158"/>
      <c r="H77" s="141"/>
      <c r="I77" s="102"/>
      <c r="M77" s="156"/>
      <c r="N77" s="157"/>
      <c r="O77" s="141"/>
      <c r="P77" s="158"/>
      <c r="Q77" s="141"/>
    </row>
    <row r="78" spans="2:17" s="34" customFormat="1">
      <c r="B78" s="139"/>
      <c r="C78" s="140"/>
      <c r="D78" s="142"/>
      <c r="E78" s="134"/>
      <c r="F78" s="143"/>
      <c r="G78" s="144"/>
      <c r="H78" s="143"/>
      <c r="I78" s="102"/>
      <c r="M78" s="142"/>
      <c r="N78" s="134"/>
      <c r="O78" s="143"/>
      <c r="P78" s="144"/>
      <c r="Q78" s="143"/>
    </row>
    <row r="79" spans="2:17" s="34" customFormat="1">
      <c r="B79" s="139"/>
      <c r="C79" s="140"/>
      <c r="D79" s="142"/>
      <c r="E79" s="142"/>
      <c r="F79" s="142"/>
      <c r="G79" s="142"/>
      <c r="H79" s="142"/>
      <c r="I79" s="102"/>
      <c r="M79" s="142"/>
      <c r="N79" s="142"/>
      <c r="O79" s="142"/>
      <c r="P79" s="142"/>
      <c r="Q79" s="142"/>
    </row>
    <row r="80" spans="2:17" s="34" customFormat="1">
      <c r="B80" s="139"/>
      <c r="C80" s="140"/>
      <c r="D80" s="142"/>
      <c r="E80" s="142"/>
      <c r="F80" s="142"/>
      <c r="G80" s="142"/>
      <c r="H80" s="142"/>
      <c r="I80" s="102"/>
      <c r="M80" s="142"/>
      <c r="N80" s="142"/>
      <c r="O80" s="142"/>
      <c r="P80" s="142"/>
      <c r="Q80" s="142"/>
    </row>
    <row r="81" spans="2:17" s="34" customFormat="1">
      <c r="B81" s="139"/>
      <c r="C81" s="140"/>
      <c r="D81" s="145"/>
      <c r="E81" s="146"/>
      <c r="F81" s="142"/>
      <c r="G81" s="142"/>
      <c r="H81" s="142"/>
      <c r="I81" s="102"/>
      <c r="M81" s="145"/>
      <c r="N81" s="146"/>
      <c r="O81" s="142"/>
      <c r="P81" s="142"/>
      <c r="Q81" s="142"/>
    </row>
    <row r="82" spans="2:17" s="34" customFormat="1">
      <c r="B82" s="139"/>
      <c r="C82" s="140"/>
      <c r="D82" s="134"/>
      <c r="E82" s="146"/>
      <c r="F82" s="142"/>
      <c r="G82" s="142"/>
      <c r="H82" s="142"/>
      <c r="I82" s="102"/>
      <c r="M82" s="134"/>
      <c r="N82" s="146"/>
      <c r="O82" s="142"/>
      <c r="P82" s="142"/>
      <c r="Q82" s="142"/>
    </row>
    <row r="83" spans="2:17" s="34" customFormat="1">
      <c r="B83" s="139"/>
      <c r="C83" s="140"/>
      <c r="D83" s="142"/>
      <c r="E83" s="146"/>
      <c r="F83" s="142"/>
      <c r="G83" s="142"/>
      <c r="H83" s="142"/>
      <c r="I83" s="102"/>
      <c r="M83" s="142"/>
      <c r="N83" s="146"/>
      <c r="O83" s="142"/>
      <c r="P83" s="142"/>
      <c r="Q83" s="142"/>
    </row>
    <row r="84" spans="2:17" s="34" customFormat="1" ht="14.25">
      <c r="B84" s="142"/>
      <c r="C84" s="134"/>
      <c r="D84" s="150"/>
      <c r="E84" s="150"/>
      <c r="F84" s="150"/>
      <c r="G84" s="150"/>
      <c r="H84" s="150"/>
      <c r="I84" s="102"/>
      <c r="M84" s="150"/>
      <c r="N84" s="150"/>
      <c r="O84" s="150"/>
      <c r="P84" s="150"/>
      <c r="Q84" s="150"/>
    </row>
    <row r="85" spans="2:17" s="34" customFormat="1" ht="14.25">
      <c r="B85" s="173"/>
      <c r="C85" s="173"/>
      <c r="D85" s="150"/>
      <c r="E85" s="150"/>
      <c r="F85" s="150"/>
      <c r="G85" s="150"/>
      <c r="H85" s="150"/>
      <c r="I85" s="102"/>
      <c r="M85" s="150"/>
      <c r="N85" s="150"/>
      <c r="O85" s="150"/>
      <c r="P85" s="150"/>
      <c r="Q85" s="150"/>
    </row>
    <row r="86" spans="2:17" s="34" customFormat="1" ht="14.25">
      <c r="B86" s="173"/>
      <c r="C86" s="173"/>
      <c r="D86" s="151"/>
      <c r="E86" s="152"/>
      <c r="F86" s="150"/>
      <c r="G86" s="150"/>
      <c r="H86" s="150"/>
      <c r="I86" s="102"/>
      <c r="M86" s="151"/>
      <c r="N86" s="152"/>
      <c r="O86" s="150"/>
      <c r="P86" s="150"/>
      <c r="Q86" s="150"/>
    </row>
    <row r="87" spans="2:17" s="34" customFormat="1" ht="14.25">
      <c r="B87" s="145"/>
      <c r="C87" s="146"/>
      <c r="D87" s="153"/>
      <c r="E87" s="152"/>
      <c r="F87" s="150"/>
      <c r="G87" s="150"/>
      <c r="H87" s="150"/>
      <c r="I87" s="102"/>
      <c r="M87" s="153"/>
      <c r="N87" s="152"/>
      <c r="O87" s="150"/>
      <c r="P87" s="150"/>
      <c r="Q87" s="150"/>
    </row>
    <row r="88" spans="2:17" s="34" customFormat="1" ht="14.25">
      <c r="B88" s="147"/>
      <c r="C88" s="146"/>
      <c r="D88" s="150"/>
      <c r="E88" s="152"/>
      <c r="F88" s="150"/>
      <c r="G88" s="150"/>
      <c r="H88" s="150"/>
      <c r="I88" s="102"/>
      <c r="M88" s="150"/>
      <c r="N88" s="152"/>
      <c r="O88" s="150"/>
      <c r="P88" s="150"/>
      <c r="Q88" s="150"/>
    </row>
    <row r="89" spans="2:17" s="34" customFormat="1">
      <c r="B89" s="148"/>
      <c r="C89" s="146"/>
      <c r="D89" s="148"/>
      <c r="E89" s="148"/>
      <c r="F89" s="148"/>
      <c r="I89" s="102"/>
      <c r="M89" s="148"/>
      <c r="N89" s="148"/>
      <c r="O89" s="148"/>
    </row>
    <row r="90" spans="2:17" s="34" customFormat="1">
      <c r="I90" s="102"/>
    </row>
    <row r="91" spans="2:17" s="34" customFormat="1">
      <c r="I91" s="102"/>
    </row>
    <row r="92" spans="2:17" s="34" customFormat="1">
      <c r="I92" s="102"/>
    </row>
    <row r="93" spans="2:17" s="34" customFormat="1">
      <c r="I93" s="102"/>
    </row>
    <row r="94" spans="2:17" s="34" customFormat="1">
      <c r="I94" s="102"/>
    </row>
    <row r="95" spans="2:17" s="34" customFormat="1">
      <c r="I95" s="102"/>
    </row>
    <row r="96" spans="2:17" s="34" customFormat="1">
      <c r="I96" s="102"/>
    </row>
    <row r="97" spans="9:9" s="34" customFormat="1">
      <c r="I97" s="102"/>
    </row>
    <row r="98" spans="9:9" s="34" customFormat="1">
      <c r="I98" s="102"/>
    </row>
    <row r="99" spans="9:9" s="34" customFormat="1">
      <c r="I99" s="102"/>
    </row>
    <row r="100" spans="9:9" s="34" customFormat="1">
      <c r="I100" s="102"/>
    </row>
    <row r="101" spans="9:9" s="34" customFormat="1">
      <c r="I101" s="102"/>
    </row>
    <row r="102" spans="9:9" s="34" customFormat="1">
      <c r="I102" s="102"/>
    </row>
    <row r="103" spans="9:9" s="34" customFormat="1">
      <c r="I103" s="102"/>
    </row>
    <row r="104" spans="9:9" s="34" customFormat="1">
      <c r="I104" s="102"/>
    </row>
    <row r="105" spans="9:9" s="34" customFormat="1">
      <c r="I105" s="102"/>
    </row>
    <row r="106" spans="9:9" s="34" customFormat="1">
      <c r="I106" s="102"/>
    </row>
    <row r="107" spans="9:9" s="34" customFormat="1">
      <c r="I107" s="102"/>
    </row>
    <row r="108" spans="9:9" s="34" customFormat="1">
      <c r="I108" s="102"/>
    </row>
    <row r="109" spans="9:9" s="34" customFormat="1">
      <c r="I109" s="102"/>
    </row>
    <row r="110" spans="9:9" s="34" customFormat="1">
      <c r="I110" s="102"/>
    </row>
    <row r="111" spans="9:9" s="34" customFormat="1">
      <c r="I111" s="102"/>
    </row>
    <row r="112" spans="9:9" s="34" customFormat="1">
      <c r="I112" s="102"/>
    </row>
    <row r="113" spans="9:9" s="34" customFormat="1">
      <c r="I113" s="102"/>
    </row>
    <row r="114" spans="9:9" s="34" customFormat="1">
      <c r="I114" s="102"/>
    </row>
    <row r="115" spans="9:9" s="34" customFormat="1">
      <c r="I115" s="102"/>
    </row>
    <row r="116" spans="9:9" s="34" customFormat="1">
      <c r="I116" s="102"/>
    </row>
    <row r="117" spans="9:9" s="34" customFormat="1">
      <c r="I117" s="102"/>
    </row>
    <row r="118" spans="9:9" s="34" customFormat="1">
      <c r="I118" s="102"/>
    </row>
    <row r="119" spans="9:9" s="34" customFormat="1">
      <c r="I119" s="102"/>
    </row>
    <row r="120" spans="9:9" s="34" customFormat="1">
      <c r="I120" s="102"/>
    </row>
    <row r="121" spans="9:9" s="34" customFormat="1">
      <c r="I121" s="102"/>
    </row>
    <row r="122" spans="9:9" s="34" customFormat="1">
      <c r="I122" s="102"/>
    </row>
    <row r="123" spans="9:9" s="34" customFormat="1">
      <c r="I123" s="102"/>
    </row>
    <row r="124" spans="9:9" s="34" customFormat="1">
      <c r="I124" s="102"/>
    </row>
    <row r="125" spans="9:9" s="34" customFormat="1">
      <c r="I125" s="102"/>
    </row>
    <row r="126" spans="9:9" s="34" customFormat="1">
      <c r="I126" s="102"/>
    </row>
    <row r="127" spans="9:9" s="34" customFormat="1">
      <c r="I127" s="102"/>
    </row>
    <row r="128" spans="9:9" s="34" customFormat="1">
      <c r="I128" s="102"/>
    </row>
    <row r="129" spans="9:9" s="34" customFormat="1">
      <c r="I129" s="102"/>
    </row>
    <row r="130" spans="9:9" s="34" customFormat="1">
      <c r="I130" s="102"/>
    </row>
    <row r="131" spans="9:9" s="34" customFormat="1">
      <c r="I131" s="102"/>
    </row>
    <row r="132" spans="9:9" s="34" customFormat="1">
      <c r="I132" s="102"/>
    </row>
    <row r="133" spans="9:9" s="34" customFormat="1">
      <c r="I133" s="102"/>
    </row>
    <row r="134" spans="9:9" s="34" customFormat="1">
      <c r="I134" s="102"/>
    </row>
    <row r="135" spans="9:9" s="34" customFormat="1">
      <c r="I135" s="102"/>
    </row>
    <row r="136" spans="9:9" s="34" customFormat="1">
      <c r="I136" s="102"/>
    </row>
    <row r="137" spans="9:9" s="34" customFormat="1">
      <c r="I137" s="102"/>
    </row>
    <row r="138" spans="9:9" s="34" customFormat="1">
      <c r="I138" s="102"/>
    </row>
    <row r="139" spans="9:9" s="34" customFormat="1">
      <c r="I139" s="102"/>
    </row>
    <row r="140" spans="9:9" s="34" customFormat="1">
      <c r="I140" s="102"/>
    </row>
    <row r="141" spans="9:9" s="34" customFormat="1">
      <c r="I141" s="102"/>
    </row>
    <row r="142" spans="9:9" s="34" customFormat="1">
      <c r="I142" s="102"/>
    </row>
    <row r="143" spans="9:9" s="34" customFormat="1">
      <c r="I143" s="102"/>
    </row>
    <row r="144" spans="9:9" s="34" customFormat="1">
      <c r="I144" s="102"/>
    </row>
    <row r="145" spans="9:9" s="34" customFormat="1">
      <c r="I145" s="102"/>
    </row>
    <row r="146" spans="9:9" s="34" customFormat="1">
      <c r="I146" s="102"/>
    </row>
    <row r="147" spans="9:9" s="34" customFormat="1">
      <c r="I147" s="102"/>
    </row>
    <row r="148" spans="9:9" s="34" customFormat="1">
      <c r="I148" s="102"/>
    </row>
    <row r="149" spans="9:9" s="34" customFormat="1">
      <c r="I149" s="102"/>
    </row>
    <row r="150" spans="9:9" s="34" customFormat="1">
      <c r="I150" s="102"/>
    </row>
    <row r="151" spans="9:9" s="34" customFormat="1">
      <c r="I151" s="102"/>
    </row>
    <row r="152" spans="9:9" s="34" customFormat="1">
      <c r="I152" s="102"/>
    </row>
    <row r="153" spans="9:9" s="34" customFormat="1">
      <c r="I153" s="102"/>
    </row>
    <row r="154" spans="9:9" s="34" customFormat="1">
      <c r="I154" s="102"/>
    </row>
    <row r="155" spans="9:9" s="34" customFormat="1">
      <c r="I155" s="102"/>
    </row>
    <row r="156" spans="9:9" s="34" customFormat="1">
      <c r="I156" s="102"/>
    </row>
    <row r="157" spans="9:9" s="34" customFormat="1">
      <c r="I157" s="102"/>
    </row>
    <row r="158" spans="9:9" s="34" customFormat="1">
      <c r="I158" s="102"/>
    </row>
    <row r="159" spans="9:9" s="34" customFormat="1">
      <c r="I159" s="102"/>
    </row>
    <row r="160" spans="9:9" s="34" customFormat="1">
      <c r="I160" s="102"/>
    </row>
    <row r="161" spans="9:9" s="34" customFormat="1">
      <c r="I161" s="102"/>
    </row>
    <row r="162" spans="9:9" s="34" customFormat="1">
      <c r="I162" s="102"/>
    </row>
    <row r="163" spans="9:9" s="34" customFormat="1">
      <c r="I163" s="102"/>
    </row>
    <row r="164" spans="9:9" s="34" customFormat="1">
      <c r="I164" s="102"/>
    </row>
    <row r="165" spans="9:9" s="34" customFormat="1">
      <c r="I165" s="102"/>
    </row>
    <row r="166" spans="9:9" s="34" customFormat="1">
      <c r="I166" s="102"/>
    </row>
    <row r="167" spans="9:9" s="34" customFormat="1">
      <c r="I167" s="102"/>
    </row>
    <row r="168" spans="9:9" s="34" customFormat="1">
      <c r="I168" s="102"/>
    </row>
    <row r="169" spans="9:9" s="34" customFormat="1">
      <c r="I169" s="102"/>
    </row>
    <row r="170" spans="9:9" s="34" customFormat="1">
      <c r="I170" s="102"/>
    </row>
    <row r="171" spans="9:9" s="34" customFormat="1">
      <c r="I171" s="102"/>
    </row>
    <row r="172" spans="9:9" s="34" customFormat="1">
      <c r="I172" s="102"/>
    </row>
    <row r="173" spans="9:9" s="34" customFormat="1">
      <c r="I173" s="102"/>
    </row>
    <row r="174" spans="9:9" s="34" customFormat="1">
      <c r="I174" s="102"/>
    </row>
    <row r="175" spans="9:9" s="34" customFormat="1">
      <c r="I175" s="102"/>
    </row>
    <row r="176" spans="9:9" s="34" customFormat="1">
      <c r="I176" s="102"/>
    </row>
    <row r="177" spans="9:9" s="34" customFormat="1">
      <c r="I177" s="102"/>
    </row>
    <row r="178" spans="9:9" s="34" customFormat="1">
      <c r="I178" s="102"/>
    </row>
    <row r="179" spans="9:9" s="34" customFormat="1">
      <c r="I179" s="102"/>
    </row>
    <row r="180" spans="9:9" s="34" customFormat="1">
      <c r="I180" s="102"/>
    </row>
    <row r="181" spans="9:9" s="34" customFormat="1">
      <c r="I181" s="102"/>
    </row>
    <row r="182" spans="9:9" s="34" customFormat="1">
      <c r="I182" s="102"/>
    </row>
    <row r="183" spans="9:9" s="34" customFormat="1">
      <c r="I183" s="102"/>
    </row>
    <row r="184" spans="9:9" s="34" customFormat="1">
      <c r="I184" s="102"/>
    </row>
    <row r="185" spans="9:9" s="34" customFormat="1">
      <c r="I185" s="102"/>
    </row>
    <row r="186" spans="9:9" s="34" customFormat="1">
      <c r="I186" s="102"/>
    </row>
    <row r="187" spans="9:9" s="34" customFormat="1">
      <c r="I187" s="102"/>
    </row>
    <row r="188" spans="9:9" s="34" customFormat="1">
      <c r="I188" s="102"/>
    </row>
    <row r="189" spans="9:9" s="34" customFormat="1">
      <c r="I189" s="102"/>
    </row>
    <row r="190" spans="9:9" s="34" customFormat="1">
      <c r="I190" s="102"/>
    </row>
    <row r="191" spans="9:9" s="34" customFormat="1">
      <c r="I191" s="102"/>
    </row>
    <row r="192" spans="9:9" s="34" customFormat="1">
      <c r="I192" s="102"/>
    </row>
    <row r="193" spans="9:9" s="34" customFormat="1">
      <c r="I193" s="102"/>
    </row>
    <row r="194" spans="9:9" s="34" customFormat="1">
      <c r="I194" s="102"/>
    </row>
    <row r="195" spans="9:9" s="34" customFormat="1">
      <c r="I195" s="102"/>
    </row>
    <row r="196" spans="9:9" s="34" customFormat="1">
      <c r="I196" s="102"/>
    </row>
    <row r="197" spans="9:9" s="34" customFormat="1">
      <c r="I197" s="102"/>
    </row>
    <row r="198" spans="9:9" s="34" customFormat="1">
      <c r="I198" s="102"/>
    </row>
    <row r="199" spans="9:9" s="34" customFormat="1">
      <c r="I199" s="102"/>
    </row>
    <row r="200" spans="9:9" s="34" customFormat="1">
      <c r="I200" s="102"/>
    </row>
    <row r="201" spans="9:9" s="34" customFormat="1">
      <c r="I201" s="102"/>
    </row>
    <row r="202" spans="9:9" s="34" customFormat="1">
      <c r="I202" s="102"/>
    </row>
    <row r="203" spans="9:9" s="34" customFormat="1">
      <c r="I203" s="102"/>
    </row>
    <row r="204" spans="9:9" s="34" customFormat="1">
      <c r="I204" s="102"/>
    </row>
    <row r="205" spans="9:9" s="34" customFormat="1">
      <c r="I205" s="102"/>
    </row>
    <row r="206" spans="9:9" s="34" customFormat="1">
      <c r="I206" s="102"/>
    </row>
    <row r="207" spans="9:9" s="34" customFormat="1">
      <c r="I207" s="102"/>
    </row>
    <row r="208" spans="9:9" s="34" customFormat="1">
      <c r="I208" s="102"/>
    </row>
    <row r="209" spans="9:9" s="34" customFormat="1">
      <c r="I209" s="102"/>
    </row>
    <row r="210" spans="9:9" s="34" customFormat="1">
      <c r="I210" s="102"/>
    </row>
    <row r="211" spans="9:9" s="34" customFormat="1">
      <c r="I211" s="102"/>
    </row>
    <row r="212" spans="9:9" s="34" customFormat="1">
      <c r="I212" s="102"/>
    </row>
    <row r="213" spans="9:9" s="34" customFormat="1">
      <c r="I213" s="102"/>
    </row>
    <row r="214" spans="9:9" s="34" customFormat="1">
      <c r="I214" s="102"/>
    </row>
    <row r="215" spans="9:9" s="34" customFormat="1">
      <c r="I215" s="102"/>
    </row>
    <row r="216" spans="9:9" s="34" customFormat="1">
      <c r="I216" s="102"/>
    </row>
    <row r="217" spans="9:9" s="34" customFormat="1">
      <c r="I217" s="102"/>
    </row>
    <row r="218" spans="9:9" s="34" customFormat="1">
      <c r="I218" s="102"/>
    </row>
    <row r="219" spans="9:9" s="34" customFormat="1">
      <c r="I219" s="102"/>
    </row>
    <row r="220" spans="9:9" s="34" customFormat="1">
      <c r="I220" s="102"/>
    </row>
    <row r="221" spans="9:9" s="34" customFormat="1">
      <c r="I221" s="102"/>
    </row>
    <row r="222" spans="9:9" s="34" customFormat="1">
      <c r="I222" s="102"/>
    </row>
    <row r="223" spans="9:9" s="34" customFormat="1">
      <c r="I223" s="102"/>
    </row>
    <row r="224" spans="9:9" s="34" customFormat="1">
      <c r="I224" s="102"/>
    </row>
    <row r="225" spans="9:9" s="34" customFormat="1">
      <c r="I225" s="102"/>
    </row>
    <row r="226" spans="9:9" s="34" customFormat="1">
      <c r="I226" s="102"/>
    </row>
    <row r="227" spans="9:9" s="34" customFormat="1">
      <c r="I227" s="102"/>
    </row>
    <row r="228" spans="9:9" s="34" customFormat="1">
      <c r="I228" s="102"/>
    </row>
    <row r="229" spans="9:9" s="34" customFormat="1">
      <c r="I229" s="102"/>
    </row>
    <row r="230" spans="9:9" s="34" customFormat="1">
      <c r="I230" s="102"/>
    </row>
    <row r="231" spans="9:9" s="34" customFormat="1">
      <c r="I231" s="102"/>
    </row>
    <row r="232" spans="9:9" s="34" customFormat="1">
      <c r="I232" s="102"/>
    </row>
    <row r="233" spans="9:9" s="34" customFormat="1">
      <c r="I233" s="102"/>
    </row>
    <row r="234" spans="9:9" s="34" customFormat="1">
      <c r="I234" s="102"/>
    </row>
    <row r="235" spans="9:9" s="34" customFormat="1">
      <c r="I235" s="102"/>
    </row>
    <row r="236" spans="9:9" s="34" customFormat="1">
      <c r="I236" s="102"/>
    </row>
    <row r="237" spans="9:9" s="34" customFormat="1">
      <c r="I237" s="102"/>
    </row>
    <row r="238" spans="9:9" s="34" customFormat="1">
      <c r="I238" s="102"/>
    </row>
    <row r="239" spans="9:9" s="34" customFormat="1">
      <c r="I239" s="102"/>
    </row>
    <row r="240" spans="9:9" s="34" customFormat="1">
      <c r="I240" s="102"/>
    </row>
    <row r="241" spans="9:9" s="34" customFormat="1">
      <c r="I241" s="102"/>
    </row>
    <row r="242" spans="9:9" s="34" customFormat="1">
      <c r="I242" s="102"/>
    </row>
    <row r="243" spans="9:9" s="34" customFormat="1">
      <c r="I243" s="102"/>
    </row>
    <row r="244" spans="9:9" s="34" customFormat="1">
      <c r="I244" s="102"/>
    </row>
    <row r="245" spans="9:9" s="34" customFormat="1">
      <c r="I245" s="102"/>
    </row>
    <row r="246" spans="9:9" s="34" customFormat="1">
      <c r="I246" s="102"/>
    </row>
    <row r="247" spans="9:9" s="34" customFormat="1">
      <c r="I247" s="102"/>
    </row>
    <row r="248" spans="9:9" s="34" customFormat="1">
      <c r="I248" s="102"/>
    </row>
    <row r="249" spans="9:9" s="34" customFormat="1">
      <c r="I249" s="102"/>
    </row>
    <row r="250" spans="9:9" s="34" customFormat="1">
      <c r="I250" s="102"/>
    </row>
    <row r="251" spans="9:9" s="34" customFormat="1">
      <c r="I251" s="102"/>
    </row>
    <row r="252" spans="9:9" s="34" customFormat="1">
      <c r="I252" s="102"/>
    </row>
    <row r="253" spans="9:9" s="34" customFormat="1">
      <c r="I253" s="102"/>
    </row>
    <row r="254" spans="9:9" s="34" customFormat="1">
      <c r="I254" s="102"/>
    </row>
    <row r="255" spans="9:9" s="34" customFormat="1">
      <c r="I255" s="102"/>
    </row>
    <row r="256" spans="9:9" s="34" customFormat="1">
      <c r="I256" s="102"/>
    </row>
    <row r="257" spans="9:9" s="34" customFormat="1">
      <c r="I257" s="102"/>
    </row>
    <row r="258" spans="9:9" s="34" customFormat="1">
      <c r="I258" s="102"/>
    </row>
    <row r="259" spans="9:9" s="34" customFormat="1">
      <c r="I259" s="102"/>
    </row>
    <row r="260" spans="9:9" s="34" customFormat="1">
      <c r="I260" s="102"/>
    </row>
    <row r="261" spans="9:9" s="34" customFormat="1">
      <c r="I261" s="102"/>
    </row>
    <row r="262" spans="9:9" s="34" customFormat="1">
      <c r="I262" s="102"/>
    </row>
    <row r="263" spans="9:9" s="34" customFormat="1">
      <c r="I263" s="102"/>
    </row>
    <row r="264" spans="9:9" s="34" customFormat="1">
      <c r="I264" s="102"/>
    </row>
    <row r="265" spans="9:9" s="34" customFormat="1">
      <c r="I265" s="102"/>
    </row>
    <row r="266" spans="9:9" s="34" customFormat="1">
      <c r="I266" s="102"/>
    </row>
    <row r="267" spans="9:9" s="34" customFormat="1">
      <c r="I267" s="102"/>
    </row>
    <row r="268" spans="9:9" s="34" customFormat="1">
      <c r="I268" s="102"/>
    </row>
    <row r="269" spans="9:9" s="34" customFormat="1">
      <c r="I269" s="102"/>
    </row>
    <row r="270" spans="9:9" s="34" customFormat="1">
      <c r="I270" s="102"/>
    </row>
    <row r="271" spans="9:9" s="34" customFormat="1">
      <c r="I271" s="102"/>
    </row>
    <row r="272" spans="9:9" s="34" customFormat="1">
      <c r="I272" s="102"/>
    </row>
    <row r="273" spans="9:9" s="34" customFormat="1">
      <c r="I273" s="102"/>
    </row>
    <row r="274" spans="9:9" s="34" customFormat="1">
      <c r="I274" s="102"/>
    </row>
    <row r="275" spans="9:9" s="34" customFormat="1">
      <c r="I275" s="102"/>
    </row>
    <row r="276" spans="9:9" s="34" customFormat="1">
      <c r="I276" s="102"/>
    </row>
    <row r="277" spans="9:9" s="34" customFormat="1">
      <c r="I277" s="102"/>
    </row>
    <row r="278" spans="9:9" s="34" customFormat="1">
      <c r="I278" s="102"/>
    </row>
    <row r="279" spans="9:9" s="34" customFormat="1">
      <c r="I279" s="102"/>
    </row>
    <row r="280" spans="9:9" s="34" customFormat="1">
      <c r="I280" s="102"/>
    </row>
    <row r="281" spans="9:9" s="34" customFormat="1">
      <c r="I281" s="102"/>
    </row>
    <row r="282" spans="9:9" s="34" customFormat="1">
      <c r="I282" s="102"/>
    </row>
    <row r="283" spans="9:9" s="34" customFormat="1">
      <c r="I283" s="102"/>
    </row>
    <row r="284" spans="9:9" s="34" customFormat="1">
      <c r="I284" s="102"/>
    </row>
    <row r="285" spans="9:9" s="34" customFormat="1">
      <c r="I285" s="102"/>
    </row>
    <row r="286" spans="9:9" s="34" customFormat="1">
      <c r="I286" s="102"/>
    </row>
    <row r="287" spans="9:9" s="34" customFormat="1">
      <c r="I287" s="102"/>
    </row>
    <row r="288" spans="9:9" s="34" customFormat="1">
      <c r="I288" s="102"/>
    </row>
    <row r="289" spans="9:9" s="34" customFormat="1">
      <c r="I289" s="102"/>
    </row>
    <row r="290" spans="9:9" s="34" customFormat="1">
      <c r="I290" s="102"/>
    </row>
    <row r="291" spans="9:9" s="34" customFormat="1">
      <c r="I291" s="102"/>
    </row>
    <row r="292" spans="9:9" s="34" customFormat="1">
      <c r="I292" s="102"/>
    </row>
    <row r="293" spans="9:9" s="34" customFormat="1">
      <c r="I293" s="102"/>
    </row>
    <row r="294" spans="9:9" s="34" customFormat="1">
      <c r="I294" s="102"/>
    </row>
    <row r="295" spans="9:9" s="34" customFormat="1">
      <c r="I295" s="102"/>
    </row>
    <row r="296" spans="9:9" s="34" customFormat="1">
      <c r="I296" s="102"/>
    </row>
    <row r="297" spans="9:9" s="34" customFormat="1">
      <c r="I297" s="102"/>
    </row>
    <row r="298" spans="9:9" s="34" customFormat="1">
      <c r="I298" s="102"/>
    </row>
    <row r="299" spans="9:9" s="34" customFormat="1">
      <c r="I299" s="102"/>
    </row>
    <row r="300" spans="9:9" s="34" customFormat="1">
      <c r="I300" s="102"/>
    </row>
    <row r="301" spans="9:9" s="34" customFormat="1">
      <c r="I301" s="102"/>
    </row>
    <row r="302" spans="9:9" s="34" customFormat="1">
      <c r="I302" s="102"/>
    </row>
    <row r="303" spans="9:9" s="34" customFormat="1">
      <c r="I303" s="102"/>
    </row>
    <row r="304" spans="9:9" s="34" customFormat="1">
      <c r="I304" s="102"/>
    </row>
    <row r="305" spans="9:9" s="34" customFormat="1">
      <c r="I305" s="102"/>
    </row>
    <row r="306" spans="9:9" s="34" customFormat="1">
      <c r="I306" s="102"/>
    </row>
    <row r="307" spans="9:9" s="34" customFormat="1">
      <c r="I307" s="102"/>
    </row>
    <row r="308" spans="9:9" s="34" customFormat="1"/>
    <row r="309" spans="9:9" s="34" customFormat="1"/>
    <row r="310" spans="9:9" s="34" customFormat="1"/>
    <row r="311" spans="9:9" s="34" customFormat="1"/>
    <row r="312" spans="9:9" s="34" customFormat="1"/>
    <row r="313" spans="9:9" s="34" customFormat="1"/>
    <row r="314" spans="9:9" s="34" customFormat="1"/>
    <row r="315" spans="9:9" s="34" customFormat="1"/>
    <row r="316" spans="9:9" s="34" customFormat="1"/>
    <row r="317" spans="9:9" s="34" customFormat="1"/>
    <row r="318" spans="9:9" s="34" customFormat="1"/>
    <row r="319" spans="9:9" s="34" customFormat="1"/>
    <row r="320" spans="9:9" s="34" customFormat="1"/>
    <row r="321" s="34" customFormat="1"/>
    <row r="322" s="34" customFormat="1"/>
    <row r="323" s="34" customFormat="1"/>
    <row r="324" s="34" customFormat="1"/>
    <row r="325" s="34" customFormat="1"/>
    <row r="326" s="34" customFormat="1"/>
    <row r="327" s="34" customFormat="1"/>
    <row r="328" s="34" customFormat="1"/>
    <row r="329" s="34" customFormat="1"/>
    <row r="330" s="34" customFormat="1"/>
    <row r="331" s="34" customFormat="1"/>
    <row r="332" s="34" customFormat="1"/>
    <row r="333" s="34" customFormat="1"/>
    <row r="334" s="34" customFormat="1"/>
    <row r="335" s="34" customFormat="1"/>
    <row r="336" s="34" customFormat="1"/>
    <row r="337" s="34" customFormat="1"/>
    <row r="338" s="34" customFormat="1"/>
    <row r="339" s="34" customFormat="1"/>
    <row r="340" s="34" customFormat="1"/>
    <row r="341" s="34" customFormat="1"/>
    <row r="342" s="34" customFormat="1"/>
    <row r="343" s="34" customFormat="1"/>
    <row r="344" s="34" customFormat="1"/>
    <row r="345" s="34" customFormat="1"/>
    <row r="346" s="34" customFormat="1"/>
    <row r="347" s="34" customFormat="1"/>
    <row r="348" s="34" customFormat="1"/>
    <row r="349" s="34" customFormat="1"/>
    <row r="350" s="34" customFormat="1"/>
    <row r="351" s="34" customFormat="1"/>
    <row r="352" s="34" customFormat="1"/>
    <row r="353" s="34" customFormat="1"/>
    <row r="354" s="34" customFormat="1"/>
    <row r="355" s="34" customFormat="1"/>
    <row r="356" s="34" customFormat="1"/>
    <row r="357" s="34" customFormat="1"/>
    <row r="358" s="34" customFormat="1"/>
    <row r="359" s="34" customFormat="1"/>
    <row r="360" s="34" customFormat="1"/>
    <row r="361" s="34" customFormat="1"/>
    <row r="362" s="34" customFormat="1"/>
    <row r="363" s="34" customFormat="1"/>
    <row r="364" s="34" customFormat="1"/>
    <row r="365" s="34" customFormat="1"/>
    <row r="366" s="34" customFormat="1"/>
    <row r="367" s="34" customFormat="1"/>
    <row r="368" s="34" customFormat="1"/>
    <row r="369" s="34" customFormat="1"/>
    <row r="370" s="34" customFormat="1"/>
    <row r="371" s="34" customFormat="1"/>
    <row r="372" s="34" customFormat="1"/>
    <row r="373" s="34" customFormat="1"/>
    <row r="374" s="34" customFormat="1"/>
    <row r="375" s="34" customFormat="1"/>
    <row r="376" s="34" customFormat="1"/>
    <row r="377" s="34" customFormat="1"/>
    <row r="378" s="34" customFormat="1"/>
    <row r="379" s="34" customFormat="1"/>
    <row r="380" s="34" customFormat="1"/>
    <row r="381" s="34" customFormat="1"/>
    <row r="382" s="34" customFormat="1"/>
    <row r="383" s="34" customFormat="1"/>
    <row r="384" s="34" customFormat="1"/>
    <row r="385" s="34" customFormat="1"/>
    <row r="386" s="34" customFormat="1"/>
    <row r="387" s="34" customFormat="1"/>
    <row r="388" s="34" customFormat="1"/>
    <row r="389" s="34" customFormat="1"/>
    <row r="390" s="34" customFormat="1"/>
    <row r="391" s="34" customFormat="1"/>
    <row r="392" s="34" customFormat="1"/>
    <row r="393" s="34" customFormat="1"/>
    <row r="394" s="34" customFormat="1"/>
    <row r="395" s="34" customFormat="1"/>
    <row r="396" s="34" customFormat="1"/>
    <row r="397" s="34" customFormat="1"/>
    <row r="398" s="34" customFormat="1"/>
    <row r="399" s="34" customFormat="1"/>
    <row r="400" s="34" customFormat="1"/>
    <row r="401" s="34" customFormat="1"/>
    <row r="402" s="34" customFormat="1"/>
    <row r="403" s="34" customFormat="1"/>
    <row r="404" s="34" customFormat="1"/>
    <row r="405" s="34" customFormat="1"/>
    <row r="406" s="34" customFormat="1"/>
    <row r="407" s="34" customFormat="1"/>
    <row r="408" s="34" customFormat="1"/>
    <row r="409" s="34" customFormat="1"/>
    <row r="410" s="34" customFormat="1"/>
    <row r="411" s="34" customFormat="1"/>
    <row r="412" s="34" customFormat="1"/>
    <row r="413" s="34" customFormat="1"/>
    <row r="414" s="34" customFormat="1"/>
    <row r="415" s="34" customFormat="1"/>
    <row r="416" s="34" customFormat="1"/>
    <row r="417" s="34" customFormat="1"/>
    <row r="418" s="34" customFormat="1"/>
    <row r="419" s="34" customFormat="1"/>
    <row r="420" s="34" customFormat="1"/>
    <row r="421" s="34" customFormat="1"/>
    <row r="422" s="34" customFormat="1"/>
    <row r="423" s="34" customFormat="1"/>
    <row r="424" s="34" customFormat="1"/>
    <row r="425" s="34" customFormat="1"/>
    <row r="426" s="34" customFormat="1"/>
    <row r="427" s="34" customFormat="1"/>
    <row r="428" s="34" customFormat="1"/>
    <row r="429" s="34" customFormat="1"/>
    <row r="430" s="34" customFormat="1"/>
    <row r="431" s="34" customFormat="1"/>
    <row r="432" s="34" customFormat="1"/>
    <row r="433" s="34" customFormat="1"/>
    <row r="434" s="34" customFormat="1"/>
    <row r="435" s="34" customFormat="1"/>
    <row r="436" s="34" customFormat="1"/>
    <row r="437" s="34" customFormat="1"/>
    <row r="438" s="34" customFormat="1"/>
    <row r="439" s="34" customFormat="1"/>
    <row r="440" s="34" customFormat="1"/>
    <row r="441" s="34" customFormat="1"/>
    <row r="442" s="34" customFormat="1"/>
    <row r="443" s="34" customFormat="1"/>
    <row r="444" s="34" customFormat="1"/>
    <row r="445" s="34" customFormat="1"/>
    <row r="446" s="34" customFormat="1"/>
    <row r="447" s="34" customFormat="1"/>
    <row r="448" s="34" customFormat="1"/>
    <row r="449" s="34" customFormat="1"/>
    <row r="450" s="34" customFormat="1"/>
    <row r="451" s="34" customFormat="1"/>
    <row r="452" s="34" customFormat="1"/>
    <row r="453" s="34" customFormat="1"/>
    <row r="454" s="34" customFormat="1"/>
    <row r="455" s="34" customFormat="1"/>
    <row r="456" s="34" customFormat="1"/>
    <row r="457" s="34" customFormat="1"/>
    <row r="458" s="34" customFormat="1"/>
    <row r="459" s="34" customFormat="1"/>
    <row r="460" s="34" customFormat="1"/>
    <row r="461" s="34" customFormat="1"/>
    <row r="462" s="34" customFormat="1"/>
    <row r="463" s="34" customFormat="1"/>
    <row r="464" s="34" customFormat="1"/>
    <row r="465" s="34" customFormat="1"/>
    <row r="466" s="34" customFormat="1"/>
    <row r="467" s="34" customFormat="1"/>
    <row r="468" s="34" customFormat="1"/>
    <row r="469" s="34" customFormat="1"/>
    <row r="470" s="34" customFormat="1"/>
    <row r="471" s="34" customFormat="1"/>
    <row r="472" s="34" customFormat="1"/>
    <row r="473" s="34" customFormat="1"/>
    <row r="474" s="34" customFormat="1"/>
    <row r="475" s="34" customFormat="1"/>
    <row r="476" s="34" customFormat="1"/>
    <row r="477" s="34" customFormat="1"/>
    <row r="478" s="34" customFormat="1"/>
    <row r="479" s="34" customFormat="1"/>
    <row r="480" s="34" customFormat="1"/>
    <row r="481" s="34" customFormat="1"/>
    <row r="482" s="34" customFormat="1"/>
    <row r="483" s="34" customFormat="1"/>
    <row r="484" s="34" customFormat="1"/>
    <row r="485" s="34" customFormat="1"/>
    <row r="486" s="34" customFormat="1"/>
    <row r="487" s="34" customFormat="1"/>
    <row r="488" s="34" customFormat="1"/>
    <row r="489" s="34" customFormat="1"/>
    <row r="490" s="34" customFormat="1"/>
    <row r="491" s="34" customFormat="1"/>
    <row r="492" s="34" customFormat="1"/>
    <row r="493" s="34" customFormat="1"/>
    <row r="494" s="34" customFormat="1"/>
    <row r="495" s="34" customFormat="1"/>
    <row r="496" s="34" customFormat="1"/>
    <row r="497" s="34" customFormat="1"/>
    <row r="498" s="34" customFormat="1"/>
    <row r="499" s="34" customFormat="1"/>
    <row r="500" s="34" customFormat="1"/>
    <row r="501" s="34" customFormat="1"/>
    <row r="502" s="34" customFormat="1"/>
    <row r="503" s="34" customFormat="1"/>
    <row r="504" s="34" customFormat="1"/>
    <row r="505" s="34" customFormat="1"/>
    <row r="506" s="34" customFormat="1"/>
    <row r="507" s="34" customFormat="1"/>
    <row r="508" s="34" customFormat="1"/>
    <row r="509" s="34" customFormat="1"/>
    <row r="510" s="34" customFormat="1"/>
    <row r="511" s="34" customFormat="1"/>
    <row r="512" s="34" customFormat="1"/>
    <row r="513" s="34" customFormat="1"/>
    <row r="514" s="34" customFormat="1"/>
    <row r="515" s="34" customFormat="1"/>
    <row r="516" s="34" customFormat="1"/>
    <row r="517" s="34" customFormat="1"/>
    <row r="518" s="34" customFormat="1"/>
    <row r="519" s="34" customFormat="1"/>
    <row r="520" s="34" customFormat="1"/>
    <row r="521" s="34" customFormat="1"/>
    <row r="522" s="34" customFormat="1"/>
    <row r="523" s="34" customFormat="1"/>
    <row r="524" s="34" customFormat="1"/>
    <row r="525" s="34" customFormat="1"/>
    <row r="526" s="34" customFormat="1"/>
    <row r="527" s="34" customFormat="1"/>
    <row r="528" s="34" customFormat="1"/>
    <row r="529" s="34" customFormat="1"/>
    <row r="530" s="34" customFormat="1"/>
    <row r="531" s="34" customFormat="1"/>
    <row r="532" s="34" customFormat="1"/>
    <row r="533" s="34" customFormat="1"/>
    <row r="534" s="34" customFormat="1"/>
    <row r="535" s="34" customFormat="1"/>
    <row r="536" s="34" customFormat="1"/>
    <row r="537" s="34" customFormat="1"/>
    <row r="538" s="34" customFormat="1"/>
    <row r="539" s="34" customFormat="1"/>
    <row r="540" s="34" customFormat="1"/>
    <row r="541" s="34" customFormat="1"/>
    <row r="542" s="34" customFormat="1"/>
    <row r="543" s="34" customFormat="1"/>
    <row r="544" s="34" customFormat="1"/>
    <row r="545" s="34" customFormat="1"/>
    <row r="546" s="34" customFormat="1"/>
    <row r="547" s="34" customFormat="1"/>
    <row r="548" s="34" customFormat="1"/>
    <row r="549" s="34" customFormat="1"/>
    <row r="550" s="34" customFormat="1"/>
    <row r="551" s="34" customFormat="1"/>
    <row r="552" s="34" customFormat="1"/>
    <row r="553" s="34" customFormat="1"/>
    <row r="554" s="34" customFormat="1"/>
    <row r="555" s="34" customFormat="1"/>
    <row r="556" s="34" customFormat="1"/>
    <row r="557" s="34" customFormat="1"/>
    <row r="558" s="34" customFormat="1"/>
    <row r="559" s="34" customFormat="1"/>
    <row r="560" s="34" customFormat="1"/>
    <row r="561" s="34" customFormat="1"/>
    <row r="562" s="34" customFormat="1"/>
    <row r="563" s="34" customFormat="1"/>
    <row r="564" s="34" customFormat="1"/>
    <row r="565" s="34" customFormat="1"/>
    <row r="566" s="34" customFormat="1"/>
    <row r="567" s="34" customFormat="1"/>
    <row r="568" s="34" customFormat="1"/>
    <row r="569" s="34" customFormat="1"/>
    <row r="570" s="34" customFormat="1"/>
    <row r="571" s="34" customFormat="1"/>
    <row r="572" s="34" customFormat="1"/>
    <row r="573" s="34" customFormat="1"/>
    <row r="574" s="34" customFormat="1"/>
    <row r="575" s="34" customFormat="1"/>
    <row r="576" s="34" customFormat="1"/>
    <row r="577" s="34" customFormat="1"/>
    <row r="578" s="34" customFormat="1"/>
    <row r="579" s="34" customFormat="1"/>
    <row r="580" s="34" customFormat="1"/>
    <row r="581" s="34" customFormat="1"/>
    <row r="582" s="34" customFormat="1"/>
    <row r="583" s="34" customFormat="1"/>
    <row r="584" s="34" customFormat="1"/>
    <row r="585" s="34" customFormat="1"/>
    <row r="586" s="34" customFormat="1"/>
    <row r="587" s="34" customFormat="1"/>
    <row r="588" s="34" customFormat="1"/>
    <row r="589" s="34" customFormat="1"/>
    <row r="590" s="34" customFormat="1"/>
    <row r="591" s="34" customFormat="1"/>
    <row r="592" s="34" customFormat="1"/>
    <row r="593" s="34" customFormat="1"/>
    <row r="594" s="34" customFormat="1"/>
    <row r="595" s="34" customFormat="1"/>
    <row r="596" s="34" customFormat="1"/>
    <row r="597" s="34" customFormat="1"/>
    <row r="598" s="34" customFormat="1"/>
    <row r="599" s="34" customFormat="1"/>
    <row r="600" s="34" customFormat="1"/>
    <row r="601" s="34" customFormat="1"/>
    <row r="602" s="34" customFormat="1"/>
    <row r="603" s="34" customFormat="1"/>
    <row r="604" s="34" customFormat="1"/>
    <row r="605" s="34" customFormat="1"/>
    <row r="606" s="34" customFormat="1"/>
    <row r="607" s="34" customFormat="1"/>
    <row r="608" s="34" customFormat="1"/>
    <row r="609" s="34" customFormat="1"/>
    <row r="610" s="34" customFormat="1"/>
    <row r="611" s="34" customFormat="1"/>
    <row r="612" s="34" customFormat="1"/>
    <row r="613" s="34" customFormat="1"/>
    <row r="614" s="34" customFormat="1"/>
    <row r="615" s="34" customFormat="1"/>
    <row r="616" s="34" customFormat="1"/>
    <row r="617" s="34" customFormat="1"/>
    <row r="618" s="34" customFormat="1"/>
    <row r="619" s="34" customFormat="1"/>
    <row r="620" s="34" customFormat="1"/>
    <row r="621" s="34" customFormat="1"/>
    <row r="622" s="34" customFormat="1"/>
    <row r="623" s="34" customFormat="1"/>
    <row r="624" s="34" customFormat="1"/>
    <row r="625" s="34" customFormat="1"/>
    <row r="626" s="34" customFormat="1"/>
    <row r="627" s="34" customFormat="1"/>
    <row r="628" s="34" customFormat="1"/>
    <row r="629" s="34" customFormat="1"/>
    <row r="630" s="34" customFormat="1"/>
    <row r="631" s="34" customFormat="1"/>
    <row r="632" s="34" customFormat="1"/>
    <row r="633" s="34" customFormat="1"/>
    <row r="634" s="34" customFormat="1"/>
    <row r="635" s="34" customFormat="1"/>
    <row r="636" s="34" customFormat="1"/>
    <row r="637" s="34" customFormat="1"/>
    <row r="638" s="34" customFormat="1"/>
    <row r="639" s="34" customFormat="1"/>
    <row r="640" s="34" customFormat="1"/>
    <row r="641" s="34" customFormat="1"/>
    <row r="642" s="34" customFormat="1"/>
    <row r="643" s="34" customFormat="1"/>
    <row r="644" s="34" customFormat="1"/>
    <row r="645" s="34" customFormat="1"/>
    <row r="646" s="34" customFormat="1"/>
    <row r="647" s="34" customFormat="1"/>
    <row r="648" s="34" customFormat="1"/>
    <row r="649" s="34" customFormat="1"/>
    <row r="650" s="34" customFormat="1"/>
    <row r="651" s="34" customFormat="1"/>
    <row r="652" s="34" customFormat="1"/>
    <row r="653" s="34" customFormat="1"/>
    <row r="654" s="34" customFormat="1"/>
    <row r="655" s="34" customFormat="1"/>
    <row r="656" s="34" customFormat="1"/>
    <row r="657" s="34" customFormat="1"/>
    <row r="658" s="34" customFormat="1"/>
    <row r="659" s="34" customFormat="1"/>
    <row r="660" s="34" customFormat="1"/>
    <row r="661" s="34" customFormat="1"/>
    <row r="662" s="34" customFormat="1"/>
    <row r="663" s="34" customFormat="1"/>
    <row r="664" s="34" customFormat="1"/>
    <row r="665" s="34" customFormat="1"/>
    <row r="666" s="34" customFormat="1"/>
    <row r="667" s="34" customFormat="1"/>
    <row r="668" s="34" customFormat="1"/>
    <row r="669" s="34" customFormat="1"/>
    <row r="670" s="34" customFormat="1"/>
    <row r="671" s="34" customFormat="1"/>
    <row r="672" s="34" customFormat="1"/>
    <row r="673" s="34" customFormat="1"/>
    <row r="674" s="34" customFormat="1"/>
    <row r="675" s="34" customFormat="1"/>
    <row r="676" s="34" customFormat="1"/>
    <row r="677" s="34" customFormat="1"/>
    <row r="678" s="34" customFormat="1"/>
    <row r="679" s="34" customFormat="1"/>
    <row r="680" s="34" customFormat="1"/>
    <row r="681" s="34" customFormat="1"/>
    <row r="682" s="34" customFormat="1"/>
    <row r="683" s="34" customFormat="1"/>
    <row r="684" s="34" customFormat="1"/>
    <row r="685" s="34" customFormat="1"/>
    <row r="686" s="34" customFormat="1"/>
    <row r="687" s="34" customFormat="1"/>
    <row r="688" s="34" customFormat="1"/>
    <row r="689" s="34" customFormat="1"/>
    <row r="690" s="34" customFormat="1"/>
    <row r="691" s="34" customFormat="1"/>
    <row r="692" s="34" customFormat="1"/>
    <row r="693" s="34" customFormat="1"/>
    <row r="694" s="34" customFormat="1"/>
    <row r="695" s="34" customFormat="1"/>
    <row r="696" s="34" customFormat="1"/>
    <row r="697" s="34" customFormat="1"/>
    <row r="698" s="34" customFormat="1"/>
    <row r="699" s="34" customFormat="1"/>
    <row r="700" s="34" customFormat="1"/>
    <row r="701" s="34" customFormat="1"/>
    <row r="702" s="34" customFormat="1"/>
    <row r="703" s="34" customFormat="1"/>
    <row r="704" s="34" customFormat="1"/>
    <row r="705" s="34" customFormat="1"/>
    <row r="706" s="34" customFormat="1"/>
    <row r="707" s="34" customFormat="1"/>
    <row r="708" s="34" customFormat="1"/>
    <row r="709" s="34" customFormat="1"/>
    <row r="710" s="34" customFormat="1"/>
    <row r="711" s="34" customFormat="1"/>
    <row r="712" s="34" customFormat="1"/>
    <row r="713" s="34" customFormat="1"/>
    <row r="714" s="34" customFormat="1"/>
    <row r="715" s="34" customFormat="1"/>
    <row r="716" s="34" customFormat="1"/>
    <row r="717" s="34" customFormat="1"/>
    <row r="718" s="34" customFormat="1"/>
    <row r="719" s="34" customFormat="1"/>
    <row r="720" s="34" customFormat="1"/>
    <row r="721" s="34" customFormat="1"/>
    <row r="722" s="34" customFormat="1"/>
    <row r="723" s="34" customFormat="1"/>
    <row r="724" s="34" customFormat="1"/>
    <row r="725" s="34" customFormat="1"/>
    <row r="726" s="34" customFormat="1"/>
    <row r="727" s="34" customFormat="1"/>
    <row r="728" s="34" customFormat="1"/>
    <row r="729" s="34" customFormat="1"/>
    <row r="730" s="34" customFormat="1"/>
    <row r="731" s="34" customFormat="1"/>
    <row r="732" s="34" customFormat="1"/>
    <row r="733" s="34" customFormat="1"/>
    <row r="734" s="34" customFormat="1"/>
    <row r="735" s="34" customFormat="1"/>
    <row r="736" s="34" customFormat="1"/>
    <row r="737" s="34" customFormat="1"/>
    <row r="738" s="34" customFormat="1"/>
    <row r="739" s="34" customFormat="1"/>
    <row r="740" s="34" customFormat="1"/>
    <row r="741" s="34" customFormat="1"/>
    <row r="742" s="34" customFormat="1"/>
    <row r="743" s="34" customFormat="1"/>
    <row r="744" s="34" customFormat="1"/>
    <row r="745" s="34" customFormat="1"/>
    <row r="746" s="34" customFormat="1"/>
    <row r="747" s="34" customFormat="1"/>
    <row r="748" s="34" customFormat="1"/>
    <row r="749" s="34" customFormat="1"/>
    <row r="750" s="34" customFormat="1"/>
    <row r="751" s="34" customFormat="1"/>
    <row r="752" s="34" customFormat="1"/>
    <row r="753" s="34" customFormat="1"/>
    <row r="754" s="34" customFormat="1"/>
    <row r="755" s="34" customFormat="1"/>
    <row r="756" s="34" customFormat="1"/>
    <row r="757" s="34" customFormat="1"/>
    <row r="758" s="34" customFormat="1"/>
    <row r="759" s="34" customFormat="1"/>
    <row r="760" s="34" customFormat="1"/>
    <row r="761" s="34" customFormat="1"/>
    <row r="762" s="34" customFormat="1"/>
    <row r="763" s="34" customFormat="1"/>
    <row r="764" s="34" customFormat="1"/>
    <row r="765" s="34" customFormat="1"/>
    <row r="766" s="34" customFormat="1"/>
    <row r="767" s="34" customFormat="1"/>
    <row r="768" s="34" customFormat="1"/>
    <row r="769" s="34" customFormat="1"/>
    <row r="770" s="34" customFormat="1"/>
    <row r="771" s="34" customFormat="1"/>
    <row r="772" s="34" customFormat="1"/>
    <row r="773" s="34" customFormat="1"/>
    <row r="774" s="34" customFormat="1"/>
    <row r="775" s="34" customFormat="1"/>
    <row r="776" s="34" customFormat="1"/>
    <row r="777" s="34" customFormat="1"/>
    <row r="778" s="34" customFormat="1"/>
    <row r="779" s="34" customFormat="1"/>
    <row r="780" s="34" customFormat="1"/>
    <row r="781" s="34" customFormat="1"/>
    <row r="782" s="34" customFormat="1"/>
    <row r="783" s="34" customFormat="1"/>
    <row r="784" s="34" customFormat="1"/>
    <row r="785" s="34" customFormat="1"/>
    <row r="786" s="34" customFormat="1"/>
    <row r="787" s="34" customFormat="1"/>
    <row r="788" s="34" customFormat="1"/>
    <row r="789" s="34" customFormat="1"/>
    <row r="790" s="34" customFormat="1"/>
    <row r="791" s="34" customFormat="1"/>
    <row r="792" s="34" customFormat="1"/>
    <row r="793" s="34" customFormat="1"/>
    <row r="794" s="34" customFormat="1"/>
    <row r="795" s="34" customFormat="1"/>
    <row r="796" s="34" customFormat="1"/>
    <row r="797" s="34" customFormat="1"/>
    <row r="798" s="34" customFormat="1"/>
    <row r="799" s="34" customFormat="1"/>
    <row r="800" s="34" customFormat="1"/>
    <row r="801" s="34" customFormat="1"/>
    <row r="802" s="34" customFormat="1"/>
    <row r="803" s="34" customFormat="1"/>
    <row r="804" s="34" customFormat="1"/>
    <row r="805" s="34" customFormat="1"/>
    <row r="806" s="34" customFormat="1"/>
    <row r="807" s="34" customFormat="1"/>
    <row r="808" s="34" customFormat="1"/>
    <row r="809" s="34" customFormat="1"/>
    <row r="810" s="34" customFormat="1"/>
    <row r="811" s="34" customFormat="1"/>
    <row r="812" s="34" customFormat="1"/>
    <row r="813" s="34" customFormat="1"/>
    <row r="814" s="34" customFormat="1"/>
    <row r="815" s="34" customFormat="1"/>
    <row r="816" s="34" customFormat="1"/>
    <row r="817" s="34" customFormat="1"/>
    <row r="818" s="34" customFormat="1"/>
    <row r="819" s="34" customFormat="1"/>
    <row r="820" s="34" customFormat="1"/>
    <row r="821" s="34" customFormat="1"/>
    <row r="822" s="34" customFormat="1"/>
    <row r="823" s="34" customFormat="1"/>
    <row r="824" s="34" customFormat="1"/>
    <row r="825" s="34" customFormat="1"/>
    <row r="826" s="34" customFormat="1"/>
    <row r="827" s="34" customFormat="1"/>
    <row r="828" s="34" customFormat="1"/>
    <row r="829" s="34" customFormat="1"/>
    <row r="830" s="34" customFormat="1"/>
    <row r="831" s="34" customFormat="1"/>
    <row r="832" s="34" customFormat="1"/>
    <row r="833" s="34" customFormat="1"/>
    <row r="834" s="34" customFormat="1"/>
    <row r="835" s="34" customFormat="1"/>
    <row r="836" s="34" customFormat="1"/>
    <row r="837" s="34" customFormat="1"/>
    <row r="838" s="34" customFormat="1"/>
    <row r="839" s="34" customFormat="1"/>
    <row r="840" s="34" customFormat="1"/>
    <row r="841" s="34" customFormat="1"/>
    <row r="842" s="34" customFormat="1"/>
    <row r="843" s="34" customFormat="1"/>
    <row r="844" s="34" customFormat="1"/>
    <row r="845" s="34" customFormat="1"/>
    <row r="846" s="34" customFormat="1"/>
    <row r="847" s="34" customFormat="1"/>
    <row r="848" s="34" customFormat="1"/>
    <row r="849" s="34" customFormat="1"/>
    <row r="850" s="34" customFormat="1"/>
    <row r="851" s="34" customFormat="1"/>
    <row r="852" s="34" customFormat="1"/>
    <row r="853" s="34" customFormat="1"/>
    <row r="854" s="34" customFormat="1"/>
    <row r="855" s="34" customFormat="1"/>
    <row r="856" s="34" customFormat="1"/>
    <row r="857" s="34" customFormat="1"/>
    <row r="858" s="34" customFormat="1"/>
    <row r="859" s="34" customFormat="1"/>
    <row r="860" s="34" customFormat="1"/>
    <row r="861" s="34" customFormat="1"/>
    <row r="862" s="34" customFormat="1"/>
    <row r="863" s="34" customFormat="1"/>
    <row r="864" s="34" customFormat="1"/>
    <row r="865" s="34" customFormat="1"/>
    <row r="866" s="34" customFormat="1"/>
    <row r="867" s="34" customFormat="1"/>
    <row r="868" s="34" customFormat="1"/>
    <row r="869" s="34" customFormat="1"/>
    <row r="870" s="34" customFormat="1"/>
    <row r="871" s="34" customFormat="1"/>
    <row r="872" s="34" customFormat="1"/>
    <row r="873" s="34" customFormat="1"/>
    <row r="874" s="34" customFormat="1"/>
    <row r="875" s="34" customFormat="1"/>
    <row r="876" s="34" customFormat="1"/>
    <row r="877" s="34" customFormat="1"/>
    <row r="878" s="34" customFormat="1"/>
    <row r="879" s="34" customFormat="1"/>
    <row r="880" s="34" customFormat="1"/>
    <row r="881" s="34" customFormat="1"/>
    <row r="882" s="34" customFormat="1"/>
    <row r="883" s="34" customFormat="1"/>
    <row r="884" s="34" customFormat="1"/>
    <row r="885" s="34" customFormat="1"/>
    <row r="886" s="34" customFormat="1"/>
    <row r="887" s="34" customFormat="1"/>
    <row r="888" s="34" customFormat="1"/>
    <row r="889" s="34" customFormat="1"/>
    <row r="890" s="34" customFormat="1"/>
    <row r="891" s="34" customFormat="1"/>
    <row r="892" s="34" customFormat="1"/>
    <row r="893" s="34" customFormat="1"/>
    <row r="894" s="34" customFormat="1"/>
    <row r="895" s="34" customFormat="1"/>
    <row r="896" s="34" customFormat="1"/>
    <row r="897" s="34" customFormat="1"/>
    <row r="898" s="34" customFormat="1"/>
    <row r="899" s="34" customFormat="1"/>
    <row r="900" s="34" customFormat="1"/>
    <row r="901" s="34" customFormat="1"/>
    <row r="902" s="34" customFormat="1"/>
    <row r="903" s="34" customFormat="1"/>
    <row r="904" s="34" customFormat="1"/>
    <row r="905" s="34" customFormat="1"/>
    <row r="906" s="34" customFormat="1"/>
    <row r="907" s="34" customFormat="1"/>
    <row r="908" s="34" customFormat="1"/>
    <row r="909" s="34" customFormat="1"/>
    <row r="910" s="34" customFormat="1"/>
    <row r="911" s="34" customFormat="1"/>
    <row r="912" s="34" customFormat="1"/>
    <row r="913" s="34" customFormat="1"/>
    <row r="914" s="34" customFormat="1"/>
    <row r="915" s="34" customFormat="1"/>
    <row r="916" s="34" customFormat="1"/>
    <row r="917" s="34" customFormat="1"/>
    <row r="918" s="34" customFormat="1"/>
    <row r="919" s="34" customFormat="1"/>
    <row r="920" s="34" customFormat="1"/>
    <row r="921" s="34" customFormat="1"/>
    <row r="922" s="34" customFormat="1"/>
    <row r="923" s="34" customFormat="1"/>
    <row r="924" s="34" customFormat="1"/>
    <row r="925" s="34" customFormat="1"/>
    <row r="926" s="34" customFormat="1"/>
    <row r="927" s="34" customFormat="1"/>
    <row r="928" s="34" customFormat="1"/>
    <row r="929" s="34" customFormat="1"/>
    <row r="930" s="34" customFormat="1"/>
    <row r="931" s="34" customFormat="1"/>
    <row r="932" s="34" customFormat="1"/>
    <row r="933" s="34" customFormat="1"/>
    <row r="934" s="34" customFormat="1"/>
    <row r="935" s="34" customFormat="1"/>
    <row r="936" s="34" customFormat="1"/>
    <row r="937" s="34" customFormat="1"/>
    <row r="938" s="34" customFormat="1"/>
    <row r="939" s="34" customFormat="1"/>
    <row r="940" s="34" customFormat="1"/>
    <row r="941" s="34" customFormat="1"/>
    <row r="942" s="34" customFormat="1"/>
    <row r="943" s="34" customFormat="1"/>
    <row r="944" s="34" customFormat="1"/>
    <row r="945" s="34" customFormat="1"/>
    <row r="946" s="34" customFormat="1"/>
    <row r="947" s="34" customFormat="1"/>
    <row r="948" s="34" customFormat="1"/>
    <row r="949" s="34" customFormat="1"/>
    <row r="950" s="34" customFormat="1"/>
    <row r="951" s="34" customFormat="1"/>
    <row r="952" s="34" customFormat="1"/>
    <row r="953" s="34" customFormat="1"/>
    <row r="954" s="34" customFormat="1"/>
    <row r="955" s="34" customFormat="1"/>
    <row r="956" s="34" customFormat="1"/>
    <row r="957" s="34" customFormat="1"/>
    <row r="958" s="34" customFormat="1"/>
    <row r="959" s="34" customFormat="1"/>
    <row r="960" s="34" customFormat="1"/>
    <row r="961" s="34" customFormat="1"/>
    <row r="962" s="34" customFormat="1"/>
    <row r="963" s="34" customFormat="1"/>
    <row r="964" s="34" customFormat="1"/>
    <row r="965" s="34" customFormat="1"/>
    <row r="966" s="34" customFormat="1"/>
    <row r="967" s="34" customFormat="1"/>
    <row r="968" s="34" customFormat="1"/>
    <row r="969" s="34" customFormat="1"/>
    <row r="970" s="34" customFormat="1"/>
    <row r="971" s="34" customFormat="1"/>
    <row r="972" s="34" customFormat="1"/>
    <row r="973" s="34" customFormat="1"/>
    <row r="974" s="34" customFormat="1"/>
    <row r="975" s="34" customFormat="1"/>
    <row r="976" s="34" customFormat="1"/>
    <row r="977" s="34" customFormat="1"/>
    <row r="978" s="34" customFormat="1"/>
    <row r="979" s="34" customFormat="1"/>
    <row r="980" s="34" customFormat="1"/>
    <row r="981" s="34" customFormat="1"/>
    <row r="982" s="34" customFormat="1"/>
    <row r="983" s="34" customFormat="1"/>
    <row r="984" s="34" customFormat="1"/>
    <row r="985" s="34" customFormat="1"/>
    <row r="986" s="34" customFormat="1"/>
    <row r="987" s="34" customFormat="1"/>
    <row r="988" s="34" customFormat="1"/>
    <row r="989" s="34" customFormat="1"/>
    <row r="990" s="34" customFormat="1"/>
    <row r="991" s="34" customFormat="1"/>
    <row r="992" s="34" customFormat="1"/>
    <row r="993" s="34" customFormat="1"/>
    <row r="994" s="34" customFormat="1"/>
    <row r="995" s="34" customFormat="1"/>
    <row r="996" s="34" customFormat="1"/>
    <row r="997" s="34" customFormat="1"/>
    <row r="998" s="34" customFormat="1"/>
    <row r="999" s="34" customFormat="1"/>
    <row r="1000" s="34" customFormat="1"/>
    <row r="1001" s="34" customFormat="1"/>
    <row r="1002" s="34" customFormat="1"/>
    <row r="1003" s="34" customFormat="1"/>
    <row r="1004" s="34" customFormat="1"/>
    <row r="1005" s="34" customFormat="1"/>
    <row r="1006" s="34" customFormat="1"/>
    <row r="1007" s="34" customFormat="1"/>
    <row r="1008" s="34" customFormat="1"/>
    <row r="1009" s="34" customFormat="1"/>
    <row r="1010" s="34" customFormat="1"/>
    <row r="1011" s="34" customFormat="1"/>
    <row r="1012" s="34" customFormat="1"/>
    <row r="1013" s="34" customFormat="1"/>
    <row r="1014" s="34" customFormat="1"/>
    <row r="1015" s="34" customFormat="1"/>
    <row r="1016" s="34" customFormat="1"/>
    <row r="1017" s="34" customFormat="1"/>
    <row r="1018" s="34" customFormat="1"/>
    <row r="1019" s="34" customFormat="1"/>
    <row r="1020" s="34" customFormat="1"/>
    <row r="1021" s="34" customFormat="1"/>
    <row r="1022" s="34" customFormat="1"/>
    <row r="1023" s="34" customFormat="1"/>
    <row r="1024" s="34" customFormat="1"/>
    <row r="1025" s="34" customFormat="1"/>
    <row r="1026" s="34" customFormat="1"/>
    <row r="1027" s="34" customFormat="1"/>
    <row r="1028" s="34" customFormat="1"/>
    <row r="1029" s="34" customFormat="1"/>
    <row r="1030" s="34" customFormat="1"/>
    <row r="1031" s="34" customFormat="1"/>
    <row r="1032" s="34" customFormat="1"/>
    <row r="1033" s="34" customFormat="1"/>
    <row r="1034" s="34" customFormat="1"/>
    <row r="1035" s="34" customFormat="1"/>
    <row r="1036" s="34" customFormat="1"/>
    <row r="1037" s="34" customFormat="1"/>
    <row r="1038" s="34" customFormat="1"/>
    <row r="1039" s="34" customFormat="1"/>
    <row r="1040" s="34" customFormat="1"/>
    <row r="1041" s="34" customFormat="1"/>
    <row r="1042" s="34" customFormat="1"/>
    <row r="1043" s="34" customFormat="1"/>
    <row r="1044" s="34" customFormat="1"/>
    <row r="1045" s="34" customFormat="1"/>
    <row r="1046" s="34" customFormat="1"/>
    <row r="1047" s="34" customFormat="1"/>
    <row r="1048" s="34" customFormat="1"/>
    <row r="1049" s="34" customFormat="1"/>
    <row r="1050" s="34" customFormat="1"/>
    <row r="1051" s="34" customFormat="1"/>
    <row r="1052" s="34" customFormat="1"/>
    <row r="1053" s="34" customFormat="1"/>
    <row r="1054" s="34" customFormat="1"/>
    <row r="1055" s="34" customFormat="1"/>
    <row r="1056" s="34" customFormat="1"/>
    <row r="1057" s="34" customFormat="1"/>
    <row r="1058" s="34" customFormat="1"/>
    <row r="1059" s="34" customFormat="1"/>
    <row r="1060" s="34" customFormat="1"/>
    <row r="1061" s="34" customFormat="1"/>
    <row r="1062" s="34" customFormat="1"/>
    <row r="1063" s="34" customFormat="1"/>
    <row r="1064" s="34" customFormat="1"/>
    <row r="1065" s="34" customFormat="1"/>
    <row r="1066" s="34" customFormat="1"/>
    <row r="1067" s="34" customFormat="1"/>
    <row r="1068" s="34" customFormat="1"/>
    <row r="1069" s="34" customFormat="1"/>
    <row r="1070" s="34" customFormat="1"/>
    <row r="1071" s="34" customFormat="1"/>
    <row r="1072" s="34" customFormat="1"/>
    <row r="1073" s="34" customFormat="1"/>
    <row r="1074" s="34" customFormat="1"/>
    <row r="1075" s="34" customFormat="1"/>
    <row r="1076" s="34" customFormat="1"/>
    <row r="1077" s="34" customFormat="1"/>
    <row r="1078" s="34" customFormat="1"/>
    <row r="1079" s="34" customFormat="1"/>
    <row r="1080" s="34" customFormat="1"/>
    <row r="1081" s="34" customFormat="1"/>
    <row r="1082" s="34" customFormat="1"/>
    <row r="1083" s="34" customFormat="1"/>
    <row r="1084" s="34" customFormat="1"/>
    <row r="1085" s="34" customFormat="1"/>
    <row r="1086" s="34" customFormat="1"/>
    <row r="1087" s="34" customFormat="1"/>
    <row r="1088" s="34" customFormat="1"/>
    <row r="1089" s="34" customFormat="1"/>
    <row r="1090" s="34" customFormat="1"/>
    <row r="1091" s="34" customFormat="1"/>
    <row r="1092" s="34" customFormat="1"/>
    <row r="1093" s="34" customFormat="1"/>
    <row r="1094" s="34" customFormat="1"/>
    <row r="1095" s="34" customFormat="1"/>
    <row r="1096" s="34" customFormat="1"/>
    <row r="1097" s="34" customFormat="1"/>
    <row r="1098" s="34" customFormat="1"/>
    <row r="1099" s="34" customFormat="1"/>
    <row r="1100" s="34" customFormat="1"/>
    <row r="1101" s="34" customFormat="1"/>
    <row r="1102" s="34" customFormat="1"/>
    <row r="1103" s="34" customFormat="1"/>
    <row r="1104" s="34" customFormat="1"/>
    <row r="1105" s="34" customFormat="1"/>
    <row r="1106" s="34" customFormat="1"/>
    <row r="1107" s="34" customFormat="1"/>
    <row r="1108" s="34" customFormat="1"/>
    <row r="1109" s="34" customFormat="1"/>
    <row r="1110" s="34" customFormat="1"/>
    <row r="1111" s="34" customFormat="1"/>
    <row r="1112" s="34" customFormat="1"/>
    <row r="1113" s="34" customFormat="1"/>
    <row r="1114" s="34" customFormat="1"/>
    <row r="1115" s="34" customFormat="1"/>
    <row r="1116" s="34" customFormat="1"/>
    <row r="1117" s="34" customFormat="1"/>
    <row r="1118" s="34" customFormat="1"/>
    <row r="1119" s="34" customFormat="1"/>
    <row r="1120" s="34" customFormat="1"/>
    <row r="1121" s="34" customFormat="1"/>
    <row r="1122" s="34" customFormat="1"/>
    <row r="1123" s="34" customFormat="1"/>
    <row r="1124" s="34" customFormat="1"/>
    <row r="1125" s="34" customFormat="1"/>
    <row r="1126" s="34" customFormat="1"/>
    <row r="1127" s="34" customFormat="1"/>
    <row r="1128" s="34" customFormat="1"/>
    <row r="1129" s="34" customFormat="1"/>
    <row r="1130" s="34" customFormat="1"/>
    <row r="1131" s="34" customFormat="1"/>
    <row r="1132" s="34" customFormat="1"/>
    <row r="1133" s="34" customFormat="1"/>
    <row r="1134" s="34" customFormat="1"/>
    <row r="1135" s="34" customFormat="1"/>
    <row r="1136" s="34" customFormat="1"/>
    <row r="1137" s="34" customFormat="1"/>
    <row r="1138" s="34" customFormat="1"/>
    <row r="1139" s="34" customFormat="1"/>
    <row r="1140" s="34" customFormat="1"/>
    <row r="1141" s="34" customFormat="1"/>
    <row r="1142" s="34" customFormat="1"/>
    <row r="1143" s="34" customFormat="1"/>
    <row r="1144" s="34" customFormat="1"/>
    <row r="1145" s="34" customFormat="1"/>
    <row r="1146" s="34" customFormat="1"/>
    <row r="1147" s="34" customFormat="1"/>
    <row r="1148" s="34" customFormat="1"/>
    <row r="1149" s="34" customFormat="1"/>
    <row r="1150" s="34" customFormat="1"/>
    <row r="1151" s="34" customFormat="1"/>
    <row r="1152" s="34" customFormat="1"/>
    <row r="1153" s="34" customFormat="1"/>
    <row r="1154" s="34" customFormat="1"/>
    <row r="1155" s="34" customFormat="1"/>
    <row r="1156" s="34" customFormat="1"/>
    <row r="1157" s="34" customFormat="1"/>
    <row r="1158" s="34" customFormat="1"/>
    <row r="1159" s="34" customFormat="1"/>
    <row r="1160" s="34" customFormat="1"/>
    <row r="1161" s="34" customFormat="1"/>
    <row r="1162" s="34" customFormat="1"/>
    <row r="1163" s="34" customFormat="1"/>
    <row r="1164" s="34" customFormat="1"/>
    <row r="1165" s="34" customFormat="1"/>
    <row r="1166" s="34" customFormat="1"/>
    <row r="1167" s="34" customFormat="1"/>
    <row r="1168" s="34" customFormat="1"/>
    <row r="1169" s="34" customFormat="1"/>
    <row r="1170" s="34" customFormat="1"/>
    <row r="1171" s="34" customFormat="1"/>
    <row r="1172" s="34" customFormat="1"/>
    <row r="1173" s="34" customFormat="1"/>
    <row r="1174" s="34" customFormat="1"/>
    <row r="1175" s="34" customFormat="1"/>
    <row r="1176" s="34" customFormat="1"/>
    <row r="1177" s="34" customFormat="1"/>
    <row r="1178" s="34" customFormat="1"/>
    <row r="1179" s="34" customFormat="1"/>
    <row r="1180" s="34" customFormat="1"/>
    <row r="1181" s="34" customFormat="1"/>
    <row r="1182" s="34" customFormat="1"/>
    <row r="1183" s="34" customFormat="1"/>
    <row r="1184" s="34" customFormat="1"/>
    <row r="1185" s="34" customFormat="1"/>
    <row r="1186" s="34" customFormat="1"/>
    <row r="1187" s="34" customFormat="1"/>
    <row r="1188" s="34" customFormat="1"/>
    <row r="1189" s="34" customFormat="1"/>
    <row r="1190" s="34" customFormat="1"/>
    <row r="1191" s="34" customFormat="1"/>
    <row r="1192" s="34" customFormat="1"/>
    <row r="1193" s="34" customFormat="1"/>
    <row r="1194" s="34" customFormat="1"/>
    <row r="1195" s="34" customFormat="1"/>
    <row r="1196" s="34" customFormat="1"/>
    <row r="1197" s="34" customFormat="1"/>
    <row r="1198" s="34" customFormat="1"/>
    <row r="1199" s="34" customFormat="1"/>
    <row r="1200" s="34" customFormat="1"/>
    <row r="1201" s="34" customFormat="1"/>
    <row r="1202" s="34" customFormat="1"/>
    <row r="1203" s="34" customFormat="1"/>
    <row r="1204" s="34" customFormat="1"/>
    <row r="1205" s="34" customFormat="1"/>
    <row r="1206" s="34" customFormat="1"/>
    <row r="1207" s="34" customFormat="1"/>
    <row r="1208" s="34" customFormat="1"/>
    <row r="1209" s="34" customFormat="1"/>
    <row r="1210" s="34" customFormat="1"/>
    <row r="1211" s="34" customFormat="1"/>
    <row r="1212" s="34" customFormat="1"/>
    <row r="1213" s="34" customFormat="1"/>
    <row r="1214" s="34" customFormat="1"/>
    <row r="1215" s="34" customFormat="1"/>
    <row r="1216" s="34" customFormat="1"/>
    <row r="1217" s="34" customFormat="1"/>
    <row r="1218" s="34" customFormat="1"/>
    <row r="1219" s="34" customFormat="1"/>
    <row r="1220" s="34" customFormat="1"/>
    <row r="1221" s="34" customFormat="1"/>
    <row r="1222" s="34" customFormat="1"/>
    <row r="1223" s="34" customFormat="1"/>
    <row r="1224" s="34" customFormat="1"/>
    <row r="1225" s="34" customFormat="1"/>
    <row r="1226" s="34" customFormat="1"/>
    <row r="1227" s="34" customFormat="1"/>
    <row r="1228" s="34" customFormat="1"/>
    <row r="1229" s="34" customFormat="1"/>
    <row r="1230" s="34" customFormat="1"/>
    <row r="1231" s="34" customFormat="1"/>
    <row r="1232" s="34" customFormat="1"/>
    <row r="1233" s="34" customFormat="1"/>
    <row r="1234" s="34" customFormat="1"/>
    <row r="1235" s="34" customFormat="1"/>
    <row r="1236" s="34" customFormat="1"/>
    <row r="1237" s="34" customFormat="1"/>
    <row r="1238" s="34" customFormat="1"/>
    <row r="1239" s="34" customFormat="1"/>
    <row r="1240" s="34" customFormat="1"/>
    <row r="1241" s="34" customFormat="1"/>
    <row r="1242" s="34" customFormat="1"/>
    <row r="1243" s="34" customFormat="1"/>
    <row r="1244" s="34" customFormat="1"/>
    <row r="1245" s="34" customFormat="1"/>
    <row r="1246" s="34" customFormat="1"/>
    <row r="1247" s="34" customFormat="1"/>
    <row r="1248" s="34" customFormat="1"/>
    <row r="1249" s="34" customFormat="1"/>
    <row r="1250" s="34" customFormat="1"/>
    <row r="1251" s="34" customFormat="1"/>
    <row r="1252" s="34" customFormat="1"/>
    <row r="1253" s="34" customFormat="1"/>
    <row r="1254" s="34" customFormat="1"/>
    <row r="1255" s="34" customFormat="1"/>
    <row r="1256" s="34" customFormat="1"/>
    <row r="1257" s="34" customFormat="1"/>
    <row r="1258" s="34" customFormat="1"/>
    <row r="1259" s="34" customFormat="1"/>
    <row r="1260" s="34" customFormat="1"/>
    <row r="1261" s="34" customFormat="1"/>
    <row r="1262" s="34" customFormat="1"/>
    <row r="1263" s="34" customFormat="1"/>
    <row r="1264" s="34" customFormat="1"/>
    <row r="1265" s="34" customFormat="1"/>
    <row r="1266" s="34" customFormat="1"/>
    <row r="1267" s="34" customFormat="1"/>
    <row r="1268" s="34" customFormat="1"/>
    <row r="1269" s="34" customFormat="1"/>
    <row r="1270" s="34" customFormat="1"/>
    <row r="1271" s="34" customFormat="1"/>
    <row r="1272" s="34" customFormat="1"/>
    <row r="1273" s="34" customFormat="1"/>
    <row r="1274" s="34" customFormat="1"/>
    <row r="1275" s="34" customFormat="1"/>
    <row r="1276" s="34" customFormat="1"/>
    <row r="1277" s="34" customFormat="1"/>
    <row r="1278" s="34" customFormat="1"/>
    <row r="1279" s="34" customFormat="1"/>
    <row r="1280" s="34" customFormat="1"/>
    <row r="1281" s="34" customFormat="1"/>
    <row r="1282" s="34" customFormat="1"/>
    <row r="1283" s="34" customFormat="1"/>
    <row r="1284" s="34" customFormat="1"/>
    <row r="1285" s="34" customFormat="1"/>
    <row r="1286" s="34" customFormat="1"/>
    <row r="1287" s="34" customFormat="1"/>
    <row r="1288" s="34" customFormat="1"/>
    <row r="1289" s="34" customFormat="1"/>
    <row r="1290" s="34" customFormat="1"/>
    <row r="1291" s="34" customFormat="1"/>
    <row r="1292" s="34" customFormat="1"/>
    <row r="1293" s="34" customFormat="1"/>
    <row r="1294" s="34" customFormat="1"/>
    <row r="1295" s="34" customFormat="1"/>
    <row r="1296" s="34" customFormat="1"/>
    <row r="1297" s="34" customFormat="1"/>
    <row r="1298" s="34" customFormat="1"/>
    <row r="1299" s="34" customFormat="1"/>
    <row r="1300" s="34" customFormat="1"/>
    <row r="1301" s="34" customFormat="1"/>
    <row r="1302" s="34" customFormat="1"/>
    <row r="1303" s="34" customFormat="1"/>
    <row r="1304" s="34" customFormat="1"/>
    <row r="1305" s="34" customFormat="1"/>
    <row r="1306" s="34" customFormat="1"/>
    <row r="1307" s="34" customFormat="1"/>
    <row r="1308" s="34" customFormat="1"/>
    <row r="1309" s="34" customFormat="1"/>
    <row r="1310" s="34" customFormat="1"/>
    <row r="1311" s="34" customFormat="1"/>
    <row r="1312" s="34" customFormat="1"/>
    <row r="1313" s="34" customFormat="1"/>
    <row r="1314" s="34" customFormat="1"/>
    <row r="1315" s="34" customFormat="1"/>
    <row r="1316" s="34" customFormat="1"/>
    <row r="1317" s="34" customFormat="1"/>
    <row r="1318" s="34" customFormat="1"/>
    <row r="1319" s="34" customFormat="1"/>
    <row r="1320" s="34" customFormat="1"/>
    <row r="1321" s="34" customFormat="1"/>
    <row r="1322" s="34" customFormat="1"/>
    <row r="1323" s="34" customFormat="1"/>
    <row r="1324" s="34" customFormat="1"/>
    <row r="1325" s="34" customFormat="1"/>
    <row r="1326" s="34" customFormat="1"/>
    <row r="1327" s="34" customFormat="1"/>
    <row r="1328" s="34" customFormat="1"/>
    <row r="1329" s="34" customFormat="1"/>
    <row r="1330" s="34" customFormat="1"/>
    <row r="1331" s="34" customFormat="1"/>
    <row r="1332" s="34" customFormat="1"/>
    <row r="1333" s="34" customFormat="1"/>
    <row r="1334" s="34" customFormat="1"/>
    <row r="1335" s="34" customFormat="1"/>
    <row r="1336" s="34" customFormat="1"/>
    <row r="1337" s="34" customFormat="1"/>
    <row r="1338" s="34" customFormat="1"/>
    <row r="1339" s="34" customFormat="1"/>
    <row r="1340" s="34" customFormat="1"/>
    <row r="1341" s="34" customFormat="1"/>
    <row r="1342" s="34" customFormat="1"/>
    <row r="1343" s="34" customFormat="1"/>
    <row r="1344" s="34" customFormat="1"/>
    <row r="1345" s="34" customFormat="1"/>
    <row r="1346" s="34" customFormat="1"/>
    <row r="1347" s="34" customFormat="1"/>
    <row r="1348" s="34" customFormat="1"/>
    <row r="1349" s="34" customFormat="1"/>
    <row r="1350" s="34" customFormat="1"/>
    <row r="1351" s="34" customFormat="1"/>
    <row r="1352" s="34" customFormat="1"/>
    <row r="1353" s="34" customFormat="1"/>
    <row r="1354" s="34" customFormat="1"/>
    <row r="1355" s="34" customFormat="1"/>
    <row r="1356" s="34" customFormat="1"/>
    <row r="1357" s="34" customFormat="1"/>
    <row r="1358" s="34" customFormat="1"/>
    <row r="1359" s="34" customFormat="1"/>
    <row r="1360" s="34" customFormat="1"/>
    <row r="1361" s="34" customFormat="1"/>
    <row r="1362" s="34" customFormat="1"/>
    <row r="1363" s="34" customFormat="1"/>
    <row r="1364" s="34" customFormat="1"/>
    <row r="1365" s="34" customFormat="1"/>
    <row r="1366" s="34" customFormat="1"/>
    <row r="1367" s="34" customFormat="1"/>
    <row r="1368" s="34" customFormat="1"/>
    <row r="1369" s="34" customFormat="1"/>
    <row r="1370" s="34" customFormat="1"/>
    <row r="1371" s="34" customFormat="1"/>
    <row r="1372" s="34" customFormat="1"/>
    <row r="1373" s="34" customFormat="1"/>
    <row r="1374" s="34" customFormat="1"/>
    <row r="1375" s="34" customFormat="1"/>
    <row r="1376" s="34" customFormat="1"/>
    <row r="1377" s="34" customFormat="1"/>
    <row r="1378" s="34" customFormat="1"/>
    <row r="1379" s="34" customFormat="1"/>
    <row r="1380" s="34" customFormat="1"/>
    <row r="1381" s="34" customFormat="1"/>
    <row r="1382" s="34" customFormat="1"/>
    <row r="1383" s="34" customFormat="1"/>
    <row r="1384" s="34" customFormat="1"/>
    <row r="1385" s="34" customFormat="1"/>
    <row r="1386" s="34" customFormat="1"/>
    <row r="1387" s="34" customFormat="1"/>
    <row r="1388" s="34" customFormat="1"/>
    <row r="1389" s="34" customFormat="1"/>
    <row r="1390" s="34" customFormat="1"/>
    <row r="1391" s="34" customFormat="1"/>
    <row r="1392" s="34" customFormat="1"/>
    <row r="1393" s="34" customFormat="1"/>
    <row r="1394" s="34" customFormat="1"/>
    <row r="1395" s="34" customFormat="1"/>
    <row r="1396" s="34" customFormat="1"/>
    <row r="1397" s="34" customFormat="1"/>
    <row r="1398" s="34" customFormat="1"/>
    <row r="1399" s="34" customFormat="1"/>
    <row r="1400" s="34" customFormat="1"/>
    <row r="1401" s="34" customFormat="1"/>
    <row r="1402" s="34" customFormat="1"/>
    <row r="1403" s="34" customFormat="1"/>
    <row r="1404" s="34" customFormat="1"/>
    <row r="1405" s="34" customFormat="1"/>
    <row r="1406" s="34" customFormat="1"/>
    <row r="1407" s="34" customFormat="1"/>
    <row r="1408" s="34" customFormat="1"/>
    <row r="1409" s="34" customFormat="1"/>
    <row r="1410" s="34" customFormat="1"/>
    <row r="1411" s="34" customFormat="1"/>
    <row r="1412" s="34" customFormat="1"/>
    <row r="1413" s="34" customFormat="1"/>
    <row r="1414" s="34" customFormat="1"/>
    <row r="1415" s="34" customFormat="1"/>
    <row r="1416" s="34" customFormat="1"/>
    <row r="1417" s="34" customFormat="1"/>
    <row r="1418" s="34" customFormat="1"/>
    <row r="1419" s="34" customFormat="1"/>
    <row r="1420" s="34" customFormat="1"/>
    <row r="1421" s="34" customFormat="1"/>
    <row r="1422" s="34" customFormat="1"/>
    <row r="1423" s="34" customFormat="1"/>
    <row r="1424" s="34" customFormat="1"/>
    <row r="1425" s="34" customFormat="1"/>
    <row r="1426" s="34" customFormat="1"/>
    <row r="1427" s="34" customFormat="1"/>
    <row r="1428" s="34" customFormat="1"/>
    <row r="1429" s="34" customFormat="1"/>
    <row r="1430" s="34" customFormat="1"/>
    <row r="1431" s="34" customFormat="1"/>
    <row r="1432" s="34" customFormat="1"/>
    <row r="1433" s="34" customFormat="1"/>
    <row r="1434" s="34" customFormat="1"/>
    <row r="1435" s="34" customFormat="1"/>
    <row r="1436" s="34" customFormat="1"/>
    <row r="1437" s="34" customFormat="1"/>
    <row r="1438" s="34" customFormat="1"/>
    <row r="1439" s="34" customFormat="1"/>
    <row r="1440" s="34" customFormat="1"/>
    <row r="1441" s="34" customFormat="1"/>
    <row r="1442" s="34" customFormat="1"/>
    <row r="1443" s="34" customFormat="1"/>
    <row r="1444" s="34" customFormat="1"/>
    <row r="1445" s="34" customFormat="1"/>
    <row r="1446" s="34" customFormat="1"/>
    <row r="1447" s="34" customFormat="1"/>
    <row r="1448" s="34" customFormat="1"/>
    <row r="1449" s="34" customFormat="1"/>
    <row r="1450" s="34" customFormat="1"/>
    <row r="1451" s="34" customFormat="1"/>
    <row r="1452" s="34" customFormat="1"/>
    <row r="1453" s="34" customFormat="1"/>
    <row r="1454" s="34" customFormat="1"/>
    <row r="1455" s="34" customFormat="1"/>
    <row r="1456" s="34" customFormat="1"/>
    <row r="1457" s="34" customFormat="1"/>
    <row r="1458" s="34" customFormat="1"/>
    <row r="1459" s="34" customFormat="1"/>
    <row r="1460" s="34" customFormat="1"/>
    <row r="1461" s="34" customFormat="1"/>
    <row r="1462" s="34" customFormat="1"/>
    <row r="1463" s="34" customFormat="1"/>
    <row r="1464" s="34" customFormat="1"/>
    <row r="1465" s="34" customFormat="1"/>
    <row r="1466" s="34" customFormat="1"/>
    <row r="1467" s="34" customFormat="1"/>
    <row r="1468" s="34" customFormat="1"/>
    <row r="1469" s="34" customFormat="1"/>
    <row r="1470" s="34" customFormat="1"/>
    <row r="1471" s="34" customFormat="1"/>
    <row r="1472" s="34" customFormat="1"/>
    <row r="1473" s="34" customFormat="1"/>
    <row r="1474" s="34" customFormat="1"/>
    <row r="1475" s="34" customFormat="1"/>
    <row r="1476" s="34" customFormat="1"/>
    <row r="1477" s="34" customFormat="1"/>
    <row r="1478" s="34" customFormat="1"/>
    <row r="1479" s="34" customFormat="1"/>
    <row r="1480" s="34" customFormat="1"/>
    <row r="1481" s="34" customFormat="1"/>
    <row r="1482" s="34" customFormat="1"/>
    <row r="1483" s="34" customFormat="1"/>
    <row r="1484" s="34" customFormat="1"/>
    <row r="1485" s="34" customFormat="1"/>
    <row r="1486" s="34" customFormat="1"/>
    <row r="1487" s="34" customFormat="1"/>
    <row r="1488" s="34" customFormat="1"/>
    <row r="1489" s="34" customFormat="1"/>
    <row r="1490" s="34" customFormat="1"/>
    <row r="1491" s="34" customFormat="1"/>
    <row r="1492" s="34" customFormat="1"/>
    <row r="1493" s="34" customFormat="1"/>
    <row r="1494" s="34" customFormat="1"/>
    <row r="1495" s="34" customFormat="1"/>
    <row r="1496" s="34" customFormat="1"/>
    <row r="1497" s="34" customFormat="1"/>
    <row r="1498" s="34" customFormat="1"/>
    <row r="1499" s="34" customFormat="1"/>
    <row r="1500" s="34" customFormat="1"/>
    <row r="1501" s="34" customFormat="1"/>
    <row r="1502" s="34" customFormat="1"/>
    <row r="1503" s="34" customFormat="1"/>
    <row r="1504" s="34" customFormat="1"/>
    <row r="1505" s="34" customFormat="1"/>
    <row r="1506" s="34" customFormat="1"/>
    <row r="1507" s="34" customFormat="1"/>
    <row r="1508" s="34" customFormat="1"/>
    <row r="1509" s="34" customFormat="1"/>
    <row r="1510" s="34" customFormat="1"/>
    <row r="1511" s="34" customFormat="1"/>
    <row r="1512" s="34" customFormat="1"/>
    <row r="1513" s="34" customFormat="1"/>
    <row r="1514" s="34" customFormat="1"/>
    <row r="1515" s="34" customFormat="1"/>
    <row r="1516" s="34" customFormat="1"/>
    <row r="1517" s="34" customFormat="1"/>
    <row r="1518" s="34" customFormat="1"/>
    <row r="1519" s="34" customFormat="1"/>
    <row r="1520" s="34" customFormat="1"/>
    <row r="1521" s="34" customFormat="1"/>
    <row r="1522" s="34" customFormat="1"/>
    <row r="1523" s="34" customFormat="1"/>
    <row r="1524" s="34" customFormat="1"/>
    <row r="1525" s="34" customFormat="1"/>
    <row r="1526" s="34" customFormat="1"/>
    <row r="1527" s="34" customFormat="1"/>
    <row r="1528" s="34" customFormat="1"/>
    <row r="1529" s="34" customFormat="1"/>
    <row r="1530" s="34" customFormat="1"/>
    <row r="1531" s="34" customFormat="1"/>
    <row r="1532" s="34" customFormat="1"/>
    <row r="1533" s="34" customFormat="1"/>
    <row r="1534" s="34" customFormat="1"/>
    <row r="1535" s="34" customFormat="1"/>
    <row r="1536" s="34" customFormat="1"/>
    <row r="1537" s="34" customFormat="1"/>
    <row r="1538" s="34" customFormat="1"/>
    <row r="1539" s="34" customFormat="1"/>
    <row r="1540" s="34" customFormat="1"/>
    <row r="1541" s="34" customFormat="1"/>
    <row r="1542" s="34" customFormat="1"/>
    <row r="1543" s="34" customFormat="1"/>
    <row r="1544" s="34" customFormat="1"/>
    <row r="1545" s="34" customFormat="1"/>
    <row r="1546" s="34" customFormat="1"/>
    <row r="1547" s="34" customFormat="1"/>
    <row r="1548" s="34" customFormat="1"/>
    <row r="1549" s="34" customFormat="1"/>
    <row r="1550" s="34" customFormat="1"/>
    <row r="1551" s="34" customFormat="1"/>
    <row r="1552" s="34" customFormat="1"/>
    <row r="1553" s="34" customFormat="1"/>
    <row r="1554" s="34" customFormat="1"/>
    <row r="1555" s="34" customFormat="1"/>
    <row r="1556" s="34" customFormat="1"/>
    <row r="1557" s="34" customFormat="1"/>
    <row r="1558" s="34" customFormat="1"/>
    <row r="1559" s="34" customFormat="1"/>
    <row r="1560" s="34" customFormat="1"/>
    <row r="1561" s="34" customFormat="1"/>
    <row r="1562" s="34" customFormat="1"/>
    <row r="1563" s="34" customFormat="1"/>
    <row r="1564" s="34" customFormat="1"/>
    <row r="1565" s="34" customFormat="1"/>
    <row r="1566" s="34" customFormat="1"/>
    <row r="1567" s="34" customFormat="1"/>
    <row r="1568" s="34" customFormat="1"/>
    <row r="1569" s="34" customFormat="1"/>
    <row r="1570" s="34" customFormat="1"/>
    <row r="1571" s="34" customFormat="1"/>
    <row r="1572" s="34" customFormat="1"/>
    <row r="1573" s="34" customFormat="1"/>
    <row r="1574" s="34" customFormat="1"/>
    <row r="1575" s="34" customFormat="1"/>
    <row r="1576" s="34" customFormat="1"/>
    <row r="1577" s="34" customFormat="1"/>
    <row r="1578" s="34" customFormat="1"/>
    <row r="1579" s="34" customFormat="1"/>
    <row r="1580" s="34" customFormat="1"/>
    <row r="1581" s="34" customFormat="1"/>
    <row r="1582" s="34" customFormat="1"/>
    <row r="1583" s="34" customFormat="1"/>
    <row r="1584" s="34" customFormat="1"/>
    <row r="1585" s="34" customFormat="1"/>
    <row r="1586" s="34" customFormat="1"/>
    <row r="1587" s="34" customFormat="1"/>
    <row r="1588" s="34" customFormat="1"/>
    <row r="1589" s="34" customFormat="1"/>
    <row r="1590" s="34" customFormat="1"/>
    <row r="1591" s="34" customFormat="1"/>
    <row r="1592" s="34" customFormat="1"/>
    <row r="1593" s="34" customFormat="1"/>
    <row r="1594" s="34" customFormat="1"/>
    <row r="1595" s="34" customFormat="1"/>
    <row r="1596" s="34" customFormat="1"/>
    <row r="1597" s="34" customFormat="1"/>
    <row r="1598" s="34" customFormat="1"/>
    <row r="1599" s="34" customFormat="1"/>
    <row r="1600" s="34" customFormat="1"/>
    <row r="1601" s="34" customFormat="1"/>
    <row r="1602" s="34" customFormat="1"/>
    <row r="1603" s="34" customFormat="1"/>
    <row r="1604" s="34" customFormat="1"/>
    <row r="1605" s="34" customFormat="1"/>
    <row r="1606" s="34" customFormat="1"/>
    <row r="1607" s="34" customFormat="1"/>
    <row r="1608" s="34" customFormat="1"/>
    <row r="1609" s="34" customFormat="1"/>
    <row r="1610" s="34" customFormat="1"/>
    <row r="1611" s="34" customFormat="1"/>
    <row r="1612" s="34" customFormat="1"/>
    <row r="1613" s="34" customFormat="1"/>
    <row r="1614" s="34" customFormat="1"/>
    <row r="1615" s="34" customFormat="1"/>
    <row r="1616" s="34" customFormat="1"/>
    <row r="1617" s="34" customFormat="1"/>
    <row r="1618" s="34" customFormat="1"/>
    <row r="1619" s="34" customFormat="1"/>
    <row r="1620" s="34" customFormat="1"/>
    <row r="1621" s="34" customFormat="1"/>
    <row r="1622" s="34" customFormat="1"/>
    <row r="1623" s="34" customFormat="1"/>
    <row r="1624" s="34" customFormat="1"/>
    <row r="1625" s="34" customFormat="1"/>
    <row r="1626" s="34" customFormat="1"/>
    <row r="1627" s="34" customFormat="1"/>
    <row r="1628" s="34" customFormat="1"/>
    <row r="1629" s="34" customFormat="1"/>
    <row r="1630" s="34" customFormat="1"/>
    <row r="1631" s="34" customFormat="1"/>
    <row r="1632" s="34" customFormat="1"/>
    <row r="1633" s="34" customFormat="1"/>
    <row r="1634" s="34" customFormat="1"/>
    <row r="1635" s="34" customFormat="1"/>
    <row r="1636" s="34" customFormat="1"/>
    <row r="1637" s="34" customFormat="1"/>
    <row r="1638" s="34" customFormat="1"/>
    <row r="1639" s="34" customFormat="1"/>
    <row r="1640" s="34" customFormat="1"/>
    <row r="1641" s="34" customFormat="1"/>
    <row r="1642" s="34" customFormat="1"/>
    <row r="1643" s="34" customFormat="1"/>
    <row r="1644" s="34" customFormat="1"/>
    <row r="1645" s="34" customFormat="1"/>
    <row r="1646" s="34" customFormat="1"/>
    <row r="1647" s="34" customFormat="1"/>
    <row r="1648" s="34" customFormat="1"/>
    <row r="1649" s="34" customFormat="1"/>
    <row r="1650" s="34" customFormat="1"/>
    <row r="1651" s="34" customFormat="1"/>
    <row r="1652" s="34" customFormat="1"/>
    <row r="1653" s="34" customFormat="1"/>
    <row r="1654" s="34" customFormat="1"/>
    <row r="1655" s="34" customFormat="1"/>
    <row r="1656" s="34" customFormat="1"/>
    <row r="1657" s="34" customFormat="1"/>
    <row r="1658" s="34" customFormat="1"/>
    <row r="1659" s="34" customFormat="1"/>
    <row r="1660" s="34" customFormat="1"/>
    <row r="1661" s="34" customFormat="1"/>
    <row r="1662" s="34" customFormat="1"/>
    <row r="1663" s="34" customFormat="1"/>
    <row r="1664" s="34" customFormat="1"/>
    <row r="1665" s="34" customFormat="1"/>
    <row r="1666" s="34" customFormat="1"/>
    <row r="1667" s="34" customFormat="1"/>
    <row r="1668" s="34" customFormat="1"/>
    <row r="1669" s="34" customFormat="1"/>
    <row r="1670" s="34" customFormat="1"/>
    <row r="1671" s="34" customFormat="1"/>
    <row r="1672" s="34" customFormat="1"/>
    <row r="1673" s="34" customFormat="1"/>
    <row r="1674" s="34" customFormat="1"/>
    <row r="1675" s="34" customFormat="1"/>
    <row r="1676" s="34" customFormat="1"/>
    <row r="1677" s="34" customFormat="1"/>
    <row r="1678" s="34" customFormat="1"/>
    <row r="1679" s="34" customFormat="1"/>
    <row r="1680" s="34" customFormat="1"/>
    <row r="1681" s="34" customFormat="1"/>
    <row r="1682" s="34" customFormat="1"/>
    <row r="1683" s="34" customFormat="1"/>
    <row r="1684" s="34" customFormat="1"/>
    <row r="1685" s="34" customFormat="1"/>
    <row r="1686" s="34" customFormat="1"/>
    <row r="1687" s="34" customFormat="1"/>
    <row r="1688" s="34" customFormat="1"/>
    <row r="1689" s="34" customFormat="1"/>
    <row r="1690" s="34" customFormat="1"/>
    <row r="1691" s="34" customFormat="1"/>
    <row r="1692" s="34" customFormat="1"/>
    <row r="1693" s="34" customFormat="1"/>
    <row r="1694" s="34" customFormat="1"/>
    <row r="1695" s="34" customFormat="1"/>
    <row r="1696" s="34" customFormat="1"/>
    <row r="1697" s="34" customFormat="1"/>
    <row r="1698" s="34" customFormat="1"/>
    <row r="1699" s="34" customFormat="1"/>
    <row r="1700" s="34" customFormat="1"/>
    <row r="1701" s="34" customFormat="1"/>
    <row r="1702" s="34" customFormat="1"/>
    <row r="1703" s="34" customFormat="1"/>
    <row r="1704" s="34" customFormat="1"/>
    <row r="1705" s="34" customFormat="1"/>
    <row r="1706" s="34" customFormat="1"/>
    <row r="1707" s="34" customFormat="1"/>
    <row r="1708" s="34" customFormat="1"/>
    <row r="1709" s="34" customFormat="1"/>
    <row r="1710" s="34" customFormat="1"/>
    <row r="1711" s="34" customFormat="1"/>
    <row r="1712" s="34" customFormat="1"/>
    <row r="1713" s="34" customFormat="1"/>
    <row r="1714" s="34" customFormat="1"/>
    <row r="1715" s="34" customFormat="1"/>
    <row r="1716" s="34" customFormat="1"/>
    <row r="1717" s="34" customFormat="1"/>
    <row r="1718" s="34" customFormat="1"/>
    <row r="1719" s="34" customFormat="1"/>
    <row r="1720" s="34" customFormat="1"/>
    <row r="1721" s="34" customFormat="1"/>
    <row r="1722" s="34" customFormat="1"/>
    <row r="1723" s="34" customFormat="1"/>
    <row r="1724" s="34" customFormat="1"/>
    <row r="1725" s="34" customFormat="1"/>
    <row r="1726" s="34" customFormat="1"/>
    <row r="1727" s="34" customFormat="1"/>
    <row r="1728" s="34" customFormat="1"/>
    <row r="1729" s="34" customFormat="1"/>
    <row r="1730" s="34" customFormat="1"/>
    <row r="1731" s="34" customFormat="1"/>
    <row r="1732" s="34" customFormat="1"/>
    <row r="1733" s="34" customFormat="1"/>
    <row r="1734" s="34" customFormat="1"/>
    <row r="1735" s="34" customFormat="1"/>
    <row r="1736" s="34" customFormat="1"/>
    <row r="1737" s="34" customFormat="1"/>
    <row r="1738" s="34" customFormat="1"/>
    <row r="1739" s="34" customFormat="1"/>
    <row r="1740" s="34" customFormat="1"/>
    <row r="1741" s="34" customFormat="1"/>
    <row r="1742" s="34" customFormat="1"/>
    <row r="1743" s="34" customFormat="1"/>
    <row r="1744" s="34" customFormat="1"/>
    <row r="1745" s="34" customFormat="1"/>
    <row r="1746" s="34" customFormat="1"/>
    <row r="1747" s="34" customFormat="1"/>
    <row r="1748" s="34" customFormat="1"/>
    <row r="1749" s="34" customFormat="1"/>
    <row r="1750" s="34" customFormat="1"/>
    <row r="1751" s="34" customFormat="1"/>
    <row r="1752" s="34" customFormat="1"/>
    <row r="1753" s="34" customFormat="1"/>
    <row r="1754" s="34" customFormat="1"/>
    <row r="1755" s="34" customFormat="1"/>
    <row r="1756" s="34" customFormat="1"/>
    <row r="1757" s="34" customFormat="1"/>
    <row r="1758" s="34" customFormat="1"/>
    <row r="1759" s="34" customFormat="1"/>
    <row r="1760" s="34" customFormat="1"/>
    <row r="1761" s="34" customFormat="1"/>
    <row r="1762" s="34" customFormat="1"/>
    <row r="1763" s="34" customFormat="1"/>
    <row r="1764" s="34" customFormat="1"/>
    <row r="1765" s="34" customFormat="1"/>
    <row r="1766" s="34" customFormat="1"/>
    <row r="1767" s="34" customFormat="1"/>
    <row r="1768" s="34" customFormat="1"/>
    <row r="1769" s="34" customFormat="1"/>
    <row r="1770" s="34" customFormat="1"/>
    <row r="1771" s="34" customFormat="1"/>
    <row r="1772" s="34" customFormat="1"/>
    <row r="1773" s="34" customFormat="1"/>
    <row r="1774" s="34" customFormat="1"/>
    <row r="1775" s="34" customFormat="1"/>
    <row r="1776" s="34" customFormat="1"/>
    <row r="1777" s="34" customFormat="1"/>
    <row r="1778" s="34" customFormat="1"/>
    <row r="1779" s="34" customFormat="1"/>
    <row r="1780" s="34" customFormat="1"/>
    <row r="1781" s="34" customFormat="1"/>
    <row r="1782" s="34" customFormat="1"/>
    <row r="1783" s="34" customFormat="1"/>
    <row r="1784" s="34" customFormat="1"/>
    <row r="1785" s="34" customFormat="1"/>
    <row r="1786" s="34" customFormat="1"/>
    <row r="1787" s="34" customFormat="1"/>
    <row r="1788" s="34" customFormat="1"/>
    <row r="1789" s="34" customFormat="1"/>
    <row r="1790" s="34" customFormat="1"/>
    <row r="1791" s="34" customFormat="1"/>
    <row r="1792" s="34" customFormat="1"/>
    <row r="1793" s="34" customFormat="1"/>
    <row r="1794" s="34" customFormat="1"/>
    <row r="1795" s="34" customFormat="1"/>
    <row r="1796" s="34" customFormat="1"/>
    <row r="1797" s="34" customFormat="1"/>
    <row r="1798" s="34" customFormat="1"/>
    <row r="1799" s="34" customFormat="1"/>
    <row r="1800" s="34" customFormat="1"/>
    <row r="1801" s="34" customFormat="1"/>
    <row r="1802" s="34" customFormat="1"/>
    <row r="1803" s="34" customFormat="1"/>
    <row r="1804" s="34" customFormat="1"/>
    <row r="1805" s="34" customFormat="1"/>
    <row r="1806" s="34" customFormat="1"/>
    <row r="1807" s="34" customFormat="1"/>
    <row r="1808" s="34" customFormat="1"/>
    <row r="1809" s="34" customFormat="1"/>
    <row r="1810" s="34" customFormat="1"/>
    <row r="1811" s="34" customFormat="1"/>
    <row r="1812" s="34" customFormat="1"/>
    <row r="1813" s="34" customFormat="1"/>
    <row r="1814" s="34" customFormat="1"/>
    <row r="1815" s="34" customFormat="1"/>
    <row r="1816" s="34" customFormat="1"/>
    <row r="1817" s="34" customFormat="1"/>
    <row r="1818" s="34" customFormat="1"/>
    <row r="1819" s="34" customFormat="1"/>
    <row r="1820" s="34" customFormat="1"/>
    <row r="1821" s="34" customFormat="1"/>
    <row r="1822" s="34" customFormat="1"/>
    <row r="1823" s="34" customFormat="1"/>
    <row r="1824" s="34" customFormat="1"/>
    <row r="1825" s="34" customFormat="1"/>
    <row r="1826" s="34" customFormat="1"/>
    <row r="1827" s="34" customFormat="1"/>
    <row r="1828" s="34" customFormat="1"/>
    <row r="1829" s="34" customFormat="1"/>
    <row r="1830" s="34" customFormat="1"/>
    <row r="1831" s="34" customFormat="1"/>
    <row r="1832" s="34" customFormat="1"/>
    <row r="1833" s="34" customFormat="1"/>
    <row r="1834" s="34" customFormat="1"/>
    <row r="1835" s="34" customFormat="1"/>
    <row r="1836" s="34" customFormat="1"/>
    <row r="1837" s="34" customFormat="1"/>
    <row r="1838" s="34" customFormat="1"/>
    <row r="1839" s="34" customFormat="1"/>
    <row r="1840" s="34" customFormat="1"/>
    <row r="1841" s="34" customFormat="1"/>
    <row r="1842" s="34" customFormat="1"/>
    <row r="1843" s="34" customFormat="1"/>
    <row r="1844" s="34" customFormat="1"/>
    <row r="1845" s="34" customFormat="1"/>
    <row r="1846" s="34" customFormat="1"/>
    <row r="1847" s="34" customFormat="1"/>
    <row r="1848" s="34" customFormat="1"/>
    <row r="1849" s="34" customFormat="1"/>
    <row r="1850" s="34" customFormat="1"/>
    <row r="1851" s="34" customFormat="1"/>
    <row r="1852" s="34" customFormat="1"/>
    <row r="1853" s="34" customFormat="1"/>
    <row r="1854" s="34" customFormat="1"/>
    <row r="1855" s="34" customFormat="1"/>
    <row r="1856" s="34" customFormat="1"/>
    <row r="1857" s="34" customFormat="1"/>
    <row r="1858" s="34" customFormat="1"/>
    <row r="1859" s="34" customFormat="1"/>
    <row r="1860" s="34" customFormat="1"/>
    <row r="1861" s="34" customFormat="1"/>
    <row r="1862" s="34" customFormat="1"/>
    <row r="1863" s="34" customFormat="1"/>
    <row r="1864" s="34" customFormat="1"/>
    <row r="1865" s="34" customFormat="1"/>
    <row r="1866" s="34" customFormat="1"/>
    <row r="1867" s="34" customFormat="1"/>
    <row r="1868" s="34" customFormat="1"/>
    <row r="1869" s="34" customFormat="1"/>
    <row r="1870" s="34" customFormat="1"/>
    <row r="1871" s="34" customFormat="1"/>
    <row r="1872" s="34" customFormat="1"/>
    <row r="1873" s="34" customFormat="1"/>
    <row r="1874" s="34" customFormat="1"/>
    <row r="1875" s="34" customFormat="1"/>
    <row r="1876" s="34" customFormat="1"/>
    <row r="1877" s="34" customFormat="1"/>
    <row r="1878" s="34" customFormat="1"/>
    <row r="1879" s="34" customFormat="1"/>
    <row r="1880" s="34" customFormat="1"/>
    <row r="1881" s="34" customFormat="1"/>
    <row r="1882" s="34" customFormat="1"/>
    <row r="1883" s="34" customFormat="1"/>
    <row r="1884" s="34" customFormat="1"/>
    <row r="1885" s="34" customFormat="1"/>
    <row r="1886" s="34" customFormat="1"/>
    <row r="1887" s="34" customFormat="1"/>
    <row r="1888" s="34" customFormat="1"/>
    <row r="1889" s="34" customFormat="1"/>
    <row r="1890" s="34" customFormat="1"/>
    <row r="1891" s="34" customFormat="1"/>
    <row r="1892" s="34" customFormat="1"/>
    <row r="1893" s="34" customFormat="1"/>
    <row r="1894" s="34" customFormat="1"/>
    <row r="1895" s="34" customFormat="1"/>
    <row r="1896" s="34" customFormat="1"/>
    <row r="1897" s="34" customFormat="1"/>
    <row r="1898" s="34" customFormat="1"/>
    <row r="1899" s="34" customFormat="1"/>
    <row r="1900" s="34" customFormat="1"/>
    <row r="1901" s="34" customFormat="1"/>
    <row r="1902" s="34" customFormat="1"/>
    <row r="1903" s="34" customFormat="1"/>
    <row r="1904" s="34" customFormat="1"/>
    <row r="1905" s="34" customFormat="1"/>
    <row r="1906" s="34" customFormat="1"/>
    <row r="1907" s="34" customFormat="1"/>
    <row r="1908" s="34" customFormat="1"/>
    <row r="1909" s="34" customFormat="1"/>
    <row r="1910" s="34" customFormat="1"/>
    <row r="1911" s="34" customFormat="1"/>
    <row r="1912" s="34" customFormat="1"/>
    <row r="1913" s="34" customFormat="1"/>
    <row r="1914" s="34" customFormat="1"/>
    <row r="1915" s="34" customFormat="1"/>
    <row r="1916" s="34" customFormat="1"/>
    <row r="1917" s="34" customFormat="1"/>
    <row r="1918" s="34" customFormat="1"/>
    <row r="1919" s="34" customFormat="1"/>
    <row r="1920" s="34" customFormat="1"/>
    <row r="1921" s="34" customFormat="1"/>
    <row r="1922" s="34" customFormat="1"/>
    <row r="1923" s="34" customFormat="1"/>
    <row r="1924" s="34" customFormat="1"/>
    <row r="1925" s="34" customFormat="1"/>
    <row r="1926" s="34" customFormat="1"/>
    <row r="1927" s="34" customFormat="1"/>
    <row r="1928" s="34" customFormat="1"/>
    <row r="1929" s="34" customFormat="1"/>
    <row r="1930" s="34" customFormat="1"/>
    <row r="1931" s="34" customFormat="1"/>
    <row r="1932" s="34" customFormat="1"/>
    <row r="1933" s="34" customFormat="1"/>
    <row r="1934" s="34" customFormat="1"/>
    <row r="1935" s="34" customFormat="1"/>
    <row r="1936" s="34" customFormat="1"/>
    <row r="1937" s="34" customFormat="1"/>
    <row r="1938" s="34" customFormat="1"/>
    <row r="1939" s="34" customFormat="1"/>
    <row r="1940" s="34" customFormat="1"/>
    <row r="1941" s="34" customFormat="1"/>
    <row r="1942" s="34" customFormat="1"/>
    <row r="1943" s="34" customFormat="1"/>
    <row r="1944" s="34" customFormat="1"/>
    <row r="1945" s="34" customFormat="1"/>
    <row r="1946" s="34" customFormat="1"/>
    <row r="1947" s="34" customFormat="1"/>
    <row r="1948" s="34" customFormat="1"/>
    <row r="1949" s="34" customFormat="1"/>
    <row r="1950" s="34" customFormat="1"/>
    <row r="1951" s="34" customFormat="1"/>
    <row r="1952" s="34" customFormat="1"/>
    <row r="1953" s="34" customFormat="1"/>
    <row r="1954" s="34" customFormat="1"/>
    <row r="1955" s="34" customFormat="1"/>
    <row r="1956" s="34" customFormat="1"/>
    <row r="1957" s="34" customFormat="1"/>
    <row r="1958" s="34" customFormat="1"/>
    <row r="1959" s="34" customFormat="1"/>
    <row r="1960" s="34" customFormat="1"/>
    <row r="1961" s="34" customFormat="1"/>
    <row r="1962" s="34" customFormat="1"/>
    <row r="1963" s="34" customFormat="1"/>
    <row r="1964" s="34" customFormat="1"/>
    <row r="1965" s="34" customFormat="1"/>
    <row r="1966" s="34" customFormat="1"/>
    <row r="1967" s="34" customFormat="1"/>
    <row r="1968" s="34" customFormat="1"/>
    <row r="1969" s="34" customFormat="1"/>
    <row r="1970" s="34" customFormat="1"/>
    <row r="1971" s="34" customFormat="1"/>
    <row r="1972" s="34" customFormat="1"/>
    <row r="1973" s="34" customFormat="1"/>
    <row r="1974" s="34" customFormat="1"/>
    <row r="1975" s="34" customFormat="1"/>
    <row r="1976" s="34" customFormat="1"/>
    <row r="1977" s="34" customFormat="1"/>
    <row r="1978" s="34" customFormat="1"/>
    <row r="1979" s="34" customFormat="1"/>
    <row r="1980" s="34" customFormat="1"/>
    <row r="1981" s="34" customFormat="1"/>
    <row r="1982" s="34" customFormat="1"/>
    <row r="1983" s="34" customFormat="1"/>
    <row r="1984" s="34" customFormat="1"/>
    <row r="1985" s="34" customFormat="1"/>
    <row r="1986" s="34" customFormat="1"/>
    <row r="1987" s="34" customFormat="1"/>
    <row r="1988" s="34" customFormat="1"/>
    <row r="1989" s="34" customFormat="1"/>
    <row r="1990" s="34" customFormat="1"/>
    <row r="1991" s="34" customFormat="1"/>
    <row r="1992" s="34" customFormat="1"/>
    <row r="1993" s="34" customFormat="1"/>
    <row r="1994" s="34" customFormat="1"/>
    <row r="1995" s="34" customFormat="1"/>
    <row r="1996" s="34" customFormat="1"/>
    <row r="1997" s="34" customFormat="1"/>
    <row r="1998" s="34" customFormat="1"/>
    <row r="1999" s="34" customFormat="1"/>
    <row r="2000" s="34" customFormat="1"/>
    <row r="2001" s="34" customFormat="1"/>
    <row r="2002" s="34" customFormat="1"/>
    <row r="2003" s="34" customFormat="1"/>
    <row r="2004" s="34" customFormat="1"/>
    <row r="2005" s="34" customFormat="1"/>
    <row r="2006" s="34" customFormat="1"/>
    <row r="2007" s="34" customFormat="1"/>
    <row r="2008" s="34" customFormat="1"/>
    <row r="2009" s="34" customFormat="1"/>
    <row r="2010" s="34" customFormat="1"/>
    <row r="2011" s="34" customFormat="1"/>
    <row r="2012" s="34" customFormat="1"/>
    <row r="2013" s="34" customFormat="1"/>
    <row r="2014" s="34" customFormat="1"/>
    <row r="2015" s="34" customFormat="1"/>
    <row r="2016" s="34" customFormat="1"/>
    <row r="2017" s="34" customFormat="1"/>
    <row r="2018" s="34" customFormat="1"/>
    <row r="2019" s="34" customFormat="1"/>
    <row r="2020" s="34" customFormat="1"/>
    <row r="2021" s="34" customFormat="1"/>
    <row r="2022" s="34" customFormat="1"/>
    <row r="2023" s="34" customFormat="1"/>
    <row r="2024" s="34" customFormat="1"/>
    <row r="2025" s="34" customFormat="1"/>
    <row r="2026" s="34" customFormat="1"/>
    <row r="2027" s="34" customFormat="1"/>
    <row r="2028" s="34" customFormat="1"/>
    <row r="2029" s="34" customFormat="1"/>
    <row r="2030" s="34" customFormat="1"/>
    <row r="2031" s="34" customFormat="1"/>
    <row r="2032" s="34" customFormat="1"/>
    <row r="2033" s="34" customFormat="1"/>
    <row r="2034" s="34" customFormat="1"/>
    <row r="2035" s="34" customFormat="1"/>
    <row r="2036" s="34" customFormat="1"/>
    <row r="2037" s="34" customFormat="1"/>
    <row r="2038" s="34" customFormat="1"/>
    <row r="2039" s="34" customFormat="1"/>
    <row r="2040" s="34" customFormat="1"/>
    <row r="2041" s="34" customFormat="1"/>
    <row r="2042" s="34" customFormat="1"/>
    <row r="2043" s="34" customFormat="1"/>
    <row r="2044" s="34" customFormat="1"/>
    <row r="2045" s="34" customFormat="1"/>
    <row r="2046" s="34" customFormat="1"/>
    <row r="2047" s="34" customFormat="1"/>
    <row r="2048" s="34" customFormat="1"/>
    <row r="2049" s="34" customFormat="1"/>
    <row r="2050" s="34" customFormat="1"/>
    <row r="2051" s="34" customFormat="1"/>
    <row r="2052" s="34" customFormat="1"/>
    <row r="2053" s="34" customFormat="1"/>
    <row r="2054" s="34" customFormat="1"/>
    <row r="2055" s="34" customFormat="1"/>
    <row r="2056" s="34" customFormat="1"/>
    <row r="2057" s="34" customFormat="1"/>
    <row r="2058" s="34" customFormat="1"/>
    <row r="2059" s="34" customFormat="1"/>
    <row r="2060" s="34" customFormat="1"/>
    <row r="2061" s="34" customFormat="1"/>
    <row r="2062" s="34" customFormat="1"/>
    <row r="2063" s="34" customFormat="1"/>
    <row r="2064" s="34" customFormat="1"/>
    <row r="2065" s="34" customFormat="1"/>
    <row r="2066" s="34" customFormat="1"/>
    <row r="2067" s="34" customFormat="1"/>
    <row r="2068" s="34" customFormat="1"/>
    <row r="2069" s="34" customFormat="1"/>
    <row r="2070" s="34" customFormat="1"/>
    <row r="2071" s="34" customFormat="1"/>
    <row r="2072" s="34" customFormat="1"/>
    <row r="2073" s="34" customFormat="1"/>
    <row r="2074" s="34" customFormat="1"/>
    <row r="2075" s="34" customFormat="1"/>
    <row r="2076" s="34" customFormat="1"/>
    <row r="2077" s="34" customFormat="1"/>
    <row r="2078" s="34" customFormat="1"/>
    <row r="2079" s="34" customFormat="1"/>
    <row r="2080" s="34" customFormat="1"/>
    <row r="2081" s="34" customFormat="1"/>
    <row r="2082" s="34" customFormat="1"/>
    <row r="2083" s="34" customFormat="1"/>
    <row r="2084" s="34" customFormat="1"/>
    <row r="2085" s="34" customFormat="1"/>
    <row r="2086" s="34" customFormat="1"/>
    <row r="2087" s="34" customFormat="1"/>
    <row r="2088" s="34" customFormat="1"/>
    <row r="2089" s="34" customFormat="1"/>
    <row r="2090" s="34" customFormat="1"/>
    <row r="2091" s="34" customFormat="1"/>
    <row r="2092" s="34" customFormat="1"/>
    <row r="2093" s="34" customFormat="1"/>
    <row r="2094" s="34" customFormat="1"/>
    <row r="2095" s="34" customFormat="1"/>
    <row r="2096" s="34" customFormat="1"/>
    <row r="2097" s="34" customFormat="1"/>
    <row r="2098" s="34" customFormat="1"/>
    <row r="2099" s="34" customFormat="1"/>
    <row r="2100" s="34" customFormat="1"/>
    <row r="2101" s="34" customFormat="1"/>
    <row r="2102" s="34" customFormat="1"/>
    <row r="2103" s="34" customFormat="1"/>
    <row r="2104" s="34" customFormat="1"/>
    <row r="2105" s="34" customFormat="1"/>
    <row r="2106" s="34" customFormat="1"/>
    <row r="2107" s="34" customFormat="1"/>
    <row r="2108" s="34" customFormat="1"/>
    <row r="2109" s="34" customFormat="1"/>
    <row r="2110" s="34" customFormat="1"/>
    <row r="2111" s="34" customFormat="1"/>
    <row r="2112" s="34" customFormat="1"/>
    <row r="2113" s="34" customFormat="1"/>
    <row r="2114" s="34" customFormat="1"/>
    <row r="2115" s="34" customFormat="1"/>
    <row r="2116" s="34" customFormat="1"/>
    <row r="2117" s="34" customFormat="1"/>
    <row r="2118" s="34" customFormat="1"/>
    <row r="2119" s="34" customFormat="1"/>
    <row r="2120" s="34" customFormat="1"/>
    <row r="2121" s="34" customFormat="1"/>
    <row r="2122" s="34" customFormat="1"/>
    <row r="2123" s="34" customFormat="1"/>
    <row r="2124" s="34" customFormat="1"/>
    <row r="2125" s="34" customFormat="1"/>
    <row r="2126" s="34" customFormat="1"/>
    <row r="2127" s="34" customFormat="1"/>
    <row r="2128" s="34" customFormat="1"/>
    <row r="2129" s="34" customFormat="1"/>
    <row r="2130" s="34" customFormat="1"/>
    <row r="2131" s="34" customFormat="1"/>
    <row r="2132" s="34" customFormat="1"/>
    <row r="2133" s="34" customFormat="1"/>
    <row r="2134" s="34" customFormat="1"/>
    <row r="2135" s="34" customFormat="1"/>
    <row r="2136" s="34" customFormat="1"/>
    <row r="2137" s="34" customFormat="1"/>
    <row r="2138" s="34" customFormat="1"/>
    <row r="2139" s="34" customFormat="1"/>
    <row r="2140" s="34" customFormat="1"/>
    <row r="2141" s="34" customFormat="1"/>
    <row r="2142" s="34" customFormat="1"/>
    <row r="2143" s="34" customFormat="1"/>
    <row r="2144" s="34" customFormat="1"/>
    <row r="2145" s="34" customFormat="1"/>
    <row r="2146" s="34" customFormat="1"/>
    <row r="2147" s="34" customFormat="1"/>
    <row r="2148" s="34" customFormat="1"/>
    <row r="2149" s="34" customFormat="1"/>
    <row r="2150" s="34" customFormat="1"/>
    <row r="2151" s="34" customFormat="1"/>
    <row r="2152" s="34" customFormat="1"/>
    <row r="2153" s="34" customFormat="1"/>
    <row r="2154" s="34" customFormat="1"/>
    <row r="2155" s="34" customFormat="1"/>
    <row r="2156" s="34" customFormat="1"/>
    <row r="2157" s="34" customFormat="1"/>
    <row r="2158" s="34" customFormat="1"/>
    <row r="2159" s="34" customFormat="1"/>
    <row r="2160" s="34" customFormat="1"/>
    <row r="2161" s="34" customFormat="1"/>
    <row r="2162" s="34" customFormat="1"/>
    <row r="2163" s="34" customFormat="1"/>
    <row r="2164" s="34" customFormat="1"/>
    <row r="2165" s="34" customFormat="1"/>
    <row r="2166" s="34" customFormat="1"/>
    <row r="2167" s="34" customFormat="1"/>
    <row r="2168" s="34" customFormat="1"/>
    <row r="2169" s="34" customFormat="1"/>
    <row r="2170" s="34" customFormat="1"/>
    <row r="2171" s="34" customFormat="1"/>
    <row r="2172" s="34" customFormat="1"/>
    <row r="2173" s="34" customFormat="1"/>
    <row r="2174" s="34" customFormat="1"/>
    <row r="2175" s="34" customFormat="1"/>
    <row r="2176" s="34" customFormat="1"/>
    <row r="2177" s="34" customFormat="1"/>
    <row r="2178" s="34" customFormat="1"/>
    <row r="2179" s="34" customFormat="1"/>
    <row r="2180" s="34" customFormat="1"/>
    <row r="2181" s="34" customFormat="1"/>
    <row r="2182" s="34" customFormat="1"/>
    <row r="2183" s="34" customFormat="1"/>
    <row r="2184" s="34" customFormat="1"/>
    <row r="2185" s="34" customFormat="1"/>
    <row r="2186" s="34" customFormat="1"/>
    <row r="2187" s="34" customFormat="1"/>
    <row r="2188" s="34" customFormat="1"/>
    <row r="2189" s="34" customFormat="1"/>
    <row r="2190" s="34" customFormat="1"/>
    <row r="2191" s="34" customFormat="1"/>
    <row r="2192" s="34" customFormat="1"/>
    <row r="2193" s="34" customFormat="1"/>
    <row r="2194" s="34" customFormat="1"/>
    <row r="2195" s="34" customFormat="1"/>
    <row r="2196" s="34" customFormat="1"/>
    <row r="2197" s="34" customFormat="1"/>
    <row r="2198" s="34" customFormat="1"/>
    <row r="2199" s="34" customFormat="1"/>
    <row r="2200" s="34" customFormat="1"/>
    <row r="2201" s="34" customFormat="1"/>
    <row r="2202" s="34" customFormat="1"/>
    <row r="2203" s="34" customFormat="1"/>
    <row r="2204" s="34" customFormat="1"/>
    <row r="2205" s="34" customFormat="1"/>
    <row r="2206" s="34" customFormat="1"/>
    <row r="2207" s="34" customFormat="1"/>
    <row r="2208" s="34" customFormat="1"/>
    <row r="2209" s="34" customFormat="1"/>
    <row r="2210" s="34" customFormat="1"/>
    <row r="2211" s="34" customFormat="1"/>
    <row r="2212" s="34" customFormat="1"/>
    <row r="2213" s="34" customFormat="1"/>
    <row r="2214" s="34" customFormat="1"/>
    <row r="2215" s="34" customFormat="1"/>
    <row r="2216" s="34" customFormat="1"/>
    <row r="2217" s="34" customFormat="1"/>
    <row r="2218" s="34" customFormat="1"/>
    <row r="2219" s="34" customFormat="1"/>
    <row r="2220" s="34" customFormat="1"/>
    <row r="2221" s="34" customFormat="1"/>
    <row r="2222" s="34" customFormat="1"/>
    <row r="2223" s="34" customFormat="1"/>
    <row r="2224" s="34" customFormat="1"/>
    <row r="2225" s="34" customFormat="1"/>
    <row r="2226" s="34" customFormat="1"/>
    <row r="2227" s="34" customFormat="1"/>
    <row r="2228" s="34" customFormat="1"/>
    <row r="2229" s="34" customFormat="1"/>
    <row r="2230" s="34" customFormat="1"/>
    <row r="2231" s="34" customFormat="1"/>
    <row r="2232" s="34" customFormat="1"/>
    <row r="2233" s="34" customFormat="1"/>
    <row r="2234" s="34" customFormat="1"/>
    <row r="2235" s="34" customFormat="1"/>
    <row r="2236" s="34" customFormat="1"/>
    <row r="2237" s="34" customFormat="1"/>
    <row r="2238" s="34" customFormat="1"/>
    <row r="2239" s="34" customFormat="1"/>
    <row r="2240" s="34" customFormat="1"/>
    <row r="2241" s="34" customFormat="1"/>
    <row r="2242" s="34" customFormat="1"/>
    <row r="2243" s="34" customFormat="1"/>
    <row r="2244" s="34" customFormat="1"/>
    <row r="2245" s="34" customFormat="1"/>
    <row r="2246" s="34" customFormat="1"/>
    <row r="2247" s="34" customFormat="1"/>
  </sheetData>
  <sheetProtection password="8B10" sheet="1" objects="1" scenarios="1"/>
  <phoneticPr fontId="3" type="noConversion"/>
  <pageMargins left="0.70866141732283472" right="0.70866141732283472" top="1.0236220472440944" bottom="1.0236220472440944" header="0.39370078740157483" footer="0.39370078740157483"/>
  <pageSetup paperSize="9" scale="77" orientation="landscape" r:id="rId1"/>
  <headerFooter alignWithMargins="0">
    <oddFooter>&amp;L&amp;"Frutiger 57Cn,Standard"&amp;8
Santander Consumer Bank AG
Santander-Platz 1
41061 Mönchengladbach
Tel.: +49 180 / 5556 - 499
Fax.: +49 180 / 5556 - 498</oddFooter>
  </headerFooter>
  <rowBreaks count="1" manualBreakCount="1">
    <brk id="49" max="11" man="1"/>
  </rowBreaks>
  <colBreaks count="1" manualBreakCount="1">
    <brk id="1" max="46" man="1"/>
  </col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M260"/>
  <sheetViews>
    <sheetView view="pageBreakPreview" zoomScale="75" zoomScaleNormal="100" workbookViewId="0">
      <selection activeCell="B3" sqref="B3"/>
    </sheetView>
  </sheetViews>
  <sheetFormatPr defaultRowHeight="12.75"/>
  <cols>
    <col min="1" max="1" width="1.28515625" style="31" customWidth="1"/>
    <col min="2" max="2" width="26" style="31" customWidth="1"/>
    <col min="3" max="3" width="24.28515625" style="31" customWidth="1"/>
    <col min="4" max="5" width="18.7109375" style="31" customWidth="1"/>
    <col min="6" max="6" width="20.7109375" style="31" customWidth="1"/>
    <col min="7" max="7" width="20.5703125" style="31" customWidth="1"/>
    <col min="8" max="8" width="19" style="31" customWidth="1"/>
    <col min="9" max="9" width="15.5703125" style="31" customWidth="1"/>
    <col min="10" max="10" width="25.5703125" style="31" customWidth="1"/>
    <col min="11" max="11" width="1.28515625" style="31" customWidth="1"/>
    <col min="12" max="12" width="4.28515625" style="31" customWidth="1"/>
    <col min="13" max="256" width="11.42578125" style="31" customWidth="1"/>
    <col min="257" max="16384" width="9.140625" style="31"/>
  </cols>
  <sheetData>
    <row r="1" spans="1:13" ht="6" customHeight="1">
      <c r="A1" s="35"/>
      <c r="B1" s="36"/>
      <c r="C1" s="36"/>
      <c r="D1" s="36"/>
      <c r="E1" s="36"/>
      <c r="F1" s="36"/>
      <c r="G1" s="36"/>
      <c r="H1" s="36"/>
      <c r="I1" s="36"/>
      <c r="J1" s="36"/>
      <c r="K1" s="37"/>
    </row>
    <row r="2" spans="1:13" s="27" customFormat="1" ht="18">
      <c r="A2" s="5"/>
      <c r="B2" s="7" t="str">
        <f>'Cover Sheet'!B2</f>
        <v>SC Germany Auto 10-1</v>
      </c>
      <c r="C2" s="7"/>
      <c r="D2" s="108" t="s">
        <v>54</v>
      </c>
      <c r="E2" s="109"/>
      <c r="F2" s="110">
        <f>'Cover Sheet'!F2</f>
        <v>41191</v>
      </c>
      <c r="G2" s="109"/>
      <c r="H2" s="109"/>
      <c r="I2" s="109"/>
      <c r="J2" s="111"/>
      <c r="K2" s="88"/>
    </row>
    <row r="3" spans="1:13" s="27" customFormat="1" ht="18">
      <c r="A3" s="5"/>
      <c r="B3" s="7" t="str">
        <f>'Cover Sheet'!B3</f>
        <v>Monthly Investor Report</v>
      </c>
      <c r="C3" s="7"/>
      <c r="D3" s="112" t="s">
        <v>4</v>
      </c>
      <c r="E3" s="113"/>
      <c r="F3" s="114">
        <f>'Cover Sheet'!F3</f>
        <v>41197</v>
      </c>
      <c r="G3" s="113"/>
      <c r="H3" s="113"/>
      <c r="I3" s="113"/>
      <c r="J3" s="115"/>
      <c r="K3" s="90"/>
    </row>
    <row r="4" spans="1:13" s="27" customFormat="1">
      <c r="A4" s="5"/>
      <c r="B4" s="42"/>
      <c r="C4" s="12"/>
      <c r="D4" s="112" t="s">
        <v>5</v>
      </c>
      <c r="E4" s="113"/>
      <c r="F4" s="122">
        <f>'Cover Sheet'!F4</f>
        <v>27</v>
      </c>
      <c r="G4" s="113"/>
      <c r="H4" s="117"/>
      <c r="I4" s="113"/>
      <c r="J4" s="118"/>
      <c r="K4" s="88"/>
    </row>
    <row r="5" spans="1:13" s="27" customFormat="1" ht="18">
      <c r="A5" s="5"/>
      <c r="B5" s="105" t="s">
        <v>400</v>
      </c>
      <c r="C5" s="14"/>
      <c r="D5" s="112" t="s">
        <v>3</v>
      </c>
      <c r="E5" s="113"/>
      <c r="F5" s="123">
        <f>'Cover Sheet'!F5</f>
        <v>41197</v>
      </c>
      <c r="G5" s="113"/>
      <c r="H5" s="117"/>
      <c r="I5" s="113"/>
      <c r="J5" s="118"/>
      <c r="K5" s="90"/>
    </row>
    <row r="6" spans="1:13" s="27" customFormat="1" ht="15" customHeight="1">
      <c r="A6" s="5"/>
      <c r="B6" s="43"/>
      <c r="C6" s="89"/>
      <c r="D6" s="552" t="str">
        <f>'Cover Sheet'!D6</f>
        <v>Interest Period</v>
      </c>
      <c r="E6" s="114" t="s">
        <v>38</v>
      </c>
      <c r="F6" s="114">
        <f>'Cover Sheet'!F6</f>
        <v>41164</v>
      </c>
      <c r="G6" s="116" t="s">
        <v>6</v>
      </c>
      <c r="H6" s="114">
        <f>'Cover Sheet'!H6</f>
        <v>41197</v>
      </c>
      <c r="I6" s="116" t="s">
        <v>18</v>
      </c>
      <c r="J6" s="542" t="str">
        <f>'Cover Sheet'!J6</f>
        <v>33 days</v>
      </c>
      <c r="K6" s="90"/>
      <c r="M6" s="30"/>
    </row>
    <row r="7" spans="1:13" s="27" customFormat="1">
      <c r="A7" s="5"/>
      <c r="B7" s="4"/>
      <c r="C7" s="4"/>
      <c r="D7" s="553" t="str">
        <f>'Cover Sheet'!D7</f>
        <v>Collection Period</v>
      </c>
      <c r="E7" s="121" t="s">
        <v>38</v>
      </c>
      <c r="F7" s="121" t="str">
        <f>'Cover Sheet'!F7</f>
        <v>01.09.2012</v>
      </c>
      <c r="G7" s="120" t="s">
        <v>6</v>
      </c>
      <c r="H7" s="121">
        <f>'Cover Sheet'!H7</f>
        <v>41182</v>
      </c>
      <c r="I7" s="543"/>
      <c r="J7" s="544"/>
      <c r="K7" s="90"/>
    </row>
    <row r="8" spans="1:13" s="27" customFormat="1">
      <c r="A8" s="5"/>
      <c r="B8" s="4"/>
      <c r="C8" s="4"/>
      <c r="D8" s="4"/>
      <c r="E8" s="9"/>
      <c r="F8" s="15"/>
      <c r="G8" s="9"/>
      <c r="H8" s="4"/>
      <c r="I8" s="16"/>
      <c r="J8" s="4"/>
      <c r="K8" s="90"/>
    </row>
    <row r="9" spans="1:13" s="27" customFormat="1">
      <c r="A9" s="5"/>
      <c r="B9" s="4"/>
      <c r="C9" s="4"/>
      <c r="D9" s="4"/>
      <c r="E9" s="4"/>
      <c r="F9" s="4"/>
      <c r="G9" s="4"/>
      <c r="H9" s="4"/>
      <c r="I9" s="4"/>
      <c r="J9" s="4"/>
      <c r="K9" s="8"/>
      <c r="M9" s="32"/>
    </row>
    <row r="10" spans="1:13" s="27" customFormat="1">
      <c r="A10" s="5"/>
      <c r="B10" s="4"/>
      <c r="C10" s="4"/>
      <c r="D10" s="34"/>
      <c r="E10" s="34"/>
      <c r="F10" s="102"/>
      <c r="G10" s="34"/>
      <c r="H10" s="34"/>
      <c r="I10" s="34"/>
      <c r="J10" s="34"/>
      <c r="K10" s="8"/>
    </row>
    <row r="11" spans="1:13" s="27" customFormat="1" ht="18">
      <c r="A11" s="5"/>
      <c r="B11" s="125"/>
      <c r="C11" s="4"/>
      <c r="D11" s="34"/>
      <c r="E11" s="34"/>
      <c r="F11" s="34"/>
      <c r="G11" s="137"/>
      <c r="H11" s="137"/>
      <c r="I11" s="34"/>
      <c r="J11" s="4"/>
      <c r="K11" s="8"/>
      <c r="M11" s="101"/>
    </row>
    <row r="12" spans="1:13" s="27" customFormat="1">
      <c r="A12" s="5"/>
      <c r="B12" s="4"/>
      <c r="C12" s="4"/>
      <c r="D12" s="34"/>
      <c r="E12" s="34"/>
      <c r="F12" s="34"/>
      <c r="G12" s="137"/>
      <c r="H12" s="137"/>
      <c r="I12" s="34"/>
      <c r="J12" s="4"/>
      <c r="K12" s="8"/>
      <c r="M12" s="101"/>
    </row>
    <row r="13" spans="1:13" s="27" customFormat="1" ht="45" customHeight="1">
      <c r="A13" s="5"/>
      <c r="B13" s="127"/>
      <c r="C13" s="34"/>
      <c r="D13" s="375"/>
      <c r="E13" s="328"/>
      <c r="F13" s="327"/>
      <c r="G13" s="328"/>
      <c r="H13" s="328"/>
      <c r="I13" s="102"/>
      <c r="J13" s="4"/>
      <c r="K13" s="8"/>
      <c r="M13" s="101"/>
    </row>
    <row r="14" spans="1:13" s="27" customFormat="1">
      <c r="A14" s="5"/>
      <c r="B14" s="138"/>
      <c r="C14" s="138"/>
      <c r="D14" s="156"/>
      <c r="E14" s="157"/>
      <c r="F14" s="141"/>
      <c r="G14" s="158"/>
      <c r="H14" s="141"/>
      <c r="I14" s="102"/>
      <c r="J14" s="4"/>
      <c r="K14" s="8"/>
      <c r="M14" s="101"/>
    </row>
    <row r="15" spans="1:13">
      <c r="A15" s="40"/>
      <c r="B15" s="139"/>
      <c r="C15" s="140"/>
      <c r="D15" s="156"/>
      <c r="E15" s="157"/>
      <c r="F15" s="141"/>
      <c r="G15" s="158"/>
      <c r="H15" s="141"/>
      <c r="I15" s="102"/>
      <c r="J15" s="34"/>
      <c r="K15" s="41"/>
      <c r="M15" s="101"/>
    </row>
    <row r="16" spans="1:13">
      <c r="A16" s="40"/>
      <c r="B16" s="139"/>
      <c r="C16" s="140"/>
      <c r="D16" s="156"/>
      <c r="E16" s="157"/>
      <c r="F16" s="141"/>
      <c r="G16" s="158"/>
      <c r="H16" s="141"/>
      <c r="I16" s="102"/>
      <c r="J16" s="34"/>
      <c r="K16" s="41"/>
      <c r="M16" s="101"/>
    </row>
    <row r="17" spans="1:13">
      <c r="A17" s="40"/>
      <c r="B17" s="139"/>
      <c r="C17" s="140"/>
      <c r="D17" s="156"/>
      <c r="E17" s="157"/>
      <c r="F17" s="141"/>
      <c r="G17" s="158"/>
      <c r="H17" s="141"/>
      <c r="I17" s="102"/>
      <c r="J17" s="34"/>
      <c r="K17" s="41"/>
      <c r="M17" s="101"/>
    </row>
    <row r="18" spans="1:13">
      <c r="A18" s="40"/>
      <c r="B18" s="139"/>
      <c r="C18" s="140"/>
      <c r="D18" s="156"/>
      <c r="E18" s="157"/>
      <c r="F18" s="141"/>
      <c r="G18" s="158"/>
      <c r="H18" s="141"/>
      <c r="I18" s="102"/>
      <c r="J18" s="34"/>
      <c r="K18" s="41"/>
      <c r="M18" s="101"/>
    </row>
    <row r="19" spans="1:13">
      <c r="A19" s="40"/>
      <c r="B19" s="139"/>
      <c r="C19" s="140"/>
      <c r="D19" s="156"/>
      <c r="E19" s="157"/>
      <c r="F19" s="141"/>
      <c r="G19" s="158"/>
      <c r="H19" s="141"/>
      <c r="I19" s="102"/>
      <c r="J19" s="34"/>
      <c r="K19" s="41"/>
      <c r="M19" s="101"/>
    </row>
    <row r="20" spans="1:13">
      <c r="A20" s="40"/>
      <c r="B20" s="139"/>
      <c r="C20" s="140"/>
      <c r="D20" s="156"/>
      <c r="E20" s="157"/>
      <c r="F20" s="141"/>
      <c r="G20" s="158"/>
      <c r="H20" s="141"/>
      <c r="I20" s="102"/>
      <c r="J20" s="34"/>
      <c r="K20" s="41"/>
      <c r="M20" s="101"/>
    </row>
    <row r="21" spans="1:13">
      <c r="A21" s="40"/>
      <c r="B21" s="139"/>
      <c r="C21" s="140"/>
      <c r="D21" s="156"/>
      <c r="E21" s="157"/>
      <c r="F21" s="141"/>
      <c r="G21" s="158"/>
      <c r="H21" s="141"/>
      <c r="I21" s="102"/>
      <c r="J21" s="34"/>
      <c r="K21" s="41"/>
      <c r="M21" s="101"/>
    </row>
    <row r="22" spans="1:13">
      <c r="A22" s="40"/>
      <c r="B22" s="139"/>
      <c r="C22" s="140"/>
      <c r="D22" s="156"/>
      <c r="E22" s="157"/>
      <c r="F22" s="141"/>
      <c r="G22" s="158"/>
      <c r="H22" s="141"/>
      <c r="I22" s="102"/>
      <c r="J22" s="34"/>
      <c r="K22" s="41"/>
      <c r="M22" s="101"/>
    </row>
    <row r="23" spans="1:13">
      <c r="A23" s="40"/>
      <c r="B23" s="139"/>
      <c r="C23" s="140"/>
      <c r="D23" s="156"/>
      <c r="E23" s="157"/>
      <c r="F23" s="141"/>
      <c r="G23" s="158"/>
      <c r="H23" s="141"/>
      <c r="I23" s="102"/>
      <c r="J23" s="34"/>
      <c r="K23" s="41"/>
      <c r="M23" s="101"/>
    </row>
    <row r="24" spans="1:13">
      <c r="A24" s="40"/>
      <c r="B24" s="139"/>
      <c r="C24" s="140"/>
      <c r="D24" s="156"/>
      <c r="E24" s="157"/>
      <c r="F24" s="141"/>
      <c r="G24" s="158"/>
      <c r="H24" s="141"/>
      <c r="I24" s="102"/>
      <c r="J24" s="34"/>
      <c r="K24" s="41"/>
      <c r="M24" s="101"/>
    </row>
    <row r="25" spans="1:13">
      <c r="A25" s="40"/>
      <c r="B25" s="139"/>
      <c r="C25" s="140"/>
      <c r="D25" s="156"/>
      <c r="E25" s="157"/>
      <c r="F25" s="141"/>
      <c r="G25" s="158"/>
      <c r="H25" s="141"/>
      <c r="I25" s="102"/>
      <c r="J25" s="34"/>
      <c r="K25" s="41"/>
      <c r="M25" s="101"/>
    </row>
    <row r="26" spans="1:13">
      <c r="A26" s="40"/>
      <c r="B26" s="139"/>
      <c r="C26" s="140"/>
      <c r="D26" s="156"/>
      <c r="E26" s="157"/>
      <c r="F26" s="141"/>
      <c r="G26" s="158"/>
      <c r="H26" s="141"/>
      <c r="I26" s="102"/>
      <c r="J26" s="34"/>
      <c r="K26" s="41"/>
      <c r="M26" s="101"/>
    </row>
    <row r="27" spans="1:13">
      <c r="A27" s="40"/>
      <c r="B27" s="139"/>
      <c r="C27" s="140"/>
      <c r="D27" s="156"/>
      <c r="E27" s="157"/>
      <c r="F27" s="141"/>
      <c r="G27" s="158"/>
      <c r="H27" s="141"/>
      <c r="I27" s="102"/>
      <c r="J27" s="34"/>
      <c r="K27" s="41"/>
      <c r="M27" s="101"/>
    </row>
    <row r="28" spans="1:13">
      <c r="A28" s="40"/>
      <c r="B28" s="139"/>
      <c r="C28" s="140"/>
      <c r="D28" s="156"/>
      <c r="E28" s="157"/>
      <c r="F28" s="141"/>
      <c r="G28" s="158"/>
      <c r="H28" s="141"/>
      <c r="I28" s="102"/>
      <c r="J28" s="34"/>
      <c r="K28" s="41"/>
      <c r="M28" s="101"/>
    </row>
    <row r="29" spans="1:13">
      <c r="A29" s="40"/>
      <c r="B29" s="139"/>
      <c r="C29" s="140"/>
      <c r="D29" s="156"/>
      <c r="E29" s="157"/>
      <c r="F29" s="141"/>
      <c r="G29" s="158"/>
      <c r="H29" s="141"/>
      <c r="I29" s="102"/>
      <c r="J29" s="34"/>
      <c r="K29" s="41"/>
      <c r="M29" s="101"/>
    </row>
    <row r="30" spans="1:13">
      <c r="A30" s="40"/>
      <c r="B30" s="139"/>
      <c r="C30" s="140"/>
      <c r="D30" s="156"/>
      <c r="E30" s="157"/>
      <c r="F30" s="141"/>
      <c r="G30" s="158"/>
      <c r="H30" s="141"/>
      <c r="I30" s="102"/>
      <c r="J30" s="102"/>
      <c r="K30" s="41"/>
      <c r="M30" s="101"/>
    </row>
    <row r="31" spans="1:13">
      <c r="A31" s="40"/>
      <c r="B31" s="139"/>
      <c r="C31" s="140"/>
      <c r="D31" s="156"/>
      <c r="E31" s="157"/>
      <c r="F31" s="141"/>
      <c r="G31" s="158"/>
      <c r="H31" s="141"/>
      <c r="I31" s="102"/>
      <c r="J31" s="102"/>
      <c r="K31" s="41"/>
    </row>
    <row r="32" spans="1:13">
      <c r="A32" s="40"/>
      <c r="B32" s="139"/>
      <c r="C32" s="140"/>
      <c r="D32" s="156"/>
      <c r="E32" s="157"/>
      <c r="F32" s="141"/>
      <c r="G32" s="158"/>
      <c r="H32" s="141"/>
      <c r="I32" s="102"/>
      <c r="J32" s="102"/>
      <c r="K32" s="41"/>
    </row>
    <row r="33" spans="1:11">
      <c r="A33" s="40"/>
      <c r="B33" s="139"/>
      <c r="C33" s="140"/>
      <c r="D33" s="156"/>
      <c r="E33" s="157"/>
      <c r="F33" s="141"/>
      <c r="G33" s="158"/>
      <c r="H33" s="141"/>
      <c r="I33" s="102"/>
      <c r="J33" s="102"/>
      <c r="K33" s="41"/>
    </row>
    <row r="34" spans="1:11">
      <c r="A34" s="40"/>
      <c r="B34" s="139"/>
      <c r="C34" s="140"/>
      <c r="D34" s="156"/>
      <c r="E34" s="157"/>
      <c r="F34" s="141"/>
      <c r="G34" s="158"/>
      <c r="H34" s="141"/>
      <c r="I34" s="102"/>
      <c r="J34" s="102"/>
      <c r="K34" s="41"/>
    </row>
    <row r="35" spans="1:11">
      <c r="A35" s="40"/>
      <c r="B35" s="139"/>
      <c r="C35" s="140"/>
      <c r="D35" s="156"/>
      <c r="E35" s="157"/>
      <c r="F35" s="141"/>
      <c r="G35" s="158"/>
      <c r="H35" s="141"/>
      <c r="I35" s="102"/>
      <c r="J35" s="102"/>
      <c r="K35" s="41"/>
    </row>
    <row r="36" spans="1:11">
      <c r="A36" s="40"/>
      <c r="B36" s="139"/>
      <c r="C36" s="140"/>
      <c r="D36" s="156"/>
      <c r="E36" s="157"/>
      <c r="F36" s="141"/>
      <c r="G36" s="158"/>
      <c r="H36" s="141"/>
      <c r="I36" s="102"/>
      <c r="J36" s="102"/>
      <c r="K36" s="41"/>
    </row>
    <row r="37" spans="1:11">
      <c r="A37" s="40"/>
      <c r="B37" s="139"/>
      <c r="C37" s="140"/>
      <c r="D37" s="156"/>
      <c r="E37" s="157"/>
      <c r="F37" s="141"/>
      <c r="G37" s="158"/>
      <c r="H37" s="141"/>
      <c r="I37" s="102"/>
      <c r="J37" s="102"/>
      <c r="K37" s="41"/>
    </row>
    <row r="38" spans="1:11">
      <c r="A38" s="40"/>
      <c r="B38" s="139"/>
      <c r="C38" s="140"/>
      <c r="D38" s="156"/>
      <c r="E38" s="157"/>
      <c r="F38" s="141"/>
      <c r="G38" s="158"/>
      <c r="H38" s="141"/>
      <c r="I38" s="102"/>
      <c r="J38" s="102"/>
      <c r="K38" s="41"/>
    </row>
    <row r="39" spans="1:11">
      <c r="A39" s="40"/>
      <c r="B39" s="139"/>
      <c r="C39" s="140"/>
      <c r="D39" s="156"/>
      <c r="E39" s="157"/>
      <c r="F39" s="141"/>
      <c r="G39" s="158"/>
      <c r="H39" s="141"/>
      <c r="I39" s="102"/>
      <c r="J39" s="102"/>
      <c r="K39" s="41"/>
    </row>
    <row r="40" spans="1:11">
      <c r="A40" s="40"/>
      <c r="B40" s="139"/>
      <c r="C40" s="140"/>
      <c r="D40" s="156"/>
      <c r="E40" s="157"/>
      <c r="F40" s="141"/>
      <c r="G40" s="158"/>
      <c r="H40" s="141"/>
      <c r="I40" s="102"/>
      <c r="J40" s="34"/>
      <c r="K40" s="41"/>
    </row>
    <row r="41" spans="1:11">
      <c r="A41" s="40"/>
      <c r="B41" s="139"/>
      <c r="C41" s="140"/>
      <c r="D41" s="156"/>
      <c r="E41" s="157"/>
      <c r="F41" s="141"/>
      <c r="G41" s="158"/>
      <c r="H41" s="141"/>
      <c r="I41" s="102"/>
      <c r="J41" s="34"/>
      <c r="K41" s="41"/>
    </row>
    <row r="42" spans="1:11">
      <c r="A42" s="40"/>
      <c r="B42" s="139"/>
      <c r="C42" s="140"/>
      <c r="D42" s="156"/>
      <c r="E42" s="157"/>
      <c r="F42" s="141"/>
      <c r="G42" s="158"/>
      <c r="H42" s="141"/>
      <c r="I42" s="102"/>
      <c r="J42" s="34"/>
      <c r="K42" s="41"/>
    </row>
    <row r="43" spans="1:11">
      <c r="A43" s="40"/>
      <c r="B43" s="139"/>
      <c r="C43" s="140"/>
      <c r="D43" s="156"/>
      <c r="E43" s="157"/>
      <c r="F43" s="141"/>
      <c r="G43" s="158"/>
      <c r="H43" s="141"/>
      <c r="I43" s="102"/>
      <c r="J43" s="34"/>
      <c r="K43" s="41"/>
    </row>
    <row r="44" spans="1:11">
      <c r="A44" s="40"/>
      <c r="B44" s="139"/>
      <c r="C44" s="140"/>
      <c r="D44" s="156"/>
      <c r="E44" s="157"/>
      <c r="F44" s="141"/>
      <c r="G44" s="158"/>
      <c r="H44" s="141"/>
      <c r="I44" s="102"/>
      <c r="J44" s="34"/>
      <c r="K44" s="41"/>
    </row>
    <row r="45" spans="1:11" s="27" customFormat="1" ht="12.75" customHeight="1">
      <c r="A45" s="5"/>
      <c r="B45" s="139"/>
      <c r="C45" s="140"/>
      <c r="D45" s="156"/>
      <c r="E45" s="157"/>
      <c r="F45" s="141"/>
      <c r="G45" s="158"/>
      <c r="H45" s="141"/>
      <c r="I45" s="102"/>
      <c r="J45" s="4"/>
      <c r="K45" s="8"/>
    </row>
    <row r="46" spans="1:11" s="27" customFormat="1">
      <c r="A46" s="5"/>
      <c r="B46" s="139"/>
      <c r="C46" s="140"/>
      <c r="D46" s="156"/>
      <c r="E46" s="157"/>
      <c r="F46" s="141"/>
      <c r="G46" s="158"/>
      <c r="H46" s="141"/>
      <c r="I46" s="102"/>
      <c r="J46" s="4"/>
      <c r="K46" s="8"/>
    </row>
    <row r="47" spans="1:11">
      <c r="A47" s="60"/>
      <c r="B47" s="61"/>
      <c r="C47" s="61"/>
      <c r="D47" s="61"/>
      <c r="E47" s="61"/>
      <c r="F47" s="61"/>
      <c r="G47" s="61"/>
      <c r="H47" s="61"/>
      <c r="I47" s="126"/>
      <c r="J47" s="61"/>
      <c r="K47" s="79"/>
    </row>
    <row r="48" spans="1:11">
      <c r="I48" s="124"/>
    </row>
    <row r="49" spans="9:9">
      <c r="I49" s="124"/>
    </row>
    <row r="50" spans="9:9">
      <c r="I50" s="124"/>
    </row>
    <row r="51" spans="9:9">
      <c r="I51" s="124"/>
    </row>
    <row r="52" spans="9:9">
      <c r="I52" s="124"/>
    </row>
    <row r="53" spans="9:9">
      <c r="I53" s="124"/>
    </row>
    <row r="54" spans="9:9">
      <c r="I54" s="124"/>
    </row>
    <row r="55" spans="9:9">
      <c r="I55" s="124"/>
    </row>
    <row r="56" spans="9:9">
      <c r="I56" s="124"/>
    </row>
    <row r="57" spans="9:9">
      <c r="I57" s="124"/>
    </row>
    <row r="58" spans="9:9">
      <c r="I58" s="124"/>
    </row>
    <row r="59" spans="9:9">
      <c r="I59" s="124"/>
    </row>
    <row r="60" spans="9:9">
      <c r="I60" s="124"/>
    </row>
    <row r="61" spans="9:9">
      <c r="I61" s="124"/>
    </row>
    <row r="62" spans="9:9">
      <c r="I62" s="124"/>
    </row>
    <row r="63" spans="9:9">
      <c r="I63" s="124"/>
    </row>
    <row r="64" spans="9:9">
      <c r="I64" s="124"/>
    </row>
    <row r="65" spans="9:9">
      <c r="I65" s="124"/>
    </row>
    <row r="66" spans="9:9">
      <c r="I66" s="124"/>
    </row>
    <row r="67" spans="9:9">
      <c r="I67" s="124"/>
    </row>
    <row r="68" spans="9:9">
      <c r="I68" s="124"/>
    </row>
    <row r="69" spans="9:9">
      <c r="I69" s="124"/>
    </row>
    <row r="70" spans="9:9">
      <c r="I70" s="124"/>
    </row>
    <row r="71" spans="9:9">
      <c r="I71" s="124"/>
    </row>
    <row r="72" spans="9:9">
      <c r="I72" s="124"/>
    </row>
    <row r="73" spans="9:9">
      <c r="I73" s="124"/>
    </row>
    <row r="74" spans="9:9">
      <c r="I74" s="124"/>
    </row>
    <row r="75" spans="9:9">
      <c r="I75" s="124"/>
    </row>
    <row r="76" spans="9:9">
      <c r="I76" s="124"/>
    </row>
    <row r="77" spans="9:9">
      <c r="I77" s="124"/>
    </row>
    <row r="78" spans="9:9">
      <c r="I78" s="124"/>
    </row>
    <row r="79" spans="9:9">
      <c r="I79" s="124"/>
    </row>
    <row r="80" spans="9:9">
      <c r="I80" s="124"/>
    </row>
    <row r="81" spans="9:9">
      <c r="I81" s="124"/>
    </row>
    <row r="82" spans="9:9">
      <c r="I82" s="124"/>
    </row>
    <row r="83" spans="9:9">
      <c r="I83" s="124"/>
    </row>
    <row r="84" spans="9:9">
      <c r="I84" s="124"/>
    </row>
    <row r="85" spans="9:9">
      <c r="I85" s="124"/>
    </row>
    <row r="86" spans="9:9">
      <c r="I86" s="124"/>
    </row>
    <row r="87" spans="9:9">
      <c r="I87" s="124"/>
    </row>
    <row r="88" spans="9:9">
      <c r="I88" s="124"/>
    </row>
    <row r="89" spans="9:9">
      <c r="I89" s="124"/>
    </row>
    <row r="90" spans="9:9">
      <c r="I90" s="124"/>
    </row>
    <row r="91" spans="9:9">
      <c r="I91" s="124"/>
    </row>
    <row r="92" spans="9:9">
      <c r="I92" s="124"/>
    </row>
    <row r="93" spans="9:9">
      <c r="I93" s="124"/>
    </row>
    <row r="94" spans="9:9">
      <c r="I94" s="124"/>
    </row>
    <row r="95" spans="9:9">
      <c r="I95" s="124"/>
    </row>
    <row r="96" spans="9:9">
      <c r="I96" s="124"/>
    </row>
    <row r="97" spans="9:9">
      <c r="I97" s="124"/>
    </row>
    <row r="98" spans="9:9">
      <c r="I98" s="124"/>
    </row>
    <row r="99" spans="9:9">
      <c r="I99" s="124"/>
    </row>
    <row r="100" spans="9:9">
      <c r="I100" s="124"/>
    </row>
    <row r="101" spans="9:9">
      <c r="I101" s="124"/>
    </row>
    <row r="102" spans="9:9">
      <c r="I102" s="124"/>
    </row>
    <row r="103" spans="9:9">
      <c r="I103" s="124"/>
    </row>
    <row r="104" spans="9:9">
      <c r="I104" s="124"/>
    </row>
    <row r="105" spans="9:9">
      <c r="I105" s="124"/>
    </row>
    <row r="106" spans="9:9">
      <c r="I106" s="124"/>
    </row>
    <row r="107" spans="9:9">
      <c r="I107" s="124"/>
    </row>
    <row r="108" spans="9:9">
      <c r="I108" s="124"/>
    </row>
    <row r="109" spans="9:9">
      <c r="I109" s="124"/>
    </row>
    <row r="110" spans="9:9">
      <c r="I110" s="124"/>
    </row>
    <row r="111" spans="9:9">
      <c r="I111" s="124"/>
    </row>
    <row r="112" spans="9:9">
      <c r="I112" s="124"/>
    </row>
    <row r="113" spans="9:9">
      <c r="I113" s="124"/>
    </row>
    <row r="114" spans="9:9">
      <c r="I114" s="124"/>
    </row>
    <row r="115" spans="9:9">
      <c r="I115" s="124"/>
    </row>
    <row r="116" spans="9:9">
      <c r="I116" s="124"/>
    </row>
    <row r="117" spans="9:9">
      <c r="I117" s="124"/>
    </row>
    <row r="118" spans="9:9">
      <c r="I118" s="124"/>
    </row>
    <row r="119" spans="9:9">
      <c r="I119" s="124"/>
    </row>
    <row r="120" spans="9:9">
      <c r="I120" s="124"/>
    </row>
    <row r="121" spans="9:9">
      <c r="I121" s="124"/>
    </row>
    <row r="122" spans="9:9">
      <c r="I122" s="124"/>
    </row>
    <row r="123" spans="9:9">
      <c r="I123" s="124"/>
    </row>
    <row r="124" spans="9:9">
      <c r="I124" s="124"/>
    </row>
    <row r="125" spans="9:9">
      <c r="I125" s="124"/>
    </row>
    <row r="126" spans="9:9">
      <c r="I126" s="124"/>
    </row>
    <row r="127" spans="9:9">
      <c r="I127" s="124"/>
    </row>
    <row r="128" spans="9:9">
      <c r="I128" s="124"/>
    </row>
    <row r="129" spans="9:9">
      <c r="I129" s="124"/>
    </row>
    <row r="130" spans="9:9">
      <c r="I130" s="124"/>
    </row>
    <row r="131" spans="9:9">
      <c r="I131" s="124"/>
    </row>
    <row r="132" spans="9:9">
      <c r="I132" s="124"/>
    </row>
    <row r="133" spans="9:9">
      <c r="I133" s="124"/>
    </row>
    <row r="134" spans="9:9">
      <c r="I134" s="124"/>
    </row>
    <row r="135" spans="9:9">
      <c r="I135" s="124"/>
    </row>
    <row r="136" spans="9:9">
      <c r="I136" s="124"/>
    </row>
    <row r="137" spans="9:9">
      <c r="I137" s="124"/>
    </row>
    <row r="138" spans="9:9">
      <c r="I138" s="124"/>
    </row>
    <row r="139" spans="9:9">
      <c r="I139" s="124"/>
    </row>
    <row r="140" spans="9:9">
      <c r="I140" s="124"/>
    </row>
    <row r="141" spans="9:9">
      <c r="I141" s="124"/>
    </row>
    <row r="142" spans="9:9">
      <c r="I142" s="124"/>
    </row>
    <row r="143" spans="9:9">
      <c r="I143" s="124"/>
    </row>
    <row r="144" spans="9:9">
      <c r="I144" s="124"/>
    </row>
    <row r="145" spans="9:9">
      <c r="I145" s="124"/>
    </row>
    <row r="146" spans="9:9">
      <c r="I146" s="124"/>
    </row>
    <row r="147" spans="9:9">
      <c r="I147" s="124"/>
    </row>
    <row r="148" spans="9:9">
      <c r="I148" s="124"/>
    </row>
    <row r="149" spans="9:9">
      <c r="I149" s="124"/>
    </row>
    <row r="150" spans="9:9">
      <c r="I150" s="124"/>
    </row>
    <row r="151" spans="9:9">
      <c r="I151" s="124"/>
    </row>
    <row r="152" spans="9:9">
      <c r="I152" s="124"/>
    </row>
    <row r="153" spans="9:9">
      <c r="I153" s="124"/>
    </row>
    <row r="154" spans="9:9">
      <c r="I154" s="124"/>
    </row>
    <row r="155" spans="9:9">
      <c r="I155" s="124"/>
    </row>
    <row r="156" spans="9:9">
      <c r="I156" s="124"/>
    </row>
    <row r="157" spans="9:9">
      <c r="I157" s="124"/>
    </row>
    <row r="158" spans="9:9">
      <c r="I158" s="124"/>
    </row>
    <row r="159" spans="9:9">
      <c r="I159" s="124"/>
    </row>
    <row r="160" spans="9:9">
      <c r="I160" s="124"/>
    </row>
    <row r="161" spans="9:9">
      <c r="I161" s="124"/>
    </row>
    <row r="162" spans="9:9">
      <c r="I162" s="124"/>
    </row>
    <row r="163" spans="9:9">
      <c r="I163" s="124"/>
    </row>
    <row r="164" spans="9:9">
      <c r="I164" s="124"/>
    </row>
    <row r="165" spans="9:9">
      <c r="I165" s="124"/>
    </row>
    <row r="166" spans="9:9">
      <c r="I166" s="124"/>
    </row>
    <row r="167" spans="9:9">
      <c r="I167" s="124"/>
    </row>
    <row r="168" spans="9:9">
      <c r="I168" s="124"/>
    </row>
    <row r="169" spans="9:9">
      <c r="I169" s="124"/>
    </row>
    <row r="170" spans="9:9">
      <c r="I170" s="124"/>
    </row>
    <row r="171" spans="9:9">
      <c r="I171" s="124"/>
    </row>
    <row r="172" spans="9:9">
      <c r="I172" s="124"/>
    </row>
    <row r="173" spans="9:9">
      <c r="I173" s="124"/>
    </row>
    <row r="174" spans="9:9">
      <c r="I174" s="124"/>
    </row>
    <row r="175" spans="9:9">
      <c r="I175" s="124"/>
    </row>
    <row r="176" spans="9:9">
      <c r="I176" s="124"/>
    </row>
    <row r="177" spans="9:9">
      <c r="I177" s="124"/>
    </row>
    <row r="178" spans="9:9">
      <c r="I178" s="124"/>
    </row>
    <row r="179" spans="9:9">
      <c r="I179" s="124"/>
    </row>
    <row r="180" spans="9:9">
      <c r="I180" s="124"/>
    </row>
    <row r="181" spans="9:9">
      <c r="I181" s="124"/>
    </row>
    <row r="182" spans="9:9">
      <c r="I182" s="124"/>
    </row>
    <row r="183" spans="9:9">
      <c r="I183" s="124"/>
    </row>
    <row r="184" spans="9:9">
      <c r="I184" s="124"/>
    </row>
    <row r="185" spans="9:9">
      <c r="I185" s="124"/>
    </row>
    <row r="186" spans="9:9">
      <c r="I186" s="124"/>
    </row>
    <row r="187" spans="9:9">
      <c r="I187" s="124"/>
    </row>
    <row r="188" spans="9:9">
      <c r="I188" s="124"/>
    </row>
    <row r="189" spans="9:9">
      <c r="I189" s="124"/>
    </row>
    <row r="190" spans="9:9">
      <c r="I190" s="124"/>
    </row>
    <row r="191" spans="9:9">
      <c r="I191" s="124"/>
    </row>
    <row r="192" spans="9:9">
      <c r="I192" s="124"/>
    </row>
    <row r="193" spans="9:9">
      <c r="I193" s="124"/>
    </row>
    <row r="194" spans="9:9">
      <c r="I194" s="124"/>
    </row>
    <row r="195" spans="9:9">
      <c r="I195" s="124"/>
    </row>
    <row r="196" spans="9:9">
      <c r="I196" s="124"/>
    </row>
    <row r="197" spans="9:9">
      <c r="I197" s="124"/>
    </row>
    <row r="198" spans="9:9">
      <c r="I198" s="124"/>
    </row>
    <row r="199" spans="9:9">
      <c r="I199" s="124"/>
    </row>
    <row r="200" spans="9:9">
      <c r="I200" s="124"/>
    </row>
    <row r="201" spans="9:9">
      <c r="I201" s="124"/>
    </row>
    <row r="202" spans="9:9">
      <c r="I202" s="124"/>
    </row>
    <row r="203" spans="9:9">
      <c r="I203" s="124"/>
    </row>
    <row r="204" spans="9:9">
      <c r="I204" s="124"/>
    </row>
    <row r="205" spans="9:9">
      <c r="I205" s="124"/>
    </row>
    <row r="206" spans="9:9">
      <c r="I206" s="124"/>
    </row>
    <row r="207" spans="9:9">
      <c r="I207" s="124"/>
    </row>
    <row r="208" spans="9:9">
      <c r="I208" s="124"/>
    </row>
    <row r="209" spans="9:9">
      <c r="I209" s="124"/>
    </row>
    <row r="210" spans="9:9">
      <c r="I210" s="124"/>
    </row>
    <row r="211" spans="9:9">
      <c r="I211" s="124"/>
    </row>
    <row r="212" spans="9:9">
      <c r="I212" s="124"/>
    </row>
    <row r="213" spans="9:9">
      <c r="I213" s="124"/>
    </row>
    <row r="214" spans="9:9">
      <c r="I214" s="124"/>
    </row>
    <row r="215" spans="9:9">
      <c r="I215" s="124"/>
    </row>
    <row r="216" spans="9:9">
      <c r="I216" s="124"/>
    </row>
    <row r="217" spans="9:9">
      <c r="I217" s="124"/>
    </row>
    <row r="218" spans="9:9">
      <c r="I218" s="124"/>
    </row>
    <row r="219" spans="9:9">
      <c r="I219" s="124"/>
    </row>
    <row r="220" spans="9:9">
      <c r="I220" s="124"/>
    </row>
    <row r="221" spans="9:9">
      <c r="I221" s="124"/>
    </row>
    <row r="222" spans="9:9">
      <c r="I222" s="124"/>
    </row>
    <row r="223" spans="9:9">
      <c r="I223" s="124"/>
    </row>
    <row r="224" spans="9:9">
      <c r="I224" s="124"/>
    </row>
    <row r="225" spans="9:9">
      <c r="I225" s="124"/>
    </row>
    <row r="226" spans="9:9">
      <c r="I226" s="124"/>
    </row>
    <row r="227" spans="9:9">
      <c r="I227" s="124"/>
    </row>
    <row r="228" spans="9:9">
      <c r="I228" s="124"/>
    </row>
    <row r="229" spans="9:9">
      <c r="I229" s="124"/>
    </row>
    <row r="230" spans="9:9">
      <c r="I230" s="124"/>
    </row>
    <row r="231" spans="9:9">
      <c r="I231" s="124"/>
    </row>
    <row r="232" spans="9:9">
      <c r="I232" s="124"/>
    </row>
    <row r="233" spans="9:9">
      <c r="I233" s="124"/>
    </row>
    <row r="234" spans="9:9">
      <c r="I234" s="124"/>
    </row>
    <row r="235" spans="9:9">
      <c r="I235" s="124"/>
    </row>
    <row r="236" spans="9:9">
      <c r="I236" s="124"/>
    </row>
    <row r="237" spans="9:9">
      <c r="I237" s="124"/>
    </row>
    <row r="238" spans="9:9">
      <c r="I238" s="124"/>
    </row>
    <row r="239" spans="9:9">
      <c r="I239" s="124"/>
    </row>
    <row r="240" spans="9:9">
      <c r="I240" s="124"/>
    </row>
    <row r="241" spans="9:9">
      <c r="I241" s="124"/>
    </row>
    <row r="242" spans="9:9">
      <c r="I242" s="124"/>
    </row>
    <row r="243" spans="9:9">
      <c r="I243" s="124"/>
    </row>
    <row r="244" spans="9:9">
      <c r="I244" s="124"/>
    </row>
    <row r="245" spans="9:9">
      <c r="I245" s="124"/>
    </row>
    <row r="246" spans="9:9">
      <c r="I246" s="124"/>
    </row>
    <row r="247" spans="9:9">
      <c r="I247" s="124"/>
    </row>
    <row r="248" spans="9:9">
      <c r="I248" s="124"/>
    </row>
    <row r="249" spans="9:9">
      <c r="I249" s="124"/>
    </row>
    <row r="250" spans="9:9">
      <c r="I250" s="124"/>
    </row>
    <row r="251" spans="9:9">
      <c r="I251" s="124"/>
    </row>
    <row r="252" spans="9:9">
      <c r="I252" s="124"/>
    </row>
    <row r="253" spans="9:9">
      <c r="I253" s="124"/>
    </row>
    <row r="254" spans="9:9">
      <c r="I254" s="124"/>
    </row>
    <row r="255" spans="9:9">
      <c r="I255" s="124"/>
    </row>
    <row r="256" spans="9:9">
      <c r="I256" s="124"/>
    </row>
    <row r="257" spans="9:9">
      <c r="I257" s="124"/>
    </row>
    <row r="258" spans="9:9">
      <c r="I258" s="124"/>
    </row>
    <row r="259" spans="9:9">
      <c r="I259" s="124"/>
    </row>
    <row r="260" spans="9:9">
      <c r="I260" s="124"/>
    </row>
  </sheetData>
  <sheetProtection password="8B10" sheet="1" objects="1" scenarios="1"/>
  <phoneticPr fontId="3" type="noConversion"/>
  <pageMargins left="0.70866141732283472" right="0.70866141732283472" top="1.0236220472440944" bottom="1.0236220472440944" header="0.39370078740157483" footer="0.39370078740157483"/>
  <pageSetup paperSize="9" scale="69" orientation="landscape" r:id="rId1"/>
  <headerFooter alignWithMargins="0">
    <oddFooter>&amp;L&amp;"Frutiger 57Cn,Standard"&amp;8
Santander Consumer Bank AG
Santander-Platz 1
41061 Mönchengladbach
Tel.: +49 180 / 5556 - 499
Fax.: +49 180 / 5556 - 498</oddFooter>
  </headerFooter>
  <colBreaks count="1" manualBreakCount="1">
    <brk id="1" max="95" man="1"/>
  </col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Q2248"/>
  <sheetViews>
    <sheetView view="pageBreakPreview" zoomScale="75" zoomScaleNormal="100" workbookViewId="0">
      <selection activeCell="B3" sqref="B3"/>
    </sheetView>
  </sheetViews>
  <sheetFormatPr defaultRowHeight="12.75"/>
  <cols>
    <col min="1" max="1" width="1.28515625" style="31" customWidth="1"/>
    <col min="2" max="2" width="26" style="31" customWidth="1"/>
    <col min="3" max="3" width="14.85546875" style="31" bestFit="1" customWidth="1"/>
    <col min="4" max="4" width="18.7109375" style="31" customWidth="1"/>
    <col min="5" max="5" width="20.85546875" style="31" customWidth="1"/>
    <col min="6" max="6" width="19.5703125" style="31" customWidth="1"/>
    <col min="7" max="8" width="19" style="31" customWidth="1"/>
    <col min="9" max="10" width="15.42578125" style="31" customWidth="1"/>
    <col min="11" max="11" width="1.28515625" style="31" customWidth="1"/>
    <col min="12" max="12" width="3.140625" style="31" customWidth="1"/>
    <col min="13" max="13" width="18.7109375" style="34" customWidth="1"/>
    <col min="14" max="14" width="18.5703125" style="34" customWidth="1"/>
    <col min="15" max="15" width="19.5703125" style="34" customWidth="1"/>
    <col min="16" max="17" width="19" style="34" customWidth="1"/>
    <col min="18" max="256" width="11.42578125" style="31" customWidth="1"/>
    <col min="257" max="16384" width="9.140625" style="31"/>
  </cols>
  <sheetData>
    <row r="1" spans="1:17" ht="6" customHeight="1">
      <c r="A1" s="35"/>
      <c r="B1" s="36"/>
      <c r="C1" s="36"/>
      <c r="D1" s="36"/>
      <c r="E1" s="36"/>
      <c r="F1" s="36"/>
      <c r="G1" s="36"/>
      <c r="H1" s="36"/>
      <c r="I1" s="36"/>
      <c r="J1" s="36"/>
      <c r="K1" s="37"/>
    </row>
    <row r="2" spans="1:17" s="27" customFormat="1" ht="18">
      <c r="A2" s="5"/>
      <c r="B2" s="7" t="str">
        <f>'Cover Sheet'!B2</f>
        <v>SC Germany Auto 10-1</v>
      </c>
      <c r="C2" s="7"/>
      <c r="D2" s="108" t="s">
        <v>54</v>
      </c>
      <c r="E2" s="109"/>
      <c r="F2" s="110">
        <f>'Cover Sheet'!F2</f>
        <v>41191</v>
      </c>
      <c r="G2" s="109"/>
      <c r="H2" s="109"/>
      <c r="I2" s="109"/>
      <c r="J2" s="111"/>
      <c r="K2" s="88"/>
      <c r="M2" s="28"/>
      <c r="N2" s="34"/>
      <c r="O2" s="372"/>
      <c r="P2" s="34"/>
      <c r="Q2" s="34"/>
    </row>
    <row r="3" spans="1:17" s="27" customFormat="1" ht="18">
      <c r="A3" s="5"/>
      <c r="B3" s="7" t="str">
        <f>'Cover Sheet'!B3</f>
        <v>Monthly Investor Report</v>
      </c>
      <c r="C3" s="7"/>
      <c r="D3" s="112" t="s">
        <v>4</v>
      </c>
      <c r="E3" s="113"/>
      <c r="F3" s="114">
        <f>'Cover Sheet'!F3</f>
        <v>41197</v>
      </c>
      <c r="G3" s="113"/>
      <c r="H3" s="113"/>
      <c r="I3" s="113"/>
      <c r="J3" s="115"/>
      <c r="K3" s="90"/>
      <c r="M3" s="28"/>
      <c r="N3" s="34"/>
      <c r="O3" s="372"/>
      <c r="P3" s="34"/>
      <c r="Q3" s="34"/>
    </row>
    <row r="4" spans="1:17" s="27" customFormat="1">
      <c r="A4" s="5"/>
      <c r="B4" s="42"/>
      <c r="C4" s="12"/>
      <c r="D4" s="112" t="s">
        <v>5</v>
      </c>
      <c r="E4" s="113"/>
      <c r="F4" s="122">
        <f>'Cover Sheet'!F4</f>
        <v>27</v>
      </c>
      <c r="G4" s="113"/>
      <c r="H4" s="117"/>
      <c r="I4" s="113"/>
      <c r="J4" s="118"/>
      <c r="K4" s="88"/>
      <c r="M4" s="28"/>
      <c r="N4" s="34"/>
      <c r="O4" s="45"/>
      <c r="P4" s="34"/>
      <c r="Q4" s="28"/>
    </row>
    <row r="5" spans="1:17" s="27" customFormat="1" ht="18">
      <c r="A5" s="5"/>
      <c r="B5" s="105" t="s">
        <v>401</v>
      </c>
      <c r="C5" s="14"/>
      <c r="D5" s="112" t="s">
        <v>3</v>
      </c>
      <c r="E5" s="113"/>
      <c r="F5" s="123">
        <f>'Cover Sheet'!F5</f>
        <v>41197</v>
      </c>
      <c r="G5" s="113"/>
      <c r="H5" s="117"/>
      <c r="I5" s="113"/>
      <c r="J5" s="118"/>
      <c r="K5" s="90"/>
      <c r="M5" s="28"/>
      <c r="N5" s="34"/>
      <c r="O5" s="373"/>
      <c r="P5" s="34"/>
      <c r="Q5" s="28"/>
    </row>
    <row r="6" spans="1:17" s="27" customFormat="1" ht="15" customHeight="1">
      <c r="A6" s="5"/>
      <c r="B6" s="43"/>
      <c r="C6" s="89"/>
      <c r="D6" s="552" t="str">
        <f>'Cover Sheet'!D6</f>
        <v>Interest Period</v>
      </c>
      <c r="E6" s="114" t="s">
        <v>38</v>
      </c>
      <c r="F6" s="114">
        <f>'Cover Sheet'!F6</f>
        <v>41164</v>
      </c>
      <c r="G6" s="116" t="s">
        <v>6</v>
      </c>
      <c r="H6" s="114">
        <f>'Cover Sheet'!H6</f>
        <v>41197</v>
      </c>
      <c r="I6" s="116" t="s">
        <v>18</v>
      </c>
      <c r="J6" s="542" t="str">
        <f>'Cover Sheet'!J6</f>
        <v>33 days</v>
      </c>
      <c r="K6" s="90"/>
      <c r="M6" s="28"/>
      <c r="N6" s="45"/>
      <c r="O6" s="372"/>
      <c r="P6" s="45"/>
      <c r="Q6" s="372"/>
    </row>
    <row r="7" spans="1:17" s="27" customFormat="1">
      <c r="A7" s="5"/>
      <c r="B7" s="4"/>
      <c r="C7" s="4"/>
      <c r="D7" s="553" t="str">
        <f>'Cover Sheet'!D7</f>
        <v>Collection Period</v>
      </c>
      <c r="E7" s="121" t="s">
        <v>38</v>
      </c>
      <c r="F7" s="121" t="str">
        <f>'Cover Sheet'!F7</f>
        <v>01.09.2012</v>
      </c>
      <c r="G7" s="120" t="s">
        <v>6</v>
      </c>
      <c r="H7" s="121">
        <f>'Cover Sheet'!H7</f>
        <v>41182</v>
      </c>
      <c r="I7" s="543"/>
      <c r="J7" s="544"/>
      <c r="K7" s="90"/>
      <c r="M7" s="28"/>
      <c r="N7" s="34"/>
      <c r="O7" s="374"/>
      <c r="P7" s="45"/>
      <c r="Q7" s="372"/>
    </row>
    <row r="8" spans="1:17" s="27" customFormat="1">
      <c r="A8" s="5"/>
      <c r="B8" s="4"/>
      <c r="C8" s="4"/>
      <c r="D8" s="4"/>
      <c r="E8" s="9"/>
      <c r="F8" s="15"/>
      <c r="G8" s="9"/>
      <c r="H8" s="4"/>
      <c r="I8" s="16"/>
      <c r="J8" s="4"/>
      <c r="K8" s="90"/>
      <c r="M8" s="34"/>
      <c r="N8" s="44"/>
      <c r="O8" s="45"/>
      <c r="P8" s="44"/>
      <c r="Q8" s="34"/>
    </row>
    <row r="9" spans="1:17" s="27" customFormat="1">
      <c r="A9" s="5"/>
      <c r="K9" s="8"/>
      <c r="M9" s="34"/>
      <c r="N9" s="34"/>
      <c r="O9" s="34"/>
      <c r="P9" s="34"/>
      <c r="Q9" s="34"/>
    </row>
    <row r="10" spans="1:17" s="27" customFormat="1">
      <c r="A10" s="5"/>
      <c r="B10" s="4"/>
      <c r="C10" s="4"/>
      <c r="D10" s="34"/>
      <c r="E10" s="4"/>
      <c r="F10" s="18"/>
      <c r="G10" s="4"/>
      <c r="H10" s="4"/>
      <c r="I10" s="34"/>
      <c r="J10" s="34"/>
      <c r="K10" s="8"/>
      <c r="M10" s="34"/>
      <c r="N10" s="34"/>
      <c r="O10" s="102"/>
      <c r="P10" s="34"/>
      <c r="Q10" s="34"/>
    </row>
    <row r="11" spans="1:17" s="27" customFormat="1" ht="18">
      <c r="A11" s="5"/>
      <c r="B11" s="125"/>
      <c r="C11" s="4"/>
      <c r="D11" s="34"/>
      <c r="E11" s="4"/>
      <c r="F11" s="34"/>
      <c r="G11" s="100"/>
      <c r="H11" s="100"/>
      <c r="I11" s="34"/>
      <c r="K11" s="8"/>
      <c r="M11" s="47"/>
      <c r="N11" s="34"/>
      <c r="O11" s="34"/>
      <c r="P11" s="137"/>
      <c r="Q11" s="137"/>
    </row>
    <row r="12" spans="1:17" s="27" customFormat="1" ht="13.5" thickBot="1">
      <c r="A12" s="5"/>
      <c r="B12" s="4"/>
      <c r="C12" s="34"/>
      <c r="D12" s="34"/>
      <c r="E12" s="34"/>
      <c r="F12" s="34"/>
      <c r="G12" s="137"/>
      <c r="H12" s="137"/>
      <c r="I12" s="34"/>
      <c r="J12" s="34"/>
      <c r="K12" s="8"/>
      <c r="M12" s="34"/>
      <c r="N12" s="34"/>
      <c r="O12" s="34"/>
      <c r="P12" s="137"/>
      <c r="Q12" s="137"/>
    </row>
    <row r="13" spans="1:17" s="27" customFormat="1" ht="31.5" customHeight="1">
      <c r="A13" s="5"/>
      <c r="B13" s="138"/>
      <c r="C13" s="138"/>
      <c r="D13" s="286" t="s">
        <v>98</v>
      </c>
      <c r="E13" s="288" t="s">
        <v>91</v>
      </c>
      <c r="F13" s="289" t="s">
        <v>70</v>
      </c>
      <c r="G13" s="313" t="s">
        <v>71</v>
      </c>
      <c r="H13" s="499" t="s">
        <v>72</v>
      </c>
      <c r="I13" s="138"/>
      <c r="J13" s="34"/>
      <c r="K13" s="8"/>
      <c r="M13" s="317"/>
      <c r="N13" s="327"/>
      <c r="O13" s="328"/>
      <c r="P13" s="328"/>
      <c r="Q13" s="329"/>
    </row>
    <row r="14" spans="1:17">
      <c r="A14" s="40"/>
      <c r="B14" s="139"/>
      <c r="C14" s="140"/>
      <c r="D14" s="509" t="s">
        <v>562</v>
      </c>
      <c r="E14" s="263">
        <v>0</v>
      </c>
      <c r="F14" s="264">
        <v>0</v>
      </c>
      <c r="G14" s="265">
        <v>1</v>
      </c>
      <c r="H14" s="266">
        <v>2.3745636739249164E-5</v>
      </c>
      <c r="I14" s="316"/>
      <c r="J14" s="34"/>
      <c r="K14" s="41"/>
      <c r="M14" s="148"/>
      <c r="N14" s="322"/>
      <c r="O14" s="316"/>
      <c r="P14" s="323"/>
      <c r="Q14" s="316"/>
    </row>
    <row r="15" spans="1:17">
      <c r="A15" s="40"/>
      <c r="B15" s="139"/>
      <c r="C15" s="140"/>
      <c r="D15" s="509" t="s">
        <v>563</v>
      </c>
      <c r="E15" s="263">
        <v>9979328.9700000361</v>
      </c>
      <c r="F15" s="264">
        <v>4.5870681957247313E-2</v>
      </c>
      <c r="G15" s="265">
        <v>5182</v>
      </c>
      <c r="H15" s="266">
        <v>0.12304988958278916</v>
      </c>
      <c r="I15" s="316"/>
      <c r="J15" s="34"/>
      <c r="K15" s="41"/>
      <c r="M15" s="148"/>
      <c r="N15" s="322"/>
      <c r="O15" s="316"/>
      <c r="P15" s="323"/>
      <c r="Q15" s="316"/>
    </row>
    <row r="16" spans="1:17">
      <c r="A16" s="40"/>
      <c r="B16" s="139"/>
      <c r="C16" s="140"/>
      <c r="D16" s="509" t="s">
        <v>564</v>
      </c>
      <c r="E16" s="263">
        <v>45989955.240000285</v>
      </c>
      <c r="F16" s="264">
        <v>0.21139603838935123</v>
      </c>
      <c r="G16" s="265">
        <v>11251</v>
      </c>
      <c r="H16" s="266">
        <v>0.26716215895329232</v>
      </c>
      <c r="I16" s="316"/>
      <c r="J16" s="34"/>
      <c r="K16" s="41"/>
      <c r="M16" s="148"/>
      <c r="N16" s="322"/>
      <c r="O16" s="316"/>
      <c r="P16" s="323"/>
      <c r="Q16" s="316"/>
    </row>
    <row r="17" spans="1:17">
      <c r="A17" s="40"/>
      <c r="B17" s="139"/>
      <c r="C17" s="140"/>
      <c r="D17" s="509" t="s">
        <v>565</v>
      </c>
      <c r="E17" s="263">
        <v>73845174.23999992</v>
      </c>
      <c r="F17" s="264">
        <v>0.33943449622951311</v>
      </c>
      <c r="G17" s="265">
        <v>13287</v>
      </c>
      <c r="H17" s="266">
        <v>0.31550827535440362</v>
      </c>
      <c r="I17" s="316"/>
      <c r="J17" s="34"/>
      <c r="K17" s="41"/>
      <c r="M17" s="148"/>
      <c r="N17" s="322"/>
      <c r="O17" s="316"/>
      <c r="P17" s="323"/>
      <c r="Q17" s="316"/>
    </row>
    <row r="18" spans="1:17">
      <c r="A18" s="40"/>
      <c r="B18" s="139"/>
      <c r="C18" s="140"/>
      <c r="D18" s="509" t="s">
        <v>566</v>
      </c>
      <c r="E18" s="263">
        <v>49276589.989999868</v>
      </c>
      <c r="F18" s="264">
        <v>0.22650328435549633</v>
      </c>
      <c r="G18" s="265">
        <v>7840</v>
      </c>
      <c r="H18" s="266">
        <v>0.18616579203571343</v>
      </c>
      <c r="I18" s="316"/>
      <c r="J18" s="34"/>
      <c r="K18" s="41"/>
      <c r="M18" s="148"/>
      <c r="N18" s="322"/>
      <c r="O18" s="316"/>
      <c r="P18" s="323"/>
      <c r="Q18" s="316"/>
    </row>
    <row r="19" spans="1:17" ht="13.5" thickBot="1">
      <c r="A19" s="40"/>
      <c r="B19" s="139"/>
      <c r="C19" s="140"/>
      <c r="D19" s="509" t="s">
        <v>567</v>
      </c>
      <c r="E19" s="263">
        <v>38462485.629999995</v>
      </c>
      <c r="F19" s="264">
        <v>0.17679549906840264</v>
      </c>
      <c r="G19" s="265">
        <v>4552</v>
      </c>
      <c r="H19" s="266">
        <v>0.10809013843706219</v>
      </c>
      <c r="I19" s="316"/>
      <c r="J19" s="34"/>
      <c r="K19" s="41"/>
      <c r="M19" s="148"/>
      <c r="N19" s="322"/>
      <c r="O19" s="316"/>
      <c r="P19" s="323"/>
      <c r="Q19" s="316"/>
    </row>
    <row r="20" spans="1:17" ht="14.25" thickTop="1" thickBot="1">
      <c r="A20" s="40"/>
      <c r="B20" s="139"/>
      <c r="C20" s="140"/>
      <c r="D20" s="504" t="s">
        <v>40</v>
      </c>
      <c r="E20" s="292">
        <f>SUM(E14:E19)</f>
        <v>217553534.07000011</v>
      </c>
      <c r="F20" s="314">
        <f>SUM(F14:F19)</f>
        <v>1.0000000000000107</v>
      </c>
      <c r="G20" s="293">
        <f>SUM(G14:G19)</f>
        <v>42113</v>
      </c>
      <c r="H20" s="312">
        <f>SUM(H14:H19)</f>
        <v>0.99999999999999989</v>
      </c>
      <c r="I20" s="148"/>
      <c r="J20" s="34"/>
      <c r="K20" s="41"/>
      <c r="M20" s="376"/>
      <c r="N20" s="361"/>
      <c r="O20" s="318"/>
      <c r="P20" s="390"/>
      <c r="Q20" s="318"/>
    </row>
    <row r="21" spans="1:17" ht="18" customHeight="1">
      <c r="A21" s="40"/>
      <c r="B21" s="139"/>
      <c r="C21" s="140"/>
      <c r="D21" s="132"/>
      <c r="E21" s="132"/>
      <c r="F21" s="132"/>
      <c r="G21" s="132"/>
      <c r="H21" s="132"/>
      <c r="I21" s="177"/>
      <c r="J21" s="34"/>
      <c r="K21" s="41"/>
      <c r="M21" s="148"/>
      <c r="N21" s="148"/>
      <c r="O21" s="148"/>
      <c r="P21" s="148"/>
      <c r="Q21" s="148"/>
    </row>
    <row r="22" spans="1:17">
      <c r="A22" s="40"/>
      <c r="B22" s="139"/>
      <c r="C22" s="140"/>
      <c r="D22"/>
      <c r="E22"/>
      <c r="F22"/>
      <c r="G22"/>
      <c r="H22" s="132"/>
      <c r="I22" s="148"/>
      <c r="J22" s="34"/>
      <c r="K22" s="41"/>
      <c r="M22" s="177"/>
      <c r="N22" s="177"/>
      <c r="O22" s="177"/>
      <c r="P22" s="177"/>
      <c r="Q22" s="148"/>
    </row>
    <row r="23" spans="1:17">
      <c r="A23" s="40"/>
      <c r="B23" s="139"/>
      <c r="C23" s="140"/>
      <c r="D23" s="132"/>
      <c r="E23" s="267"/>
      <c r="F23" s="132"/>
      <c r="G23" s="132"/>
      <c r="H23" s="132"/>
      <c r="I23" s="148"/>
      <c r="J23" s="34"/>
      <c r="K23" s="41"/>
      <c r="M23" s="148"/>
      <c r="N23" s="333"/>
      <c r="O23" s="148"/>
      <c r="P23" s="148"/>
      <c r="Q23" s="148"/>
    </row>
    <row r="24" spans="1:17" ht="13.5" thickBot="1">
      <c r="A24" s="40"/>
      <c r="B24" s="139"/>
      <c r="C24" s="140"/>
      <c r="D24" s="448" t="s">
        <v>89</v>
      </c>
      <c r="E24" s="448"/>
      <c r="F24" s="132"/>
      <c r="G24" s="132"/>
      <c r="H24" s="132"/>
      <c r="I24" s="258"/>
      <c r="J24" s="34"/>
      <c r="K24" s="41"/>
      <c r="M24" s="422"/>
      <c r="N24" s="422"/>
      <c r="O24" s="148"/>
      <c r="P24" s="148"/>
      <c r="Q24" s="148"/>
    </row>
    <row r="25" spans="1:17" ht="13.5" thickBot="1">
      <c r="A25" s="40"/>
      <c r="B25" s="139"/>
      <c r="C25" s="140"/>
      <c r="D25" s="489" t="s">
        <v>85</v>
      </c>
      <c r="E25" s="490">
        <v>63.616476194989914</v>
      </c>
      <c r="F25" s="148"/>
      <c r="G25" s="148"/>
      <c r="H25" s="148"/>
      <c r="I25" s="148"/>
      <c r="J25" s="34"/>
      <c r="K25" s="41"/>
      <c r="M25" s="148"/>
      <c r="N25" s="148"/>
      <c r="O25" s="148"/>
      <c r="P25" s="148"/>
      <c r="Q25" s="148"/>
    </row>
    <row r="26" spans="1:17">
      <c r="A26" s="40"/>
      <c r="B26" s="139"/>
      <c r="C26" s="140"/>
      <c r="D26" s="134"/>
      <c r="E26" s="146"/>
      <c r="F26" s="148"/>
      <c r="G26" s="148"/>
      <c r="H26" s="148"/>
      <c r="I26" s="148"/>
      <c r="J26" s="34"/>
      <c r="K26" s="41"/>
      <c r="M26" s="148"/>
      <c r="N26" s="148"/>
      <c r="O26" s="148"/>
      <c r="P26" s="148"/>
      <c r="Q26" s="148"/>
    </row>
    <row r="27" spans="1:17">
      <c r="A27" s="40"/>
      <c r="B27" s="139"/>
      <c r="C27" s="140"/>
      <c r="D27" s="142"/>
      <c r="E27" s="146"/>
      <c r="F27" s="148"/>
      <c r="G27" s="148"/>
      <c r="H27" s="148"/>
      <c r="I27" s="148"/>
      <c r="J27" s="34"/>
      <c r="K27" s="41"/>
      <c r="M27" s="148"/>
      <c r="N27" s="148"/>
      <c r="O27" s="148"/>
      <c r="P27" s="148"/>
      <c r="Q27" s="148"/>
    </row>
    <row r="28" spans="1:17">
      <c r="A28" s="40"/>
      <c r="B28" s="139"/>
      <c r="C28" s="140"/>
      <c r="D28" s="148"/>
      <c r="E28" s="148"/>
      <c r="F28" s="148"/>
      <c r="G28" s="148"/>
      <c r="H28" s="148"/>
      <c r="I28" s="148"/>
      <c r="J28" s="34"/>
      <c r="K28" s="41"/>
      <c r="M28" s="148"/>
      <c r="N28" s="148"/>
      <c r="O28" s="148"/>
      <c r="P28" s="148"/>
      <c r="Q28" s="148"/>
    </row>
    <row r="29" spans="1:17">
      <c r="A29" s="40"/>
      <c r="B29" s="139"/>
      <c r="C29" s="140"/>
      <c r="D29" s="148"/>
      <c r="E29" s="148"/>
      <c r="F29" s="148"/>
      <c r="G29" s="148"/>
      <c r="H29" s="148"/>
      <c r="I29" s="148"/>
      <c r="J29" s="34"/>
      <c r="K29" s="41"/>
      <c r="M29" s="148"/>
      <c r="N29" s="148"/>
      <c r="O29" s="148"/>
      <c r="P29" s="148"/>
      <c r="Q29" s="148"/>
    </row>
    <row r="30" spans="1:17">
      <c r="A30" s="40"/>
      <c r="B30" s="139"/>
      <c r="C30" s="140"/>
      <c r="D30" s="148"/>
      <c r="E30" s="148"/>
      <c r="F30" s="148"/>
      <c r="G30" s="148"/>
      <c r="H30" s="148"/>
      <c r="I30" s="148"/>
      <c r="J30" s="34"/>
      <c r="K30" s="41"/>
      <c r="M30" s="148"/>
      <c r="N30" s="148"/>
      <c r="O30" s="148"/>
      <c r="P30" s="148"/>
      <c r="Q30" s="148"/>
    </row>
    <row r="31" spans="1:17">
      <c r="A31" s="40"/>
      <c r="B31" s="139"/>
      <c r="C31" s="140"/>
      <c r="D31" s="148"/>
      <c r="E31" s="148"/>
      <c r="F31" s="148"/>
      <c r="G31" s="148"/>
      <c r="H31" s="148"/>
      <c r="I31" s="148"/>
      <c r="J31" s="34"/>
      <c r="K31" s="41"/>
      <c r="M31" s="148"/>
      <c r="N31" s="148"/>
      <c r="O31" s="148"/>
      <c r="P31" s="148"/>
      <c r="Q31" s="148"/>
    </row>
    <row r="32" spans="1:17">
      <c r="A32" s="40"/>
      <c r="B32" s="139"/>
      <c r="C32" s="140"/>
      <c r="D32" s="148"/>
      <c r="E32" s="148"/>
      <c r="F32" s="148"/>
      <c r="G32" s="148"/>
      <c r="H32" s="148"/>
      <c r="I32" s="148"/>
      <c r="J32" s="34"/>
      <c r="K32" s="41"/>
      <c r="M32" s="148"/>
      <c r="N32" s="148"/>
      <c r="O32" s="148"/>
      <c r="P32" s="148"/>
      <c r="Q32" s="148"/>
    </row>
    <row r="33" spans="1:17">
      <c r="A33" s="40"/>
      <c r="B33" s="139"/>
      <c r="C33" s="140"/>
      <c r="D33" s="148"/>
      <c r="E33" s="148"/>
      <c r="F33" s="148"/>
      <c r="G33" s="148"/>
      <c r="H33" s="148"/>
      <c r="I33" s="148"/>
      <c r="J33" s="34"/>
      <c r="K33" s="41"/>
      <c r="M33" s="148"/>
      <c r="N33" s="148"/>
      <c r="O33" s="148"/>
      <c r="P33" s="148"/>
      <c r="Q33" s="148"/>
    </row>
    <row r="34" spans="1:17">
      <c r="A34" s="40"/>
      <c r="B34" s="139"/>
      <c r="C34" s="140"/>
      <c r="D34" s="148"/>
      <c r="E34" s="148"/>
      <c r="F34" s="148"/>
      <c r="G34" s="148"/>
      <c r="H34" s="148"/>
      <c r="I34" s="148"/>
      <c r="J34" s="34"/>
      <c r="K34" s="41"/>
      <c r="M34" s="148"/>
      <c r="N34" s="148"/>
      <c r="O34" s="148"/>
      <c r="P34" s="148"/>
      <c r="Q34" s="148"/>
    </row>
    <row r="35" spans="1:17">
      <c r="A35" s="40"/>
      <c r="B35" s="139"/>
      <c r="C35" s="140"/>
      <c r="D35" s="148"/>
      <c r="E35" s="148"/>
      <c r="F35" s="148"/>
      <c r="G35" s="148"/>
      <c r="H35" s="148"/>
      <c r="I35" s="148"/>
      <c r="J35" s="34"/>
      <c r="K35" s="41"/>
      <c r="M35" s="148"/>
      <c r="N35" s="148"/>
      <c r="O35" s="148"/>
      <c r="P35" s="148"/>
      <c r="Q35" s="148"/>
    </row>
    <row r="36" spans="1:17">
      <c r="A36" s="40"/>
      <c r="B36" s="139"/>
      <c r="C36" s="140"/>
      <c r="D36" s="148"/>
      <c r="E36" s="148"/>
      <c r="F36" s="148"/>
      <c r="G36" s="148"/>
      <c r="H36" s="148"/>
      <c r="I36" s="148"/>
      <c r="J36" s="34"/>
      <c r="K36" s="41"/>
      <c r="M36" s="148"/>
      <c r="N36" s="148"/>
      <c r="O36" s="148"/>
      <c r="P36" s="148"/>
      <c r="Q36" s="148"/>
    </row>
    <row r="37" spans="1:17">
      <c r="A37" s="40"/>
      <c r="B37" s="139"/>
      <c r="C37" s="140"/>
      <c r="D37" s="148"/>
      <c r="E37" s="148"/>
      <c r="F37" s="148"/>
      <c r="G37" s="148"/>
      <c r="H37" s="148"/>
      <c r="I37" s="148"/>
      <c r="J37" s="34"/>
      <c r="K37" s="41"/>
      <c r="M37" s="148"/>
      <c r="N37" s="148"/>
      <c r="O37" s="148"/>
      <c r="P37" s="148"/>
      <c r="Q37" s="148"/>
    </row>
    <row r="38" spans="1:17">
      <c r="A38" s="40"/>
      <c r="B38" s="139"/>
      <c r="C38" s="140"/>
      <c r="D38" s="148"/>
      <c r="E38" s="148"/>
      <c r="F38" s="148"/>
      <c r="G38" s="148"/>
      <c r="H38" s="148"/>
      <c r="I38" s="148"/>
      <c r="J38" s="34"/>
      <c r="K38" s="41"/>
      <c r="M38" s="148"/>
      <c r="N38" s="148"/>
      <c r="O38" s="148"/>
      <c r="P38" s="148"/>
      <c r="Q38" s="148"/>
    </row>
    <row r="39" spans="1:17">
      <c r="A39" s="40"/>
      <c r="B39" s="139"/>
      <c r="C39" s="140"/>
      <c r="D39" s="148"/>
      <c r="E39" s="148"/>
      <c r="F39" s="148"/>
      <c r="G39" s="148"/>
      <c r="H39" s="148"/>
      <c r="I39" s="148"/>
      <c r="J39" s="34"/>
      <c r="K39" s="41"/>
      <c r="M39" s="148"/>
      <c r="N39" s="148"/>
      <c r="O39" s="148"/>
      <c r="P39" s="148"/>
      <c r="Q39" s="148"/>
    </row>
    <row r="40" spans="1:17">
      <c r="A40" s="40"/>
      <c r="B40" s="139"/>
      <c r="C40" s="140"/>
      <c r="D40" s="148"/>
      <c r="E40" s="148"/>
      <c r="F40" s="148"/>
      <c r="G40" s="148"/>
      <c r="H40" s="148"/>
      <c r="I40" s="148"/>
      <c r="J40" s="34"/>
      <c r="K40" s="41"/>
      <c r="M40" s="148"/>
      <c r="N40" s="148"/>
      <c r="O40" s="148"/>
      <c r="P40" s="148"/>
      <c r="Q40" s="148"/>
    </row>
    <row r="41" spans="1:17">
      <c r="A41" s="40"/>
      <c r="B41" s="139"/>
      <c r="C41" s="140"/>
      <c r="D41" s="148"/>
      <c r="E41" s="148"/>
      <c r="F41" s="148"/>
      <c r="G41" s="148"/>
      <c r="H41" s="148"/>
      <c r="I41" s="148"/>
      <c r="J41" s="34"/>
      <c r="K41" s="41"/>
      <c r="M41" s="148"/>
      <c r="N41" s="148"/>
      <c r="O41" s="148"/>
      <c r="P41" s="148"/>
      <c r="Q41" s="148"/>
    </row>
    <row r="42" spans="1:17">
      <c r="A42" s="40"/>
      <c r="B42" s="139"/>
      <c r="C42" s="140"/>
      <c r="D42" s="148"/>
      <c r="E42" s="148"/>
      <c r="F42" s="148"/>
      <c r="G42" s="148"/>
      <c r="H42" s="148"/>
      <c r="I42" s="148"/>
      <c r="J42" s="34"/>
      <c r="K42" s="41"/>
      <c r="M42" s="148"/>
      <c r="N42" s="148"/>
      <c r="O42" s="148"/>
      <c r="P42" s="148"/>
      <c r="Q42" s="148"/>
    </row>
    <row r="43" spans="1:17">
      <c r="A43" s="40"/>
      <c r="B43" s="139"/>
      <c r="C43" s="140"/>
      <c r="D43" s="148"/>
      <c r="E43" s="148"/>
      <c r="F43" s="148"/>
      <c r="G43" s="148"/>
      <c r="H43" s="148"/>
      <c r="I43" s="148"/>
      <c r="J43" s="34"/>
      <c r="K43" s="41"/>
      <c r="M43" s="148"/>
      <c r="N43" s="148"/>
      <c r="O43" s="148"/>
      <c r="P43" s="148"/>
      <c r="Q43" s="148"/>
    </row>
    <row r="44" spans="1:17">
      <c r="A44" s="40"/>
      <c r="B44" s="139"/>
      <c r="C44" s="140"/>
      <c r="D44" s="148"/>
      <c r="E44" s="148"/>
      <c r="F44" s="148"/>
      <c r="G44" s="148"/>
      <c r="H44" s="148"/>
      <c r="I44" s="148"/>
      <c r="J44" s="34"/>
      <c r="K44" s="41"/>
      <c r="M44" s="148"/>
      <c r="N44" s="148"/>
      <c r="O44" s="148"/>
      <c r="P44" s="148"/>
      <c r="Q44" s="148"/>
    </row>
    <row r="45" spans="1:17">
      <c r="A45" s="60"/>
      <c r="B45" s="167"/>
      <c r="C45" s="168"/>
      <c r="D45" s="169"/>
      <c r="E45" s="170"/>
      <c r="F45" s="171"/>
      <c r="G45" s="172"/>
      <c r="H45" s="171"/>
      <c r="I45" s="126"/>
      <c r="J45" s="61"/>
      <c r="K45" s="79"/>
      <c r="M45" s="156"/>
      <c r="N45" s="157"/>
      <c r="O45" s="141"/>
      <c r="P45" s="158"/>
      <c r="Q45" s="141"/>
    </row>
    <row r="46" spans="1:17">
      <c r="A46" s="36"/>
      <c r="B46" s="139"/>
      <c r="C46" s="140"/>
      <c r="D46" s="156"/>
      <c r="E46" s="157"/>
      <c r="F46" s="141"/>
      <c r="G46" s="158"/>
      <c r="H46" s="141"/>
      <c r="I46" s="102"/>
      <c r="J46" s="34"/>
      <c r="K46" s="34"/>
      <c r="L46" s="34"/>
      <c r="M46" s="156"/>
      <c r="N46" s="157"/>
      <c r="O46" s="141"/>
      <c r="P46" s="158"/>
      <c r="Q46" s="141"/>
    </row>
    <row r="47" spans="1:17" s="34" customFormat="1">
      <c r="B47" s="139"/>
      <c r="C47" s="140"/>
      <c r="D47" s="156"/>
      <c r="E47" s="157"/>
      <c r="F47" s="141"/>
      <c r="G47" s="158"/>
      <c r="H47" s="141"/>
      <c r="I47" s="102"/>
      <c r="M47" s="156"/>
      <c r="N47" s="157"/>
      <c r="O47" s="141"/>
      <c r="P47" s="158"/>
      <c r="Q47" s="141"/>
    </row>
    <row r="48" spans="1:17" s="34" customFormat="1">
      <c r="B48" s="139"/>
      <c r="C48" s="140"/>
      <c r="D48" s="156"/>
      <c r="E48" s="157"/>
      <c r="F48" s="141"/>
      <c r="G48" s="158"/>
      <c r="H48" s="141"/>
      <c r="I48" s="102"/>
      <c r="M48" s="156"/>
      <c r="N48" s="157"/>
      <c r="O48" s="141"/>
      <c r="P48" s="158"/>
      <c r="Q48" s="141"/>
    </row>
    <row r="49" spans="2:17" s="4" customFormat="1" ht="15" customHeight="1">
      <c r="B49" s="139"/>
      <c r="C49" s="140"/>
      <c r="D49" s="156"/>
      <c r="E49" s="157"/>
      <c r="F49" s="141"/>
      <c r="G49" s="158"/>
      <c r="H49" s="141"/>
      <c r="I49" s="18"/>
      <c r="M49" s="156"/>
      <c r="N49" s="157"/>
      <c r="O49" s="141"/>
      <c r="P49" s="158"/>
      <c r="Q49" s="141"/>
    </row>
    <row r="50" spans="2:17" s="4" customFormat="1">
      <c r="B50" s="139"/>
      <c r="C50" s="140"/>
      <c r="D50" s="156"/>
      <c r="E50" s="157"/>
      <c r="F50" s="141"/>
      <c r="G50" s="158"/>
      <c r="H50" s="141"/>
      <c r="I50" s="18"/>
      <c r="M50" s="156"/>
      <c r="N50" s="157"/>
      <c r="O50" s="141"/>
      <c r="P50" s="158"/>
      <c r="Q50" s="141"/>
    </row>
    <row r="51" spans="2:17" s="34" customFormat="1">
      <c r="B51" s="139"/>
      <c r="C51" s="140"/>
      <c r="D51" s="156"/>
      <c r="E51" s="157"/>
      <c r="F51" s="141"/>
      <c r="G51" s="158"/>
      <c r="H51" s="141"/>
      <c r="I51" s="102"/>
      <c r="M51" s="156"/>
      <c r="N51" s="157"/>
      <c r="O51" s="141"/>
      <c r="P51" s="158"/>
      <c r="Q51" s="141"/>
    </row>
    <row r="52" spans="2:17" s="34" customFormat="1">
      <c r="B52" s="139"/>
      <c r="C52" s="140"/>
      <c r="D52" s="156"/>
      <c r="E52" s="157"/>
      <c r="F52" s="141"/>
      <c r="G52" s="158"/>
      <c r="H52" s="141"/>
      <c r="I52" s="102"/>
      <c r="M52" s="156"/>
      <c r="N52" s="157"/>
      <c r="O52" s="141"/>
      <c r="P52" s="158"/>
      <c r="Q52" s="141"/>
    </row>
    <row r="53" spans="2:17" s="34" customFormat="1">
      <c r="B53" s="139"/>
      <c r="C53" s="140"/>
      <c r="D53" s="156"/>
      <c r="E53" s="157"/>
      <c r="F53" s="141"/>
      <c r="G53" s="158"/>
      <c r="H53" s="141"/>
      <c r="I53" s="102"/>
      <c r="M53" s="156"/>
      <c r="N53" s="157"/>
      <c r="O53" s="141"/>
      <c r="P53" s="158"/>
      <c r="Q53" s="141"/>
    </row>
    <row r="54" spans="2:17" s="34" customFormat="1">
      <c r="B54" s="139"/>
      <c r="C54" s="140"/>
      <c r="D54" s="156"/>
      <c r="E54" s="157"/>
      <c r="F54" s="141"/>
      <c r="G54" s="158"/>
      <c r="H54" s="141"/>
      <c r="I54" s="102"/>
      <c r="M54" s="156"/>
      <c r="N54" s="157"/>
      <c r="O54" s="141"/>
      <c r="P54" s="158"/>
      <c r="Q54" s="141"/>
    </row>
    <row r="55" spans="2:17" s="34" customFormat="1">
      <c r="B55" s="139"/>
      <c r="C55" s="140"/>
      <c r="D55" s="156"/>
      <c r="E55" s="157"/>
      <c r="F55" s="141"/>
      <c r="G55" s="158"/>
      <c r="H55" s="141"/>
      <c r="I55" s="102"/>
      <c r="M55" s="156"/>
      <c r="N55" s="157"/>
      <c r="O55" s="141"/>
      <c r="P55" s="158"/>
      <c r="Q55" s="141"/>
    </row>
    <row r="56" spans="2:17" s="34" customFormat="1">
      <c r="B56" s="139"/>
      <c r="C56" s="140"/>
      <c r="D56" s="156"/>
      <c r="E56" s="157"/>
      <c r="F56" s="141"/>
      <c r="G56" s="158"/>
      <c r="H56" s="141"/>
      <c r="I56" s="102"/>
      <c r="M56" s="156"/>
      <c r="N56" s="157"/>
      <c r="O56" s="141"/>
      <c r="P56" s="158"/>
      <c r="Q56" s="141"/>
    </row>
    <row r="57" spans="2:17" s="34" customFormat="1">
      <c r="B57" s="139"/>
      <c r="C57" s="140"/>
      <c r="D57" s="156"/>
      <c r="E57" s="157"/>
      <c r="F57" s="141"/>
      <c r="G57" s="158"/>
      <c r="H57" s="141"/>
      <c r="I57" s="102"/>
      <c r="M57" s="156"/>
      <c r="N57" s="157"/>
      <c r="O57" s="141"/>
      <c r="P57" s="158"/>
      <c r="Q57" s="141"/>
    </row>
    <row r="58" spans="2:17" s="34" customFormat="1">
      <c r="B58" s="139"/>
      <c r="C58" s="140"/>
      <c r="D58" s="156"/>
      <c r="E58" s="157"/>
      <c r="F58" s="141"/>
      <c r="G58" s="158"/>
      <c r="H58" s="141"/>
      <c r="I58" s="102"/>
      <c r="M58" s="156"/>
      <c r="N58" s="157"/>
      <c r="O58" s="141"/>
      <c r="P58" s="158"/>
      <c r="Q58" s="141"/>
    </row>
    <row r="59" spans="2:17" s="34" customFormat="1">
      <c r="B59" s="139"/>
      <c r="C59" s="140"/>
      <c r="D59" s="156"/>
      <c r="E59" s="157"/>
      <c r="F59" s="141"/>
      <c r="G59" s="158"/>
      <c r="H59" s="141"/>
      <c r="I59" s="102"/>
      <c r="M59" s="156"/>
      <c r="N59" s="157"/>
      <c r="O59" s="141"/>
      <c r="P59" s="158"/>
      <c r="Q59" s="141"/>
    </row>
    <row r="60" spans="2:17" s="34" customFormat="1">
      <c r="B60" s="139"/>
      <c r="C60" s="140"/>
      <c r="D60" s="156"/>
      <c r="E60" s="157"/>
      <c r="F60" s="141"/>
      <c r="G60" s="158"/>
      <c r="H60" s="141"/>
      <c r="I60" s="102"/>
      <c r="M60" s="156"/>
      <c r="N60" s="157"/>
      <c r="O60" s="141"/>
      <c r="P60" s="158"/>
      <c r="Q60" s="141"/>
    </row>
    <row r="61" spans="2:17" s="34" customFormat="1">
      <c r="B61" s="139"/>
      <c r="C61" s="140"/>
      <c r="D61" s="156"/>
      <c r="E61" s="157"/>
      <c r="F61" s="141"/>
      <c r="G61" s="158"/>
      <c r="H61" s="141"/>
      <c r="I61" s="102"/>
      <c r="M61" s="156"/>
      <c r="N61" s="157"/>
      <c r="O61" s="141"/>
      <c r="P61" s="158"/>
      <c r="Q61" s="141"/>
    </row>
    <row r="62" spans="2:17" s="34" customFormat="1">
      <c r="B62" s="139"/>
      <c r="C62" s="140"/>
      <c r="D62" s="156"/>
      <c r="E62" s="157"/>
      <c r="F62" s="141"/>
      <c r="G62" s="158"/>
      <c r="H62" s="141"/>
      <c r="I62" s="102"/>
      <c r="M62" s="156"/>
      <c r="N62" s="157"/>
      <c r="O62" s="141"/>
      <c r="P62" s="158"/>
      <c r="Q62" s="141"/>
    </row>
    <row r="63" spans="2:17" s="34" customFormat="1">
      <c r="B63" s="139"/>
      <c r="C63" s="140"/>
      <c r="D63" s="156"/>
      <c r="E63" s="157"/>
      <c r="F63" s="141"/>
      <c r="G63" s="158"/>
      <c r="H63" s="141"/>
      <c r="I63" s="102"/>
      <c r="M63" s="156"/>
      <c r="N63" s="157"/>
      <c r="O63" s="141"/>
      <c r="P63" s="158"/>
      <c r="Q63" s="141"/>
    </row>
    <row r="64" spans="2:17" s="34" customFormat="1">
      <c r="B64" s="139"/>
      <c r="C64" s="140"/>
      <c r="D64" s="156"/>
      <c r="E64" s="157"/>
      <c r="F64" s="141"/>
      <c r="G64" s="158"/>
      <c r="H64" s="141"/>
      <c r="I64" s="102"/>
      <c r="M64" s="156"/>
      <c r="N64" s="157"/>
      <c r="O64" s="141"/>
      <c r="P64" s="158"/>
      <c r="Q64" s="141"/>
    </row>
    <row r="65" spans="2:17" s="34" customFormat="1">
      <c r="B65" s="139"/>
      <c r="C65" s="140"/>
      <c r="D65" s="156"/>
      <c r="E65" s="157"/>
      <c r="F65" s="141"/>
      <c r="G65" s="158"/>
      <c r="H65" s="141"/>
      <c r="I65" s="102"/>
      <c r="M65" s="156"/>
      <c r="N65" s="157"/>
      <c r="O65" s="141"/>
      <c r="P65" s="158"/>
      <c r="Q65" s="141"/>
    </row>
    <row r="66" spans="2:17" s="34" customFormat="1">
      <c r="B66" s="139"/>
      <c r="C66" s="140"/>
      <c r="D66" s="156"/>
      <c r="E66" s="157"/>
      <c r="F66" s="141"/>
      <c r="G66" s="158"/>
      <c r="H66" s="141"/>
      <c r="I66" s="102"/>
      <c r="M66" s="156"/>
      <c r="N66" s="157"/>
      <c r="O66" s="141"/>
      <c r="P66" s="158"/>
      <c r="Q66" s="141"/>
    </row>
    <row r="67" spans="2:17" s="34" customFormat="1">
      <c r="B67" s="139"/>
      <c r="C67" s="140"/>
      <c r="D67" s="156"/>
      <c r="E67" s="157"/>
      <c r="F67" s="141"/>
      <c r="G67" s="158"/>
      <c r="H67" s="141"/>
      <c r="I67" s="102"/>
      <c r="M67" s="156"/>
      <c r="N67" s="157"/>
      <c r="O67" s="141"/>
      <c r="P67" s="158"/>
      <c r="Q67" s="141"/>
    </row>
    <row r="68" spans="2:17" s="34" customFormat="1">
      <c r="B68" s="139"/>
      <c r="C68" s="140"/>
      <c r="D68" s="156"/>
      <c r="E68" s="157"/>
      <c r="F68" s="141"/>
      <c r="G68" s="158"/>
      <c r="H68" s="141"/>
      <c r="I68" s="102"/>
      <c r="M68" s="156"/>
      <c r="N68" s="157"/>
      <c r="O68" s="141"/>
      <c r="P68" s="158"/>
      <c r="Q68" s="141"/>
    </row>
    <row r="69" spans="2:17" s="34" customFormat="1">
      <c r="B69" s="139"/>
      <c r="C69" s="140"/>
      <c r="D69" s="156"/>
      <c r="E69" s="157"/>
      <c r="F69" s="141"/>
      <c r="G69" s="158"/>
      <c r="H69" s="141"/>
      <c r="I69" s="102"/>
      <c r="M69" s="156"/>
      <c r="N69" s="157"/>
      <c r="O69" s="141"/>
      <c r="P69" s="158"/>
      <c r="Q69" s="141"/>
    </row>
    <row r="70" spans="2:17" s="34" customFormat="1">
      <c r="B70" s="139"/>
      <c r="C70" s="140"/>
      <c r="D70" s="156"/>
      <c r="E70" s="157"/>
      <c r="F70" s="141"/>
      <c r="G70" s="158"/>
      <c r="H70" s="141"/>
      <c r="I70" s="102"/>
      <c r="M70" s="156"/>
      <c r="N70" s="157"/>
      <c r="O70" s="141"/>
      <c r="P70" s="158"/>
      <c r="Q70" s="141"/>
    </row>
    <row r="71" spans="2:17" s="34" customFormat="1">
      <c r="B71" s="139"/>
      <c r="C71" s="140"/>
      <c r="D71" s="156"/>
      <c r="E71" s="157"/>
      <c r="F71" s="141"/>
      <c r="G71" s="158"/>
      <c r="H71" s="141"/>
      <c r="I71" s="102"/>
      <c r="M71" s="156"/>
      <c r="N71" s="157"/>
      <c r="O71" s="141"/>
      <c r="P71" s="158"/>
      <c r="Q71" s="141"/>
    </row>
    <row r="72" spans="2:17" s="34" customFormat="1">
      <c r="B72" s="139"/>
      <c r="C72" s="140"/>
      <c r="D72" s="156"/>
      <c r="E72" s="157"/>
      <c r="F72" s="141"/>
      <c r="G72" s="158"/>
      <c r="H72" s="141"/>
      <c r="I72" s="102"/>
      <c r="M72" s="156"/>
      <c r="N72" s="157"/>
      <c r="O72" s="141"/>
      <c r="P72" s="158"/>
      <c r="Q72" s="141"/>
    </row>
    <row r="73" spans="2:17" s="34" customFormat="1">
      <c r="B73" s="139"/>
      <c r="C73" s="140"/>
      <c r="D73" s="156"/>
      <c r="E73" s="157"/>
      <c r="F73" s="141"/>
      <c r="G73" s="158"/>
      <c r="H73" s="141"/>
      <c r="I73" s="102"/>
      <c r="M73" s="156"/>
      <c r="N73" s="157"/>
      <c r="O73" s="141"/>
      <c r="P73" s="158"/>
      <c r="Q73" s="141"/>
    </row>
    <row r="74" spans="2:17" s="34" customFormat="1">
      <c r="B74" s="139"/>
      <c r="C74" s="140"/>
      <c r="D74" s="156"/>
      <c r="E74" s="157"/>
      <c r="F74" s="141"/>
      <c r="G74" s="158"/>
      <c r="H74" s="141"/>
      <c r="I74" s="102"/>
      <c r="M74" s="156"/>
      <c r="N74" s="157"/>
      <c r="O74" s="141"/>
      <c r="P74" s="158"/>
      <c r="Q74" s="141"/>
    </row>
    <row r="75" spans="2:17" s="34" customFormat="1">
      <c r="B75" s="139"/>
      <c r="C75" s="140"/>
      <c r="D75" s="156"/>
      <c r="E75" s="157"/>
      <c r="F75" s="141"/>
      <c r="G75" s="158"/>
      <c r="H75" s="141"/>
      <c r="I75" s="102"/>
      <c r="M75" s="156"/>
      <c r="N75" s="157"/>
      <c r="O75" s="141"/>
      <c r="P75" s="158"/>
      <c r="Q75" s="141"/>
    </row>
    <row r="76" spans="2:17" s="34" customFormat="1">
      <c r="B76" s="139"/>
      <c r="C76" s="140"/>
      <c r="D76" s="156"/>
      <c r="E76" s="157"/>
      <c r="F76" s="141"/>
      <c r="G76" s="158"/>
      <c r="H76" s="141"/>
      <c r="I76" s="102"/>
      <c r="M76" s="156"/>
      <c r="N76" s="157"/>
      <c r="O76" s="141"/>
      <c r="P76" s="158"/>
      <c r="Q76" s="141"/>
    </row>
    <row r="77" spans="2:17" s="34" customFormat="1">
      <c r="B77" s="139"/>
      <c r="C77" s="140"/>
      <c r="D77" s="156"/>
      <c r="E77" s="157"/>
      <c r="F77" s="141"/>
      <c r="G77" s="158"/>
      <c r="H77" s="141"/>
      <c r="I77" s="102"/>
      <c r="M77" s="156"/>
      <c r="N77" s="157"/>
      <c r="O77" s="141"/>
      <c r="P77" s="158"/>
      <c r="Q77" s="141"/>
    </row>
    <row r="78" spans="2:17" s="34" customFormat="1">
      <c r="B78" s="139"/>
      <c r="C78" s="140"/>
      <c r="D78" s="156"/>
      <c r="E78" s="157"/>
      <c r="F78" s="141"/>
      <c r="G78" s="158"/>
      <c r="H78" s="141"/>
      <c r="I78" s="102"/>
      <c r="M78" s="156"/>
      <c r="N78" s="157"/>
      <c r="O78" s="141"/>
      <c r="P78" s="158"/>
      <c r="Q78" s="141"/>
    </row>
    <row r="79" spans="2:17" s="34" customFormat="1">
      <c r="B79" s="139"/>
      <c r="C79" s="140"/>
      <c r="D79" s="142"/>
      <c r="E79" s="134"/>
      <c r="F79" s="143"/>
      <c r="G79" s="144"/>
      <c r="H79" s="143"/>
      <c r="I79" s="102"/>
      <c r="M79" s="142"/>
      <c r="N79" s="134"/>
      <c r="O79" s="143"/>
      <c r="P79" s="144"/>
      <c r="Q79" s="143"/>
    </row>
    <row r="80" spans="2:17" s="34" customFormat="1">
      <c r="B80" s="139"/>
      <c r="C80" s="140"/>
      <c r="D80" s="142"/>
      <c r="E80" s="142"/>
      <c r="F80" s="142"/>
      <c r="G80" s="142"/>
      <c r="H80" s="142"/>
      <c r="I80" s="102"/>
      <c r="M80" s="142"/>
      <c r="N80" s="142"/>
      <c r="O80" s="142"/>
      <c r="P80" s="142"/>
      <c r="Q80" s="142"/>
    </row>
    <row r="81" spans="2:17" s="34" customFormat="1">
      <c r="B81" s="139"/>
      <c r="C81" s="140"/>
      <c r="D81" s="142"/>
      <c r="E81" s="142"/>
      <c r="F81" s="142"/>
      <c r="G81" s="142"/>
      <c r="H81" s="142"/>
      <c r="I81" s="102"/>
      <c r="M81" s="142"/>
      <c r="N81" s="142"/>
      <c r="O81" s="142"/>
      <c r="P81" s="142"/>
      <c r="Q81" s="142"/>
    </row>
    <row r="82" spans="2:17" s="34" customFormat="1">
      <c r="B82" s="139"/>
      <c r="C82" s="140"/>
      <c r="D82" s="145"/>
      <c r="E82" s="146"/>
      <c r="F82" s="142"/>
      <c r="G82" s="142"/>
      <c r="H82" s="142"/>
      <c r="I82" s="102"/>
      <c r="M82" s="145"/>
      <c r="N82" s="146"/>
      <c r="O82" s="142"/>
      <c r="P82" s="142"/>
      <c r="Q82" s="142"/>
    </row>
    <row r="83" spans="2:17" s="34" customFormat="1">
      <c r="B83" s="139"/>
      <c r="C83" s="140"/>
      <c r="D83" s="134"/>
      <c r="E83" s="146"/>
      <c r="F83" s="142"/>
      <c r="G83" s="142"/>
      <c r="H83" s="142"/>
      <c r="I83" s="102"/>
      <c r="M83" s="134"/>
      <c r="N83" s="146"/>
      <c r="O83" s="142"/>
      <c r="P83" s="142"/>
      <c r="Q83" s="142"/>
    </row>
    <row r="84" spans="2:17" s="34" customFormat="1">
      <c r="B84" s="139"/>
      <c r="C84" s="140"/>
      <c r="D84" s="142"/>
      <c r="E84" s="146"/>
      <c r="F84" s="142"/>
      <c r="G84" s="142"/>
      <c r="H84" s="142"/>
      <c r="I84" s="102"/>
      <c r="M84" s="142"/>
      <c r="N84" s="146"/>
      <c r="O84" s="142"/>
      <c r="P84" s="142"/>
      <c r="Q84" s="142"/>
    </row>
    <row r="85" spans="2:17" s="34" customFormat="1" ht="14.25">
      <c r="B85" s="142"/>
      <c r="C85" s="134"/>
      <c r="D85" s="150"/>
      <c r="E85" s="150"/>
      <c r="F85" s="150"/>
      <c r="G85" s="150"/>
      <c r="H85" s="150"/>
      <c r="I85" s="102"/>
      <c r="M85" s="150"/>
      <c r="N85" s="150"/>
      <c r="O85" s="150"/>
      <c r="P85" s="150"/>
      <c r="Q85" s="150"/>
    </row>
    <row r="86" spans="2:17" s="34" customFormat="1" ht="14.25">
      <c r="B86" s="173"/>
      <c r="C86" s="173"/>
      <c r="D86" s="150"/>
      <c r="E86" s="150"/>
      <c r="F86" s="150"/>
      <c r="G86" s="150"/>
      <c r="H86" s="150"/>
      <c r="I86" s="102"/>
      <c r="M86" s="150"/>
      <c r="N86" s="150"/>
      <c r="O86" s="150"/>
      <c r="P86" s="150"/>
      <c r="Q86" s="150"/>
    </row>
    <row r="87" spans="2:17" s="34" customFormat="1" ht="14.25">
      <c r="B87" s="173"/>
      <c r="C87" s="173"/>
      <c r="D87" s="151"/>
      <c r="E87" s="152"/>
      <c r="F87" s="150"/>
      <c r="G87" s="150"/>
      <c r="H87" s="150"/>
      <c r="I87" s="102"/>
      <c r="M87" s="151"/>
      <c r="N87" s="152"/>
      <c r="O87" s="150"/>
      <c r="P87" s="150"/>
      <c r="Q87" s="150"/>
    </row>
    <row r="88" spans="2:17" s="34" customFormat="1" ht="14.25">
      <c r="B88" s="145"/>
      <c r="C88" s="146"/>
      <c r="D88" s="153"/>
      <c r="E88" s="152"/>
      <c r="F88" s="150"/>
      <c r="G88" s="150"/>
      <c r="H88" s="150"/>
      <c r="I88" s="102"/>
      <c r="M88" s="153"/>
      <c r="N88" s="152"/>
      <c r="O88" s="150"/>
      <c r="P88" s="150"/>
      <c r="Q88" s="150"/>
    </row>
    <row r="89" spans="2:17" s="34" customFormat="1" ht="14.25">
      <c r="B89" s="147"/>
      <c r="C89" s="146"/>
      <c r="D89" s="150"/>
      <c r="E89" s="152"/>
      <c r="F89" s="150"/>
      <c r="G89" s="150"/>
      <c r="H89" s="150"/>
      <c r="I89" s="102"/>
      <c r="M89" s="150"/>
      <c r="N89" s="152"/>
      <c r="O89" s="150"/>
      <c r="P89" s="150"/>
      <c r="Q89" s="150"/>
    </row>
    <row r="90" spans="2:17" s="34" customFormat="1">
      <c r="B90" s="148"/>
      <c r="C90" s="146"/>
      <c r="D90" s="148"/>
      <c r="E90" s="148"/>
      <c r="F90" s="148"/>
      <c r="I90" s="102"/>
      <c r="M90" s="148"/>
      <c r="N90" s="148"/>
      <c r="O90" s="148"/>
    </row>
    <row r="91" spans="2:17" s="34" customFormat="1">
      <c r="I91" s="102"/>
    </row>
    <row r="92" spans="2:17" s="34" customFormat="1">
      <c r="I92" s="102"/>
    </row>
    <row r="93" spans="2:17" s="34" customFormat="1">
      <c r="I93" s="102"/>
    </row>
    <row r="94" spans="2:17" s="34" customFormat="1">
      <c r="I94" s="102"/>
    </row>
    <row r="95" spans="2:17" s="34" customFormat="1">
      <c r="I95" s="102"/>
    </row>
    <row r="96" spans="2:17" s="34" customFormat="1">
      <c r="I96" s="102"/>
    </row>
    <row r="97" spans="9:9" s="34" customFormat="1">
      <c r="I97" s="102"/>
    </row>
    <row r="98" spans="9:9" s="34" customFormat="1">
      <c r="I98" s="102"/>
    </row>
    <row r="99" spans="9:9" s="34" customFormat="1">
      <c r="I99" s="102"/>
    </row>
    <row r="100" spans="9:9" s="34" customFormat="1">
      <c r="I100" s="102"/>
    </row>
    <row r="101" spans="9:9" s="34" customFormat="1">
      <c r="I101" s="102"/>
    </row>
    <row r="102" spans="9:9" s="34" customFormat="1">
      <c r="I102" s="102"/>
    </row>
    <row r="103" spans="9:9" s="34" customFormat="1">
      <c r="I103" s="102"/>
    </row>
    <row r="104" spans="9:9" s="34" customFormat="1">
      <c r="I104" s="102"/>
    </row>
    <row r="105" spans="9:9" s="34" customFormat="1">
      <c r="I105" s="102"/>
    </row>
    <row r="106" spans="9:9" s="34" customFormat="1">
      <c r="I106" s="102"/>
    </row>
    <row r="107" spans="9:9" s="34" customFormat="1">
      <c r="I107" s="102"/>
    </row>
    <row r="108" spans="9:9" s="34" customFormat="1">
      <c r="I108" s="102"/>
    </row>
    <row r="109" spans="9:9" s="34" customFormat="1">
      <c r="I109" s="102"/>
    </row>
    <row r="110" spans="9:9" s="34" customFormat="1">
      <c r="I110" s="102"/>
    </row>
    <row r="111" spans="9:9" s="34" customFormat="1">
      <c r="I111" s="102"/>
    </row>
    <row r="112" spans="9:9" s="34" customFormat="1">
      <c r="I112" s="102"/>
    </row>
    <row r="113" spans="9:9" s="34" customFormat="1">
      <c r="I113" s="102"/>
    </row>
    <row r="114" spans="9:9" s="34" customFormat="1">
      <c r="I114" s="102"/>
    </row>
    <row r="115" spans="9:9" s="34" customFormat="1">
      <c r="I115" s="102"/>
    </row>
    <row r="116" spans="9:9" s="34" customFormat="1">
      <c r="I116" s="102"/>
    </row>
    <row r="117" spans="9:9" s="34" customFormat="1">
      <c r="I117" s="102"/>
    </row>
    <row r="118" spans="9:9" s="34" customFormat="1">
      <c r="I118" s="102"/>
    </row>
    <row r="119" spans="9:9" s="34" customFormat="1">
      <c r="I119" s="102"/>
    </row>
    <row r="120" spans="9:9" s="34" customFormat="1">
      <c r="I120" s="102"/>
    </row>
    <row r="121" spans="9:9" s="34" customFormat="1">
      <c r="I121" s="102"/>
    </row>
    <row r="122" spans="9:9" s="34" customFormat="1">
      <c r="I122" s="102"/>
    </row>
    <row r="123" spans="9:9" s="34" customFormat="1">
      <c r="I123" s="102"/>
    </row>
    <row r="124" spans="9:9" s="34" customFormat="1">
      <c r="I124" s="102"/>
    </row>
    <row r="125" spans="9:9" s="34" customFormat="1">
      <c r="I125" s="102"/>
    </row>
    <row r="126" spans="9:9" s="34" customFormat="1">
      <c r="I126" s="102"/>
    </row>
    <row r="127" spans="9:9" s="34" customFormat="1">
      <c r="I127" s="102"/>
    </row>
    <row r="128" spans="9:9" s="34" customFormat="1">
      <c r="I128" s="102"/>
    </row>
    <row r="129" spans="9:9" s="34" customFormat="1">
      <c r="I129" s="102"/>
    </row>
    <row r="130" spans="9:9" s="34" customFormat="1">
      <c r="I130" s="102"/>
    </row>
    <row r="131" spans="9:9" s="34" customFormat="1">
      <c r="I131" s="102"/>
    </row>
    <row r="132" spans="9:9" s="34" customFormat="1">
      <c r="I132" s="102"/>
    </row>
    <row r="133" spans="9:9" s="34" customFormat="1">
      <c r="I133" s="102"/>
    </row>
    <row r="134" spans="9:9" s="34" customFormat="1">
      <c r="I134" s="102"/>
    </row>
    <row r="135" spans="9:9" s="34" customFormat="1">
      <c r="I135" s="102"/>
    </row>
    <row r="136" spans="9:9" s="34" customFormat="1">
      <c r="I136" s="102"/>
    </row>
    <row r="137" spans="9:9" s="34" customFormat="1">
      <c r="I137" s="102"/>
    </row>
    <row r="138" spans="9:9" s="34" customFormat="1">
      <c r="I138" s="102"/>
    </row>
    <row r="139" spans="9:9" s="34" customFormat="1">
      <c r="I139" s="102"/>
    </row>
    <row r="140" spans="9:9" s="34" customFormat="1">
      <c r="I140" s="102"/>
    </row>
    <row r="141" spans="9:9" s="34" customFormat="1">
      <c r="I141" s="102"/>
    </row>
    <row r="142" spans="9:9" s="34" customFormat="1">
      <c r="I142" s="102"/>
    </row>
    <row r="143" spans="9:9" s="34" customFormat="1">
      <c r="I143" s="102"/>
    </row>
    <row r="144" spans="9:9" s="34" customFormat="1">
      <c r="I144" s="102"/>
    </row>
    <row r="145" spans="9:9" s="34" customFormat="1">
      <c r="I145" s="102"/>
    </row>
    <row r="146" spans="9:9" s="34" customFormat="1">
      <c r="I146" s="102"/>
    </row>
    <row r="147" spans="9:9" s="34" customFormat="1">
      <c r="I147" s="102"/>
    </row>
    <row r="148" spans="9:9" s="34" customFormat="1">
      <c r="I148" s="102"/>
    </row>
    <row r="149" spans="9:9" s="34" customFormat="1">
      <c r="I149" s="102"/>
    </row>
    <row r="150" spans="9:9" s="34" customFormat="1">
      <c r="I150" s="102"/>
    </row>
    <row r="151" spans="9:9" s="34" customFormat="1">
      <c r="I151" s="102"/>
    </row>
    <row r="152" spans="9:9" s="34" customFormat="1">
      <c r="I152" s="102"/>
    </row>
    <row r="153" spans="9:9" s="34" customFormat="1">
      <c r="I153" s="102"/>
    </row>
    <row r="154" spans="9:9" s="34" customFormat="1">
      <c r="I154" s="102"/>
    </row>
    <row r="155" spans="9:9" s="34" customFormat="1">
      <c r="I155" s="102"/>
    </row>
    <row r="156" spans="9:9" s="34" customFormat="1">
      <c r="I156" s="102"/>
    </row>
    <row r="157" spans="9:9" s="34" customFormat="1">
      <c r="I157" s="102"/>
    </row>
    <row r="158" spans="9:9" s="34" customFormat="1">
      <c r="I158" s="102"/>
    </row>
    <row r="159" spans="9:9" s="34" customFormat="1">
      <c r="I159" s="102"/>
    </row>
    <row r="160" spans="9:9" s="34" customFormat="1">
      <c r="I160" s="102"/>
    </row>
    <row r="161" spans="9:9" s="34" customFormat="1">
      <c r="I161" s="102"/>
    </row>
    <row r="162" spans="9:9" s="34" customFormat="1">
      <c r="I162" s="102"/>
    </row>
    <row r="163" spans="9:9" s="34" customFormat="1">
      <c r="I163" s="102"/>
    </row>
    <row r="164" spans="9:9" s="34" customFormat="1">
      <c r="I164" s="102"/>
    </row>
    <row r="165" spans="9:9" s="34" customFormat="1">
      <c r="I165" s="102"/>
    </row>
    <row r="166" spans="9:9" s="34" customFormat="1">
      <c r="I166" s="102"/>
    </row>
    <row r="167" spans="9:9" s="34" customFormat="1">
      <c r="I167" s="102"/>
    </row>
    <row r="168" spans="9:9" s="34" customFormat="1">
      <c r="I168" s="102"/>
    </row>
    <row r="169" spans="9:9" s="34" customFormat="1">
      <c r="I169" s="102"/>
    </row>
    <row r="170" spans="9:9" s="34" customFormat="1">
      <c r="I170" s="102"/>
    </row>
    <row r="171" spans="9:9" s="34" customFormat="1">
      <c r="I171" s="102"/>
    </row>
    <row r="172" spans="9:9" s="34" customFormat="1">
      <c r="I172" s="102"/>
    </row>
    <row r="173" spans="9:9" s="34" customFormat="1">
      <c r="I173" s="102"/>
    </row>
    <row r="174" spans="9:9" s="34" customFormat="1">
      <c r="I174" s="102"/>
    </row>
    <row r="175" spans="9:9" s="34" customFormat="1">
      <c r="I175" s="102"/>
    </row>
    <row r="176" spans="9:9" s="34" customFormat="1">
      <c r="I176" s="102"/>
    </row>
    <row r="177" spans="9:9" s="34" customFormat="1">
      <c r="I177" s="102"/>
    </row>
    <row r="178" spans="9:9" s="34" customFormat="1">
      <c r="I178" s="102"/>
    </row>
    <row r="179" spans="9:9" s="34" customFormat="1">
      <c r="I179" s="102"/>
    </row>
    <row r="180" spans="9:9" s="34" customFormat="1">
      <c r="I180" s="102"/>
    </row>
    <row r="181" spans="9:9" s="34" customFormat="1">
      <c r="I181" s="102"/>
    </row>
    <row r="182" spans="9:9" s="34" customFormat="1">
      <c r="I182" s="102"/>
    </row>
    <row r="183" spans="9:9" s="34" customFormat="1">
      <c r="I183" s="102"/>
    </row>
    <row r="184" spans="9:9" s="34" customFormat="1">
      <c r="I184" s="102"/>
    </row>
    <row r="185" spans="9:9" s="34" customFormat="1">
      <c r="I185" s="102"/>
    </row>
    <row r="186" spans="9:9" s="34" customFormat="1">
      <c r="I186" s="102"/>
    </row>
    <row r="187" spans="9:9" s="34" customFormat="1">
      <c r="I187" s="102"/>
    </row>
    <row r="188" spans="9:9" s="34" customFormat="1">
      <c r="I188" s="102"/>
    </row>
    <row r="189" spans="9:9" s="34" customFormat="1">
      <c r="I189" s="102"/>
    </row>
    <row r="190" spans="9:9" s="34" customFormat="1">
      <c r="I190" s="102"/>
    </row>
    <row r="191" spans="9:9" s="34" customFormat="1">
      <c r="I191" s="102"/>
    </row>
    <row r="192" spans="9:9" s="34" customFormat="1">
      <c r="I192" s="102"/>
    </row>
    <row r="193" spans="9:9" s="34" customFormat="1">
      <c r="I193" s="102"/>
    </row>
    <row r="194" spans="9:9" s="34" customFormat="1">
      <c r="I194" s="102"/>
    </row>
    <row r="195" spans="9:9" s="34" customFormat="1">
      <c r="I195" s="102"/>
    </row>
    <row r="196" spans="9:9" s="34" customFormat="1">
      <c r="I196" s="102"/>
    </row>
    <row r="197" spans="9:9" s="34" customFormat="1">
      <c r="I197" s="102"/>
    </row>
    <row r="198" spans="9:9" s="34" customFormat="1">
      <c r="I198" s="102"/>
    </row>
    <row r="199" spans="9:9" s="34" customFormat="1">
      <c r="I199" s="102"/>
    </row>
    <row r="200" spans="9:9" s="34" customFormat="1">
      <c r="I200" s="102"/>
    </row>
    <row r="201" spans="9:9" s="34" customFormat="1">
      <c r="I201" s="102"/>
    </row>
    <row r="202" spans="9:9" s="34" customFormat="1">
      <c r="I202" s="102"/>
    </row>
    <row r="203" spans="9:9" s="34" customFormat="1">
      <c r="I203" s="102"/>
    </row>
    <row r="204" spans="9:9" s="34" customFormat="1">
      <c r="I204" s="102"/>
    </row>
    <row r="205" spans="9:9" s="34" customFormat="1">
      <c r="I205" s="102"/>
    </row>
    <row r="206" spans="9:9" s="34" customFormat="1">
      <c r="I206" s="102"/>
    </row>
    <row r="207" spans="9:9" s="34" customFormat="1">
      <c r="I207" s="102"/>
    </row>
    <row r="208" spans="9:9" s="34" customFormat="1">
      <c r="I208" s="102"/>
    </row>
    <row r="209" spans="9:9" s="34" customFormat="1">
      <c r="I209" s="102"/>
    </row>
    <row r="210" spans="9:9" s="34" customFormat="1">
      <c r="I210" s="102"/>
    </row>
    <row r="211" spans="9:9" s="34" customFormat="1">
      <c r="I211" s="102"/>
    </row>
    <row r="212" spans="9:9" s="34" customFormat="1">
      <c r="I212" s="102"/>
    </row>
    <row r="213" spans="9:9" s="34" customFormat="1">
      <c r="I213" s="102"/>
    </row>
    <row r="214" spans="9:9" s="34" customFormat="1">
      <c r="I214" s="102"/>
    </row>
    <row r="215" spans="9:9" s="34" customFormat="1">
      <c r="I215" s="102"/>
    </row>
    <row r="216" spans="9:9" s="34" customFormat="1">
      <c r="I216" s="102"/>
    </row>
    <row r="217" spans="9:9" s="34" customFormat="1">
      <c r="I217" s="102"/>
    </row>
    <row r="218" spans="9:9" s="34" customFormat="1">
      <c r="I218" s="102"/>
    </row>
    <row r="219" spans="9:9" s="34" customFormat="1">
      <c r="I219" s="102"/>
    </row>
    <row r="220" spans="9:9" s="34" customFormat="1">
      <c r="I220" s="102"/>
    </row>
    <row r="221" spans="9:9" s="34" customFormat="1">
      <c r="I221" s="102"/>
    </row>
    <row r="222" spans="9:9" s="34" customFormat="1">
      <c r="I222" s="102"/>
    </row>
    <row r="223" spans="9:9" s="34" customFormat="1">
      <c r="I223" s="102"/>
    </row>
    <row r="224" spans="9:9" s="34" customFormat="1">
      <c r="I224" s="102"/>
    </row>
    <row r="225" spans="9:9" s="34" customFormat="1">
      <c r="I225" s="102"/>
    </row>
    <row r="226" spans="9:9" s="34" customFormat="1">
      <c r="I226" s="102"/>
    </row>
    <row r="227" spans="9:9" s="34" customFormat="1">
      <c r="I227" s="102"/>
    </row>
    <row r="228" spans="9:9" s="34" customFormat="1">
      <c r="I228" s="102"/>
    </row>
    <row r="229" spans="9:9" s="34" customFormat="1">
      <c r="I229" s="102"/>
    </row>
    <row r="230" spans="9:9" s="34" customFormat="1">
      <c r="I230" s="102"/>
    </row>
    <row r="231" spans="9:9" s="34" customFormat="1">
      <c r="I231" s="102"/>
    </row>
    <row r="232" spans="9:9" s="34" customFormat="1">
      <c r="I232" s="102"/>
    </row>
    <row r="233" spans="9:9" s="34" customFormat="1">
      <c r="I233" s="102"/>
    </row>
    <row r="234" spans="9:9" s="34" customFormat="1">
      <c r="I234" s="102"/>
    </row>
    <row r="235" spans="9:9" s="34" customFormat="1">
      <c r="I235" s="102"/>
    </row>
    <row r="236" spans="9:9" s="34" customFormat="1">
      <c r="I236" s="102"/>
    </row>
    <row r="237" spans="9:9" s="34" customFormat="1">
      <c r="I237" s="102"/>
    </row>
    <row r="238" spans="9:9" s="34" customFormat="1">
      <c r="I238" s="102"/>
    </row>
    <row r="239" spans="9:9" s="34" customFormat="1">
      <c r="I239" s="102"/>
    </row>
    <row r="240" spans="9:9" s="34" customFormat="1">
      <c r="I240" s="102"/>
    </row>
    <row r="241" spans="9:9" s="34" customFormat="1">
      <c r="I241" s="102"/>
    </row>
    <row r="242" spans="9:9" s="34" customFormat="1">
      <c r="I242" s="102"/>
    </row>
    <row r="243" spans="9:9" s="34" customFormat="1">
      <c r="I243" s="102"/>
    </row>
    <row r="244" spans="9:9" s="34" customFormat="1">
      <c r="I244" s="102"/>
    </row>
    <row r="245" spans="9:9" s="34" customFormat="1">
      <c r="I245" s="102"/>
    </row>
    <row r="246" spans="9:9" s="34" customFormat="1">
      <c r="I246" s="102"/>
    </row>
    <row r="247" spans="9:9" s="34" customFormat="1">
      <c r="I247" s="102"/>
    </row>
    <row r="248" spans="9:9" s="34" customFormat="1">
      <c r="I248" s="102"/>
    </row>
    <row r="249" spans="9:9" s="34" customFormat="1">
      <c r="I249" s="102"/>
    </row>
    <row r="250" spans="9:9" s="34" customFormat="1">
      <c r="I250" s="102"/>
    </row>
    <row r="251" spans="9:9" s="34" customFormat="1">
      <c r="I251" s="102"/>
    </row>
    <row r="252" spans="9:9" s="34" customFormat="1">
      <c r="I252" s="102"/>
    </row>
    <row r="253" spans="9:9" s="34" customFormat="1">
      <c r="I253" s="102"/>
    </row>
    <row r="254" spans="9:9" s="34" customFormat="1">
      <c r="I254" s="102"/>
    </row>
    <row r="255" spans="9:9" s="34" customFormat="1">
      <c r="I255" s="102"/>
    </row>
    <row r="256" spans="9:9" s="34" customFormat="1">
      <c r="I256" s="102"/>
    </row>
    <row r="257" spans="9:9" s="34" customFormat="1">
      <c r="I257" s="102"/>
    </row>
    <row r="258" spans="9:9" s="34" customFormat="1">
      <c r="I258" s="102"/>
    </row>
    <row r="259" spans="9:9" s="34" customFormat="1">
      <c r="I259" s="102"/>
    </row>
    <row r="260" spans="9:9" s="34" customFormat="1">
      <c r="I260" s="102"/>
    </row>
    <row r="261" spans="9:9" s="34" customFormat="1">
      <c r="I261" s="102"/>
    </row>
    <row r="262" spans="9:9" s="34" customFormat="1">
      <c r="I262" s="102"/>
    </row>
    <row r="263" spans="9:9" s="34" customFormat="1">
      <c r="I263" s="102"/>
    </row>
    <row r="264" spans="9:9" s="34" customFormat="1">
      <c r="I264" s="102"/>
    </row>
    <row r="265" spans="9:9" s="34" customFormat="1">
      <c r="I265" s="102"/>
    </row>
    <row r="266" spans="9:9" s="34" customFormat="1">
      <c r="I266" s="102"/>
    </row>
    <row r="267" spans="9:9" s="34" customFormat="1">
      <c r="I267" s="102"/>
    </row>
    <row r="268" spans="9:9" s="34" customFormat="1">
      <c r="I268" s="102"/>
    </row>
    <row r="269" spans="9:9" s="34" customFormat="1">
      <c r="I269" s="102"/>
    </row>
    <row r="270" spans="9:9" s="34" customFormat="1">
      <c r="I270" s="102"/>
    </row>
    <row r="271" spans="9:9" s="34" customFormat="1">
      <c r="I271" s="102"/>
    </row>
    <row r="272" spans="9:9" s="34" customFormat="1">
      <c r="I272" s="102"/>
    </row>
    <row r="273" spans="9:9" s="34" customFormat="1">
      <c r="I273" s="102"/>
    </row>
    <row r="274" spans="9:9" s="34" customFormat="1">
      <c r="I274" s="102"/>
    </row>
    <row r="275" spans="9:9" s="34" customFormat="1">
      <c r="I275" s="102"/>
    </row>
    <row r="276" spans="9:9" s="34" customFormat="1">
      <c r="I276" s="102"/>
    </row>
    <row r="277" spans="9:9" s="34" customFormat="1">
      <c r="I277" s="102"/>
    </row>
    <row r="278" spans="9:9" s="34" customFormat="1">
      <c r="I278" s="102"/>
    </row>
    <row r="279" spans="9:9" s="34" customFormat="1">
      <c r="I279" s="102"/>
    </row>
    <row r="280" spans="9:9" s="34" customFormat="1">
      <c r="I280" s="102"/>
    </row>
    <row r="281" spans="9:9" s="34" customFormat="1">
      <c r="I281" s="102"/>
    </row>
    <row r="282" spans="9:9" s="34" customFormat="1">
      <c r="I282" s="102"/>
    </row>
    <row r="283" spans="9:9" s="34" customFormat="1">
      <c r="I283" s="102"/>
    </row>
    <row r="284" spans="9:9" s="34" customFormat="1">
      <c r="I284" s="102"/>
    </row>
    <row r="285" spans="9:9" s="34" customFormat="1">
      <c r="I285" s="102"/>
    </row>
    <row r="286" spans="9:9" s="34" customFormat="1">
      <c r="I286" s="102"/>
    </row>
    <row r="287" spans="9:9" s="34" customFormat="1">
      <c r="I287" s="102"/>
    </row>
    <row r="288" spans="9:9" s="34" customFormat="1">
      <c r="I288" s="102"/>
    </row>
    <row r="289" spans="9:9" s="34" customFormat="1">
      <c r="I289" s="102"/>
    </row>
    <row r="290" spans="9:9" s="34" customFormat="1">
      <c r="I290" s="102"/>
    </row>
    <row r="291" spans="9:9" s="34" customFormat="1">
      <c r="I291" s="102"/>
    </row>
    <row r="292" spans="9:9" s="34" customFormat="1">
      <c r="I292" s="102"/>
    </row>
    <row r="293" spans="9:9" s="34" customFormat="1">
      <c r="I293" s="102"/>
    </row>
    <row r="294" spans="9:9" s="34" customFormat="1">
      <c r="I294" s="102"/>
    </row>
    <row r="295" spans="9:9" s="34" customFormat="1">
      <c r="I295" s="102"/>
    </row>
    <row r="296" spans="9:9" s="34" customFormat="1">
      <c r="I296" s="102"/>
    </row>
    <row r="297" spans="9:9" s="34" customFormat="1">
      <c r="I297" s="102"/>
    </row>
    <row r="298" spans="9:9" s="34" customFormat="1">
      <c r="I298" s="102"/>
    </row>
    <row r="299" spans="9:9" s="34" customFormat="1">
      <c r="I299" s="102"/>
    </row>
    <row r="300" spans="9:9" s="34" customFormat="1">
      <c r="I300" s="102"/>
    </row>
    <row r="301" spans="9:9" s="34" customFormat="1">
      <c r="I301" s="102"/>
    </row>
    <row r="302" spans="9:9" s="34" customFormat="1">
      <c r="I302" s="102"/>
    </row>
    <row r="303" spans="9:9" s="34" customFormat="1">
      <c r="I303" s="102"/>
    </row>
    <row r="304" spans="9:9" s="34" customFormat="1">
      <c r="I304" s="102"/>
    </row>
    <row r="305" spans="9:9" s="34" customFormat="1">
      <c r="I305" s="102"/>
    </row>
    <row r="306" spans="9:9" s="34" customFormat="1">
      <c r="I306" s="102"/>
    </row>
    <row r="307" spans="9:9" s="34" customFormat="1">
      <c r="I307" s="102"/>
    </row>
    <row r="308" spans="9:9" s="34" customFormat="1">
      <c r="I308" s="102"/>
    </row>
    <row r="309" spans="9:9" s="34" customFormat="1"/>
    <row r="310" spans="9:9" s="34" customFormat="1"/>
    <row r="311" spans="9:9" s="34" customFormat="1"/>
    <row r="312" spans="9:9" s="34" customFormat="1"/>
    <row r="313" spans="9:9" s="34" customFormat="1"/>
    <row r="314" spans="9:9" s="34" customFormat="1"/>
    <row r="315" spans="9:9" s="34" customFormat="1"/>
    <row r="316" spans="9:9" s="34" customFormat="1"/>
    <row r="317" spans="9:9" s="34" customFormat="1"/>
    <row r="318" spans="9:9" s="34" customFormat="1"/>
    <row r="319" spans="9:9" s="34" customFormat="1"/>
    <row r="320" spans="9:9" s="34" customFormat="1"/>
    <row r="321" s="34" customFormat="1"/>
    <row r="322" s="34" customFormat="1"/>
    <row r="323" s="34" customFormat="1"/>
    <row r="324" s="34" customFormat="1"/>
    <row r="325" s="34" customFormat="1"/>
    <row r="326" s="34" customFormat="1"/>
    <row r="327" s="34" customFormat="1"/>
    <row r="328" s="34" customFormat="1"/>
    <row r="329" s="34" customFormat="1"/>
    <row r="330" s="34" customFormat="1"/>
    <row r="331" s="34" customFormat="1"/>
    <row r="332" s="34" customFormat="1"/>
    <row r="333" s="34" customFormat="1"/>
    <row r="334" s="34" customFormat="1"/>
    <row r="335" s="34" customFormat="1"/>
    <row r="336" s="34" customFormat="1"/>
    <row r="337" s="34" customFormat="1"/>
    <row r="338" s="34" customFormat="1"/>
    <row r="339" s="34" customFormat="1"/>
    <row r="340" s="34" customFormat="1"/>
    <row r="341" s="34" customFormat="1"/>
    <row r="342" s="34" customFormat="1"/>
    <row r="343" s="34" customFormat="1"/>
    <row r="344" s="34" customFormat="1"/>
    <row r="345" s="34" customFormat="1"/>
    <row r="346" s="34" customFormat="1"/>
    <row r="347" s="34" customFormat="1"/>
    <row r="348" s="34" customFormat="1"/>
    <row r="349" s="34" customFormat="1"/>
    <row r="350" s="34" customFormat="1"/>
    <row r="351" s="34" customFormat="1"/>
    <row r="352" s="34" customFormat="1"/>
    <row r="353" s="34" customFormat="1"/>
    <row r="354" s="34" customFormat="1"/>
    <row r="355" s="34" customFormat="1"/>
    <row r="356" s="34" customFormat="1"/>
    <row r="357" s="34" customFormat="1"/>
    <row r="358" s="34" customFormat="1"/>
    <row r="359" s="34" customFormat="1"/>
    <row r="360" s="34" customFormat="1"/>
    <row r="361" s="34" customFormat="1"/>
    <row r="362" s="34" customFormat="1"/>
    <row r="363" s="34" customFormat="1"/>
    <row r="364" s="34" customFormat="1"/>
    <row r="365" s="34" customFormat="1"/>
    <row r="366" s="34" customFormat="1"/>
    <row r="367" s="34" customFormat="1"/>
    <row r="368" s="34" customFormat="1"/>
    <row r="369" s="34" customFormat="1"/>
    <row r="370" s="34" customFormat="1"/>
    <row r="371" s="34" customFormat="1"/>
    <row r="372" s="34" customFormat="1"/>
    <row r="373" s="34" customFormat="1"/>
    <row r="374" s="34" customFormat="1"/>
    <row r="375" s="34" customFormat="1"/>
    <row r="376" s="34" customFormat="1"/>
    <row r="377" s="34" customFormat="1"/>
    <row r="378" s="34" customFormat="1"/>
    <row r="379" s="34" customFormat="1"/>
    <row r="380" s="34" customFormat="1"/>
    <row r="381" s="34" customFormat="1"/>
    <row r="382" s="34" customFormat="1"/>
    <row r="383" s="34" customFormat="1"/>
    <row r="384" s="34" customFormat="1"/>
    <row r="385" s="34" customFormat="1"/>
    <row r="386" s="34" customFormat="1"/>
    <row r="387" s="34" customFormat="1"/>
    <row r="388" s="34" customFormat="1"/>
    <row r="389" s="34" customFormat="1"/>
    <row r="390" s="34" customFormat="1"/>
    <row r="391" s="34" customFormat="1"/>
    <row r="392" s="34" customFormat="1"/>
    <row r="393" s="34" customFormat="1"/>
    <row r="394" s="34" customFormat="1"/>
    <row r="395" s="34" customFormat="1"/>
    <row r="396" s="34" customFormat="1"/>
    <row r="397" s="34" customFormat="1"/>
    <row r="398" s="34" customFormat="1"/>
    <row r="399" s="34" customFormat="1"/>
    <row r="400" s="34" customFormat="1"/>
    <row r="401" s="34" customFormat="1"/>
    <row r="402" s="34" customFormat="1"/>
    <row r="403" s="34" customFormat="1"/>
    <row r="404" s="34" customFormat="1"/>
    <row r="405" s="34" customFormat="1"/>
    <row r="406" s="34" customFormat="1"/>
    <row r="407" s="34" customFormat="1"/>
    <row r="408" s="34" customFormat="1"/>
    <row r="409" s="34" customFormat="1"/>
    <row r="410" s="34" customFormat="1"/>
    <row r="411" s="34" customFormat="1"/>
    <row r="412" s="34" customFormat="1"/>
    <row r="413" s="34" customFormat="1"/>
    <row r="414" s="34" customFormat="1"/>
    <row r="415" s="34" customFormat="1"/>
    <row r="416" s="34" customFormat="1"/>
    <row r="417" s="34" customFormat="1"/>
    <row r="418" s="34" customFormat="1"/>
    <row r="419" s="34" customFormat="1"/>
    <row r="420" s="34" customFormat="1"/>
    <row r="421" s="34" customFormat="1"/>
    <row r="422" s="34" customFormat="1"/>
    <row r="423" s="34" customFormat="1"/>
    <row r="424" s="34" customFormat="1"/>
    <row r="425" s="34" customFormat="1"/>
    <row r="426" s="34" customFormat="1"/>
    <row r="427" s="34" customFormat="1"/>
    <row r="428" s="34" customFormat="1"/>
    <row r="429" s="34" customFormat="1"/>
    <row r="430" s="34" customFormat="1"/>
    <row r="431" s="34" customFormat="1"/>
    <row r="432" s="34" customFormat="1"/>
    <row r="433" s="34" customFormat="1"/>
    <row r="434" s="34" customFormat="1"/>
    <row r="435" s="34" customFormat="1"/>
    <row r="436" s="34" customFormat="1"/>
    <row r="437" s="34" customFormat="1"/>
    <row r="438" s="34" customFormat="1"/>
    <row r="439" s="34" customFormat="1"/>
    <row r="440" s="34" customFormat="1"/>
    <row r="441" s="34" customFormat="1"/>
    <row r="442" s="34" customFormat="1"/>
    <row r="443" s="34" customFormat="1"/>
    <row r="444" s="34" customFormat="1"/>
    <row r="445" s="34" customFormat="1"/>
    <row r="446" s="34" customFormat="1"/>
    <row r="447" s="34" customFormat="1"/>
    <row r="448" s="34" customFormat="1"/>
    <row r="449" s="34" customFormat="1"/>
    <row r="450" s="34" customFormat="1"/>
    <row r="451" s="34" customFormat="1"/>
    <row r="452" s="34" customFormat="1"/>
    <row r="453" s="34" customFormat="1"/>
    <row r="454" s="34" customFormat="1"/>
    <row r="455" s="34" customFormat="1"/>
    <row r="456" s="34" customFormat="1"/>
    <row r="457" s="34" customFormat="1"/>
    <row r="458" s="34" customFormat="1"/>
    <row r="459" s="34" customFormat="1"/>
    <row r="460" s="34" customFormat="1"/>
    <row r="461" s="34" customFormat="1"/>
    <row r="462" s="34" customFormat="1"/>
    <row r="463" s="34" customFormat="1"/>
    <row r="464" s="34" customFormat="1"/>
    <row r="465" s="34" customFormat="1"/>
    <row r="466" s="34" customFormat="1"/>
    <row r="467" s="34" customFormat="1"/>
    <row r="468" s="34" customFormat="1"/>
    <row r="469" s="34" customFormat="1"/>
    <row r="470" s="34" customFormat="1"/>
    <row r="471" s="34" customFormat="1"/>
    <row r="472" s="34" customFormat="1"/>
    <row r="473" s="34" customFormat="1"/>
    <row r="474" s="34" customFormat="1"/>
    <row r="475" s="34" customFormat="1"/>
    <row r="476" s="34" customFormat="1"/>
    <row r="477" s="34" customFormat="1"/>
    <row r="478" s="34" customFormat="1"/>
    <row r="479" s="34" customFormat="1"/>
    <row r="480" s="34" customFormat="1"/>
    <row r="481" s="34" customFormat="1"/>
    <row r="482" s="34" customFormat="1"/>
    <row r="483" s="34" customFormat="1"/>
    <row r="484" s="34" customFormat="1"/>
    <row r="485" s="34" customFormat="1"/>
    <row r="486" s="34" customFormat="1"/>
    <row r="487" s="34" customFormat="1"/>
    <row r="488" s="34" customFormat="1"/>
    <row r="489" s="34" customFormat="1"/>
    <row r="490" s="34" customFormat="1"/>
    <row r="491" s="34" customFormat="1"/>
    <row r="492" s="34" customFormat="1"/>
    <row r="493" s="34" customFormat="1"/>
    <row r="494" s="34" customFormat="1"/>
    <row r="495" s="34" customFormat="1"/>
    <row r="496" s="34" customFormat="1"/>
    <row r="497" s="34" customFormat="1"/>
    <row r="498" s="34" customFormat="1"/>
    <row r="499" s="34" customFormat="1"/>
    <row r="500" s="34" customFormat="1"/>
    <row r="501" s="34" customFormat="1"/>
    <row r="502" s="34" customFormat="1"/>
    <row r="503" s="34" customFormat="1"/>
    <row r="504" s="34" customFormat="1"/>
    <row r="505" s="34" customFormat="1"/>
    <row r="506" s="34" customFormat="1"/>
    <row r="507" s="34" customFormat="1"/>
    <row r="508" s="34" customFormat="1"/>
    <row r="509" s="34" customFormat="1"/>
    <row r="510" s="34" customFormat="1"/>
    <row r="511" s="34" customFormat="1"/>
    <row r="512" s="34" customFormat="1"/>
    <row r="513" s="34" customFormat="1"/>
    <row r="514" s="34" customFormat="1"/>
    <row r="515" s="34" customFormat="1"/>
    <row r="516" s="34" customFormat="1"/>
    <row r="517" s="34" customFormat="1"/>
    <row r="518" s="34" customFormat="1"/>
    <row r="519" s="34" customFormat="1"/>
    <row r="520" s="34" customFormat="1"/>
    <row r="521" s="34" customFormat="1"/>
    <row r="522" s="34" customFormat="1"/>
    <row r="523" s="34" customFormat="1"/>
    <row r="524" s="34" customFormat="1"/>
    <row r="525" s="34" customFormat="1"/>
    <row r="526" s="34" customFormat="1"/>
    <row r="527" s="34" customFormat="1"/>
    <row r="528" s="34" customFormat="1"/>
    <row r="529" s="34" customFormat="1"/>
    <row r="530" s="34" customFormat="1"/>
    <row r="531" s="34" customFormat="1"/>
    <row r="532" s="34" customFormat="1"/>
    <row r="533" s="34" customFormat="1"/>
    <row r="534" s="34" customFormat="1"/>
    <row r="535" s="34" customFormat="1"/>
    <row r="536" s="34" customFormat="1"/>
    <row r="537" s="34" customFormat="1"/>
    <row r="538" s="34" customFormat="1"/>
    <row r="539" s="34" customFormat="1"/>
    <row r="540" s="34" customFormat="1"/>
    <row r="541" s="34" customFormat="1"/>
    <row r="542" s="34" customFormat="1"/>
    <row r="543" s="34" customFormat="1"/>
    <row r="544" s="34" customFormat="1"/>
    <row r="545" s="34" customFormat="1"/>
    <row r="546" s="34" customFormat="1"/>
    <row r="547" s="34" customFormat="1"/>
    <row r="548" s="34" customFormat="1"/>
    <row r="549" s="34" customFormat="1"/>
    <row r="550" s="34" customFormat="1"/>
    <row r="551" s="34" customFormat="1"/>
    <row r="552" s="34" customFormat="1"/>
    <row r="553" s="34" customFormat="1"/>
    <row r="554" s="34" customFormat="1"/>
    <row r="555" s="34" customFormat="1"/>
    <row r="556" s="34" customFormat="1"/>
    <row r="557" s="34" customFormat="1"/>
    <row r="558" s="34" customFormat="1"/>
    <row r="559" s="34" customFormat="1"/>
    <row r="560" s="34" customFormat="1"/>
    <row r="561" s="34" customFormat="1"/>
    <row r="562" s="34" customFormat="1"/>
    <row r="563" s="34" customFormat="1"/>
    <row r="564" s="34" customFormat="1"/>
    <row r="565" s="34" customFormat="1"/>
    <row r="566" s="34" customFormat="1"/>
    <row r="567" s="34" customFormat="1"/>
    <row r="568" s="34" customFormat="1"/>
    <row r="569" s="34" customFormat="1"/>
    <row r="570" s="34" customFormat="1"/>
    <row r="571" s="34" customFormat="1"/>
    <row r="572" s="34" customFormat="1"/>
    <row r="573" s="34" customFormat="1"/>
    <row r="574" s="34" customFormat="1"/>
    <row r="575" s="34" customFormat="1"/>
    <row r="576" s="34" customFormat="1"/>
    <row r="577" s="34" customFormat="1"/>
    <row r="578" s="34" customFormat="1"/>
    <row r="579" s="34" customFormat="1"/>
    <row r="580" s="34" customFormat="1"/>
    <row r="581" s="34" customFormat="1"/>
    <row r="582" s="34" customFormat="1"/>
    <row r="583" s="34" customFormat="1"/>
    <row r="584" s="34" customFormat="1"/>
    <row r="585" s="34" customFormat="1"/>
    <row r="586" s="34" customFormat="1"/>
    <row r="587" s="34" customFormat="1"/>
    <row r="588" s="34" customFormat="1"/>
    <row r="589" s="34" customFormat="1"/>
    <row r="590" s="34" customFormat="1"/>
    <row r="591" s="34" customFormat="1"/>
    <row r="592" s="34" customFormat="1"/>
    <row r="593" s="34" customFormat="1"/>
    <row r="594" s="34" customFormat="1"/>
    <row r="595" s="34" customFormat="1"/>
    <row r="596" s="34" customFormat="1"/>
    <row r="597" s="34" customFormat="1"/>
    <row r="598" s="34" customFormat="1"/>
    <row r="599" s="34" customFormat="1"/>
    <row r="600" s="34" customFormat="1"/>
    <row r="601" s="34" customFormat="1"/>
    <row r="602" s="34" customFormat="1"/>
    <row r="603" s="34" customFormat="1"/>
    <row r="604" s="34" customFormat="1"/>
    <row r="605" s="34" customFormat="1"/>
    <row r="606" s="34" customFormat="1"/>
    <row r="607" s="34" customFormat="1"/>
    <row r="608" s="34" customFormat="1"/>
    <row r="609" s="34" customFormat="1"/>
    <row r="610" s="34" customFormat="1"/>
    <row r="611" s="34" customFormat="1"/>
    <row r="612" s="34" customFormat="1"/>
    <row r="613" s="34" customFormat="1"/>
    <row r="614" s="34" customFormat="1"/>
    <row r="615" s="34" customFormat="1"/>
    <row r="616" s="34" customFormat="1"/>
    <row r="617" s="34" customFormat="1"/>
    <row r="618" s="34" customFormat="1"/>
    <row r="619" s="34" customFormat="1"/>
    <row r="620" s="34" customFormat="1"/>
    <row r="621" s="34" customFormat="1"/>
    <row r="622" s="34" customFormat="1"/>
    <row r="623" s="34" customFormat="1"/>
    <row r="624" s="34" customFormat="1"/>
    <row r="625" s="34" customFormat="1"/>
    <row r="626" s="34" customFormat="1"/>
    <row r="627" s="34" customFormat="1"/>
    <row r="628" s="34" customFormat="1"/>
    <row r="629" s="34" customFormat="1"/>
    <row r="630" s="34" customFormat="1"/>
    <row r="631" s="34" customFormat="1"/>
    <row r="632" s="34" customFormat="1"/>
    <row r="633" s="34" customFormat="1"/>
    <row r="634" s="34" customFormat="1"/>
    <row r="635" s="34" customFormat="1"/>
    <row r="636" s="34" customFormat="1"/>
    <row r="637" s="34" customFormat="1"/>
    <row r="638" s="34" customFormat="1"/>
    <row r="639" s="34" customFormat="1"/>
    <row r="640" s="34" customFormat="1"/>
    <row r="641" s="34" customFormat="1"/>
    <row r="642" s="34" customFormat="1"/>
    <row r="643" s="34" customFormat="1"/>
    <row r="644" s="34" customFormat="1"/>
    <row r="645" s="34" customFormat="1"/>
    <row r="646" s="34" customFormat="1"/>
    <row r="647" s="34" customFormat="1"/>
    <row r="648" s="34" customFormat="1"/>
    <row r="649" s="34" customFormat="1"/>
    <row r="650" s="34" customFormat="1"/>
    <row r="651" s="34" customFormat="1"/>
    <row r="652" s="34" customFormat="1"/>
    <row r="653" s="34" customFormat="1"/>
    <row r="654" s="34" customFormat="1"/>
    <row r="655" s="34" customFormat="1"/>
    <row r="656" s="34" customFormat="1"/>
    <row r="657" s="34" customFormat="1"/>
    <row r="658" s="34" customFormat="1"/>
    <row r="659" s="34" customFormat="1"/>
    <row r="660" s="34" customFormat="1"/>
    <row r="661" s="34" customFormat="1"/>
    <row r="662" s="34" customFormat="1"/>
    <row r="663" s="34" customFormat="1"/>
    <row r="664" s="34" customFormat="1"/>
    <row r="665" s="34" customFormat="1"/>
    <row r="666" s="34" customFormat="1"/>
    <row r="667" s="34" customFormat="1"/>
    <row r="668" s="34" customFormat="1"/>
    <row r="669" s="34" customFormat="1"/>
    <row r="670" s="34" customFormat="1"/>
    <row r="671" s="34" customFormat="1"/>
    <row r="672" s="34" customFormat="1"/>
    <row r="673" s="34" customFormat="1"/>
    <row r="674" s="34" customFormat="1"/>
    <row r="675" s="34" customFormat="1"/>
    <row r="676" s="34" customFormat="1"/>
    <row r="677" s="34" customFormat="1"/>
    <row r="678" s="34" customFormat="1"/>
    <row r="679" s="34" customFormat="1"/>
    <row r="680" s="34" customFormat="1"/>
    <row r="681" s="34" customFormat="1"/>
    <row r="682" s="34" customFormat="1"/>
    <row r="683" s="34" customFormat="1"/>
    <row r="684" s="34" customFormat="1"/>
    <row r="685" s="34" customFormat="1"/>
    <row r="686" s="34" customFormat="1"/>
    <row r="687" s="34" customFormat="1"/>
    <row r="688" s="34" customFormat="1"/>
    <row r="689" s="34" customFormat="1"/>
    <row r="690" s="34" customFormat="1"/>
    <row r="691" s="34" customFormat="1"/>
    <row r="692" s="34" customFormat="1"/>
    <row r="693" s="34" customFormat="1"/>
    <row r="694" s="34" customFormat="1"/>
    <row r="695" s="34" customFormat="1"/>
    <row r="696" s="34" customFormat="1"/>
    <row r="697" s="34" customFormat="1"/>
    <row r="698" s="34" customFormat="1"/>
    <row r="699" s="34" customFormat="1"/>
    <row r="700" s="34" customFormat="1"/>
    <row r="701" s="34" customFormat="1"/>
    <row r="702" s="34" customFormat="1"/>
    <row r="703" s="34" customFormat="1"/>
    <row r="704" s="34" customFormat="1"/>
    <row r="705" s="34" customFormat="1"/>
    <row r="706" s="34" customFormat="1"/>
    <row r="707" s="34" customFormat="1"/>
    <row r="708" s="34" customFormat="1"/>
    <row r="709" s="34" customFormat="1"/>
    <row r="710" s="34" customFormat="1"/>
    <row r="711" s="34" customFormat="1"/>
    <row r="712" s="34" customFormat="1"/>
    <row r="713" s="34" customFormat="1"/>
    <row r="714" s="34" customFormat="1"/>
    <row r="715" s="34" customFormat="1"/>
    <row r="716" s="34" customFormat="1"/>
    <row r="717" s="34" customFormat="1"/>
    <row r="718" s="34" customFormat="1"/>
    <row r="719" s="34" customFormat="1"/>
    <row r="720" s="34" customFormat="1"/>
    <row r="721" s="34" customFormat="1"/>
    <row r="722" s="34" customFormat="1"/>
    <row r="723" s="34" customFormat="1"/>
    <row r="724" s="34" customFormat="1"/>
    <row r="725" s="34" customFormat="1"/>
    <row r="726" s="34" customFormat="1"/>
    <row r="727" s="34" customFormat="1"/>
    <row r="728" s="34" customFormat="1"/>
    <row r="729" s="34" customFormat="1"/>
    <row r="730" s="34" customFormat="1"/>
    <row r="731" s="34" customFormat="1"/>
    <row r="732" s="34" customFormat="1"/>
    <row r="733" s="34" customFormat="1"/>
    <row r="734" s="34" customFormat="1"/>
    <row r="735" s="34" customFormat="1"/>
    <row r="736" s="34" customFormat="1"/>
    <row r="737" s="34" customFormat="1"/>
    <row r="738" s="34" customFormat="1"/>
    <row r="739" s="34" customFormat="1"/>
    <row r="740" s="34" customFormat="1"/>
    <row r="741" s="34" customFormat="1"/>
    <row r="742" s="34" customFormat="1"/>
    <row r="743" s="34" customFormat="1"/>
    <row r="744" s="34" customFormat="1"/>
    <row r="745" s="34" customFormat="1"/>
    <row r="746" s="34" customFormat="1"/>
    <row r="747" s="34" customFormat="1"/>
    <row r="748" s="34" customFormat="1"/>
    <row r="749" s="34" customFormat="1"/>
    <row r="750" s="34" customFormat="1"/>
    <row r="751" s="34" customFormat="1"/>
    <row r="752" s="34" customFormat="1"/>
    <row r="753" s="34" customFormat="1"/>
    <row r="754" s="34" customFormat="1"/>
    <row r="755" s="34" customFormat="1"/>
    <row r="756" s="34" customFormat="1"/>
    <row r="757" s="34" customFormat="1"/>
    <row r="758" s="34" customFormat="1"/>
    <row r="759" s="34" customFormat="1"/>
    <row r="760" s="34" customFormat="1"/>
    <row r="761" s="34" customFormat="1"/>
    <row r="762" s="34" customFormat="1"/>
    <row r="763" s="34" customFormat="1"/>
    <row r="764" s="34" customFormat="1"/>
    <row r="765" s="34" customFormat="1"/>
    <row r="766" s="34" customFormat="1"/>
    <row r="767" s="34" customFormat="1"/>
    <row r="768" s="34" customFormat="1"/>
    <row r="769" s="34" customFormat="1"/>
    <row r="770" s="34" customFormat="1"/>
    <row r="771" s="34" customFormat="1"/>
    <row r="772" s="34" customFormat="1"/>
    <row r="773" s="34" customFormat="1"/>
    <row r="774" s="34" customFormat="1"/>
    <row r="775" s="34" customFormat="1"/>
    <row r="776" s="34" customFormat="1"/>
    <row r="777" s="34" customFormat="1"/>
    <row r="778" s="34" customFormat="1"/>
    <row r="779" s="34" customFormat="1"/>
    <row r="780" s="34" customFormat="1"/>
    <row r="781" s="34" customFormat="1"/>
    <row r="782" s="34" customFormat="1"/>
    <row r="783" s="34" customFormat="1"/>
    <row r="784" s="34" customFormat="1"/>
    <row r="785" s="34" customFormat="1"/>
    <row r="786" s="34" customFormat="1"/>
    <row r="787" s="34" customFormat="1"/>
    <row r="788" s="34" customFormat="1"/>
    <row r="789" s="34" customFormat="1"/>
    <row r="790" s="34" customFormat="1"/>
    <row r="791" s="34" customFormat="1"/>
    <row r="792" s="34" customFormat="1"/>
    <row r="793" s="34" customFormat="1"/>
    <row r="794" s="34" customFormat="1"/>
    <row r="795" s="34" customFormat="1"/>
    <row r="796" s="34" customFormat="1"/>
    <row r="797" s="34" customFormat="1"/>
    <row r="798" s="34" customFormat="1"/>
    <row r="799" s="34" customFormat="1"/>
    <row r="800" s="34" customFormat="1"/>
    <row r="801" s="34" customFormat="1"/>
    <row r="802" s="34" customFormat="1"/>
    <row r="803" s="34" customFormat="1"/>
    <row r="804" s="34" customFormat="1"/>
    <row r="805" s="34" customFormat="1"/>
    <row r="806" s="34" customFormat="1"/>
    <row r="807" s="34" customFormat="1"/>
    <row r="808" s="34" customFormat="1"/>
    <row r="809" s="34" customFormat="1"/>
    <row r="810" s="34" customFormat="1"/>
    <row r="811" s="34" customFormat="1"/>
    <row r="812" s="34" customFormat="1"/>
    <row r="813" s="34" customFormat="1"/>
    <row r="814" s="34" customFormat="1"/>
    <row r="815" s="34" customFormat="1"/>
    <row r="816" s="34" customFormat="1"/>
    <row r="817" s="34" customFormat="1"/>
    <row r="818" s="34" customFormat="1"/>
    <row r="819" s="34" customFormat="1"/>
    <row r="820" s="34" customFormat="1"/>
    <row r="821" s="34" customFormat="1"/>
    <row r="822" s="34" customFormat="1"/>
    <row r="823" s="34" customFormat="1"/>
    <row r="824" s="34" customFormat="1"/>
    <row r="825" s="34" customFormat="1"/>
    <row r="826" s="34" customFormat="1"/>
    <row r="827" s="34" customFormat="1"/>
    <row r="828" s="34" customFormat="1"/>
    <row r="829" s="34" customFormat="1"/>
    <row r="830" s="34" customFormat="1"/>
    <row r="831" s="34" customFormat="1"/>
    <row r="832" s="34" customFormat="1"/>
    <row r="833" s="34" customFormat="1"/>
    <row r="834" s="34" customFormat="1"/>
    <row r="835" s="34" customFormat="1"/>
    <row r="836" s="34" customFormat="1"/>
    <row r="837" s="34" customFormat="1"/>
    <row r="838" s="34" customFormat="1"/>
    <row r="839" s="34" customFormat="1"/>
    <row r="840" s="34" customFormat="1"/>
    <row r="841" s="34" customFormat="1"/>
    <row r="842" s="34" customFormat="1"/>
    <row r="843" s="34" customFormat="1"/>
    <row r="844" s="34" customFormat="1"/>
    <row r="845" s="34" customFormat="1"/>
    <row r="846" s="34" customFormat="1"/>
    <row r="847" s="34" customFormat="1"/>
    <row r="848" s="34" customFormat="1"/>
    <row r="849" s="34" customFormat="1"/>
    <row r="850" s="34" customFormat="1"/>
    <row r="851" s="34" customFormat="1"/>
    <row r="852" s="34" customFormat="1"/>
    <row r="853" s="34" customFormat="1"/>
    <row r="854" s="34" customFormat="1"/>
    <row r="855" s="34" customFormat="1"/>
    <row r="856" s="34" customFormat="1"/>
    <row r="857" s="34" customFormat="1"/>
    <row r="858" s="34" customFormat="1"/>
    <row r="859" s="34" customFormat="1"/>
    <row r="860" s="34" customFormat="1"/>
    <row r="861" s="34" customFormat="1"/>
    <row r="862" s="34" customFormat="1"/>
    <row r="863" s="34" customFormat="1"/>
    <row r="864" s="34" customFormat="1"/>
    <row r="865" s="34" customFormat="1"/>
    <row r="866" s="34" customFormat="1"/>
    <row r="867" s="34" customFormat="1"/>
    <row r="868" s="34" customFormat="1"/>
    <row r="869" s="34" customFormat="1"/>
    <row r="870" s="34" customFormat="1"/>
    <row r="871" s="34" customFormat="1"/>
    <row r="872" s="34" customFormat="1"/>
    <row r="873" s="34" customFormat="1"/>
    <row r="874" s="34" customFormat="1"/>
    <row r="875" s="34" customFormat="1"/>
    <row r="876" s="34" customFormat="1"/>
    <row r="877" s="34" customFormat="1"/>
    <row r="878" s="34" customFormat="1"/>
    <row r="879" s="34" customFormat="1"/>
    <row r="880" s="34" customFormat="1"/>
    <row r="881" s="34" customFormat="1"/>
    <row r="882" s="34" customFormat="1"/>
    <row r="883" s="34" customFormat="1"/>
    <row r="884" s="34" customFormat="1"/>
    <row r="885" s="34" customFormat="1"/>
    <row r="886" s="34" customFormat="1"/>
    <row r="887" s="34" customFormat="1"/>
    <row r="888" s="34" customFormat="1"/>
    <row r="889" s="34" customFormat="1"/>
    <row r="890" s="34" customFormat="1"/>
    <row r="891" s="34" customFormat="1"/>
    <row r="892" s="34" customFormat="1"/>
    <row r="893" s="34" customFormat="1"/>
    <row r="894" s="34" customFormat="1"/>
    <row r="895" s="34" customFormat="1"/>
    <row r="896" s="34" customFormat="1"/>
    <row r="897" s="34" customFormat="1"/>
    <row r="898" s="34" customFormat="1"/>
    <row r="899" s="34" customFormat="1"/>
    <row r="900" s="34" customFormat="1"/>
    <row r="901" s="34" customFormat="1"/>
    <row r="902" s="34" customFormat="1"/>
    <row r="903" s="34" customFormat="1"/>
    <row r="904" s="34" customFormat="1"/>
    <row r="905" s="34" customFormat="1"/>
    <row r="906" s="34" customFormat="1"/>
    <row r="907" s="34" customFormat="1"/>
    <row r="908" s="34" customFormat="1"/>
    <row r="909" s="34" customFormat="1"/>
    <row r="910" s="34" customFormat="1"/>
    <row r="911" s="34" customFormat="1"/>
    <row r="912" s="34" customFormat="1"/>
    <row r="913" s="34" customFormat="1"/>
    <row r="914" s="34" customFormat="1"/>
    <row r="915" s="34" customFormat="1"/>
    <row r="916" s="34" customFormat="1"/>
    <row r="917" s="34" customFormat="1"/>
    <row r="918" s="34" customFormat="1"/>
    <row r="919" s="34" customFormat="1"/>
    <row r="920" s="34" customFormat="1"/>
    <row r="921" s="34" customFormat="1"/>
    <row r="922" s="34" customFormat="1"/>
    <row r="923" s="34" customFormat="1"/>
    <row r="924" s="34" customFormat="1"/>
    <row r="925" s="34" customFormat="1"/>
    <row r="926" s="34" customFormat="1"/>
    <row r="927" s="34" customFormat="1"/>
    <row r="928" s="34" customFormat="1"/>
    <row r="929" s="34" customFormat="1"/>
    <row r="930" s="34" customFormat="1"/>
    <row r="931" s="34" customFormat="1"/>
    <row r="932" s="34" customFormat="1"/>
    <row r="933" s="34" customFormat="1"/>
    <row r="934" s="34" customFormat="1"/>
    <row r="935" s="34" customFormat="1"/>
    <row r="936" s="34" customFormat="1"/>
    <row r="937" s="34" customFormat="1"/>
    <row r="938" s="34" customFormat="1"/>
    <row r="939" s="34" customFormat="1"/>
    <row r="940" s="34" customFormat="1"/>
    <row r="941" s="34" customFormat="1"/>
    <row r="942" s="34" customFormat="1"/>
    <row r="943" s="34" customFormat="1"/>
    <row r="944" s="34" customFormat="1"/>
    <row r="945" s="34" customFormat="1"/>
    <row r="946" s="34" customFormat="1"/>
    <row r="947" s="34" customFormat="1"/>
    <row r="948" s="34" customFormat="1"/>
    <row r="949" s="34" customFormat="1"/>
    <row r="950" s="34" customFormat="1"/>
    <row r="951" s="34" customFormat="1"/>
    <row r="952" s="34" customFormat="1"/>
    <row r="953" s="34" customFormat="1"/>
    <row r="954" s="34" customFormat="1"/>
    <row r="955" s="34" customFormat="1"/>
    <row r="956" s="34" customFormat="1"/>
    <row r="957" s="34" customFormat="1"/>
    <row r="958" s="34" customFormat="1"/>
    <row r="959" s="34" customFormat="1"/>
    <row r="960" s="34" customFormat="1"/>
    <row r="961" s="34" customFormat="1"/>
    <row r="962" s="34" customFormat="1"/>
    <row r="963" s="34" customFormat="1"/>
    <row r="964" s="34" customFormat="1"/>
    <row r="965" s="34" customFormat="1"/>
    <row r="966" s="34" customFormat="1"/>
    <row r="967" s="34" customFormat="1"/>
    <row r="968" s="34" customFormat="1"/>
    <row r="969" s="34" customFormat="1"/>
    <row r="970" s="34" customFormat="1"/>
    <row r="971" s="34" customFormat="1"/>
    <row r="972" s="34" customFormat="1"/>
    <row r="973" s="34" customFormat="1"/>
    <row r="974" s="34" customFormat="1"/>
    <row r="975" s="34" customFormat="1"/>
    <row r="976" s="34" customFormat="1"/>
    <row r="977" s="34" customFormat="1"/>
    <row r="978" s="34" customFormat="1"/>
    <row r="979" s="34" customFormat="1"/>
    <row r="980" s="34" customFormat="1"/>
    <row r="981" s="34" customFormat="1"/>
    <row r="982" s="34" customFormat="1"/>
    <row r="983" s="34" customFormat="1"/>
    <row r="984" s="34" customFormat="1"/>
    <row r="985" s="34" customFormat="1"/>
    <row r="986" s="34" customFormat="1"/>
    <row r="987" s="34" customFormat="1"/>
    <row r="988" s="34" customFormat="1"/>
    <row r="989" s="34" customFormat="1"/>
    <row r="990" s="34" customFormat="1"/>
    <row r="991" s="34" customFormat="1"/>
    <row r="992" s="34" customFormat="1"/>
    <row r="993" s="34" customFormat="1"/>
    <row r="994" s="34" customFormat="1"/>
    <row r="995" s="34" customFormat="1"/>
    <row r="996" s="34" customFormat="1"/>
    <row r="997" s="34" customFormat="1"/>
    <row r="998" s="34" customFormat="1"/>
    <row r="999" s="34" customFormat="1"/>
    <row r="1000" s="34" customFormat="1"/>
    <row r="1001" s="34" customFormat="1"/>
    <row r="1002" s="34" customFormat="1"/>
    <row r="1003" s="34" customFormat="1"/>
    <row r="1004" s="34" customFormat="1"/>
    <row r="1005" s="34" customFormat="1"/>
    <row r="1006" s="34" customFormat="1"/>
    <row r="1007" s="34" customFormat="1"/>
    <row r="1008" s="34" customFormat="1"/>
    <row r="1009" s="34" customFormat="1"/>
    <row r="1010" s="34" customFormat="1"/>
    <row r="1011" s="34" customFormat="1"/>
    <row r="1012" s="34" customFormat="1"/>
    <row r="1013" s="34" customFormat="1"/>
    <row r="1014" s="34" customFormat="1"/>
    <row r="1015" s="34" customFormat="1"/>
    <row r="1016" s="34" customFormat="1"/>
    <row r="1017" s="34" customFormat="1"/>
    <row r="1018" s="34" customFormat="1"/>
    <row r="1019" s="34" customFormat="1"/>
    <row r="1020" s="34" customFormat="1"/>
    <row r="1021" s="34" customFormat="1"/>
    <row r="1022" s="34" customFormat="1"/>
    <row r="1023" s="34" customFormat="1"/>
    <row r="1024" s="34" customFormat="1"/>
    <row r="1025" s="34" customFormat="1"/>
    <row r="1026" s="34" customFormat="1"/>
    <row r="1027" s="34" customFormat="1"/>
    <row r="1028" s="34" customFormat="1"/>
    <row r="1029" s="34" customFormat="1"/>
    <row r="1030" s="34" customFormat="1"/>
    <row r="1031" s="34" customFormat="1"/>
    <row r="1032" s="34" customFormat="1"/>
    <row r="1033" s="34" customFormat="1"/>
    <row r="1034" s="34" customFormat="1"/>
    <row r="1035" s="34" customFormat="1"/>
    <row r="1036" s="34" customFormat="1"/>
    <row r="1037" s="34" customFormat="1"/>
    <row r="1038" s="34" customFormat="1"/>
    <row r="1039" s="34" customFormat="1"/>
    <row r="1040" s="34" customFormat="1"/>
    <row r="1041" s="34" customFormat="1"/>
    <row r="1042" s="34" customFormat="1"/>
    <row r="1043" s="34" customFormat="1"/>
    <row r="1044" s="34" customFormat="1"/>
    <row r="1045" s="34" customFormat="1"/>
    <row r="1046" s="34" customFormat="1"/>
    <row r="1047" s="34" customFormat="1"/>
    <row r="1048" s="34" customFormat="1"/>
    <row r="1049" s="34" customFormat="1"/>
    <row r="1050" s="34" customFormat="1"/>
    <row r="1051" s="34" customFormat="1"/>
    <row r="1052" s="34" customFormat="1"/>
    <row r="1053" s="34" customFormat="1"/>
    <row r="1054" s="34" customFormat="1"/>
    <row r="1055" s="34" customFormat="1"/>
    <row r="1056" s="34" customFormat="1"/>
    <row r="1057" s="34" customFormat="1"/>
    <row r="1058" s="34" customFormat="1"/>
    <row r="1059" s="34" customFormat="1"/>
    <row r="1060" s="34" customFormat="1"/>
    <row r="1061" s="34" customFormat="1"/>
    <row r="1062" s="34" customFormat="1"/>
    <row r="1063" s="34" customFormat="1"/>
    <row r="1064" s="34" customFormat="1"/>
    <row r="1065" s="34" customFormat="1"/>
    <row r="1066" s="34" customFormat="1"/>
    <row r="1067" s="34" customFormat="1"/>
    <row r="1068" s="34" customFormat="1"/>
    <row r="1069" s="34" customFormat="1"/>
    <row r="1070" s="34" customFormat="1"/>
    <row r="1071" s="34" customFormat="1"/>
    <row r="1072" s="34" customFormat="1"/>
    <row r="1073" s="34" customFormat="1"/>
    <row r="1074" s="34" customFormat="1"/>
    <row r="1075" s="34" customFormat="1"/>
    <row r="1076" s="34" customFormat="1"/>
    <row r="1077" s="34" customFormat="1"/>
    <row r="1078" s="34" customFormat="1"/>
    <row r="1079" s="34" customFormat="1"/>
    <row r="1080" s="34" customFormat="1"/>
    <row r="1081" s="34" customFormat="1"/>
    <row r="1082" s="34" customFormat="1"/>
    <row r="1083" s="34" customFormat="1"/>
    <row r="1084" s="34" customFormat="1"/>
    <row r="1085" s="34" customFormat="1"/>
    <row r="1086" s="34" customFormat="1"/>
    <row r="1087" s="34" customFormat="1"/>
    <row r="1088" s="34" customFormat="1"/>
    <row r="1089" s="34" customFormat="1"/>
    <row r="1090" s="34" customFormat="1"/>
    <row r="1091" s="34" customFormat="1"/>
    <row r="1092" s="34" customFormat="1"/>
    <row r="1093" s="34" customFormat="1"/>
    <row r="1094" s="34" customFormat="1"/>
    <row r="1095" s="34" customFormat="1"/>
    <row r="1096" s="34" customFormat="1"/>
    <row r="1097" s="34" customFormat="1"/>
    <row r="1098" s="34" customFormat="1"/>
    <row r="1099" s="34" customFormat="1"/>
    <row r="1100" s="34" customFormat="1"/>
    <row r="1101" s="34" customFormat="1"/>
    <row r="1102" s="34" customFormat="1"/>
    <row r="1103" s="34" customFormat="1"/>
    <row r="1104" s="34" customFormat="1"/>
    <row r="1105" s="34" customFormat="1"/>
    <row r="1106" s="34" customFormat="1"/>
    <row r="1107" s="34" customFormat="1"/>
    <row r="1108" s="34" customFormat="1"/>
    <row r="1109" s="34" customFormat="1"/>
    <row r="1110" s="34" customFormat="1"/>
    <row r="1111" s="34" customFormat="1"/>
    <row r="1112" s="34" customFormat="1"/>
    <row r="1113" s="34" customFormat="1"/>
    <row r="1114" s="34" customFormat="1"/>
    <row r="1115" s="34" customFormat="1"/>
    <row r="1116" s="34" customFormat="1"/>
    <row r="1117" s="34" customFormat="1"/>
    <row r="1118" s="34" customFormat="1"/>
    <row r="1119" s="34" customFormat="1"/>
    <row r="1120" s="34" customFormat="1"/>
    <row r="1121" s="34" customFormat="1"/>
    <row r="1122" s="34" customFormat="1"/>
    <row r="1123" s="34" customFormat="1"/>
    <row r="1124" s="34" customFormat="1"/>
    <row r="1125" s="34" customFormat="1"/>
    <row r="1126" s="34" customFormat="1"/>
    <row r="1127" s="34" customFormat="1"/>
    <row r="1128" s="34" customFormat="1"/>
    <row r="1129" s="34" customFormat="1"/>
    <row r="1130" s="34" customFormat="1"/>
    <row r="1131" s="34" customFormat="1"/>
    <row r="1132" s="34" customFormat="1"/>
    <row r="1133" s="34" customFormat="1"/>
    <row r="1134" s="34" customFormat="1"/>
    <row r="1135" s="34" customFormat="1"/>
    <row r="1136" s="34" customFormat="1"/>
    <row r="1137" s="34" customFormat="1"/>
    <row r="1138" s="34" customFormat="1"/>
    <row r="1139" s="34" customFormat="1"/>
    <row r="1140" s="34" customFormat="1"/>
    <row r="1141" s="34" customFormat="1"/>
    <row r="1142" s="34" customFormat="1"/>
    <row r="1143" s="34" customFormat="1"/>
    <row r="1144" s="34" customFormat="1"/>
    <row r="1145" s="34" customFormat="1"/>
    <row r="1146" s="34" customFormat="1"/>
    <row r="1147" s="34" customFormat="1"/>
    <row r="1148" s="34" customFormat="1"/>
    <row r="1149" s="34" customFormat="1"/>
    <row r="1150" s="34" customFormat="1"/>
    <row r="1151" s="34" customFormat="1"/>
    <row r="1152" s="34" customFormat="1"/>
    <row r="1153" s="34" customFormat="1"/>
    <row r="1154" s="34" customFormat="1"/>
    <row r="1155" s="34" customFormat="1"/>
    <row r="1156" s="34" customFormat="1"/>
    <row r="1157" s="34" customFormat="1"/>
    <row r="1158" s="34" customFormat="1"/>
    <row r="1159" s="34" customFormat="1"/>
    <row r="1160" s="34" customFormat="1"/>
    <row r="1161" s="34" customFormat="1"/>
    <row r="1162" s="34" customFormat="1"/>
    <row r="1163" s="34" customFormat="1"/>
    <row r="1164" s="34" customFormat="1"/>
    <row r="1165" s="34" customFormat="1"/>
    <row r="1166" s="34" customFormat="1"/>
    <row r="1167" s="34" customFormat="1"/>
    <row r="1168" s="34" customFormat="1"/>
    <row r="1169" s="34" customFormat="1"/>
    <row r="1170" s="34" customFormat="1"/>
    <row r="1171" s="34" customFormat="1"/>
    <row r="1172" s="34" customFormat="1"/>
    <row r="1173" s="34" customFormat="1"/>
    <row r="1174" s="34" customFormat="1"/>
    <row r="1175" s="34" customFormat="1"/>
    <row r="1176" s="34" customFormat="1"/>
    <row r="1177" s="34" customFormat="1"/>
    <row r="1178" s="34" customFormat="1"/>
    <row r="1179" s="34" customFormat="1"/>
    <row r="1180" s="34" customFormat="1"/>
    <row r="1181" s="34" customFormat="1"/>
    <row r="1182" s="34" customFormat="1"/>
    <row r="1183" s="34" customFormat="1"/>
    <row r="1184" s="34" customFormat="1"/>
    <row r="1185" s="34" customFormat="1"/>
    <row r="1186" s="34" customFormat="1"/>
    <row r="1187" s="34" customFormat="1"/>
    <row r="1188" s="34" customFormat="1"/>
    <row r="1189" s="34" customFormat="1"/>
    <row r="1190" s="34" customFormat="1"/>
    <row r="1191" s="34" customFormat="1"/>
    <row r="1192" s="34" customFormat="1"/>
    <row r="1193" s="34" customFormat="1"/>
    <row r="1194" s="34" customFormat="1"/>
    <row r="1195" s="34" customFormat="1"/>
    <row r="1196" s="34" customFormat="1"/>
    <row r="1197" s="34" customFormat="1"/>
    <row r="1198" s="34" customFormat="1"/>
    <row r="1199" s="34" customFormat="1"/>
    <row r="1200" s="34" customFormat="1"/>
    <row r="1201" s="34" customFormat="1"/>
    <row r="1202" s="34" customFormat="1"/>
    <row r="1203" s="34" customFormat="1"/>
    <row r="1204" s="34" customFormat="1"/>
    <row r="1205" s="34" customFormat="1"/>
    <row r="1206" s="34" customFormat="1"/>
    <row r="1207" s="34" customFormat="1"/>
    <row r="1208" s="34" customFormat="1"/>
    <row r="1209" s="34" customFormat="1"/>
    <row r="1210" s="34" customFormat="1"/>
    <row r="1211" s="34" customFormat="1"/>
    <row r="1212" s="34" customFormat="1"/>
    <row r="1213" s="34" customFormat="1"/>
    <row r="1214" s="34" customFormat="1"/>
    <row r="1215" s="34" customFormat="1"/>
    <row r="1216" s="34" customFormat="1"/>
    <row r="1217" s="34" customFormat="1"/>
    <row r="1218" s="34" customFormat="1"/>
    <row r="1219" s="34" customFormat="1"/>
    <row r="1220" s="34" customFormat="1"/>
    <row r="1221" s="34" customFormat="1"/>
    <row r="1222" s="34" customFormat="1"/>
    <row r="1223" s="34" customFormat="1"/>
    <row r="1224" s="34" customFormat="1"/>
    <row r="1225" s="34" customFormat="1"/>
    <row r="1226" s="34" customFormat="1"/>
    <row r="1227" s="34" customFormat="1"/>
    <row r="1228" s="34" customFormat="1"/>
    <row r="1229" s="34" customFormat="1"/>
    <row r="1230" s="34" customFormat="1"/>
    <row r="1231" s="34" customFormat="1"/>
    <row r="1232" s="34" customFormat="1"/>
    <row r="1233" s="34" customFormat="1"/>
    <row r="1234" s="34" customFormat="1"/>
    <row r="1235" s="34" customFormat="1"/>
    <row r="1236" s="34" customFormat="1"/>
    <row r="1237" s="34" customFormat="1"/>
    <row r="1238" s="34" customFormat="1"/>
    <row r="1239" s="34" customFormat="1"/>
    <row r="1240" s="34" customFormat="1"/>
    <row r="1241" s="34" customFormat="1"/>
    <row r="1242" s="34" customFormat="1"/>
    <row r="1243" s="34" customFormat="1"/>
    <row r="1244" s="34" customFormat="1"/>
    <row r="1245" s="34" customFormat="1"/>
    <row r="1246" s="34" customFormat="1"/>
    <row r="1247" s="34" customFormat="1"/>
    <row r="1248" s="34" customFormat="1"/>
    <row r="1249" s="34" customFormat="1"/>
    <row r="1250" s="34" customFormat="1"/>
    <row r="1251" s="34" customFormat="1"/>
    <row r="1252" s="34" customFormat="1"/>
    <row r="1253" s="34" customFormat="1"/>
    <row r="1254" s="34" customFormat="1"/>
    <row r="1255" s="34" customFormat="1"/>
    <row r="1256" s="34" customFormat="1"/>
    <row r="1257" s="34" customFormat="1"/>
    <row r="1258" s="34" customFormat="1"/>
    <row r="1259" s="34" customFormat="1"/>
    <row r="1260" s="34" customFormat="1"/>
    <row r="1261" s="34" customFormat="1"/>
    <row r="1262" s="34" customFormat="1"/>
    <row r="1263" s="34" customFormat="1"/>
    <row r="1264" s="34" customFormat="1"/>
    <row r="1265" s="34" customFormat="1"/>
    <row r="1266" s="34" customFormat="1"/>
    <row r="1267" s="34" customFormat="1"/>
    <row r="1268" s="34" customFormat="1"/>
    <row r="1269" s="34" customFormat="1"/>
    <row r="1270" s="34" customFormat="1"/>
    <row r="1271" s="34" customFormat="1"/>
    <row r="1272" s="34" customFormat="1"/>
    <row r="1273" s="34" customFormat="1"/>
    <row r="1274" s="34" customFormat="1"/>
    <row r="1275" s="34" customFormat="1"/>
    <row r="1276" s="34" customFormat="1"/>
    <row r="1277" s="34" customFormat="1"/>
    <row r="1278" s="34" customFormat="1"/>
    <row r="1279" s="34" customFormat="1"/>
    <row r="1280" s="34" customFormat="1"/>
    <row r="1281" s="34" customFormat="1"/>
    <row r="1282" s="34" customFormat="1"/>
    <row r="1283" s="34" customFormat="1"/>
    <row r="1284" s="34" customFormat="1"/>
    <row r="1285" s="34" customFormat="1"/>
    <row r="1286" s="34" customFormat="1"/>
    <row r="1287" s="34" customFormat="1"/>
    <row r="1288" s="34" customFormat="1"/>
    <row r="1289" s="34" customFormat="1"/>
    <row r="1290" s="34" customFormat="1"/>
    <row r="1291" s="34" customFormat="1"/>
    <row r="1292" s="34" customFormat="1"/>
    <row r="1293" s="34" customFormat="1"/>
    <row r="1294" s="34" customFormat="1"/>
    <row r="1295" s="34" customFormat="1"/>
    <row r="1296" s="34" customFormat="1"/>
    <row r="1297" s="34" customFormat="1"/>
    <row r="1298" s="34" customFormat="1"/>
    <row r="1299" s="34" customFormat="1"/>
    <row r="1300" s="34" customFormat="1"/>
    <row r="1301" s="34" customFormat="1"/>
    <row r="1302" s="34" customFormat="1"/>
    <row r="1303" s="34" customFormat="1"/>
    <row r="1304" s="34" customFormat="1"/>
    <row r="1305" s="34" customFormat="1"/>
    <row r="1306" s="34" customFormat="1"/>
    <row r="1307" s="34" customFormat="1"/>
    <row r="1308" s="34" customFormat="1"/>
    <row r="1309" s="34" customFormat="1"/>
    <row r="1310" s="34" customFormat="1"/>
    <row r="1311" s="34" customFormat="1"/>
    <row r="1312" s="34" customFormat="1"/>
    <row r="1313" s="34" customFormat="1"/>
    <row r="1314" s="34" customFormat="1"/>
    <row r="1315" s="34" customFormat="1"/>
    <row r="1316" s="34" customFormat="1"/>
    <row r="1317" s="34" customFormat="1"/>
    <row r="1318" s="34" customFormat="1"/>
    <row r="1319" s="34" customFormat="1"/>
    <row r="1320" s="34" customFormat="1"/>
    <row r="1321" s="34" customFormat="1"/>
    <row r="1322" s="34" customFormat="1"/>
    <row r="1323" s="34" customFormat="1"/>
    <row r="1324" s="34" customFormat="1"/>
    <row r="1325" s="34" customFormat="1"/>
    <row r="1326" s="34" customFormat="1"/>
    <row r="1327" s="34" customFormat="1"/>
    <row r="1328" s="34" customFormat="1"/>
    <row r="1329" s="34" customFormat="1"/>
    <row r="1330" s="34" customFormat="1"/>
    <row r="1331" s="34" customFormat="1"/>
    <row r="1332" s="34" customFormat="1"/>
    <row r="1333" s="34" customFormat="1"/>
    <row r="1334" s="34" customFormat="1"/>
    <row r="1335" s="34" customFormat="1"/>
    <row r="1336" s="34" customFormat="1"/>
    <row r="1337" s="34" customFormat="1"/>
    <row r="1338" s="34" customFormat="1"/>
    <row r="1339" s="34" customFormat="1"/>
    <row r="1340" s="34" customFormat="1"/>
    <row r="1341" s="34" customFormat="1"/>
    <row r="1342" s="34" customFormat="1"/>
    <row r="1343" s="34" customFormat="1"/>
    <row r="1344" s="34" customFormat="1"/>
    <row r="1345" s="34" customFormat="1"/>
    <row r="1346" s="34" customFormat="1"/>
    <row r="1347" s="34" customFormat="1"/>
    <row r="1348" s="34" customFormat="1"/>
    <row r="1349" s="34" customFormat="1"/>
    <row r="1350" s="34" customFormat="1"/>
    <row r="1351" s="34" customFormat="1"/>
    <row r="1352" s="34" customFormat="1"/>
    <row r="1353" s="34" customFormat="1"/>
    <row r="1354" s="34" customFormat="1"/>
    <row r="1355" s="34" customFormat="1"/>
    <row r="1356" s="34" customFormat="1"/>
    <row r="1357" s="34" customFormat="1"/>
    <row r="1358" s="34" customFormat="1"/>
    <row r="1359" s="34" customFormat="1"/>
    <row r="1360" s="34" customFormat="1"/>
    <row r="1361" s="34" customFormat="1"/>
    <row r="1362" s="34" customFormat="1"/>
    <row r="1363" s="34" customFormat="1"/>
    <row r="1364" s="34" customFormat="1"/>
    <row r="1365" s="34" customFormat="1"/>
    <row r="1366" s="34" customFormat="1"/>
    <row r="1367" s="34" customFormat="1"/>
    <row r="1368" s="34" customFormat="1"/>
    <row r="1369" s="34" customFormat="1"/>
    <row r="1370" s="34" customFormat="1"/>
    <row r="1371" s="34" customFormat="1"/>
    <row r="1372" s="34" customFormat="1"/>
    <row r="1373" s="34" customFormat="1"/>
    <row r="1374" s="34" customFormat="1"/>
    <row r="1375" s="34" customFormat="1"/>
    <row r="1376" s="34" customFormat="1"/>
    <row r="1377" s="34" customFormat="1"/>
    <row r="1378" s="34" customFormat="1"/>
    <row r="1379" s="34" customFormat="1"/>
    <row r="1380" s="34" customFormat="1"/>
    <row r="1381" s="34" customFormat="1"/>
    <row r="1382" s="34" customFormat="1"/>
    <row r="1383" s="34" customFormat="1"/>
    <row r="1384" s="34" customFormat="1"/>
    <row r="1385" s="34" customFormat="1"/>
    <row r="1386" s="34" customFormat="1"/>
    <row r="1387" s="34" customFormat="1"/>
    <row r="1388" s="34" customFormat="1"/>
    <row r="1389" s="34" customFormat="1"/>
    <row r="1390" s="34" customFormat="1"/>
    <row r="1391" s="34" customFormat="1"/>
    <row r="1392" s="34" customFormat="1"/>
    <row r="1393" s="34" customFormat="1"/>
    <row r="1394" s="34" customFormat="1"/>
    <row r="1395" s="34" customFormat="1"/>
    <row r="1396" s="34" customFormat="1"/>
    <row r="1397" s="34" customFormat="1"/>
    <row r="1398" s="34" customFormat="1"/>
    <row r="1399" s="34" customFormat="1"/>
    <row r="1400" s="34" customFormat="1"/>
    <row r="1401" s="34" customFormat="1"/>
    <row r="1402" s="34" customFormat="1"/>
    <row r="1403" s="34" customFormat="1"/>
    <row r="1404" s="34" customFormat="1"/>
    <row r="1405" s="34" customFormat="1"/>
    <row r="1406" s="34" customFormat="1"/>
    <row r="1407" s="34" customFormat="1"/>
    <row r="1408" s="34" customFormat="1"/>
    <row r="1409" s="34" customFormat="1"/>
    <row r="1410" s="34" customFormat="1"/>
    <row r="1411" s="34" customFormat="1"/>
    <row r="1412" s="34" customFormat="1"/>
    <row r="1413" s="34" customFormat="1"/>
    <row r="1414" s="34" customFormat="1"/>
    <row r="1415" s="34" customFormat="1"/>
    <row r="1416" s="34" customFormat="1"/>
    <row r="1417" s="34" customFormat="1"/>
    <row r="1418" s="34" customFormat="1"/>
    <row r="1419" s="34" customFormat="1"/>
    <row r="1420" s="34" customFormat="1"/>
    <row r="1421" s="34" customFormat="1"/>
    <row r="1422" s="34" customFormat="1"/>
    <row r="1423" s="34" customFormat="1"/>
    <row r="1424" s="34" customFormat="1"/>
    <row r="1425" s="34" customFormat="1"/>
    <row r="1426" s="34" customFormat="1"/>
    <row r="1427" s="34" customFormat="1"/>
    <row r="1428" s="34" customFormat="1"/>
    <row r="1429" s="34" customFormat="1"/>
    <row r="1430" s="34" customFormat="1"/>
    <row r="1431" s="34" customFormat="1"/>
    <row r="1432" s="34" customFormat="1"/>
    <row r="1433" s="34" customFormat="1"/>
    <row r="1434" s="34" customFormat="1"/>
    <row r="1435" s="34" customFormat="1"/>
    <row r="1436" s="34" customFormat="1"/>
    <row r="1437" s="34" customFormat="1"/>
    <row r="1438" s="34" customFormat="1"/>
    <row r="1439" s="34" customFormat="1"/>
    <row r="1440" s="34" customFormat="1"/>
    <row r="1441" s="34" customFormat="1"/>
    <row r="1442" s="34" customFormat="1"/>
    <row r="1443" s="34" customFormat="1"/>
    <row r="1444" s="34" customFormat="1"/>
    <row r="1445" s="34" customFormat="1"/>
    <row r="1446" s="34" customFormat="1"/>
    <row r="1447" s="34" customFormat="1"/>
    <row r="1448" s="34" customFormat="1"/>
    <row r="1449" s="34" customFormat="1"/>
    <row r="1450" s="34" customFormat="1"/>
    <row r="1451" s="34" customFormat="1"/>
    <row r="1452" s="34" customFormat="1"/>
    <row r="1453" s="34" customFormat="1"/>
    <row r="1454" s="34" customFormat="1"/>
    <row r="1455" s="34" customFormat="1"/>
    <row r="1456" s="34" customFormat="1"/>
    <row r="1457" s="34" customFormat="1"/>
    <row r="1458" s="34" customFormat="1"/>
    <row r="1459" s="34" customFormat="1"/>
    <row r="1460" s="34" customFormat="1"/>
    <row r="1461" s="34" customFormat="1"/>
    <row r="1462" s="34" customFormat="1"/>
    <row r="1463" s="34" customFormat="1"/>
    <row r="1464" s="34" customFormat="1"/>
    <row r="1465" s="34" customFormat="1"/>
    <row r="1466" s="34" customFormat="1"/>
    <row r="1467" s="34" customFormat="1"/>
    <row r="1468" s="34" customFormat="1"/>
    <row r="1469" s="34" customFormat="1"/>
    <row r="1470" s="34" customFormat="1"/>
    <row r="1471" s="34" customFormat="1"/>
    <row r="1472" s="34" customFormat="1"/>
    <row r="1473" s="34" customFormat="1"/>
    <row r="1474" s="34" customFormat="1"/>
    <row r="1475" s="34" customFormat="1"/>
    <row r="1476" s="34" customFormat="1"/>
    <row r="1477" s="34" customFormat="1"/>
    <row r="1478" s="34" customFormat="1"/>
    <row r="1479" s="34" customFormat="1"/>
    <row r="1480" s="34" customFormat="1"/>
    <row r="1481" s="34" customFormat="1"/>
    <row r="1482" s="34" customFormat="1"/>
    <row r="1483" s="34" customFormat="1"/>
    <row r="1484" s="34" customFormat="1"/>
    <row r="1485" s="34" customFormat="1"/>
    <row r="1486" s="34" customFormat="1"/>
    <row r="1487" s="34" customFormat="1"/>
    <row r="1488" s="34" customFormat="1"/>
    <row r="1489" s="34" customFormat="1"/>
    <row r="1490" s="34" customFormat="1"/>
    <row r="1491" s="34" customFormat="1"/>
    <row r="1492" s="34" customFormat="1"/>
    <row r="1493" s="34" customFormat="1"/>
    <row r="1494" s="34" customFormat="1"/>
    <row r="1495" s="34" customFormat="1"/>
    <row r="1496" s="34" customFormat="1"/>
    <row r="1497" s="34" customFormat="1"/>
    <row r="1498" s="34" customFormat="1"/>
    <row r="1499" s="34" customFormat="1"/>
    <row r="1500" s="34" customFormat="1"/>
    <row r="1501" s="34" customFormat="1"/>
    <row r="1502" s="34" customFormat="1"/>
    <row r="1503" s="34" customFormat="1"/>
    <row r="1504" s="34" customFormat="1"/>
    <row r="1505" s="34" customFormat="1"/>
    <row r="1506" s="34" customFormat="1"/>
    <row r="1507" s="34" customFormat="1"/>
    <row r="1508" s="34" customFormat="1"/>
    <row r="1509" s="34" customFormat="1"/>
    <row r="1510" s="34" customFormat="1"/>
    <row r="1511" s="34" customFormat="1"/>
    <row r="1512" s="34" customFormat="1"/>
    <row r="1513" s="34" customFormat="1"/>
    <row r="1514" s="34" customFormat="1"/>
    <row r="1515" s="34" customFormat="1"/>
    <row r="1516" s="34" customFormat="1"/>
    <row r="1517" s="34" customFormat="1"/>
    <row r="1518" s="34" customFormat="1"/>
    <row r="1519" s="34" customFormat="1"/>
    <row r="1520" s="34" customFormat="1"/>
    <row r="1521" s="34" customFormat="1"/>
    <row r="1522" s="34" customFormat="1"/>
    <row r="1523" s="34" customFormat="1"/>
    <row r="1524" s="34" customFormat="1"/>
    <row r="1525" s="34" customFormat="1"/>
    <row r="1526" s="34" customFormat="1"/>
    <row r="1527" s="34" customFormat="1"/>
    <row r="1528" s="34" customFormat="1"/>
    <row r="1529" s="34" customFormat="1"/>
    <row r="1530" s="34" customFormat="1"/>
    <row r="1531" s="34" customFormat="1"/>
    <row r="1532" s="34" customFormat="1"/>
    <row r="1533" s="34" customFormat="1"/>
    <row r="1534" s="34" customFormat="1"/>
    <row r="1535" s="34" customFormat="1"/>
    <row r="1536" s="34" customFormat="1"/>
    <row r="1537" s="34" customFormat="1"/>
    <row r="1538" s="34" customFormat="1"/>
    <row r="1539" s="34" customFormat="1"/>
    <row r="1540" s="34" customFormat="1"/>
    <row r="1541" s="34" customFormat="1"/>
    <row r="1542" s="34" customFormat="1"/>
    <row r="1543" s="34" customFormat="1"/>
    <row r="1544" s="34" customFormat="1"/>
    <row r="1545" s="34" customFormat="1"/>
    <row r="1546" s="34" customFormat="1"/>
    <row r="1547" s="34" customFormat="1"/>
    <row r="1548" s="34" customFormat="1"/>
    <row r="1549" s="34" customFormat="1"/>
    <row r="1550" s="34" customFormat="1"/>
    <row r="1551" s="34" customFormat="1"/>
    <row r="1552" s="34" customFormat="1"/>
    <row r="1553" s="34" customFormat="1"/>
    <row r="1554" s="34" customFormat="1"/>
    <row r="1555" s="34" customFormat="1"/>
    <row r="1556" s="34" customFormat="1"/>
    <row r="1557" s="34" customFormat="1"/>
    <row r="1558" s="34" customFormat="1"/>
    <row r="1559" s="34" customFormat="1"/>
    <row r="1560" s="34" customFormat="1"/>
    <row r="1561" s="34" customFormat="1"/>
    <row r="1562" s="34" customFormat="1"/>
    <row r="1563" s="34" customFormat="1"/>
    <row r="1564" s="34" customFormat="1"/>
    <row r="1565" s="34" customFormat="1"/>
    <row r="1566" s="34" customFormat="1"/>
    <row r="1567" s="34" customFormat="1"/>
    <row r="1568" s="34" customFormat="1"/>
    <row r="1569" s="34" customFormat="1"/>
    <row r="1570" s="34" customFormat="1"/>
    <row r="1571" s="34" customFormat="1"/>
    <row r="1572" s="34" customFormat="1"/>
    <row r="1573" s="34" customFormat="1"/>
    <row r="1574" s="34" customFormat="1"/>
    <row r="1575" s="34" customFormat="1"/>
    <row r="1576" s="34" customFormat="1"/>
    <row r="1577" s="34" customFormat="1"/>
    <row r="1578" s="34" customFormat="1"/>
    <row r="1579" s="34" customFormat="1"/>
    <row r="1580" s="34" customFormat="1"/>
    <row r="1581" s="34" customFormat="1"/>
    <row r="1582" s="34" customFormat="1"/>
    <row r="1583" s="34" customFormat="1"/>
    <row r="1584" s="34" customFormat="1"/>
    <row r="1585" s="34" customFormat="1"/>
    <row r="1586" s="34" customFormat="1"/>
    <row r="1587" s="34" customFormat="1"/>
    <row r="1588" s="34" customFormat="1"/>
    <row r="1589" s="34" customFormat="1"/>
    <row r="1590" s="34" customFormat="1"/>
    <row r="1591" s="34" customFormat="1"/>
    <row r="1592" s="34" customFormat="1"/>
    <row r="1593" s="34" customFormat="1"/>
    <row r="1594" s="34" customFormat="1"/>
    <row r="1595" s="34" customFormat="1"/>
    <row r="1596" s="34" customFormat="1"/>
    <row r="1597" s="34" customFormat="1"/>
    <row r="1598" s="34" customFormat="1"/>
    <row r="1599" s="34" customFormat="1"/>
    <row r="1600" s="34" customFormat="1"/>
    <row r="1601" s="34" customFormat="1"/>
    <row r="1602" s="34" customFormat="1"/>
    <row r="1603" s="34" customFormat="1"/>
    <row r="1604" s="34" customFormat="1"/>
    <row r="1605" s="34" customFormat="1"/>
    <row r="1606" s="34" customFormat="1"/>
    <row r="1607" s="34" customFormat="1"/>
    <row r="1608" s="34" customFormat="1"/>
    <row r="1609" s="34" customFormat="1"/>
    <row r="1610" s="34" customFormat="1"/>
    <row r="1611" s="34" customFormat="1"/>
    <row r="1612" s="34" customFormat="1"/>
    <row r="1613" s="34" customFormat="1"/>
    <row r="1614" s="34" customFormat="1"/>
    <row r="1615" s="34" customFormat="1"/>
    <row r="1616" s="34" customFormat="1"/>
    <row r="1617" s="34" customFormat="1"/>
    <row r="1618" s="34" customFormat="1"/>
    <row r="1619" s="34" customFormat="1"/>
    <row r="1620" s="34" customFormat="1"/>
    <row r="1621" s="34" customFormat="1"/>
    <row r="1622" s="34" customFormat="1"/>
    <row r="1623" s="34" customFormat="1"/>
    <row r="1624" s="34" customFormat="1"/>
    <row r="1625" s="34" customFormat="1"/>
    <row r="1626" s="34" customFormat="1"/>
    <row r="1627" s="34" customFormat="1"/>
    <row r="1628" s="34" customFormat="1"/>
    <row r="1629" s="34" customFormat="1"/>
    <row r="1630" s="34" customFormat="1"/>
    <row r="1631" s="34" customFormat="1"/>
    <row r="1632" s="34" customFormat="1"/>
    <row r="1633" s="34" customFormat="1"/>
    <row r="1634" s="34" customFormat="1"/>
    <row r="1635" s="34" customFormat="1"/>
    <row r="1636" s="34" customFormat="1"/>
    <row r="1637" s="34" customFormat="1"/>
    <row r="1638" s="34" customFormat="1"/>
    <row r="1639" s="34" customFormat="1"/>
    <row r="1640" s="34" customFormat="1"/>
    <row r="1641" s="34" customFormat="1"/>
    <row r="1642" s="34" customFormat="1"/>
    <row r="1643" s="34" customFormat="1"/>
    <row r="1644" s="34" customFormat="1"/>
    <row r="1645" s="34" customFormat="1"/>
    <row r="1646" s="34" customFormat="1"/>
    <row r="1647" s="34" customFormat="1"/>
    <row r="1648" s="34" customFormat="1"/>
    <row r="1649" s="34" customFormat="1"/>
    <row r="1650" s="34" customFormat="1"/>
    <row r="1651" s="34" customFormat="1"/>
    <row r="1652" s="34" customFormat="1"/>
    <row r="1653" s="34" customFormat="1"/>
    <row r="1654" s="34" customFormat="1"/>
    <row r="1655" s="34" customFormat="1"/>
    <row r="1656" s="34" customFormat="1"/>
    <row r="1657" s="34" customFormat="1"/>
    <row r="1658" s="34" customFormat="1"/>
    <row r="1659" s="34" customFormat="1"/>
    <row r="1660" s="34" customFormat="1"/>
    <row r="1661" s="34" customFormat="1"/>
    <row r="1662" s="34" customFormat="1"/>
    <row r="1663" s="34" customFormat="1"/>
    <row r="1664" s="34" customFormat="1"/>
    <row r="1665" s="34" customFormat="1"/>
    <row r="1666" s="34" customFormat="1"/>
    <row r="1667" s="34" customFormat="1"/>
    <row r="1668" s="34" customFormat="1"/>
    <row r="1669" s="34" customFormat="1"/>
    <row r="1670" s="34" customFormat="1"/>
    <row r="1671" s="34" customFormat="1"/>
    <row r="1672" s="34" customFormat="1"/>
    <row r="1673" s="34" customFormat="1"/>
    <row r="1674" s="34" customFormat="1"/>
    <row r="1675" s="34" customFormat="1"/>
    <row r="1676" s="34" customFormat="1"/>
    <row r="1677" s="34" customFormat="1"/>
    <row r="1678" s="34" customFormat="1"/>
    <row r="1679" s="34" customFormat="1"/>
    <row r="1680" s="34" customFormat="1"/>
    <row r="1681" s="34" customFormat="1"/>
    <row r="1682" s="34" customFormat="1"/>
    <row r="1683" s="34" customFormat="1"/>
    <row r="1684" s="34" customFormat="1"/>
    <row r="1685" s="34" customFormat="1"/>
    <row r="1686" s="34" customFormat="1"/>
    <row r="1687" s="34" customFormat="1"/>
    <row r="1688" s="34" customFormat="1"/>
    <row r="1689" s="34" customFormat="1"/>
    <row r="1690" s="34" customFormat="1"/>
    <row r="1691" s="34" customFormat="1"/>
    <row r="1692" s="34" customFormat="1"/>
    <row r="1693" s="34" customFormat="1"/>
    <row r="1694" s="34" customFormat="1"/>
    <row r="1695" s="34" customFormat="1"/>
    <row r="1696" s="34" customFormat="1"/>
    <row r="1697" s="34" customFormat="1"/>
    <row r="1698" s="34" customFormat="1"/>
    <row r="1699" s="34" customFormat="1"/>
    <row r="1700" s="34" customFormat="1"/>
    <row r="1701" s="34" customFormat="1"/>
    <row r="1702" s="34" customFormat="1"/>
    <row r="1703" s="34" customFormat="1"/>
    <row r="1704" s="34" customFormat="1"/>
    <row r="1705" s="34" customFormat="1"/>
    <row r="1706" s="34" customFormat="1"/>
    <row r="1707" s="34" customFormat="1"/>
    <row r="1708" s="34" customFormat="1"/>
    <row r="1709" s="34" customFormat="1"/>
    <row r="1710" s="34" customFormat="1"/>
    <row r="1711" s="34" customFormat="1"/>
    <row r="1712" s="34" customFormat="1"/>
    <row r="1713" s="34" customFormat="1"/>
    <row r="1714" s="34" customFormat="1"/>
    <row r="1715" s="34" customFormat="1"/>
    <row r="1716" s="34" customFormat="1"/>
    <row r="1717" s="34" customFormat="1"/>
    <row r="1718" s="34" customFormat="1"/>
    <row r="1719" s="34" customFormat="1"/>
    <row r="1720" s="34" customFormat="1"/>
    <row r="1721" s="34" customFormat="1"/>
    <row r="1722" s="34" customFormat="1"/>
    <row r="1723" s="34" customFormat="1"/>
    <row r="1724" s="34" customFormat="1"/>
    <row r="1725" s="34" customFormat="1"/>
    <row r="1726" s="34" customFormat="1"/>
    <row r="1727" s="34" customFormat="1"/>
    <row r="1728" s="34" customFormat="1"/>
    <row r="1729" s="34" customFormat="1"/>
    <row r="1730" s="34" customFormat="1"/>
    <row r="1731" s="34" customFormat="1"/>
    <row r="1732" s="34" customFormat="1"/>
    <row r="1733" s="34" customFormat="1"/>
    <row r="1734" s="34" customFormat="1"/>
    <row r="1735" s="34" customFormat="1"/>
    <row r="1736" s="34" customFormat="1"/>
    <row r="1737" s="34" customFormat="1"/>
    <row r="1738" s="34" customFormat="1"/>
    <row r="1739" s="34" customFormat="1"/>
    <row r="1740" s="34" customFormat="1"/>
    <row r="1741" s="34" customFormat="1"/>
    <row r="1742" s="34" customFormat="1"/>
    <row r="1743" s="34" customFormat="1"/>
    <row r="1744" s="34" customFormat="1"/>
    <row r="1745" s="34" customFormat="1"/>
    <row r="1746" s="34" customFormat="1"/>
    <row r="1747" s="34" customFormat="1"/>
    <row r="1748" s="34" customFormat="1"/>
    <row r="1749" s="34" customFormat="1"/>
    <row r="1750" s="34" customFormat="1"/>
    <row r="1751" s="34" customFormat="1"/>
    <row r="1752" s="34" customFormat="1"/>
    <row r="1753" s="34" customFormat="1"/>
    <row r="1754" s="34" customFormat="1"/>
    <row r="1755" s="34" customFormat="1"/>
    <row r="1756" s="34" customFormat="1"/>
    <row r="1757" s="34" customFormat="1"/>
    <row r="1758" s="34" customFormat="1"/>
    <row r="1759" s="34" customFormat="1"/>
    <row r="1760" s="34" customFormat="1"/>
    <row r="1761" s="34" customFormat="1"/>
    <row r="1762" s="34" customFormat="1"/>
    <row r="1763" s="34" customFormat="1"/>
    <row r="1764" s="34" customFormat="1"/>
    <row r="1765" s="34" customFormat="1"/>
    <row r="1766" s="34" customFormat="1"/>
    <row r="1767" s="34" customFormat="1"/>
    <row r="1768" s="34" customFormat="1"/>
    <row r="1769" s="34" customFormat="1"/>
    <row r="1770" s="34" customFormat="1"/>
    <row r="1771" s="34" customFormat="1"/>
    <row r="1772" s="34" customFormat="1"/>
    <row r="1773" s="34" customFormat="1"/>
    <row r="1774" s="34" customFormat="1"/>
    <row r="1775" s="34" customFormat="1"/>
    <row r="1776" s="34" customFormat="1"/>
    <row r="1777" s="34" customFormat="1"/>
    <row r="1778" s="34" customFormat="1"/>
    <row r="1779" s="34" customFormat="1"/>
    <row r="1780" s="34" customFormat="1"/>
    <row r="1781" s="34" customFormat="1"/>
    <row r="1782" s="34" customFormat="1"/>
    <row r="1783" s="34" customFormat="1"/>
    <row r="1784" s="34" customFormat="1"/>
    <row r="1785" s="34" customFormat="1"/>
    <row r="1786" s="34" customFormat="1"/>
    <row r="1787" s="34" customFormat="1"/>
    <row r="1788" s="34" customFormat="1"/>
    <row r="1789" s="34" customFormat="1"/>
    <row r="1790" s="34" customFormat="1"/>
    <row r="1791" s="34" customFormat="1"/>
    <row r="1792" s="34" customFormat="1"/>
    <row r="1793" s="34" customFormat="1"/>
    <row r="1794" s="34" customFormat="1"/>
    <row r="1795" s="34" customFormat="1"/>
    <row r="1796" s="34" customFormat="1"/>
    <row r="1797" s="34" customFormat="1"/>
    <row r="1798" s="34" customFormat="1"/>
    <row r="1799" s="34" customFormat="1"/>
    <row r="1800" s="34" customFormat="1"/>
    <row r="1801" s="34" customFormat="1"/>
    <row r="1802" s="34" customFormat="1"/>
    <row r="1803" s="34" customFormat="1"/>
    <row r="1804" s="34" customFormat="1"/>
    <row r="1805" s="34" customFormat="1"/>
    <row r="1806" s="34" customFormat="1"/>
    <row r="1807" s="34" customFormat="1"/>
    <row r="1808" s="34" customFormat="1"/>
    <row r="1809" s="34" customFormat="1"/>
    <row r="1810" s="34" customFormat="1"/>
    <row r="1811" s="34" customFormat="1"/>
    <row r="1812" s="34" customFormat="1"/>
    <row r="1813" s="34" customFormat="1"/>
    <row r="1814" s="34" customFormat="1"/>
    <row r="1815" s="34" customFormat="1"/>
    <row r="1816" s="34" customFormat="1"/>
    <row r="1817" s="34" customFormat="1"/>
    <row r="1818" s="34" customFormat="1"/>
    <row r="1819" s="34" customFormat="1"/>
    <row r="1820" s="34" customFormat="1"/>
    <row r="1821" s="34" customFormat="1"/>
    <row r="1822" s="34" customFormat="1"/>
    <row r="1823" s="34" customFormat="1"/>
    <row r="1824" s="34" customFormat="1"/>
    <row r="1825" s="34" customFormat="1"/>
    <row r="1826" s="34" customFormat="1"/>
    <row r="1827" s="34" customFormat="1"/>
    <row r="1828" s="34" customFormat="1"/>
    <row r="1829" s="34" customFormat="1"/>
    <row r="1830" s="34" customFormat="1"/>
    <row r="1831" s="34" customFormat="1"/>
    <row r="1832" s="34" customFormat="1"/>
    <row r="1833" s="34" customFormat="1"/>
    <row r="1834" s="34" customFormat="1"/>
    <row r="1835" s="34" customFormat="1"/>
    <row r="1836" s="34" customFormat="1"/>
    <row r="1837" s="34" customFormat="1"/>
    <row r="1838" s="34" customFormat="1"/>
    <row r="1839" s="34" customFormat="1"/>
    <row r="1840" s="34" customFormat="1"/>
    <row r="1841" s="34" customFormat="1"/>
    <row r="1842" s="34" customFormat="1"/>
    <row r="1843" s="34" customFormat="1"/>
    <row r="1844" s="34" customFormat="1"/>
    <row r="1845" s="34" customFormat="1"/>
    <row r="1846" s="34" customFormat="1"/>
    <row r="1847" s="34" customFormat="1"/>
    <row r="1848" s="34" customFormat="1"/>
    <row r="1849" s="34" customFormat="1"/>
    <row r="1850" s="34" customFormat="1"/>
    <row r="1851" s="34" customFormat="1"/>
    <row r="1852" s="34" customFormat="1"/>
    <row r="1853" s="34" customFormat="1"/>
    <row r="1854" s="34" customFormat="1"/>
    <row r="1855" s="34" customFormat="1"/>
    <row r="1856" s="34" customFormat="1"/>
    <row r="1857" s="34" customFormat="1"/>
    <row r="1858" s="34" customFormat="1"/>
    <row r="1859" s="34" customFormat="1"/>
    <row r="1860" s="34" customFormat="1"/>
    <row r="1861" s="34" customFormat="1"/>
    <row r="1862" s="34" customFormat="1"/>
    <row r="1863" s="34" customFormat="1"/>
    <row r="1864" s="34" customFormat="1"/>
    <row r="1865" s="34" customFormat="1"/>
    <row r="1866" s="34" customFormat="1"/>
    <row r="1867" s="34" customFormat="1"/>
    <row r="1868" s="34" customFormat="1"/>
    <row r="1869" s="34" customFormat="1"/>
    <row r="1870" s="34" customFormat="1"/>
    <row r="1871" s="34" customFormat="1"/>
    <row r="1872" s="34" customFormat="1"/>
    <row r="1873" s="34" customFormat="1"/>
    <row r="1874" s="34" customFormat="1"/>
    <row r="1875" s="34" customFormat="1"/>
    <row r="1876" s="34" customFormat="1"/>
    <row r="1877" s="34" customFormat="1"/>
    <row r="1878" s="34" customFormat="1"/>
    <row r="1879" s="34" customFormat="1"/>
    <row r="1880" s="34" customFormat="1"/>
    <row r="1881" s="34" customFormat="1"/>
    <row r="1882" s="34" customFormat="1"/>
    <row r="1883" s="34" customFormat="1"/>
    <row r="1884" s="34" customFormat="1"/>
    <row r="1885" s="34" customFormat="1"/>
    <row r="1886" s="34" customFormat="1"/>
    <row r="1887" s="34" customFormat="1"/>
    <row r="1888" s="34" customFormat="1"/>
    <row r="1889" s="34" customFormat="1"/>
    <row r="1890" s="34" customFormat="1"/>
    <row r="1891" s="34" customFormat="1"/>
    <row r="1892" s="34" customFormat="1"/>
    <row r="1893" s="34" customFormat="1"/>
    <row r="1894" s="34" customFormat="1"/>
    <row r="1895" s="34" customFormat="1"/>
    <row r="1896" s="34" customFormat="1"/>
    <row r="1897" s="34" customFormat="1"/>
    <row r="1898" s="34" customFormat="1"/>
    <row r="1899" s="34" customFormat="1"/>
    <row r="1900" s="34" customFormat="1"/>
    <row r="1901" s="34" customFormat="1"/>
    <row r="1902" s="34" customFormat="1"/>
    <row r="1903" s="34" customFormat="1"/>
    <row r="1904" s="34" customFormat="1"/>
    <row r="1905" s="34" customFormat="1"/>
    <row r="1906" s="34" customFormat="1"/>
    <row r="1907" s="34" customFormat="1"/>
    <row r="1908" s="34" customFormat="1"/>
    <row r="1909" s="34" customFormat="1"/>
    <row r="1910" s="34" customFormat="1"/>
    <row r="1911" s="34" customFormat="1"/>
    <row r="1912" s="34" customFormat="1"/>
    <row r="1913" s="34" customFormat="1"/>
    <row r="1914" s="34" customFormat="1"/>
    <row r="1915" s="34" customFormat="1"/>
    <row r="1916" s="34" customFormat="1"/>
    <row r="1917" s="34" customFormat="1"/>
    <row r="1918" s="34" customFormat="1"/>
    <row r="1919" s="34" customFormat="1"/>
    <row r="1920" s="34" customFormat="1"/>
    <row r="1921" s="34" customFormat="1"/>
    <row r="1922" s="34" customFormat="1"/>
    <row r="1923" s="34" customFormat="1"/>
    <row r="1924" s="34" customFormat="1"/>
    <row r="1925" s="34" customFormat="1"/>
    <row r="1926" s="34" customFormat="1"/>
    <row r="1927" s="34" customFormat="1"/>
    <row r="1928" s="34" customFormat="1"/>
    <row r="1929" s="34" customFormat="1"/>
    <row r="1930" s="34" customFormat="1"/>
    <row r="1931" s="34" customFormat="1"/>
    <row r="1932" s="34" customFormat="1"/>
    <row r="1933" s="34" customFormat="1"/>
    <row r="1934" s="34" customFormat="1"/>
    <row r="1935" s="34" customFormat="1"/>
    <row r="1936" s="34" customFormat="1"/>
    <row r="1937" s="34" customFormat="1"/>
    <row r="1938" s="34" customFormat="1"/>
    <row r="1939" s="34" customFormat="1"/>
    <row r="1940" s="34" customFormat="1"/>
    <row r="1941" s="34" customFormat="1"/>
    <row r="1942" s="34" customFormat="1"/>
    <row r="1943" s="34" customFormat="1"/>
    <row r="1944" s="34" customFormat="1"/>
    <row r="1945" s="34" customFormat="1"/>
    <row r="1946" s="34" customFormat="1"/>
    <row r="1947" s="34" customFormat="1"/>
    <row r="1948" s="34" customFormat="1"/>
    <row r="1949" s="34" customFormat="1"/>
    <row r="1950" s="34" customFormat="1"/>
    <row r="1951" s="34" customFormat="1"/>
    <row r="1952" s="34" customFormat="1"/>
    <row r="1953" s="34" customFormat="1"/>
    <row r="1954" s="34" customFormat="1"/>
    <row r="1955" s="34" customFormat="1"/>
    <row r="1956" s="34" customFormat="1"/>
    <row r="1957" s="34" customFormat="1"/>
    <row r="1958" s="34" customFormat="1"/>
    <row r="1959" s="34" customFormat="1"/>
    <row r="1960" s="34" customFormat="1"/>
    <row r="1961" s="34" customFormat="1"/>
    <row r="1962" s="34" customFormat="1"/>
    <row r="1963" s="34" customFormat="1"/>
    <row r="1964" s="34" customFormat="1"/>
    <row r="1965" s="34" customFormat="1"/>
    <row r="1966" s="34" customFormat="1"/>
    <row r="1967" s="34" customFormat="1"/>
    <row r="1968" s="34" customFormat="1"/>
    <row r="1969" s="34" customFormat="1"/>
    <row r="1970" s="34" customFormat="1"/>
    <row r="1971" s="34" customFormat="1"/>
    <row r="1972" s="34" customFormat="1"/>
    <row r="1973" s="34" customFormat="1"/>
    <row r="1974" s="34" customFormat="1"/>
    <row r="1975" s="34" customFormat="1"/>
    <row r="1976" s="34" customFormat="1"/>
    <row r="1977" s="34" customFormat="1"/>
    <row r="1978" s="34" customFormat="1"/>
    <row r="1979" s="34" customFormat="1"/>
    <row r="1980" s="34" customFormat="1"/>
    <row r="1981" s="34" customFormat="1"/>
    <row r="1982" s="34" customFormat="1"/>
    <row r="1983" s="34" customFormat="1"/>
    <row r="1984" s="34" customFormat="1"/>
    <row r="1985" s="34" customFormat="1"/>
    <row r="1986" s="34" customFormat="1"/>
    <row r="1987" s="34" customFormat="1"/>
    <row r="1988" s="34" customFormat="1"/>
    <row r="1989" s="34" customFormat="1"/>
    <row r="1990" s="34" customFormat="1"/>
    <row r="1991" s="34" customFormat="1"/>
    <row r="1992" s="34" customFormat="1"/>
    <row r="1993" s="34" customFormat="1"/>
    <row r="1994" s="34" customFormat="1"/>
    <row r="1995" s="34" customFormat="1"/>
    <row r="1996" s="34" customFormat="1"/>
    <row r="1997" s="34" customFormat="1"/>
    <row r="1998" s="34" customFormat="1"/>
    <row r="1999" s="34" customFormat="1"/>
    <row r="2000" s="34" customFormat="1"/>
    <row r="2001" s="34" customFormat="1"/>
    <row r="2002" s="34" customFormat="1"/>
    <row r="2003" s="34" customFormat="1"/>
    <row r="2004" s="34" customFormat="1"/>
    <row r="2005" s="34" customFormat="1"/>
    <row r="2006" s="34" customFormat="1"/>
    <row r="2007" s="34" customFormat="1"/>
    <row r="2008" s="34" customFormat="1"/>
    <row r="2009" s="34" customFormat="1"/>
    <row r="2010" s="34" customFormat="1"/>
    <row r="2011" s="34" customFormat="1"/>
    <row r="2012" s="34" customFormat="1"/>
    <row r="2013" s="34" customFormat="1"/>
    <row r="2014" s="34" customFormat="1"/>
    <row r="2015" s="34" customFormat="1"/>
    <row r="2016" s="34" customFormat="1"/>
    <row r="2017" s="34" customFormat="1"/>
    <row r="2018" s="34" customFormat="1"/>
    <row r="2019" s="34" customFormat="1"/>
    <row r="2020" s="34" customFormat="1"/>
    <row r="2021" s="34" customFormat="1"/>
    <row r="2022" s="34" customFormat="1"/>
    <row r="2023" s="34" customFormat="1"/>
    <row r="2024" s="34" customFormat="1"/>
    <row r="2025" s="34" customFormat="1"/>
    <row r="2026" s="34" customFormat="1"/>
    <row r="2027" s="34" customFormat="1"/>
    <row r="2028" s="34" customFormat="1"/>
    <row r="2029" s="34" customFormat="1"/>
    <row r="2030" s="34" customFormat="1"/>
    <row r="2031" s="34" customFormat="1"/>
    <row r="2032" s="34" customFormat="1"/>
    <row r="2033" s="34" customFormat="1"/>
    <row r="2034" s="34" customFormat="1"/>
    <row r="2035" s="34" customFormat="1"/>
    <row r="2036" s="34" customFormat="1"/>
    <row r="2037" s="34" customFormat="1"/>
    <row r="2038" s="34" customFormat="1"/>
    <row r="2039" s="34" customFormat="1"/>
    <row r="2040" s="34" customFormat="1"/>
    <row r="2041" s="34" customFormat="1"/>
    <row r="2042" s="34" customFormat="1"/>
    <row r="2043" s="34" customFormat="1"/>
    <row r="2044" s="34" customFormat="1"/>
    <row r="2045" s="34" customFormat="1"/>
    <row r="2046" s="34" customFormat="1"/>
    <row r="2047" s="34" customFormat="1"/>
    <row r="2048" s="34" customFormat="1"/>
    <row r="2049" s="34" customFormat="1"/>
    <row r="2050" s="34" customFormat="1"/>
    <row r="2051" s="34" customFormat="1"/>
    <row r="2052" s="34" customFormat="1"/>
    <row r="2053" s="34" customFormat="1"/>
    <row r="2054" s="34" customFormat="1"/>
    <row r="2055" s="34" customFormat="1"/>
    <row r="2056" s="34" customFormat="1"/>
    <row r="2057" s="34" customFormat="1"/>
    <row r="2058" s="34" customFormat="1"/>
    <row r="2059" s="34" customFormat="1"/>
    <row r="2060" s="34" customFormat="1"/>
    <row r="2061" s="34" customFormat="1"/>
    <row r="2062" s="34" customFormat="1"/>
    <row r="2063" s="34" customFormat="1"/>
    <row r="2064" s="34" customFormat="1"/>
    <row r="2065" s="34" customFormat="1"/>
    <row r="2066" s="34" customFormat="1"/>
    <row r="2067" s="34" customFormat="1"/>
    <row r="2068" s="34" customFormat="1"/>
    <row r="2069" s="34" customFormat="1"/>
    <row r="2070" s="34" customFormat="1"/>
    <row r="2071" s="34" customFormat="1"/>
    <row r="2072" s="34" customFormat="1"/>
    <row r="2073" s="34" customFormat="1"/>
    <row r="2074" s="34" customFormat="1"/>
    <row r="2075" s="34" customFormat="1"/>
    <row r="2076" s="34" customFormat="1"/>
    <row r="2077" s="34" customFormat="1"/>
    <row r="2078" s="34" customFormat="1"/>
    <row r="2079" s="34" customFormat="1"/>
    <row r="2080" s="34" customFormat="1"/>
    <row r="2081" s="34" customFormat="1"/>
    <row r="2082" s="34" customFormat="1"/>
    <row r="2083" s="34" customFormat="1"/>
    <row r="2084" s="34" customFormat="1"/>
    <row r="2085" s="34" customFormat="1"/>
    <row r="2086" s="34" customFormat="1"/>
    <row r="2087" s="34" customFormat="1"/>
    <row r="2088" s="34" customFormat="1"/>
    <row r="2089" s="34" customFormat="1"/>
    <row r="2090" s="34" customFormat="1"/>
    <row r="2091" s="34" customFormat="1"/>
    <row r="2092" s="34" customFormat="1"/>
    <row r="2093" s="34" customFormat="1"/>
    <row r="2094" s="34" customFormat="1"/>
    <row r="2095" s="34" customFormat="1"/>
    <row r="2096" s="34" customFormat="1"/>
    <row r="2097" s="34" customFormat="1"/>
    <row r="2098" s="34" customFormat="1"/>
    <row r="2099" s="34" customFormat="1"/>
    <row r="2100" s="34" customFormat="1"/>
    <row r="2101" s="34" customFormat="1"/>
    <row r="2102" s="34" customFormat="1"/>
    <row r="2103" s="34" customFormat="1"/>
    <row r="2104" s="34" customFormat="1"/>
    <row r="2105" s="34" customFormat="1"/>
    <row r="2106" s="34" customFormat="1"/>
    <row r="2107" s="34" customFormat="1"/>
    <row r="2108" s="34" customFormat="1"/>
    <row r="2109" s="34" customFormat="1"/>
    <row r="2110" s="34" customFormat="1"/>
    <row r="2111" s="34" customFormat="1"/>
    <row r="2112" s="34" customFormat="1"/>
    <row r="2113" s="34" customFormat="1"/>
    <row r="2114" s="34" customFormat="1"/>
    <row r="2115" s="34" customFormat="1"/>
    <row r="2116" s="34" customFormat="1"/>
    <row r="2117" s="34" customFormat="1"/>
    <row r="2118" s="34" customFormat="1"/>
    <row r="2119" s="34" customFormat="1"/>
    <row r="2120" s="34" customFormat="1"/>
    <row r="2121" s="34" customFormat="1"/>
    <row r="2122" s="34" customFormat="1"/>
    <row r="2123" s="34" customFormat="1"/>
    <row r="2124" s="34" customFormat="1"/>
    <row r="2125" s="34" customFormat="1"/>
    <row r="2126" s="34" customFormat="1"/>
    <row r="2127" s="34" customFormat="1"/>
    <row r="2128" s="34" customFormat="1"/>
    <row r="2129" s="34" customFormat="1"/>
    <row r="2130" s="34" customFormat="1"/>
    <row r="2131" s="34" customFormat="1"/>
    <row r="2132" s="34" customFormat="1"/>
    <row r="2133" s="34" customFormat="1"/>
    <row r="2134" s="34" customFormat="1"/>
    <row r="2135" s="34" customFormat="1"/>
    <row r="2136" s="34" customFormat="1"/>
    <row r="2137" s="34" customFormat="1"/>
    <row r="2138" s="34" customFormat="1"/>
    <row r="2139" s="34" customFormat="1"/>
    <row r="2140" s="34" customFormat="1"/>
    <row r="2141" s="34" customFormat="1"/>
    <row r="2142" s="34" customFormat="1"/>
    <row r="2143" s="34" customFormat="1"/>
    <row r="2144" s="34" customFormat="1"/>
    <row r="2145" s="34" customFormat="1"/>
    <row r="2146" s="34" customFormat="1"/>
    <row r="2147" s="34" customFormat="1"/>
    <row r="2148" s="34" customFormat="1"/>
    <row r="2149" s="34" customFormat="1"/>
    <row r="2150" s="34" customFormat="1"/>
    <row r="2151" s="34" customFormat="1"/>
    <row r="2152" s="34" customFormat="1"/>
    <row r="2153" s="34" customFormat="1"/>
    <row r="2154" s="34" customFormat="1"/>
    <row r="2155" s="34" customFormat="1"/>
    <row r="2156" s="34" customFormat="1"/>
    <row r="2157" s="34" customFormat="1"/>
    <row r="2158" s="34" customFormat="1"/>
    <row r="2159" s="34" customFormat="1"/>
    <row r="2160" s="34" customFormat="1"/>
    <row r="2161" s="34" customFormat="1"/>
    <row r="2162" s="34" customFormat="1"/>
    <row r="2163" s="34" customFormat="1"/>
    <row r="2164" s="34" customFormat="1"/>
    <row r="2165" s="34" customFormat="1"/>
    <row r="2166" s="34" customFormat="1"/>
    <row r="2167" s="34" customFormat="1"/>
    <row r="2168" s="34" customFormat="1"/>
    <row r="2169" s="34" customFormat="1"/>
    <row r="2170" s="34" customFormat="1"/>
    <row r="2171" s="34" customFormat="1"/>
    <row r="2172" s="34" customFormat="1"/>
    <row r="2173" s="34" customFormat="1"/>
    <row r="2174" s="34" customFormat="1"/>
    <row r="2175" s="34" customFormat="1"/>
    <row r="2176" s="34" customFormat="1"/>
    <row r="2177" s="34" customFormat="1"/>
    <row r="2178" s="34" customFormat="1"/>
    <row r="2179" s="34" customFormat="1"/>
    <row r="2180" s="34" customFormat="1"/>
    <row r="2181" s="34" customFormat="1"/>
    <row r="2182" s="34" customFormat="1"/>
    <row r="2183" s="34" customFormat="1"/>
    <row r="2184" s="34" customFormat="1"/>
    <row r="2185" s="34" customFormat="1"/>
    <row r="2186" s="34" customFormat="1"/>
    <row r="2187" s="34" customFormat="1"/>
    <row r="2188" s="34" customFormat="1"/>
    <row r="2189" s="34" customFormat="1"/>
    <row r="2190" s="34" customFormat="1"/>
    <row r="2191" s="34" customFormat="1"/>
    <row r="2192" s="34" customFormat="1"/>
    <row r="2193" s="34" customFormat="1"/>
    <row r="2194" s="34" customFormat="1"/>
    <row r="2195" s="34" customFormat="1"/>
    <row r="2196" s="34" customFormat="1"/>
    <row r="2197" s="34" customFormat="1"/>
    <row r="2198" s="34" customFormat="1"/>
    <row r="2199" s="34" customFormat="1"/>
    <row r="2200" s="34" customFormat="1"/>
    <row r="2201" s="34" customFormat="1"/>
    <row r="2202" s="34" customFormat="1"/>
    <row r="2203" s="34" customFormat="1"/>
    <row r="2204" s="34" customFormat="1"/>
    <row r="2205" s="34" customFormat="1"/>
    <row r="2206" s="34" customFormat="1"/>
    <row r="2207" s="34" customFormat="1"/>
    <row r="2208" s="34" customFormat="1"/>
    <row r="2209" s="34" customFormat="1"/>
    <row r="2210" s="34" customFormat="1"/>
    <row r="2211" s="34" customFormat="1"/>
    <row r="2212" s="34" customFormat="1"/>
    <row r="2213" s="34" customFormat="1"/>
    <row r="2214" s="34" customFormat="1"/>
    <row r="2215" s="34" customFormat="1"/>
    <row r="2216" s="34" customFormat="1"/>
    <row r="2217" s="34" customFormat="1"/>
    <row r="2218" s="34" customFormat="1"/>
    <row r="2219" s="34" customFormat="1"/>
    <row r="2220" s="34" customFormat="1"/>
    <row r="2221" s="34" customFormat="1"/>
    <row r="2222" s="34" customFormat="1"/>
    <row r="2223" s="34" customFormat="1"/>
    <row r="2224" s="34" customFormat="1"/>
    <row r="2225" s="34" customFormat="1"/>
    <row r="2226" s="34" customFormat="1"/>
    <row r="2227" s="34" customFormat="1"/>
    <row r="2228" s="34" customFormat="1"/>
    <row r="2229" s="34" customFormat="1"/>
    <row r="2230" s="34" customFormat="1"/>
    <row r="2231" s="34" customFormat="1"/>
    <row r="2232" s="34" customFormat="1"/>
    <row r="2233" s="34" customFormat="1"/>
    <row r="2234" s="34" customFormat="1"/>
    <row r="2235" s="34" customFormat="1"/>
    <row r="2236" s="34" customFormat="1"/>
    <row r="2237" s="34" customFormat="1"/>
    <row r="2238" s="34" customFormat="1"/>
    <row r="2239" s="34" customFormat="1"/>
    <row r="2240" s="34" customFormat="1"/>
    <row r="2241" s="34" customFormat="1"/>
    <row r="2242" s="34" customFormat="1"/>
    <row r="2243" s="34" customFormat="1"/>
    <row r="2244" s="34" customFormat="1"/>
    <row r="2245" s="34" customFormat="1"/>
    <row r="2246" s="34" customFormat="1"/>
    <row r="2247" s="34" customFormat="1"/>
    <row r="2248" s="34" customFormat="1"/>
  </sheetData>
  <sheetProtection password="8B10" sheet="1" objects="1" scenarios="1"/>
  <phoneticPr fontId="3" type="noConversion"/>
  <pageMargins left="0.70866141732283472" right="0.70866141732283472" top="1.0236220472440944" bottom="1.0236220472440944" header="0.39370078740157483" footer="0.39370078740157483"/>
  <pageSetup paperSize="9" scale="74" orientation="landscape" r:id="rId1"/>
  <headerFooter alignWithMargins="0">
    <oddFooter>&amp;L&amp;"Frutiger 57Cn,Standard"&amp;8
Santander Consumer Bank AG
Santander-Platz 1
41061 Mönchengladbach
Tel.: +49 180 / 5556 - 499
Fax.: +49 180 / 5556 - 498</oddFooter>
  </headerFooter>
  <rowBreaks count="1" manualBreakCount="1">
    <brk id="50" max="11" man="1"/>
  </rowBreaks>
  <colBreaks count="1" manualBreakCount="1">
    <brk id="1" max="46" man="1"/>
  </col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M260"/>
  <sheetViews>
    <sheetView view="pageBreakPreview" zoomScale="75" zoomScaleNormal="100" workbookViewId="0">
      <selection activeCell="B3" sqref="B3"/>
    </sheetView>
  </sheetViews>
  <sheetFormatPr defaultRowHeight="12.75"/>
  <cols>
    <col min="1" max="1" width="1.28515625" style="31" customWidth="1"/>
    <col min="2" max="2" width="26" style="31" customWidth="1"/>
    <col min="3" max="3" width="24.28515625" style="31" customWidth="1"/>
    <col min="4" max="5" width="18.7109375" style="31" customWidth="1"/>
    <col min="6" max="6" width="20.7109375" style="31" customWidth="1"/>
    <col min="7" max="7" width="20.5703125" style="31" customWidth="1"/>
    <col min="8" max="8" width="19" style="31" customWidth="1"/>
    <col min="9" max="9" width="15.5703125" style="31" customWidth="1"/>
    <col min="10" max="10" width="25.5703125" style="31" customWidth="1"/>
    <col min="11" max="11" width="1.28515625" style="31" customWidth="1"/>
    <col min="12" max="12" width="4.28515625" style="31" customWidth="1"/>
    <col min="13" max="256" width="11.42578125" style="31" customWidth="1"/>
    <col min="257" max="16384" width="9.140625" style="31"/>
  </cols>
  <sheetData>
    <row r="1" spans="1:13" ht="6" customHeight="1">
      <c r="A1" s="35"/>
      <c r="B1" s="36"/>
      <c r="C1" s="36"/>
      <c r="D1" s="36"/>
      <c r="E1" s="36"/>
      <c r="F1" s="36"/>
      <c r="G1" s="36"/>
      <c r="H1" s="36"/>
      <c r="I1" s="36"/>
      <c r="J1" s="36"/>
      <c r="K1" s="37"/>
    </row>
    <row r="2" spans="1:13" s="27" customFormat="1" ht="18">
      <c r="A2" s="5"/>
      <c r="B2" s="7" t="str">
        <f>'Cover Sheet'!B2</f>
        <v>SC Germany Auto 10-1</v>
      </c>
      <c r="C2" s="7"/>
      <c r="D2" s="108" t="s">
        <v>54</v>
      </c>
      <c r="E2" s="109"/>
      <c r="F2" s="110">
        <f>'Cover Sheet'!F2</f>
        <v>41191</v>
      </c>
      <c r="G2" s="109"/>
      <c r="H2" s="109"/>
      <c r="I2" s="109"/>
      <c r="J2" s="111"/>
      <c r="K2" s="88"/>
    </row>
    <row r="3" spans="1:13" s="27" customFormat="1" ht="18">
      <c r="A3" s="5"/>
      <c r="B3" s="7" t="str">
        <f>'Cover Sheet'!B3</f>
        <v>Monthly Investor Report</v>
      </c>
      <c r="C3" s="7"/>
      <c r="D3" s="112" t="s">
        <v>4</v>
      </c>
      <c r="E3" s="113"/>
      <c r="F3" s="114">
        <f>'Cover Sheet'!F3</f>
        <v>41197</v>
      </c>
      <c r="G3" s="113"/>
      <c r="H3" s="113"/>
      <c r="I3" s="113"/>
      <c r="J3" s="115"/>
      <c r="K3" s="90"/>
    </row>
    <row r="4" spans="1:13" s="27" customFormat="1">
      <c r="A4" s="5"/>
      <c r="B4" s="42"/>
      <c r="C4" s="12"/>
      <c r="D4" s="112" t="s">
        <v>5</v>
      </c>
      <c r="E4" s="113"/>
      <c r="F4" s="122">
        <f>'Cover Sheet'!F4</f>
        <v>27</v>
      </c>
      <c r="G4" s="113"/>
      <c r="H4" s="117"/>
      <c r="I4" s="113"/>
      <c r="J4" s="118"/>
      <c r="K4" s="88"/>
    </row>
    <row r="5" spans="1:13" s="27" customFormat="1" ht="18">
      <c r="A5" s="5"/>
      <c r="B5" s="105" t="s">
        <v>402</v>
      </c>
      <c r="C5" s="14"/>
      <c r="D5" s="112" t="s">
        <v>3</v>
      </c>
      <c r="E5" s="113"/>
      <c r="F5" s="123">
        <f>'Cover Sheet'!F5</f>
        <v>41197</v>
      </c>
      <c r="G5" s="113"/>
      <c r="H5" s="117"/>
      <c r="I5" s="113"/>
      <c r="J5" s="118"/>
      <c r="K5" s="90"/>
    </row>
    <row r="6" spans="1:13" s="27" customFormat="1" ht="15" customHeight="1">
      <c r="A6" s="5"/>
      <c r="B6" s="43"/>
      <c r="C6" s="89"/>
      <c r="D6" s="552" t="str">
        <f>'Cover Sheet'!D6</f>
        <v>Interest Period</v>
      </c>
      <c r="E6" s="114" t="s">
        <v>38</v>
      </c>
      <c r="F6" s="114">
        <f>'Cover Sheet'!F6</f>
        <v>41164</v>
      </c>
      <c r="G6" s="116" t="s">
        <v>6</v>
      </c>
      <c r="H6" s="114">
        <f>'Cover Sheet'!H6</f>
        <v>41197</v>
      </c>
      <c r="I6" s="116" t="s">
        <v>18</v>
      </c>
      <c r="J6" s="542" t="str">
        <f>'Cover Sheet'!J6</f>
        <v>33 days</v>
      </c>
      <c r="K6" s="90"/>
      <c r="M6" s="30"/>
    </row>
    <row r="7" spans="1:13" s="27" customFormat="1">
      <c r="A7" s="5"/>
      <c r="B7" s="4"/>
      <c r="C7" s="4"/>
      <c r="D7" s="553" t="str">
        <f>'Cover Sheet'!D7</f>
        <v>Collection Period</v>
      </c>
      <c r="E7" s="121" t="s">
        <v>38</v>
      </c>
      <c r="F7" s="121" t="str">
        <f>'Cover Sheet'!F7</f>
        <v>01.09.2012</v>
      </c>
      <c r="G7" s="120" t="s">
        <v>6</v>
      </c>
      <c r="H7" s="121">
        <f>'Cover Sheet'!H7</f>
        <v>41182</v>
      </c>
      <c r="I7" s="543"/>
      <c r="J7" s="544"/>
      <c r="K7" s="90"/>
    </row>
    <row r="8" spans="1:13" s="27" customFormat="1">
      <c r="A8" s="5"/>
      <c r="B8" s="4"/>
      <c r="C8" s="4"/>
      <c r="D8" s="4"/>
      <c r="E8" s="9"/>
      <c r="F8" s="15"/>
      <c r="G8" s="9"/>
      <c r="H8" s="4"/>
      <c r="I8" s="16"/>
      <c r="J8" s="4"/>
      <c r="K8" s="90"/>
    </row>
    <row r="9" spans="1:13" s="27" customFormat="1">
      <c r="A9" s="5"/>
      <c r="B9" s="4"/>
      <c r="C9" s="4"/>
      <c r="D9" s="4"/>
      <c r="E9" s="4"/>
      <c r="F9" s="4"/>
      <c r="G9" s="4"/>
      <c r="H9" s="4"/>
      <c r="I9" s="4"/>
      <c r="J9" s="4"/>
      <c r="K9" s="8"/>
      <c r="M9" s="32"/>
    </row>
    <row r="10" spans="1:13" s="27" customFormat="1">
      <c r="A10" s="5"/>
      <c r="B10" s="4"/>
      <c r="C10" s="4"/>
      <c r="D10" s="34"/>
      <c r="E10" s="34"/>
      <c r="F10" s="102"/>
      <c r="G10" s="34"/>
      <c r="H10" s="34"/>
      <c r="I10" s="34"/>
      <c r="J10" s="34"/>
      <c r="K10" s="8"/>
    </row>
    <row r="11" spans="1:13" s="27" customFormat="1" ht="18">
      <c r="A11" s="5"/>
      <c r="B11" s="125"/>
      <c r="C11" s="4"/>
      <c r="D11" s="34"/>
      <c r="E11" s="34"/>
      <c r="F11" s="34"/>
      <c r="G11" s="137"/>
      <c r="H11" s="137"/>
      <c r="I11" s="34"/>
      <c r="J11" s="4"/>
      <c r="K11" s="8"/>
      <c r="M11" s="101"/>
    </row>
    <row r="12" spans="1:13" s="27" customFormat="1">
      <c r="A12" s="5"/>
      <c r="B12" s="4"/>
      <c r="C12" s="4"/>
      <c r="D12" s="34"/>
      <c r="E12" s="34"/>
      <c r="F12" s="34"/>
      <c r="G12" s="137"/>
      <c r="H12" s="137"/>
      <c r="I12" s="34"/>
      <c r="J12" s="4"/>
      <c r="K12" s="8"/>
      <c r="M12" s="101"/>
    </row>
    <row r="13" spans="1:13" s="27" customFormat="1" ht="45" customHeight="1">
      <c r="A13" s="5"/>
      <c r="B13" s="127"/>
      <c r="C13" s="34"/>
      <c r="D13" s="375"/>
      <c r="E13" s="328"/>
      <c r="F13" s="327"/>
      <c r="G13" s="328"/>
      <c r="H13" s="328"/>
      <c r="I13" s="102"/>
      <c r="J13" s="4"/>
      <c r="K13" s="8"/>
      <c r="M13" s="101"/>
    </row>
    <row r="14" spans="1:13" s="27" customFormat="1">
      <c r="A14" s="5"/>
      <c r="B14" s="138"/>
      <c r="C14" s="138"/>
      <c r="D14" s="156"/>
      <c r="E14" s="157"/>
      <c r="F14" s="141"/>
      <c r="G14" s="158"/>
      <c r="H14" s="141"/>
      <c r="I14" s="102"/>
      <c r="J14" s="4"/>
      <c r="K14" s="8"/>
      <c r="M14" s="101"/>
    </row>
    <row r="15" spans="1:13">
      <c r="A15" s="40"/>
      <c r="B15" s="139"/>
      <c r="C15" s="140"/>
      <c r="D15" s="156"/>
      <c r="E15" s="157"/>
      <c r="F15" s="141"/>
      <c r="G15" s="158"/>
      <c r="H15" s="141"/>
      <c r="I15" s="102"/>
      <c r="J15" s="34"/>
      <c r="K15" s="41"/>
      <c r="M15" s="101"/>
    </row>
    <row r="16" spans="1:13">
      <c r="A16" s="40"/>
      <c r="B16" s="139"/>
      <c r="C16" s="140"/>
      <c r="D16" s="156"/>
      <c r="E16" s="157"/>
      <c r="F16" s="141"/>
      <c r="G16" s="158"/>
      <c r="H16" s="141"/>
      <c r="I16" s="102"/>
      <c r="J16" s="34"/>
      <c r="K16" s="41"/>
      <c r="M16" s="101"/>
    </row>
    <row r="17" spans="1:13">
      <c r="A17" s="40"/>
      <c r="B17" s="139"/>
      <c r="C17" s="140"/>
      <c r="D17" s="156"/>
      <c r="E17" s="157"/>
      <c r="F17" s="141"/>
      <c r="G17" s="158"/>
      <c r="H17" s="141"/>
      <c r="I17" s="102"/>
      <c r="J17" s="34"/>
      <c r="K17" s="41"/>
      <c r="M17" s="101"/>
    </row>
    <row r="18" spans="1:13">
      <c r="A18" s="40"/>
      <c r="B18" s="139"/>
      <c r="C18" s="140"/>
      <c r="D18" s="156"/>
      <c r="E18" s="157"/>
      <c r="F18" s="141"/>
      <c r="G18" s="158"/>
      <c r="H18" s="141"/>
      <c r="I18" s="102"/>
      <c r="J18" s="34"/>
      <c r="K18" s="41"/>
      <c r="M18" s="101"/>
    </row>
    <row r="19" spans="1:13">
      <c r="A19" s="40"/>
      <c r="B19" s="139"/>
      <c r="C19" s="140"/>
      <c r="D19" s="156"/>
      <c r="E19" s="157"/>
      <c r="F19" s="141"/>
      <c r="G19" s="158"/>
      <c r="H19" s="141"/>
      <c r="I19" s="102"/>
      <c r="J19" s="34"/>
      <c r="K19" s="41"/>
      <c r="M19" s="101"/>
    </row>
    <row r="20" spans="1:13">
      <c r="A20" s="40"/>
      <c r="B20" s="139"/>
      <c r="C20" s="140"/>
      <c r="D20" s="156"/>
      <c r="E20" s="157"/>
      <c r="F20" s="141"/>
      <c r="G20" s="158"/>
      <c r="H20" s="141"/>
      <c r="I20" s="102"/>
      <c r="J20" s="34"/>
      <c r="K20" s="41"/>
      <c r="M20" s="101"/>
    </row>
    <row r="21" spans="1:13">
      <c r="A21" s="40"/>
      <c r="B21" s="139"/>
      <c r="C21" s="140"/>
      <c r="D21" s="156"/>
      <c r="E21" s="157"/>
      <c r="F21" s="141"/>
      <c r="G21" s="158"/>
      <c r="H21" s="141"/>
      <c r="I21" s="102"/>
      <c r="J21" s="34"/>
      <c r="K21" s="41"/>
      <c r="M21" s="101"/>
    </row>
    <row r="22" spans="1:13">
      <c r="A22" s="40"/>
      <c r="B22" s="139"/>
      <c r="C22" s="140"/>
      <c r="D22" s="156"/>
      <c r="E22" s="157"/>
      <c r="F22" s="141"/>
      <c r="G22" s="158"/>
      <c r="H22" s="141"/>
      <c r="I22" s="102"/>
      <c r="J22" s="34"/>
      <c r="K22" s="41"/>
      <c r="M22" s="101"/>
    </row>
    <row r="23" spans="1:13">
      <c r="A23" s="40"/>
      <c r="B23" s="139"/>
      <c r="C23" s="140"/>
      <c r="D23" s="156"/>
      <c r="E23" s="157"/>
      <c r="F23" s="141"/>
      <c r="G23" s="158"/>
      <c r="H23" s="141"/>
      <c r="I23" s="102"/>
      <c r="J23" s="34"/>
      <c r="K23" s="41"/>
      <c r="M23" s="101"/>
    </row>
    <row r="24" spans="1:13">
      <c r="A24" s="40"/>
      <c r="B24" s="139"/>
      <c r="C24" s="140"/>
      <c r="D24" s="156"/>
      <c r="E24" s="157"/>
      <c r="F24" s="141"/>
      <c r="G24" s="158"/>
      <c r="H24" s="141"/>
      <c r="I24" s="102"/>
      <c r="J24" s="34"/>
      <c r="K24" s="41"/>
      <c r="M24" s="101"/>
    </row>
    <row r="25" spans="1:13">
      <c r="A25" s="40"/>
      <c r="B25" s="139"/>
      <c r="C25" s="140"/>
      <c r="D25" s="156"/>
      <c r="E25" s="157"/>
      <c r="F25" s="141"/>
      <c r="G25" s="158"/>
      <c r="H25" s="141"/>
      <c r="I25" s="102"/>
      <c r="J25" s="34"/>
      <c r="K25" s="41"/>
      <c r="M25" s="101"/>
    </row>
    <row r="26" spans="1:13">
      <c r="A26" s="40"/>
      <c r="B26" s="139"/>
      <c r="C26" s="140"/>
      <c r="D26" s="156"/>
      <c r="E26" s="157"/>
      <c r="F26" s="141"/>
      <c r="G26" s="158"/>
      <c r="H26" s="141"/>
      <c r="I26" s="102"/>
      <c r="J26" s="34"/>
      <c r="K26" s="41"/>
      <c r="M26" s="101"/>
    </row>
    <row r="27" spans="1:13">
      <c r="A27" s="40"/>
      <c r="B27" s="139"/>
      <c r="C27" s="140"/>
      <c r="D27" s="156"/>
      <c r="E27" s="157"/>
      <c r="F27" s="141"/>
      <c r="G27" s="158"/>
      <c r="H27" s="141"/>
      <c r="I27" s="102"/>
      <c r="J27" s="34"/>
      <c r="K27" s="41"/>
      <c r="M27" s="101"/>
    </row>
    <row r="28" spans="1:13">
      <c r="A28" s="40"/>
      <c r="B28" s="139"/>
      <c r="C28" s="140"/>
      <c r="D28" s="156"/>
      <c r="E28" s="157"/>
      <c r="F28" s="141"/>
      <c r="G28" s="158"/>
      <c r="H28" s="141"/>
      <c r="I28" s="102"/>
      <c r="J28" s="34"/>
      <c r="K28" s="41"/>
      <c r="M28" s="101"/>
    </row>
    <row r="29" spans="1:13">
      <c r="A29" s="40"/>
      <c r="B29" s="139"/>
      <c r="C29" s="140"/>
      <c r="D29" s="156"/>
      <c r="E29" s="157"/>
      <c r="F29" s="141"/>
      <c r="G29" s="158"/>
      <c r="H29" s="141"/>
      <c r="I29" s="102"/>
      <c r="J29" s="34"/>
      <c r="K29" s="41"/>
      <c r="M29" s="101"/>
    </row>
    <row r="30" spans="1:13">
      <c r="A30" s="40"/>
      <c r="B30" s="139"/>
      <c r="C30" s="140"/>
      <c r="D30" s="156"/>
      <c r="E30" s="157"/>
      <c r="F30" s="141"/>
      <c r="G30" s="158"/>
      <c r="H30" s="141"/>
      <c r="I30" s="102"/>
      <c r="J30" s="102"/>
      <c r="K30" s="41"/>
      <c r="M30" s="101"/>
    </row>
    <row r="31" spans="1:13">
      <c r="A31" s="40"/>
      <c r="B31" s="139"/>
      <c r="C31" s="140"/>
      <c r="D31" s="156"/>
      <c r="E31" s="157"/>
      <c r="F31" s="141"/>
      <c r="G31" s="158"/>
      <c r="H31" s="141"/>
      <c r="I31" s="102"/>
      <c r="J31" s="102"/>
      <c r="K31" s="41"/>
    </row>
    <row r="32" spans="1:13">
      <c r="A32" s="40"/>
      <c r="B32" s="139"/>
      <c r="C32" s="140"/>
      <c r="D32" s="156"/>
      <c r="E32" s="157"/>
      <c r="F32" s="141"/>
      <c r="G32" s="158"/>
      <c r="H32" s="141"/>
      <c r="I32" s="102"/>
      <c r="J32" s="102"/>
      <c r="K32" s="41"/>
    </row>
    <row r="33" spans="1:11">
      <c r="A33" s="40"/>
      <c r="B33" s="139"/>
      <c r="C33" s="140"/>
      <c r="D33" s="156"/>
      <c r="E33" s="157"/>
      <c r="F33" s="141"/>
      <c r="G33" s="158"/>
      <c r="H33" s="141"/>
      <c r="I33" s="102"/>
      <c r="J33" s="102"/>
      <c r="K33" s="41"/>
    </row>
    <row r="34" spans="1:11">
      <c r="A34" s="40"/>
      <c r="B34" s="139"/>
      <c r="C34" s="140"/>
      <c r="D34" s="156"/>
      <c r="E34" s="157"/>
      <c r="F34" s="141"/>
      <c r="G34" s="158"/>
      <c r="H34" s="141"/>
      <c r="I34" s="102"/>
      <c r="J34" s="102"/>
      <c r="K34" s="41"/>
    </row>
    <row r="35" spans="1:11">
      <c r="A35" s="40"/>
      <c r="B35" s="139"/>
      <c r="C35" s="140"/>
      <c r="D35" s="156"/>
      <c r="E35" s="157"/>
      <c r="F35" s="141"/>
      <c r="G35" s="158"/>
      <c r="H35" s="141"/>
      <c r="I35" s="102"/>
      <c r="J35" s="102"/>
      <c r="K35" s="41"/>
    </row>
    <row r="36" spans="1:11">
      <c r="A36" s="40"/>
      <c r="B36" s="139"/>
      <c r="C36" s="140"/>
      <c r="D36" s="156"/>
      <c r="E36" s="157"/>
      <c r="F36" s="141"/>
      <c r="G36" s="158"/>
      <c r="H36" s="141"/>
      <c r="I36" s="102"/>
      <c r="J36" s="102"/>
      <c r="K36" s="41"/>
    </row>
    <row r="37" spans="1:11">
      <c r="A37" s="40"/>
      <c r="B37" s="139"/>
      <c r="C37" s="140"/>
      <c r="D37" s="156"/>
      <c r="E37" s="157"/>
      <c r="F37" s="141"/>
      <c r="G37" s="158"/>
      <c r="H37" s="141"/>
      <c r="I37" s="102"/>
      <c r="J37" s="102"/>
      <c r="K37" s="41"/>
    </row>
    <row r="38" spans="1:11">
      <c r="A38" s="40"/>
      <c r="B38" s="139"/>
      <c r="C38" s="140"/>
      <c r="D38" s="156"/>
      <c r="E38" s="157"/>
      <c r="F38" s="141"/>
      <c r="G38" s="158"/>
      <c r="H38" s="141"/>
      <c r="I38" s="102"/>
      <c r="J38" s="102"/>
      <c r="K38" s="41"/>
    </row>
    <row r="39" spans="1:11">
      <c r="A39" s="40"/>
      <c r="B39" s="139"/>
      <c r="C39" s="140"/>
      <c r="D39" s="156"/>
      <c r="E39" s="157"/>
      <c r="F39" s="141"/>
      <c r="G39" s="158"/>
      <c r="H39" s="141"/>
      <c r="I39" s="102"/>
      <c r="J39" s="102"/>
      <c r="K39" s="41"/>
    </row>
    <row r="40" spans="1:11">
      <c r="A40" s="40"/>
      <c r="B40" s="139"/>
      <c r="C40" s="140"/>
      <c r="D40" s="156"/>
      <c r="E40" s="157"/>
      <c r="F40" s="141"/>
      <c r="G40" s="158"/>
      <c r="H40" s="141"/>
      <c r="I40" s="102"/>
      <c r="J40" s="34"/>
      <c r="K40" s="41"/>
    </row>
    <row r="41" spans="1:11">
      <c r="A41" s="40"/>
      <c r="B41" s="139"/>
      <c r="C41" s="140"/>
      <c r="D41" s="156"/>
      <c r="E41" s="157"/>
      <c r="F41" s="141"/>
      <c r="G41" s="158"/>
      <c r="H41" s="141"/>
      <c r="I41" s="102"/>
      <c r="J41" s="34"/>
      <c r="K41" s="41"/>
    </row>
    <row r="42" spans="1:11">
      <c r="A42" s="40"/>
      <c r="B42" s="139"/>
      <c r="C42" s="140"/>
      <c r="D42" s="156"/>
      <c r="E42" s="157"/>
      <c r="F42" s="141"/>
      <c r="G42" s="158"/>
      <c r="H42" s="141"/>
      <c r="I42" s="102"/>
      <c r="J42" s="34"/>
      <c r="K42" s="41"/>
    </row>
    <row r="43" spans="1:11">
      <c r="A43" s="40"/>
      <c r="B43" s="139"/>
      <c r="C43" s="140"/>
      <c r="D43" s="156"/>
      <c r="E43" s="157"/>
      <c r="F43" s="141"/>
      <c r="G43" s="158"/>
      <c r="H43" s="141"/>
      <c r="I43" s="102"/>
      <c r="J43" s="34"/>
      <c r="K43" s="41"/>
    </row>
    <row r="44" spans="1:11">
      <c r="A44" s="40"/>
      <c r="B44" s="139"/>
      <c r="C44" s="140"/>
      <c r="D44" s="156"/>
      <c r="E44" s="157"/>
      <c r="F44" s="141"/>
      <c r="G44" s="158"/>
      <c r="H44" s="141"/>
      <c r="I44" s="102"/>
      <c r="J44" s="34"/>
      <c r="K44" s="41"/>
    </row>
    <row r="45" spans="1:11" s="27" customFormat="1" ht="12.75" customHeight="1">
      <c r="A45" s="5"/>
      <c r="B45" s="139"/>
      <c r="C45" s="140"/>
      <c r="D45" s="156"/>
      <c r="E45" s="157"/>
      <c r="F45" s="141"/>
      <c r="G45" s="158"/>
      <c r="H45" s="141"/>
      <c r="I45" s="102"/>
      <c r="J45" s="4"/>
      <c r="K45" s="8"/>
    </row>
    <row r="46" spans="1:11" s="27" customFormat="1">
      <c r="A46" s="5"/>
      <c r="B46" s="139"/>
      <c r="C46" s="140"/>
      <c r="D46" s="156"/>
      <c r="E46" s="157"/>
      <c r="F46" s="141"/>
      <c r="G46" s="158"/>
      <c r="H46" s="141"/>
      <c r="I46" s="102"/>
      <c r="J46" s="4"/>
      <c r="K46" s="8"/>
    </row>
    <row r="47" spans="1:11">
      <c r="A47" s="60"/>
      <c r="B47" s="61"/>
      <c r="C47" s="61"/>
      <c r="D47" s="61"/>
      <c r="E47" s="61"/>
      <c r="F47" s="61"/>
      <c r="G47" s="61"/>
      <c r="H47" s="61"/>
      <c r="I47" s="126"/>
      <c r="J47" s="61"/>
      <c r="K47" s="79"/>
    </row>
    <row r="48" spans="1:11">
      <c r="I48" s="124"/>
    </row>
    <row r="49" spans="9:9">
      <c r="I49" s="124"/>
    </row>
    <row r="50" spans="9:9">
      <c r="I50" s="124"/>
    </row>
    <row r="51" spans="9:9">
      <c r="I51" s="124"/>
    </row>
    <row r="52" spans="9:9">
      <c r="I52" s="124"/>
    </row>
    <row r="53" spans="9:9">
      <c r="I53" s="124"/>
    </row>
    <row r="54" spans="9:9">
      <c r="I54" s="124"/>
    </row>
    <row r="55" spans="9:9">
      <c r="I55" s="124"/>
    </row>
    <row r="56" spans="9:9">
      <c r="I56" s="124"/>
    </row>
    <row r="57" spans="9:9">
      <c r="I57" s="124"/>
    </row>
    <row r="58" spans="9:9">
      <c r="I58" s="124"/>
    </row>
    <row r="59" spans="9:9">
      <c r="I59" s="124"/>
    </row>
    <row r="60" spans="9:9">
      <c r="I60" s="124"/>
    </row>
    <row r="61" spans="9:9">
      <c r="I61" s="124"/>
    </row>
    <row r="62" spans="9:9">
      <c r="I62" s="124"/>
    </row>
    <row r="63" spans="9:9">
      <c r="I63" s="124"/>
    </row>
    <row r="64" spans="9:9">
      <c r="I64" s="124"/>
    </row>
    <row r="65" spans="9:9">
      <c r="I65" s="124"/>
    </row>
    <row r="66" spans="9:9">
      <c r="I66" s="124"/>
    </row>
    <row r="67" spans="9:9">
      <c r="I67" s="124"/>
    </row>
    <row r="68" spans="9:9">
      <c r="I68" s="124"/>
    </row>
    <row r="69" spans="9:9">
      <c r="I69" s="124"/>
    </row>
    <row r="70" spans="9:9">
      <c r="I70" s="124"/>
    </row>
    <row r="71" spans="9:9">
      <c r="I71" s="124"/>
    </row>
    <row r="72" spans="9:9">
      <c r="I72" s="124"/>
    </row>
    <row r="73" spans="9:9">
      <c r="I73" s="124"/>
    </row>
    <row r="74" spans="9:9">
      <c r="I74" s="124"/>
    </row>
    <row r="75" spans="9:9">
      <c r="I75" s="124"/>
    </row>
    <row r="76" spans="9:9">
      <c r="I76" s="124"/>
    </row>
    <row r="77" spans="9:9">
      <c r="I77" s="124"/>
    </row>
    <row r="78" spans="9:9">
      <c r="I78" s="124"/>
    </row>
    <row r="79" spans="9:9">
      <c r="I79" s="124"/>
    </row>
    <row r="80" spans="9:9">
      <c r="I80" s="124"/>
    </row>
    <row r="81" spans="9:9">
      <c r="I81" s="124"/>
    </row>
    <row r="82" spans="9:9">
      <c r="I82" s="124"/>
    </row>
    <row r="83" spans="9:9">
      <c r="I83" s="124"/>
    </row>
    <row r="84" spans="9:9">
      <c r="I84" s="124"/>
    </row>
    <row r="85" spans="9:9">
      <c r="I85" s="124"/>
    </row>
    <row r="86" spans="9:9">
      <c r="I86" s="124"/>
    </row>
    <row r="87" spans="9:9">
      <c r="I87" s="124"/>
    </row>
    <row r="88" spans="9:9">
      <c r="I88" s="124"/>
    </row>
    <row r="89" spans="9:9">
      <c r="I89" s="124"/>
    </row>
    <row r="90" spans="9:9">
      <c r="I90" s="124"/>
    </row>
    <row r="91" spans="9:9">
      <c r="I91" s="124"/>
    </row>
    <row r="92" spans="9:9">
      <c r="I92" s="124"/>
    </row>
    <row r="93" spans="9:9">
      <c r="I93" s="124"/>
    </row>
    <row r="94" spans="9:9">
      <c r="I94" s="124"/>
    </row>
    <row r="95" spans="9:9">
      <c r="I95" s="124"/>
    </row>
    <row r="96" spans="9:9">
      <c r="I96" s="124"/>
    </row>
    <row r="97" spans="9:9">
      <c r="I97" s="124"/>
    </row>
    <row r="98" spans="9:9">
      <c r="I98" s="124"/>
    </row>
    <row r="99" spans="9:9">
      <c r="I99" s="124"/>
    </row>
    <row r="100" spans="9:9">
      <c r="I100" s="124"/>
    </row>
    <row r="101" spans="9:9">
      <c r="I101" s="124"/>
    </row>
    <row r="102" spans="9:9">
      <c r="I102" s="124"/>
    </row>
    <row r="103" spans="9:9">
      <c r="I103" s="124"/>
    </row>
    <row r="104" spans="9:9">
      <c r="I104" s="124"/>
    </row>
    <row r="105" spans="9:9">
      <c r="I105" s="124"/>
    </row>
    <row r="106" spans="9:9">
      <c r="I106" s="124"/>
    </row>
    <row r="107" spans="9:9">
      <c r="I107" s="124"/>
    </row>
    <row r="108" spans="9:9">
      <c r="I108" s="124"/>
    </row>
    <row r="109" spans="9:9">
      <c r="I109" s="124"/>
    </row>
    <row r="110" spans="9:9">
      <c r="I110" s="124"/>
    </row>
    <row r="111" spans="9:9">
      <c r="I111" s="124"/>
    </row>
    <row r="112" spans="9:9">
      <c r="I112" s="124"/>
    </row>
    <row r="113" spans="9:9">
      <c r="I113" s="124"/>
    </row>
    <row r="114" spans="9:9">
      <c r="I114" s="124"/>
    </row>
    <row r="115" spans="9:9">
      <c r="I115" s="124"/>
    </row>
    <row r="116" spans="9:9">
      <c r="I116" s="124"/>
    </row>
    <row r="117" spans="9:9">
      <c r="I117" s="124"/>
    </row>
    <row r="118" spans="9:9">
      <c r="I118" s="124"/>
    </row>
    <row r="119" spans="9:9">
      <c r="I119" s="124"/>
    </row>
    <row r="120" spans="9:9">
      <c r="I120" s="124"/>
    </row>
    <row r="121" spans="9:9">
      <c r="I121" s="124"/>
    </row>
    <row r="122" spans="9:9">
      <c r="I122" s="124"/>
    </row>
    <row r="123" spans="9:9">
      <c r="I123" s="124"/>
    </row>
    <row r="124" spans="9:9">
      <c r="I124" s="124"/>
    </row>
    <row r="125" spans="9:9">
      <c r="I125" s="124"/>
    </row>
    <row r="126" spans="9:9">
      <c r="I126" s="124"/>
    </row>
    <row r="127" spans="9:9">
      <c r="I127" s="124"/>
    </row>
    <row r="128" spans="9:9">
      <c r="I128" s="124"/>
    </row>
    <row r="129" spans="9:9">
      <c r="I129" s="124"/>
    </row>
    <row r="130" spans="9:9">
      <c r="I130" s="124"/>
    </row>
    <row r="131" spans="9:9">
      <c r="I131" s="124"/>
    </row>
    <row r="132" spans="9:9">
      <c r="I132" s="124"/>
    </row>
    <row r="133" spans="9:9">
      <c r="I133" s="124"/>
    </row>
    <row r="134" spans="9:9">
      <c r="I134" s="124"/>
    </row>
    <row r="135" spans="9:9">
      <c r="I135" s="124"/>
    </row>
    <row r="136" spans="9:9">
      <c r="I136" s="124"/>
    </row>
    <row r="137" spans="9:9">
      <c r="I137" s="124"/>
    </row>
    <row r="138" spans="9:9">
      <c r="I138" s="124"/>
    </row>
    <row r="139" spans="9:9">
      <c r="I139" s="124"/>
    </row>
    <row r="140" spans="9:9">
      <c r="I140" s="124"/>
    </row>
    <row r="141" spans="9:9">
      <c r="I141" s="124"/>
    </row>
    <row r="142" spans="9:9">
      <c r="I142" s="124"/>
    </row>
    <row r="143" spans="9:9">
      <c r="I143" s="124"/>
    </row>
    <row r="144" spans="9:9">
      <c r="I144" s="124"/>
    </row>
    <row r="145" spans="9:9">
      <c r="I145" s="124"/>
    </row>
    <row r="146" spans="9:9">
      <c r="I146" s="124"/>
    </row>
    <row r="147" spans="9:9">
      <c r="I147" s="124"/>
    </row>
    <row r="148" spans="9:9">
      <c r="I148" s="124"/>
    </row>
    <row r="149" spans="9:9">
      <c r="I149" s="124"/>
    </row>
    <row r="150" spans="9:9">
      <c r="I150" s="124"/>
    </row>
    <row r="151" spans="9:9">
      <c r="I151" s="124"/>
    </row>
    <row r="152" spans="9:9">
      <c r="I152" s="124"/>
    </row>
    <row r="153" spans="9:9">
      <c r="I153" s="124"/>
    </row>
    <row r="154" spans="9:9">
      <c r="I154" s="124"/>
    </row>
    <row r="155" spans="9:9">
      <c r="I155" s="124"/>
    </row>
    <row r="156" spans="9:9">
      <c r="I156" s="124"/>
    </row>
    <row r="157" spans="9:9">
      <c r="I157" s="124"/>
    </row>
    <row r="158" spans="9:9">
      <c r="I158" s="124"/>
    </row>
    <row r="159" spans="9:9">
      <c r="I159" s="124"/>
    </row>
    <row r="160" spans="9:9">
      <c r="I160" s="124"/>
    </row>
    <row r="161" spans="9:9">
      <c r="I161" s="124"/>
    </row>
    <row r="162" spans="9:9">
      <c r="I162" s="124"/>
    </row>
    <row r="163" spans="9:9">
      <c r="I163" s="124"/>
    </row>
    <row r="164" spans="9:9">
      <c r="I164" s="124"/>
    </row>
    <row r="165" spans="9:9">
      <c r="I165" s="124"/>
    </row>
    <row r="166" spans="9:9">
      <c r="I166" s="124"/>
    </row>
    <row r="167" spans="9:9">
      <c r="I167" s="124"/>
    </row>
    <row r="168" spans="9:9">
      <c r="I168" s="124"/>
    </row>
    <row r="169" spans="9:9">
      <c r="I169" s="124"/>
    </row>
    <row r="170" spans="9:9">
      <c r="I170" s="124"/>
    </row>
    <row r="171" spans="9:9">
      <c r="I171" s="124"/>
    </row>
    <row r="172" spans="9:9">
      <c r="I172" s="124"/>
    </row>
    <row r="173" spans="9:9">
      <c r="I173" s="124"/>
    </row>
    <row r="174" spans="9:9">
      <c r="I174" s="124"/>
    </row>
    <row r="175" spans="9:9">
      <c r="I175" s="124"/>
    </row>
    <row r="176" spans="9:9">
      <c r="I176" s="124"/>
    </row>
    <row r="177" spans="9:9">
      <c r="I177" s="124"/>
    </row>
    <row r="178" spans="9:9">
      <c r="I178" s="124"/>
    </row>
    <row r="179" spans="9:9">
      <c r="I179" s="124"/>
    </row>
    <row r="180" spans="9:9">
      <c r="I180" s="124"/>
    </row>
    <row r="181" spans="9:9">
      <c r="I181" s="124"/>
    </row>
    <row r="182" spans="9:9">
      <c r="I182" s="124"/>
    </row>
    <row r="183" spans="9:9">
      <c r="I183" s="124"/>
    </row>
    <row r="184" spans="9:9">
      <c r="I184" s="124"/>
    </row>
    <row r="185" spans="9:9">
      <c r="I185" s="124"/>
    </row>
    <row r="186" spans="9:9">
      <c r="I186" s="124"/>
    </row>
    <row r="187" spans="9:9">
      <c r="I187" s="124"/>
    </row>
    <row r="188" spans="9:9">
      <c r="I188" s="124"/>
    </row>
    <row r="189" spans="9:9">
      <c r="I189" s="124"/>
    </row>
    <row r="190" spans="9:9">
      <c r="I190" s="124"/>
    </row>
    <row r="191" spans="9:9">
      <c r="I191" s="124"/>
    </row>
    <row r="192" spans="9:9">
      <c r="I192" s="124"/>
    </row>
    <row r="193" spans="9:9">
      <c r="I193" s="124"/>
    </row>
    <row r="194" spans="9:9">
      <c r="I194" s="124"/>
    </row>
    <row r="195" spans="9:9">
      <c r="I195" s="124"/>
    </row>
    <row r="196" spans="9:9">
      <c r="I196" s="124"/>
    </row>
    <row r="197" spans="9:9">
      <c r="I197" s="124"/>
    </row>
    <row r="198" spans="9:9">
      <c r="I198" s="124"/>
    </row>
    <row r="199" spans="9:9">
      <c r="I199" s="124"/>
    </row>
    <row r="200" spans="9:9">
      <c r="I200" s="124"/>
    </row>
    <row r="201" spans="9:9">
      <c r="I201" s="124"/>
    </row>
    <row r="202" spans="9:9">
      <c r="I202" s="124"/>
    </row>
    <row r="203" spans="9:9">
      <c r="I203" s="124"/>
    </row>
    <row r="204" spans="9:9">
      <c r="I204" s="124"/>
    </row>
    <row r="205" spans="9:9">
      <c r="I205" s="124"/>
    </row>
    <row r="206" spans="9:9">
      <c r="I206" s="124"/>
    </row>
    <row r="207" spans="9:9">
      <c r="I207" s="124"/>
    </row>
    <row r="208" spans="9:9">
      <c r="I208" s="124"/>
    </row>
    <row r="209" spans="9:9">
      <c r="I209" s="124"/>
    </row>
    <row r="210" spans="9:9">
      <c r="I210" s="124"/>
    </row>
    <row r="211" spans="9:9">
      <c r="I211" s="124"/>
    </row>
    <row r="212" spans="9:9">
      <c r="I212" s="124"/>
    </row>
    <row r="213" spans="9:9">
      <c r="I213" s="124"/>
    </row>
    <row r="214" spans="9:9">
      <c r="I214" s="124"/>
    </row>
    <row r="215" spans="9:9">
      <c r="I215" s="124"/>
    </row>
    <row r="216" spans="9:9">
      <c r="I216" s="124"/>
    </row>
    <row r="217" spans="9:9">
      <c r="I217" s="124"/>
    </row>
    <row r="218" spans="9:9">
      <c r="I218" s="124"/>
    </row>
    <row r="219" spans="9:9">
      <c r="I219" s="124"/>
    </row>
    <row r="220" spans="9:9">
      <c r="I220" s="124"/>
    </row>
    <row r="221" spans="9:9">
      <c r="I221" s="124"/>
    </row>
    <row r="222" spans="9:9">
      <c r="I222" s="124"/>
    </row>
    <row r="223" spans="9:9">
      <c r="I223" s="124"/>
    </row>
    <row r="224" spans="9:9">
      <c r="I224" s="124"/>
    </row>
    <row r="225" spans="9:9">
      <c r="I225" s="124"/>
    </row>
    <row r="226" spans="9:9">
      <c r="I226" s="124"/>
    </row>
    <row r="227" spans="9:9">
      <c r="I227" s="124"/>
    </row>
    <row r="228" spans="9:9">
      <c r="I228" s="124"/>
    </row>
    <row r="229" spans="9:9">
      <c r="I229" s="124"/>
    </row>
    <row r="230" spans="9:9">
      <c r="I230" s="124"/>
    </row>
    <row r="231" spans="9:9">
      <c r="I231" s="124"/>
    </row>
    <row r="232" spans="9:9">
      <c r="I232" s="124"/>
    </row>
    <row r="233" spans="9:9">
      <c r="I233" s="124"/>
    </row>
    <row r="234" spans="9:9">
      <c r="I234" s="124"/>
    </row>
    <row r="235" spans="9:9">
      <c r="I235" s="124"/>
    </row>
    <row r="236" spans="9:9">
      <c r="I236" s="124"/>
    </row>
    <row r="237" spans="9:9">
      <c r="I237" s="124"/>
    </row>
    <row r="238" spans="9:9">
      <c r="I238" s="124"/>
    </row>
    <row r="239" spans="9:9">
      <c r="I239" s="124"/>
    </row>
    <row r="240" spans="9:9">
      <c r="I240" s="124"/>
    </row>
    <row r="241" spans="9:9">
      <c r="I241" s="124"/>
    </row>
    <row r="242" spans="9:9">
      <c r="I242" s="124"/>
    </row>
    <row r="243" spans="9:9">
      <c r="I243" s="124"/>
    </row>
    <row r="244" spans="9:9">
      <c r="I244" s="124"/>
    </row>
    <row r="245" spans="9:9">
      <c r="I245" s="124"/>
    </row>
    <row r="246" spans="9:9">
      <c r="I246" s="124"/>
    </row>
    <row r="247" spans="9:9">
      <c r="I247" s="124"/>
    </row>
    <row r="248" spans="9:9">
      <c r="I248" s="124"/>
    </row>
    <row r="249" spans="9:9">
      <c r="I249" s="124"/>
    </row>
    <row r="250" spans="9:9">
      <c r="I250" s="124"/>
    </row>
    <row r="251" spans="9:9">
      <c r="I251" s="124"/>
    </row>
    <row r="252" spans="9:9">
      <c r="I252" s="124"/>
    </row>
    <row r="253" spans="9:9">
      <c r="I253" s="124"/>
    </row>
    <row r="254" spans="9:9">
      <c r="I254" s="124"/>
    </row>
    <row r="255" spans="9:9">
      <c r="I255" s="124"/>
    </row>
    <row r="256" spans="9:9">
      <c r="I256" s="124"/>
    </row>
    <row r="257" spans="9:9">
      <c r="I257" s="124"/>
    </row>
    <row r="258" spans="9:9">
      <c r="I258" s="124"/>
    </row>
    <row r="259" spans="9:9">
      <c r="I259" s="124"/>
    </row>
    <row r="260" spans="9:9">
      <c r="I260" s="124"/>
    </row>
  </sheetData>
  <sheetProtection password="8B10" sheet="1" objects="1" scenarios="1"/>
  <phoneticPr fontId="3" type="noConversion"/>
  <pageMargins left="0.70866141732283472" right="0.70866141732283472" top="1.0236220472440944" bottom="1.0236220472440944" header="0.39370078740157483" footer="0.39370078740157483"/>
  <pageSetup paperSize="9" scale="69" orientation="landscape" r:id="rId1"/>
  <headerFooter alignWithMargins="0">
    <oddFooter>&amp;L&amp;"Frutiger 57Cn,Standard"&amp;8
Santander Consumer Bank AG
Santander-Platz 1
41061 Mönchengladbach
Tel.: +49 180 / 5556 - 499
Fax.: +49 180 / 5556 - 498</oddFooter>
  </headerFooter>
  <colBreaks count="1" manualBreakCount="1">
    <brk id="1" max="95" man="1"/>
  </col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2250"/>
  <sheetViews>
    <sheetView view="pageBreakPreview" zoomScale="75" zoomScaleNormal="100" workbookViewId="0">
      <selection activeCell="B3" sqref="B3"/>
    </sheetView>
  </sheetViews>
  <sheetFormatPr defaultRowHeight="12.75"/>
  <cols>
    <col min="1" max="1" width="1.28515625" style="31" customWidth="1"/>
    <col min="2" max="2" width="26" style="31" customWidth="1"/>
    <col min="3" max="3" width="14.85546875" style="31" bestFit="1" customWidth="1"/>
    <col min="4" max="4" width="18.7109375" style="31" customWidth="1"/>
    <col min="5" max="5" width="18.5703125" style="31" customWidth="1"/>
    <col min="6" max="6" width="19.5703125" style="31" customWidth="1"/>
    <col min="7" max="9" width="19" style="31" customWidth="1"/>
    <col min="10" max="10" width="15.42578125" style="31" customWidth="1"/>
    <col min="11" max="11" width="1.28515625" style="31" customWidth="1"/>
    <col min="12" max="12" width="3.140625" style="31" customWidth="1"/>
    <col min="13" max="13" width="18.7109375" style="31" customWidth="1"/>
    <col min="14" max="14" width="18.5703125" style="31" customWidth="1"/>
    <col min="15" max="15" width="19.5703125" style="31" customWidth="1"/>
    <col min="16" max="18" width="19" style="31" customWidth="1"/>
    <col min="19" max="256" width="11.42578125" style="31" customWidth="1"/>
    <col min="257" max="16384" width="9.140625" style="31"/>
  </cols>
  <sheetData>
    <row r="1" spans="1:18" ht="6" customHeight="1">
      <c r="A1" s="35"/>
      <c r="B1" s="36"/>
      <c r="C1" s="36"/>
      <c r="D1" s="36"/>
      <c r="E1" s="36"/>
      <c r="F1" s="36"/>
      <c r="G1" s="36"/>
      <c r="H1" s="36"/>
      <c r="I1" s="36"/>
      <c r="J1" s="36"/>
      <c r="K1" s="37"/>
      <c r="M1" s="34"/>
      <c r="N1" s="34"/>
      <c r="O1" s="34"/>
      <c r="P1" s="34"/>
      <c r="Q1" s="34"/>
      <c r="R1" s="34"/>
    </row>
    <row r="2" spans="1:18" s="27" customFormat="1" ht="18">
      <c r="A2" s="5"/>
      <c r="B2" s="7" t="str">
        <f>'Cover Sheet'!B2</f>
        <v>SC Germany Auto 10-1</v>
      </c>
      <c r="C2" s="7"/>
      <c r="D2" s="108" t="s">
        <v>54</v>
      </c>
      <c r="E2" s="109"/>
      <c r="F2" s="110">
        <f>'Cover Sheet'!F2</f>
        <v>41191</v>
      </c>
      <c r="G2" s="109"/>
      <c r="H2" s="109"/>
      <c r="I2" s="109"/>
      <c r="J2" s="111"/>
      <c r="K2" s="88"/>
      <c r="M2" s="28"/>
      <c r="N2" s="34"/>
      <c r="O2" s="372"/>
      <c r="P2" s="34"/>
      <c r="Q2" s="34"/>
      <c r="R2" s="34"/>
    </row>
    <row r="3" spans="1:18" s="27" customFormat="1" ht="18">
      <c r="A3" s="5"/>
      <c r="B3" s="7" t="str">
        <f>'Cover Sheet'!B3</f>
        <v>Monthly Investor Report</v>
      </c>
      <c r="C3" s="7"/>
      <c r="D3" s="112" t="s">
        <v>4</v>
      </c>
      <c r="E3" s="113"/>
      <c r="F3" s="114">
        <f>'Cover Sheet'!F3</f>
        <v>41197</v>
      </c>
      <c r="G3" s="113"/>
      <c r="H3" s="113"/>
      <c r="I3" s="113"/>
      <c r="J3" s="115"/>
      <c r="K3" s="90"/>
      <c r="M3" s="28"/>
      <c r="N3" s="34"/>
      <c r="O3" s="372"/>
      <c r="P3" s="34"/>
      <c r="Q3" s="34"/>
      <c r="R3" s="34"/>
    </row>
    <row r="4" spans="1:18" s="27" customFormat="1">
      <c r="A4" s="5"/>
      <c r="B4" s="42"/>
      <c r="C4" s="12"/>
      <c r="D4" s="112" t="s">
        <v>5</v>
      </c>
      <c r="E4" s="113"/>
      <c r="F4" s="122">
        <f>'Cover Sheet'!F4</f>
        <v>27</v>
      </c>
      <c r="G4" s="113"/>
      <c r="H4" s="117"/>
      <c r="I4" s="113"/>
      <c r="J4" s="118"/>
      <c r="K4" s="88"/>
      <c r="M4" s="28"/>
      <c r="N4" s="34"/>
      <c r="O4" s="456"/>
      <c r="P4" s="34"/>
      <c r="Q4" s="28"/>
      <c r="R4" s="34"/>
    </row>
    <row r="5" spans="1:18" s="27" customFormat="1" ht="18">
      <c r="A5" s="5"/>
      <c r="B5" s="105" t="s">
        <v>403</v>
      </c>
      <c r="C5" s="14"/>
      <c r="D5" s="112" t="s">
        <v>3</v>
      </c>
      <c r="E5" s="113"/>
      <c r="F5" s="123">
        <f>'Cover Sheet'!F5</f>
        <v>41197</v>
      </c>
      <c r="G5" s="113"/>
      <c r="H5" s="117"/>
      <c r="I5" s="113"/>
      <c r="J5" s="118"/>
      <c r="K5" s="90"/>
      <c r="M5" s="28"/>
      <c r="N5" s="34"/>
      <c r="O5" s="457"/>
      <c r="P5" s="34"/>
      <c r="Q5" s="28"/>
      <c r="R5" s="34"/>
    </row>
    <row r="6" spans="1:18" s="27" customFormat="1" ht="15" customHeight="1">
      <c r="A6" s="5"/>
      <c r="B6" s="43"/>
      <c r="C6" s="89"/>
      <c r="D6" s="552" t="str">
        <f>'Cover Sheet'!D6</f>
        <v>Interest Period</v>
      </c>
      <c r="E6" s="114" t="s">
        <v>38</v>
      </c>
      <c r="F6" s="114">
        <f>'Cover Sheet'!F6</f>
        <v>41164</v>
      </c>
      <c r="G6" s="116" t="s">
        <v>6</v>
      </c>
      <c r="H6" s="114">
        <f>'Cover Sheet'!H6</f>
        <v>41197</v>
      </c>
      <c r="I6" s="116" t="s">
        <v>18</v>
      </c>
      <c r="J6" s="542" t="str">
        <f>'Cover Sheet'!J6</f>
        <v>33 days</v>
      </c>
      <c r="K6" s="90"/>
      <c r="M6" s="28"/>
      <c r="N6" s="45"/>
      <c r="O6" s="372"/>
      <c r="P6" s="458"/>
      <c r="Q6" s="372"/>
      <c r="R6" s="458"/>
    </row>
    <row r="7" spans="1:18" s="27" customFormat="1">
      <c r="A7" s="5"/>
      <c r="B7" s="4"/>
      <c r="C7" s="4"/>
      <c r="D7" s="553" t="str">
        <f>'Cover Sheet'!D7</f>
        <v>Collection Period</v>
      </c>
      <c r="E7" s="121" t="s">
        <v>38</v>
      </c>
      <c r="F7" s="121" t="str">
        <f>'Cover Sheet'!F7</f>
        <v>01.09.2012</v>
      </c>
      <c r="G7" s="120" t="s">
        <v>6</v>
      </c>
      <c r="H7" s="121">
        <f>'Cover Sheet'!H7</f>
        <v>41182</v>
      </c>
      <c r="I7" s="543"/>
      <c r="J7" s="544"/>
      <c r="K7" s="90"/>
      <c r="M7" s="28"/>
      <c r="N7" s="34"/>
      <c r="O7" s="374"/>
      <c r="P7" s="45"/>
      <c r="Q7" s="372"/>
      <c r="R7" s="45"/>
    </row>
    <row r="8" spans="1:18" s="27" customFormat="1">
      <c r="A8" s="5"/>
      <c r="B8" s="4"/>
      <c r="C8" s="4"/>
      <c r="D8" s="4"/>
      <c r="E8" s="9"/>
      <c r="F8" s="15"/>
      <c r="G8" s="9"/>
      <c r="H8" s="4"/>
      <c r="I8" s="9"/>
      <c r="J8" s="4"/>
      <c r="K8" s="90"/>
      <c r="M8" s="34"/>
      <c r="N8" s="44"/>
      <c r="O8" s="45"/>
      <c r="P8" s="44"/>
      <c r="Q8" s="34"/>
      <c r="R8" s="44"/>
    </row>
    <row r="9" spans="1:18" s="27" customFormat="1">
      <c r="A9" s="5"/>
      <c r="K9" s="8"/>
      <c r="M9" s="34"/>
      <c r="N9" s="34"/>
      <c r="O9" s="34"/>
      <c r="P9" s="34"/>
      <c r="Q9" s="34"/>
      <c r="R9" s="34"/>
    </row>
    <row r="10" spans="1:18" s="27" customFormat="1">
      <c r="A10" s="5"/>
      <c r="B10" s="4"/>
      <c r="C10" s="4"/>
      <c r="D10" s="34"/>
      <c r="E10" s="4"/>
      <c r="F10" s="18"/>
      <c r="G10" s="4"/>
      <c r="H10" s="4"/>
      <c r="I10" s="4"/>
      <c r="J10" s="34"/>
      <c r="K10" s="8"/>
      <c r="M10" s="34"/>
      <c r="N10" s="4"/>
      <c r="O10" s="18"/>
      <c r="P10" s="4"/>
      <c r="Q10" s="4"/>
      <c r="R10" s="4"/>
    </row>
    <row r="11" spans="1:18" s="27" customFormat="1" ht="18">
      <c r="A11" s="5"/>
      <c r="B11" s="125"/>
      <c r="C11" s="4"/>
      <c r="D11" s="34"/>
      <c r="E11" s="4"/>
      <c r="F11" s="34"/>
      <c r="G11" s="100"/>
      <c r="H11" s="100"/>
      <c r="I11" s="100"/>
      <c r="K11" s="8"/>
      <c r="M11" s="34"/>
      <c r="N11" s="4"/>
      <c r="O11" s="34"/>
      <c r="P11" s="100"/>
      <c r="Q11" s="100"/>
      <c r="R11" s="100"/>
    </row>
    <row r="12" spans="1:18" s="27" customFormat="1" ht="13.5" thickBot="1">
      <c r="A12" s="5"/>
      <c r="B12" s="4"/>
      <c r="C12" s="34"/>
      <c r="D12" s="34"/>
      <c r="E12" s="34"/>
      <c r="F12" s="34"/>
      <c r="G12" s="137"/>
      <c r="H12" s="137"/>
      <c r="I12" s="137"/>
      <c r="J12" s="34"/>
      <c r="K12" s="8"/>
      <c r="M12" s="34"/>
      <c r="N12" s="34"/>
      <c r="O12" s="34"/>
      <c r="P12" s="137"/>
      <c r="Q12" s="137"/>
      <c r="R12" s="137"/>
    </row>
    <row r="13" spans="1:18" s="27" customFormat="1" ht="29.25" thickBot="1">
      <c r="A13" s="5"/>
      <c r="B13" s="138"/>
      <c r="C13" s="138"/>
      <c r="D13" s="277" t="s">
        <v>159</v>
      </c>
      <c r="E13" s="270" t="s">
        <v>91</v>
      </c>
      <c r="F13" s="270" t="s">
        <v>70</v>
      </c>
      <c r="G13" s="270" t="s">
        <v>71</v>
      </c>
      <c r="H13" s="283" t="s">
        <v>72</v>
      </c>
      <c r="I13" s="34"/>
      <c r="J13" s="34"/>
      <c r="K13" s="8"/>
      <c r="M13" s="459"/>
      <c r="N13" s="460"/>
      <c r="O13" s="460"/>
      <c r="P13" s="460"/>
      <c r="Q13" s="460"/>
      <c r="R13" s="460"/>
    </row>
    <row r="14" spans="1:18">
      <c r="A14" s="40"/>
      <c r="B14" s="139"/>
      <c r="C14" s="140"/>
      <c r="D14" s="593">
        <v>1</v>
      </c>
      <c r="E14" s="160">
        <v>26526153.060000032</v>
      </c>
      <c r="F14" s="465">
        <v>0.12192931350618855</v>
      </c>
      <c r="G14" s="507">
        <v>5325</v>
      </c>
      <c r="H14" s="468">
        <v>0.1264455156365018</v>
      </c>
      <c r="I14" s="34"/>
      <c r="J14" s="34"/>
      <c r="K14" s="41"/>
      <c r="M14" s="173"/>
      <c r="N14" s="174"/>
      <c r="O14" s="175"/>
      <c r="P14" s="176"/>
      <c r="Q14" s="173"/>
      <c r="R14" s="176"/>
    </row>
    <row r="15" spans="1:18">
      <c r="A15" s="40"/>
      <c r="B15" s="139"/>
      <c r="C15" s="140"/>
      <c r="D15" s="593">
        <f>+D14+1</f>
        <v>2</v>
      </c>
      <c r="E15" s="160">
        <v>21723826.500000004</v>
      </c>
      <c r="F15" s="465">
        <v>9.9855084372062503E-2</v>
      </c>
      <c r="G15" s="507">
        <v>3753</v>
      </c>
      <c r="H15" s="468">
        <v>8.9117374682402106E-2</v>
      </c>
      <c r="I15" s="34"/>
      <c r="J15" s="34"/>
      <c r="K15" s="41"/>
      <c r="M15" s="173"/>
      <c r="N15" s="174"/>
      <c r="O15" s="175"/>
      <c r="P15" s="176"/>
      <c r="Q15" s="173"/>
      <c r="R15" s="176"/>
    </row>
    <row r="16" spans="1:18">
      <c r="A16" s="40"/>
      <c r="B16" s="139"/>
      <c r="C16" s="140"/>
      <c r="D16" s="593">
        <f t="shared" ref="D16:D28" si="0">+D15+1</f>
        <v>3</v>
      </c>
      <c r="E16" s="160">
        <v>17825658.859999999</v>
      </c>
      <c r="F16" s="465">
        <v>8.1936884804935411E-2</v>
      </c>
      <c r="G16" s="507">
        <v>3134</v>
      </c>
      <c r="H16" s="468">
        <v>7.4418825540806879E-2</v>
      </c>
      <c r="I16" s="34"/>
      <c r="J16" s="34"/>
      <c r="K16" s="41"/>
      <c r="M16" s="173"/>
      <c r="N16" s="174"/>
      <c r="O16" s="175"/>
      <c r="P16" s="176"/>
      <c r="Q16" s="173"/>
      <c r="R16" s="176"/>
    </row>
    <row r="17" spans="1:18">
      <c r="A17" s="40"/>
      <c r="B17" s="139"/>
      <c r="C17" s="140"/>
      <c r="D17" s="593">
        <f t="shared" si="0"/>
        <v>4</v>
      </c>
      <c r="E17" s="160">
        <v>17736349.939999975</v>
      </c>
      <c r="F17" s="465">
        <v>8.1526370122276703E-2</v>
      </c>
      <c r="G17" s="507">
        <v>3491</v>
      </c>
      <c r="H17" s="468">
        <v>8.2896017856718823E-2</v>
      </c>
      <c r="I17" s="34"/>
      <c r="J17" s="34"/>
      <c r="K17" s="41"/>
      <c r="M17" s="173"/>
      <c r="N17" s="174"/>
      <c r="O17" s="175"/>
      <c r="P17" s="176"/>
      <c r="Q17" s="173"/>
      <c r="R17" s="176"/>
    </row>
    <row r="18" spans="1:18">
      <c r="A18" s="40"/>
      <c r="B18" s="139"/>
      <c r="C18" s="140"/>
      <c r="D18" s="593">
        <f t="shared" si="0"/>
        <v>5</v>
      </c>
      <c r="E18" s="160">
        <v>14795040.29999996</v>
      </c>
      <c r="F18" s="465">
        <v>6.8006435120652464E-2</v>
      </c>
      <c r="G18" s="507">
        <v>2491</v>
      </c>
      <c r="H18" s="468">
        <v>5.9150381117469668E-2</v>
      </c>
      <c r="I18" s="34"/>
      <c r="J18" s="34"/>
      <c r="K18" s="41"/>
      <c r="M18" s="173"/>
      <c r="N18" s="174"/>
      <c r="O18" s="175"/>
      <c r="P18" s="176"/>
      <c r="Q18" s="173"/>
      <c r="R18" s="176"/>
    </row>
    <row r="19" spans="1:18">
      <c r="A19" s="40"/>
      <c r="B19" s="139"/>
      <c r="C19" s="140"/>
      <c r="D19" s="593">
        <f t="shared" si="0"/>
        <v>6</v>
      </c>
      <c r="E19" s="160">
        <v>9762324.4500000179</v>
      </c>
      <c r="F19" s="465">
        <v>4.4873205538729574E-2</v>
      </c>
      <c r="G19" s="507">
        <v>2033</v>
      </c>
      <c r="H19" s="468">
        <v>4.8274879490893548E-2</v>
      </c>
      <c r="I19" s="34"/>
      <c r="J19" s="34"/>
      <c r="K19" s="41"/>
      <c r="M19" s="173"/>
      <c r="N19" s="174"/>
      <c r="O19" s="175"/>
      <c r="P19" s="176"/>
      <c r="Q19" s="173"/>
      <c r="R19" s="176"/>
    </row>
    <row r="20" spans="1:18">
      <c r="A20" s="40"/>
      <c r="B20" s="139"/>
      <c r="C20" s="140"/>
      <c r="D20" s="593">
        <f t="shared" si="0"/>
        <v>7</v>
      </c>
      <c r="E20" s="160">
        <v>9318107.6200000178</v>
      </c>
      <c r="F20" s="465">
        <v>4.283133188267086E-2</v>
      </c>
      <c r="G20" s="507">
        <v>1810</v>
      </c>
      <c r="H20" s="468">
        <v>4.2979602498040982E-2</v>
      </c>
      <c r="I20" s="34"/>
      <c r="J20" s="34"/>
      <c r="K20" s="41"/>
      <c r="M20" s="173"/>
      <c r="N20" s="174"/>
      <c r="O20" s="175"/>
      <c r="P20" s="176"/>
      <c r="Q20" s="173"/>
      <c r="R20" s="176"/>
    </row>
    <row r="21" spans="1:18">
      <c r="A21" s="40"/>
      <c r="B21" s="139"/>
      <c r="C21" s="140"/>
      <c r="D21" s="593">
        <f t="shared" si="0"/>
        <v>8</v>
      </c>
      <c r="E21" s="160">
        <v>9103753.5600000005</v>
      </c>
      <c r="F21" s="465">
        <v>4.1846038488489321E-2</v>
      </c>
      <c r="G21" s="507">
        <v>1466</v>
      </c>
      <c r="H21" s="468">
        <v>3.481110345973927E-2</v>
      </c>
      <c r="I21" s="34"/>
      <c r="J21" s="34"/>
      <c r="K21" s="41"/>
      <c r="M21" s="173"/>
      <c r="N21" s="174"/>
      <c r="O21" s="175"/>
      <c r="P21" s="176"/>
      <c r="Q21" s="173"/>
      <c r="R21" s="176"/>
    </row>
    <row r="22" spans="1:18">
      <c r="A22" s="40"/>
      <c r="B22" s="139"/>
      <c r="C22" s="140"/>
      <c r="D22" s="593">
        <f t="shared" si="0"/>
        <v>9</v>
      </c>
      <c r="E22" s="160">
        <v>8949719.3900000062</v>
      </c>
      <c r="F22" s="465">
        <v>4.1138009677748728E-2</v>
      </c>
      <c r="G22" s="507">
        <v>1330</v>
      </c>
      <c r="H22" s="468">
        <v>3.1581696863201385E-2</v>
      </c>
      <c r="I22" s="34"/>
      <c r="J22" s="34"/>
      <c r="K22" s="41"/>
      <c r="M22" s="173"/>
      <c r="N22" s="174"/>
      <c r="O22" s="175"/>
      <c r="P22" s="176"/>
      <c r="Q22" s="173"/>
      <c r="R22" s="176"/>
    </row>
    <row r="23" spans="1:18" ht="12.75" customHeight="1">
      <c r="A23" s="40"/>
      <c r="B23" s="139"/>
      <c r="C23" s="140"/>
      <c r="D23" s="593">
        <f t="shared" si="0"/>
        <v>10</v>
      </c>
      <c r="E23" s="160">
        <v>8913454.4399999976</v>
      </c>
      <c r="F23" s="465">
        <v>4.097131530454521E-2</v>
      </c>
      <c r="G23" s="507">
        <v>1311</v>
      </c>
      <c r="H23" s="468">
        <v>3.1130529765155651E-2</v>
      </c>
      <c r="I23" s="34"/>
      <c r="J23" s="34"/>
      <c r="K23" s="41"/>
      <c r="M23" s="173"/>
      <c r="N23" s="174"/>
      <c r="O23" s="175"/>
      <c r="P23" s="176"/>
      <c r="Q23" s="173"/>
      <c r="R23" s="176"/>
    </row>
    <row r="24" spans="1:18">
      <c r="A24" s="40"/>
      <c r="B24" s="139"/>
      <c r="C24" s="140"/>
      <c r="D24" s="593">
        <f t="shared" si="0"/>
        <v>11</v>
      </c>
      <c r="E24" s="160">
        <v>8764356.7799999975</v>
      </c>
      <c r="F24" s="465">
        <v>4.0285977506483842E-2</v>
      </c>
      <c r="G24" s="507">
        <v>1862</v>
      </c>
      <c r="H24" s="468">
        <v>4.4214375608481939E-2</v>
      </c>
      <c r="I24" s="34"/>
      <c r="J24" s="34"/>
      <c r="K24" s="41"/>
      <c r="M24" s="173"/>
      <c r="N24" s="174"/>
      <c r="O24" s="175"/>
      <c r="P24" s="176"/>
      <c r="Q24" s="173"/>
      <c r="R24" s="176"/>
    </row>
    <row r="25" spans="1:18">
      <c r="A25" s="40"/>
      <c r="B25" s="139"/>
      <c r="C25" s="140"/>
      <c r="D25" s="593">
        <f t="shared" si="0"/>
        <v>12</v>
      </c>
      <c r="E25" s="160">
        <v>7959510.2300000004</v>
      </c>
      <c r="F25" s="465">
        <v>3.6586444178098393E-2</v>
      </c>
      <c r="G25" s="507">
        <v>1421</v>
      </c>
      <c r="H25" s="468">
        <v>3.3742549806473059E-2</v>
      </c>
      <c r="I25" s="34"/>
      <c r="J25" s="34"/>
      <c r="K25" s="41"/>
      <c r="M25" s="173"/>
      <c r="N25" s="174"/>
      <c r="O25" s="175"/>
      <c r="P25" s="176"/>
      <c r="Q25" s="173"/>
      <c r="R25" s="176"/>
    </row>
    <row r="26" spans="1:18">
      <c r="A26" s="40"/>
      <c r="B26" s="139"/>
      <c r="C26" s="140"/>
      <c r="D26" s="593">
        <f t="shared" si="0"/>
        <v>13</v>
      </c>
      <c r="E26" s="160">
        <v>7083765.3899999959</v>
      </c>
      <c r="F26" s="465">
        <v>3.25610219125229E-2</v>
      </c>
      <c r="G26" s="507">
        <v>1811</v>
      </c>
      <c r="H26" s="468">
        <v>4.3003348134780232E-2</v>
      </c>
      <c r="I26" s="34"/>
      <c r="J26" s="34"/>
      <c r="K26" s="41"/>
      <c r="M26" s="173"/>
      <c r="N26" s="174"/>
      <c r="O26" s="175"/>
      <c r="P26" s="176"/>
      <c r="Q26" s="173"/>
      <c r="R26" s="176"/>
    </row>
    <row r="27" spans="1:18">
      <c r="A27" s="40"/>
      <c r="B27" s="139"/>
      <c r="C27" s="140"/>
      <c r="D27" s="593">
        <f t="shared" si="0"/>
        <v>14</v>
      </c>
      <c r="E27" s="160">
        <v>6494895.8300000057</v>
      </c>
      <c r="F27" s="465">
        <v>2.9854241889310219E-2</v>
      </c>
      <c r="G27" s="507">
        <v>1350</v>
      </c>
      <c r="H27" s="468">
        <v>3.2056609597986369E-2</v>
      </c>
      <c r="I27" s="34"/>
      <c r="J27" s="34"/>
      <c r="K27" s="41"/>
      <c r="M27" s="173"/>
      <c r="N27" s="174"/>
      <c r="O27" s="175"/>
      <c r="P27" s="176"/>
      <c r="Q27" s="173"/>
      <c r="R27" s="176"/>
    </row>
    <row r="28" spans="1:18" ht="13.5" thickBot="1">
      <c r="A28" s="40"/>
      <c r="B28" s="139"/>
      <c r="C28" s="140"/>
      <c r="D28" s="595">
        <f t="shared" si="0"/>
        <v>15</v>
      </c>
      <c r="E28" s="452">
        <v>5489142.5400000019</v>
      </c>
      <c r="F28" s="466">
        <v>2.523122671146253E-2</v>
      </c>
      <c r="G28" s="508">
        <v>1025</v>
      </c>
      <c r="H28" s="469">
        <v>2.433927765773039E-2</v>
      </c>
      <c r="I28" s="34"/>
      <c r="J28" s="34"/>
      <c r="K28" s="41"/>
      <c r="M28" s="173"/>
      <c r="N28" s="174"/>
      <c r="O28" s="175"/>
      <c r="P28" s="176"/>
      <c r="Q28" s="173"/>
      <c r="R28" s="176"/>
    </row>
    <row r="29" spans="1:18" ht="15.75" thickTop="1" thickBot="1">
      <c r="A29" s="40"/>
      <c r="B29" s="139"/>
      <c r="C29" s="140"/>
      <c r="D29" s="453"/>
      <c r="E29" s="454">
        <f>SUM(E14:E28)</f>
        <v>180446058.88999999</v>
      </c>
      <c r="F29" s="467">
        <f>SUM(F14:F28)</f>
        <v>0.82943290101617717</v>
      </c>
      <c r="G29" s="455">
        <f>SUM(G14:G28)</f>
        <v>33613</v>
      </c>
      <c r="H29" s="470">
        <f>SUM(H14:H28)</f>
        <v>0.79816208771638208</v>
      </c>
      <c r="I29" s="34"/>
      <c r="J29" s="34"/>
      <c r="K29" s="41"/>
      <c r="M29" s="461"/>
      <c r="N29" s="461"/>
      <c r="O29" s="462"/>
      <c r="P29" s="463"/>
      <c r="Q29" s="464"/>
      <c r="R29" s="463"/>
    </row>
    <row r="30" spans="1:18">
      <c r="A30" s="40"/>
      <c r="B30" s="139"/>
      <c r="C30" s="140"/>
      <c r="D30" s="148"/>
      <c r="E30" s="148"/>
      <c r="F30" s="148"/>
      <c r="G30" s="148"/>
      <c r="H30" s="148"/>
      <c r="I30" s="148"/>
      <c r="J30" s="34"/>
      <c r="K30" s="41"/>
      <c r="M30" s="148"/>
      <c r="N30" s="148"/>
      <c r="O30" s="148"/>
      <c r="P30" s="148"/>
      <c r="Q30" s="148"/>
      <c r="R30" s="148"/>
    </row>
    <row r="31" spans="1:18">
      <c r="A31" s="40"/>
      <c r="B31" s="139"/>
      <c r="C31" s="140"/>
      <c r="D31" s="148" t="s">
        <v>380</v>
      </c>
      <c r="E31" s="148"/>
      <c r="F31" s="148"/>
      <c r="G31" s="148"/>
      <c r="H31" s="148"/>
      <c r="I31" s="148"/>
      <c r="J31" s="34"/>
      <c r="K31" s="41"/>
      <c r="M31" s="148"/>
      <c r="N31" s="148"/>
      <c r="O31" s="148"/>
      <c r="P31" s="148"/>
      <c r="Q31" s="148"/>
      <c r="R31" s="148"/>
    </row>
    <row r="32" spans="1:18">
      <c r="A32" s="40"/>
      <c r="B32" s="139"/>
      <c r="C32" s="140"/>
      <c r="D32" s="148" t="s">
        <v>578</v>
      </c>
      <c r="E32" s="148"/>
      <c r="F32" s="148"/>
      <c r="G32" s="148"/>
      <c r="H32" s="148"/>
      <c r="I32" s="148"/>
      <c r="J32" s="34"/>
      <c r="K32" s="41"/>
      <c r="M32" s="148"/>
      <c r="N32" s="148"/>
      <c r="O32" s="148"/>
      <c r="P32" s="148"/>
      <c r="Q32" s="148"/>
      <c r="R32" s="148"/>
    </row>
    <row r="33" spans="1:18">
      <c r="A33" s="40"/>
      <c r="B33" s="139"/>
      <c r="C33" s="140"/>
      <c r="D33" s="148"/>
      <c r="E33" s="148"/>
      <c r="F33" s="148"/>
      <c r="G33" s="148"/>
      <c r="H33" s="148"/>
      <c r="I33" s="148"/>
      <c r="J33" s="34"/>
      <c r="K33" s="41"/>
      <c r="M33" s="148"/>
      <c r="N33" s="148"/>
      <c r="O33" s="148"/>
      <c r="P33" s="148"/>
      <c r="Q33" s="148"/>
      <c r="R33" s="148"/>
    </row>
    <row r="34" spans="1:18">
      <c r="A34" s="40"/>
      <c r="B34" s="139"/>
      <c r="C34" s="140"/>
      <c r="D34" s="148"/>
      <c r="E34" s="148"/>
      <c r="F34" s="148"/>
      <c r="G34" s="148"/>
      <c r="H34" s="148"/>
      <c r="I34" s="148"/>
      <c r="J34" s="34"/>
      <c r="K34" s="41"/>
      <c r="M34" s="148"/>
      <c r="N34" s="148"/>
      <c r="O34" s="148"/>
      <c r="P34" s="148"/>
      <c r="Q34" s="148"/>
      <c r="R34" s="148"/>
    </row>
    <row r="35" spans="1:18">
      <c r="A35" s="40"/>
      <c r="B35" s="139"/>
      <c r="C35" s="140"/>
      <c r="D35" s="148"/>
      <c r="E35" s="148"/>
      <c r="F35" s="148"/>
      <c r="G35" s="148"/>
      <c r="H35" s="148"/>
      <c r="I35" s="148"/>
      <c r="J35" s="34"/>
      <c r="K35" s="41"/>
      <c r="M35" s="148"/>
      <c r="N35" s="148"/>
      <c r="O35" s="148"/>
      <c r="P35" s="148"/>
      <c r="Q35" s="148"/>
      <c r="R35" s="148"/>
    </row>
    <row r="36" spans="1:18">
      <c r="A36" s="40"/>
      <c r="B36" s="139"/>
      <c r="C36" s="140"/>
      <c r="D36" s="148"/>
      <c r="E36" s="148"/>
      <c r="F36" s="148"/>
      <c r="G36" s="148"/>
      <c r="H36" s="148"/>
      <c r="I36" s="148"/>
      <c r="J36" s="34"/>
      <c r="K36" s="41"/>
      <c r="M36" s="148"/>
      <c r="N36" s="148"/>
      <c r="O36" s="148"/>
      <c r="P36" s="148"/>
      <c r="Q36" s="148"/>
      <c r="R36" s="148"/>
    </row>
    <row r="37" spans="1:18">
      <c r="A37" s="40"/>
      <c r="B37" s="139"/>
      <c r="C37" s="140"/>
      <c r="D37" s="148"/>
      <c r="E37" s="148"/>
      <c r="F37" s="148"/>
      <c r="G37" s="148"/>
      <c r="H37" s="148"/>
      <c r="I37" s="148"/>
      <c r="J37" s="34"/>
      <c r="K37" s="41"/>
      <c r="M37" s="148"/>
      <c r="N37" s="148"/>
      <c r="O37" s="148"/>
      <c r="P37" s="148"/>
      <c r="Q37" s="148"/>
      <c r="R37" s="148"/>
    </row>
    <row r="38" spans="1:18">
      <c r="A38" s="40"/>
      <c r="B38" s="139"/>
      <c r="C38" s="140"/>
      <c r="D38" s="148"/>
      <c r="E38" s="148"/>
      <c r="F38" s="148"/>
      <c r="G38" s="148"/>
      <c r="H38" s="148"/>
      <c r="I38" s="148"/>
      <c r="J38" s="34"/>
      <c r="K38" s="41"/>
      <c r="M38" s="148"/>
      <c r="N38" s="148"/>
      <c r="O38" s="148"/>
      <c r="P38" s="148"/>
      <c r="Q38" s="148"/>
      <c r="R38" s="148"/>
    </row>
    <row r="39" spans="1:18">
      <c r="A39" s="40"/>
      <c r="B39" s="139"/>
      <c r="C39" s="140"/>
      <c r="D39" s="148"/>
      <c r="E39" s="148"/>
      <c r="F39" s="148"/>
      <c r="G39" s="148"/>
      <c r="H39" s="148"/>
      <c r="I39" s="148"/>
      <c r="J39" s="34"/>
      <c r="K39" s="41"/>
      <c r="M39" s="148"/>
      <c r="N39" s="148"/>
      <c r="O39" s="148"/>
      <c r="P39" s="148"/>
      <c r="Q39" s="148"/>
      <c r="R39" s="148"/>
    </row>
    <row r="40" spans="1:18">
      <c r="A40" s="40"/>
      <c r="B40" s="139"/>
      <c r="C40" s="140"/>
      <c r="D40" s="148"/>
      <c r="E40" s="148"/>
      <c r="F40" s="148"/>
      <c r="G40" s="148"/>
      <c r="H40" s="148"/>
      <c r="I40" s="148"/>
      <c r="J40" s="34"/>
      <c r="K40" s="41"/>
      <c r="M40" s="148"/>
      <c r="N40" s="148"/>
      <c r="O40" s="148"/>
      <c r="P40" s="148"/>
      <c r="Q40" s="148"/>
      <c r="R40" s="148"/>
    </row>
    <row r="41" spans="1:18">
      <c r="A41" s="40"/>
      <c r="B41" s="139"/>
      <c r="C41" s="140"/>
      <c r="D41" s="148"/>
      <c r="E41" s="148"/>
      <c r="F41" s="148"/>
      <c r="G41" s="148"/>
      <c r="H41" s="148"/>
      <c r="I41" s="148"/>
      <c r="J41" s="34"/>
      <c r="K41" s="41"/>
      <c r="M41" s="148"/>
      <c r="N41" s="148"/>
      <c r="O41" s="148"/>
      <c r="P41" s="148"/>
      <c r="Q41" s="148"/>
      <c r="R41" s="148"/>
    </row>
    <row r="42" spans="1:18">
      <c r="A42" s="40"/>
      <c r="B42" s="139"/>
      <c r="C42" s="140"/>
      <c r="D42" s="148"/>
      <c r="E42" s="148"/>
      <c r="F42" s="148"/>
      <c r="G42" s="148"/>
      <c r="H42" s="148"/>
      <c r="I42" s="148"/>
      <c r="J42" s="34"/>
      <c r="K42" s="41"/>
      <c r="M42" s="148"/>
      <c r="N42" s="148"/>
      <c r="O42" s="148"/>
      <c r="P42" s="148"/>
      <c r="Q42" s="148"/>
      <c r="R42" s="148"/>
    </row>
    <row r="43" spans="1:18">
      <c r="A43" s="40"/>
      <c r="B43" s="139"/>
      <c r="C43" s="140"/>
      <c r="D43" s="148"/>
      <c r="E43" s="148"/>
      <c r="F43" s="148"/>
      <c r="G43" s="148"/>
      <c r="H43" s="148"/>
      <c r="I43" s="148"/>
      <c r="J43" s="34"/>
      <c r="K43" s="41"/>
      <c r="M43" s="148"/>
      <c r="N43" s="148"/>
      <c r="O43" s="148"/>
      <c r="P43" s="148"/>
      <c r="Q43" s="148"/>
      <c r="R43" s="148"/>
    </row>
    <row r="44" spans="1:18">
      <c r="A44" s="40"/>
      <c r="B44" s="139"/>
      <c r="C44" s="140"/>
      <c r="D44" s="148"/>
      <c r="E44" s="148"/>
      <c r="F44" s="148"/>
      <c r="G44" s="148"/>
      <c r="H44" s="148"/>
      <c r="I44" s="148"/>
      <c r="J44" s="34"/>
      <c r="K44" s="41"/>
      <c r="M44" s="148"/>
      <c r="N44" s="148"/>
      <c r="O44" s="148"/>
      <c r="P44" s="148"/>
      <c r="Q44" s="148"/>
      <c r="R44" s="148"/>
    </row>
    <row r="45" spans="1:18">
      <c r="A45" s="40"/>
      <c r="B45" s="139"/>
      <c r="C45" s="140"/>
      <c r="D45" s="148"/>
      <c r="E45" s="148"/>
      <c r="F45" s="148"/>
      <c r="G45" s="148"/>
      <c r="H45" s="148"/>
      <c r="I45" s="148"/>
      <c r="J45" s="34"/>
      <c r="K45" s="41"/>
      <c r="M45" s="148"/>
      <c r="N45" s="148"/>
      <c r="O45" s="148"/>
      <c r="P45" s="148"/>
      <c r="Q45" s="148"/>
      <c r="R45" s="148"/>
    </row>
    <row r="46" spans="1:18">
      <c r="A46" s="40"/>
      <c r="B46" s="139"/>
      <c r="C46" s="140"/>
      <c r="D46" s="148"/>
      <c r="E46" s="148"/>
      <c r="F46" s="148"/>
      <c r="G46" s="148"/>
      <c r="H46" s="148"/>
      <c r="I46" s="148"/>
      <c r="J46" s="34"/>
      <c r="K46" s="41"/>
      <c r="M46" s="148"/>
      <c r="N46" s="148"/>
      <c r="O46" s="148"/>
      <c r="P46" s="148"/>
      <c r="Q46" s="148"/>
      <c r="R46" s="148"/>
    </row>
    <row r="47" spans="1:18">
      <c r="A47" s="60"/>
      <c r="B47" s="167"/>
      <c r="C47" s="168"/>
      <c r="D47" s="169"/>
      <c r="E47" s="170"/>
      <c r="F47" s="171"/>
      <c r="G47" s="172"/>
      <c r="H47" s="171"/>
      <c r="I47" s="172"/>
      <c r="J47" s="61"/>
      <c r="K47" s="79"/>
      <c r="M47" s="156"/>
      <c r="N47" s="157"/>
      <c r="O47" s="141"/>
      <c r="P47" s="158"/>
      <c r="Q47" s="141"/>
      <c r="R47" s="158"/>
    </row>
    <row r="48" spans="1:18">
      <c r="A48" s="36"/>
      <c r="B48" s="139"/>
      <c r="C48" s="140"/>
      <c r="D48" s="156"/>
      <c r="E48" s="157"/>
      <c r="F48" s="141"/>
      <c r="G48" s="158"/>
      <c r="H48" s="141"/>
      <c r="I48" s="158"/>
      <c r="J48" s="34"/>
      <c r="K48" s="34"/>
      <c r="L48" s="34"/>
      <c r="M48" s="156"/>
      <c r="N48" s="157"/>
      <c r="O48" s="141"/>
      <c r="P48" s="158"/>
      <c r="Q48" s="141"/>
      <c r="R48" s="158"/>
    </row>
    <row r="49" spans="2:18" s="34" customFormat="1">
      <c r="B49" s="139"/>
      <c r="C49" s="140"/>
      <c r="D49" s="156"/>
      <c r="E49" s="157"/>
      <c r="F49" s="141"/>
      <c r="G49" s="158"/>
      <c r="H49" s="141"/>
      <c r="I49" s="158"/>
      <c r="M49" s="156"/>
      <c r="N49" s="157"/>
      <c r="O49" s="141"/>
      <c r="P49" s="158"/>
      <c r="Q49" s="141"/>
      <c r="R49" s="158"/>
    </row>
    <row r="50" spans="2:18" s="34" customFormat="1">
      <c r="B50" s="139"/>
      <c r="C50" s="140"/>
      <c r="D50" s="156"/>
      <c r="E50" s="157"/>
      <c r="F50" s="141"/>
      <c r="G50" s="158"/>
      <c r="H50" s="141"/>
      <c r="I50" s="158"/>
      <c r="M50" s="156"/>
      <c r="N50" s="157"/>
      <c r="O50" s="141"/>
      <c r="P50" s="158"/>
      <c r="Q50" s="141"/>
      <c r="R50" s="158"/>
    </row>
    <row r="51" spans="2:18" s="4" customFormat="1" ht="15" customHeight="1">
      <c r="B51" s="139"/>
      <c r="C51" s="140"/>
      <c r="D51" s="156"/>
      <c r="E51" s="157"/>
      <c r="F51" s="141"/>
      <c r="G51" s="158"/>
      <c r="H51" s="141"/>
      <c r="I51" s="158"/>
      <c r="M51" s="156"/>
      <c r="N51" s="157"/>
      <c r="O51" s="141"/>
      <c r="P51" s="158"/>
      <c r="Q51" s="141"/>
      <c r="R51" s="158"/>
    </row>
    <row r="52" spans="2:18" s="4" customFormat="1">
      <c r="B52" s="139"/>
      <c r="C52" s="140"/>
      <c r="D52" s="156"/>
      <c r="E52" s="157"/>
      <c r="F52" s="141"/>
      <c r="G52" s="158"/>
      <c r="H52" s="141"/>
      <c r="I52" s="158"/>
      <c r="M52" s="156"/>
      <c r="N52" s="157"/>
      <c r="O52" s="141"/>
      <c r="P52" s="158"/>
      <c r="Q52" s="141"/>
      <c r="R52" s="158"/>
    </row>
    <row r="53" spans="2:18" s="34" customFormat="1">
      <c r="B53" s="139"/>
      <c r="C53" s="140"/>
      <c r="D53" s="156"/>
      <c r="E53" s="157"/>
      <c r="F53" s="141"/>
      <c r="G53" s="158"/>
      <c r="H53" s="141"/>
      <c r="I53" s="158"/>
      <c r="M53" s="156"/>
      <c r="N53" s="157"/>
      <c r="O53" s="141"/>
      <c r="P53" s="158"/>
      <c r="Q53" s="141"/>
      <c r="R53" s="158"/>
    </row>
    <row r="54" spans="2:18" s="34" customFormat="1">
      <c r="B54" s="139"/>
      <c r="C54" s="140"/>
      <c r="D54" s="156"/>
      <c r="E54" s="157"/>
      <c r="F54" s="141"/>
      <c r="G54" s="158"/>
      <c r="H54" s="141"/>
      <c r="I54" s="158"/>
      <c r="M54" s="156"/>
      <c r="N54" s="157"/>
      <c r="O54" s="141"/>
      <c r="P54" s="158"/>
      <c r="Q54" s="141"/>
      <c r="R54" s="158"/>
    </row>
    <row r="55" spans="2:18" s="34" customFormat="1">
      <c r="B55" s="139"/>
      <c r="C55" s="140"/>
      <c r="D55" s="156"/>
      <c r="E55" s="157"/>
      <c r="F55" s="141"/>
      <c r="G55" s="158"/>
      <c r="H55" s="141"/>
      <c r="I55" s="158"/>
      <c r="M55" s="156"/>
      <c r="N55" s="157"/>
      <c r="O55" s="141"/>
      <c r="P55" s="158"/>
      <c r="Q55" s="141"/>
      <c r="R55" s="158"/>
    </row>
    <row r="56" spans="2:18" s="34" customFormat="1">
      <c r="B56" s="139"/>
      <c r="C56" s="140"/>
      <c r="D56" s="156"/>
      <c r="E56" s="157"/>
      <c r="F56" s="141"/>
      <c r="G56" s="158"/>
      <c r="H56" s="141"/>
      <c r="I56" s="158"/>
      <c r="M56" s="156"/>
      <c r="N56" s="157"/>
      <c r="O56" s="141"/>
      <c r="P56" s="158"/>
      <c r="Q56" s="141"/>
      <c r="R56" s="158"/>
    </row>
    <row r="57" spans="2:18" s="34" customFormat="1">
      <c r="B57" s="139"/>
      <c r="C57" s="140"/>
      <c r="D57" s="156"/>
      <c r="E57" s="157"/>
      <c r="F57" s="141"/>
      <c r="G57" s="158"/>
      <c r="H57" s="141"/>
      <c r="I57" s="158"/>
      <c r="M57" s="156"/>
      <c r="N57" s="157"/>
      <c r="O57" s="141"/>
      <c r="P57" s="158"/>
      <c r="Q57" s="141"/>
      <c r="R57" s="158"/>
    </row>
    <row r="58" spans="2:18" s="34" customFormat="1">
      <c r="B58" s="139"/>
      <c r="C58" s="140"/>
      <c r="D58" s="156"/>
      <c r="E58" s="157"/>
      <c r="F58" s="141"/>
      <c r="G58" s="158"/>
      <c r="H58" s="141"/>
      <c r="I58" s="158"/>
      <c r="M58" s="156"/>
      <c r="N58" s="157"/>
      <c r="O58" s="141"/>
      <c r="P58" s="158"/>
      <c r="Q58" s="141"/>
      <c r="R58" s="158"/>
    </row>
    <row r="59" spans="2:18" s="34" customFormat="1">
      <c r="B59" s="139"/>
      <c r="C59" s="140"/>
      <c r="D59" s="156"/>
      <c r="E59" s="157"/>
      <c r="F59" s="141"/>
      <c r="G59" s="158"/>
      <c r="H59" s="141"/>
      <c r="I59" s="158"/>
      <c r="M59" s="156"/>
      <c r="N59" s="157"/>
      <c r="O59" s="141"/>
      <c r="P59" s="158"/>
      <c r="Q59" s="141"/>
      <c r="R59" s="158"/>
    </row>
    <row r="60" spans="2:18" s="34" customFormat="1">
      <c r="B60" s="139"/>
      <c r="C60" s="140"/>
      <c r="D60" s="156"/>
      <c r="E60" s="157"/>
      <c r="F60" s="141"/>
      <c r="G60" s="158"/>
      <c r="H60" s="141"/>
      <c r="I60" s="158"/>
      <c r="M60" s="156"/>
      <c r="N60" s="157"/>
      <c r="O60" s="141"/>
      <c r="P60" s="158"/>
      <c r="Q60" s="141"/>
      <c r="R60" s="158"/>
    </row>
    <row r="61" spans="2:18" s="34" customFormat="1">
      <c r="B61" s="139"/>
      <c r="C61" s="140"/>
      <c r="D61" s="156"/>
      <c r="E61" s="157"/>
      <c r="F61" s="141"/>
      <c r="G61" s="158"/>
      <c r="H61" s="141"/>
      <c r="I61" s="158"/>
      <c r="M61" s="156"/>
      <c r="N61" s="157"/>
      <c r="O61" s="141"/>
      <c r="P61" s="158"/>
      <c r="Q61" s="141"/>
      <c r="R61" s="158"/>
    </row>
    <row r="62" spans="2:18" s="34" customFormat="1">
      <c r="B62" s="139"/>
      <c r="C62" s="140"/>
      <c r="D62" s="156"/>
      <c r="E62" s="157"/>
      <c r="F62" s="141"/>
      <c r="G62" s="158"/>
      <c r="H62" s="141"/>
      <c r="I62" s="158"/>
      <c r="M62" s="156"/>
      <c r="N62" s="157"/>
      <c r="O62" s="141"/>
      <c r="P62" s="158"/>
      <c r="Q62" s="141"/>
      <c r="R62" s="158"/>
    </row>
    <row r="63" spans="2:18" s="34" customFormat="1">
      <c r="B63" s="139"/>
      <c r="C63" s="140"/>
      <c r="D63" s="156"/>
      <c r="E63" s="157"/>
      <c r="F63" s="141"/>
      <c r="G63" s="158"/>
      <c r="H63" s="141"/>
      <c r="I63" s="158"/>
      <c r="M63" s="156"/>
      <c r="N63" s="157"/>
      <c r="O63" s="141"/>
      <c r="P63" s="158"/>
      <c r="Q63" s="141"/>
      <c r="R63" s="158"/>
    </row>
    <row r="64" spans="2:18" s="34" customFormat="1">
      <c r="B64" s="139"/>
      <c r="C64" s="140"/>
      <c r="D64" s="156"/>
      <c r="E64" s="157"/>
      <c r="F64" s="141"/>
      <c r="G64" s="158"/>
      <c r="H64" s="141"/>
      <c r="I64" s="158"/>
      <c r="M64" s="156"/>
      <c r="N64" s="157"/>
      <c r="O64" s="141"/>
      <c r="P64" s="158"/>
      <c r="Q64" s="141"/>
      <c r="R64" s="158"/>
    </row>
    <row r="65" spans="2:18" s="34" customFormat="1">
      <c r="B65" s="139"/>
      <c r="C65" s="140"/>
      <c r="D65" s="156"/>
      <c r="E65" s="157"/>
      <c r="F65" s="141"/>
      <c r="G65" s="158"/>
      <c r="H65" s="141"/>
      <c r="I65" s="158"/>
      <c r="M65" s="156"/>
      <c r="N65" s="157"/>
      <c r="O65" s="141"/>
      <c r="P65" s="158"/>
      <c r="Q65" s="141"/>
      <c r="R65" s="158"/>
    </row>
    <row r="66" spans="2:18" s="34" customFormat="1">
      <c r="B66" s="139"/>
      <c r="C66" s="140"/>
      <c r="D66" s="156"/>
      <c r="E66" s="157"/>
      <c r="F66" s="141"/>
      <c r="G66" s="158"/>
      <c r="H66" s="141"/>
      <c r="I66" s="158"/>
      <c r="M66" s="156"/>
      <c r="N66" s="157"/>
      <c r="O66" s="141"/>
      <c r="P66" s="158"/>
      <c r="Q66" s="141"/>
      <c r="R66" s="158"/>
    </row>
    <row r="67" spans="2:18" s="34" customFormat="1">
      <c r="B67" s="139"/>
      <c r="C67" s="140"/>
      <c r="D67" s="156"/>
      <c r="E67" s="157"/>
      <c r="F67" s="141"/>
      <c r="G67" s="158"/>
      <c r="H67" s="141"/>
      <c r="I67" s="158"/>
      <c r="M67" s="156"/>
      <c r="N67" s="157"/>
      <c r="O67" s="141"/>
      <c r="P67" s="158"/>
      <c r="Q67" s="141"/>
      <c r="R67" s="158"/>
    </row>
    <row r="68" spans="2:18" s="34" customFormat="1">
      <c r="B68" s="139"/>
      <c r="C68" s="140"/>
      <c r="D68" s="156"/>
      <c r="E68" s="157"/>
      <c r="F68" s="141"/>
      <c r="G68" s="158"/>
      <c r="H68" s="141"/>
      <c r="I68" s="158"/>
      <c r="M68" s="156"/>
      <c r="N68" s="157"/>
      <c r="O68" s="141"/>
      <c r="P68" s="158"/>
      <c r="Q68" s="141"/>
      <c r="R68" s="158"/>
    </row>
    <row r="69" spans="2:18" s="34" customFormat="1">
      <c r="B69" s="139"/>
      <c r="C69" s="140"/>
      <c r="D69" s="156"/>
      <c r="E69" s="157"/>
      <c r="F69" s="141"/>
      <c r="G69" s="158"/>
      <c r="H69" s="141"/>
      <c r="I69" s="158"/>
      <c r="M69" s="156"/>
      <c r="N69" s="157"/>
      <c r="O69" s="141"/>
      <c r="P69" s="158"/>
      <c r="Q69" s="141"/>
      <c r="R69" s="158"/>
    </row>
    <row r="70" spans="2:18" s="34" customFormat="1">
      <c r="B70" s="139"/>
      <c r="C70" s="140"/>
      <c r="D70" s="156"/>
      <c r="E70" s="157"/>
      <c r="F70" s="141"/>
      <c r="G70" s="158"/>
      <c r="H70" s="141"/>
      <c r="I70" s="158"/>
      <c r="M70" s="156"/>
      <c r="N70" s="157"/>
      <c r="O70" s="141"/>
      <c r="P70" s="158"/>
      <c r="Q70" s="141"/>
      <c r="R70" s="158"/>
    </row>
    <row r="71" spans="2:18" s="34" customFormat="1">
      <c r="B71" s="139"/>
      <c r="C71" s="140"/>
      <c r="D71" s="156"/>
      <c r="E71" s="157"/>
      <c r="F71" s="141"/>
      <c r="G71" s="158"/>
      <c r="H71" s="141"/>
      <c r="I71" s="158"/>
      <c r="M71" s="156"/>
      <c r="N71" s="157"/>
      <c r="O71" s="141"/>
      <c r="P71" s="158"/>
      <c r="Q71" s="141"/>
      <c r="R71" s="158"/>
    </row>
    <row r="72" spans="2:18" s="34" customFormat="1">
      <c r="B72" s="139"/>
      <c r="C72" s="140"/>
      <c r="D72" s="156"/>
      <c r="E72" s="157"/>
      <c r="F72" s="141"/>
      <c r="G72" s="158"/>
      <c r="H72" s="141"/>
      <c r="I72" s="158"/>
      <c r="M72" s="156"/>
      <c r="N72" s="157"/>
      <c r="O72" s="141"/>
      <c r="P72" s="158"/>
      <c r="Q72" s="141"/>
      <c r="R72" s="158"/>
    </row>
    <row r="73" spans="2:18" s="34" customFormat="1">
      <c r="B73" s="139"/>
      <c r="C73" s="140"/>
      <c r="D73" s="156"/>
      <c r="E73" s="157"/>
      <c r="F73" s="141"/>
      <c r="G73" s="158"/>
      <c r="H73" s="141"/>
      <c r="I73" s="158"/>
      <c r="M73" s="156"/>
      <c r="N73" s="157"/>
      <c r="O73" s="141"/>
      <c r="P73" s="158"/>
      <c r="Q73" s="141"/>
      <c r="R73" s="158"/>
    </row>
    <row r="74" spans="2:18" s="34" customFormat="1">
      <c r="B74" s="139"/>
      <c r="C74" s="140"/>
      <c r="D74" s="156"/>
      <c r="E74" s="157"/>
      <c r="F74" s="141"/>
      <c r="G74" s="158"/>
      <c r="H74" s="141"/>
      <c r="I74" s="158"/>
      <c r="M74" s="156"/>
      <c r="N74" s="157"/>
      <c r="O74" s="141"/>
      <c r="P74" s="158"/>
      <c r="Q74" s="141"/>
      <c r="R74" s="158"/>
    </row>
    <row r="75" spans="2:18" s="34" customFormat="1">
      <c r="B75" s="139"/>
      <c r="C75" s="140"/>
      <c r="D75" s="156"/>
      <c r="E75" s="157"/>
      <c r="F75" s="141"/>
      <c r="G75" s="158"/>
      <c r="H75" s="141"/>
      <c r="I75" s="158"/>
      <c r="M75" s="156"/>
      <c r="N75" s="157"/>
      <c r="O75" s="141"/>
      <c r="P75" s="158"/>
      <c r="Q75" s="141"/>
      <c r="R75" s="158"/>
    </row>
    <row r="76" spans="2:18" s="34" customFormat="1">
      <c r="B76" s="139"/>
      <c r="C76" s="140"/>
      <c r="D76" s="156"/>
      <c r="E76" s="157"/>
      <c r="F76" s="141"/>
      <c r="G76" s="158"/>
      <c r="H76" s="141"/>
      <c r="I76" s="158"/>
      <c r="M76" s="156"/>
      <c r="N76" s="157"/>
      <c r="O76" s="141"/>
      <c r="P76" s="158"/>
      <c r="Q76" s="141"/>
      <c r="R76" s="158"/>
    </row>
    <row r="77" spans="2:18" s="34" customFormat="1">
      <c r="B77" s="139"/>
      <c r="C77" s="140"/>
      <c r="D77" s="156"/>
      <c r="E77" s="157"/>
      <c r="F77" s="141"/>
      <c r="G77" s="158"/>
      <c r="H77" s="141"/>
      <c r="I77" s="158"/>
      <c r="M77" s="156"/>
      <c r="N77" s="157"/>
      <c r="O77" s="141"/>
      <c r="P77" s="158"/>
      <c r="Q77" s="141"/>
      <c r="R77" s="158"/>
    </row>
    <row r="78" spans="2:18" s="34" customFormat="1">
      <c r="B78" s="139"/>
      <c r="C78" s="140"/>
      <c r="D78" s="156"/>
      <c r="E78" s="157"/>
      <c r="F78" s="141"/>
      <c r="G78" s="158"/>
      <c r="H78" s="141"/>
      <c r="I78" s="158"/>
      <c r="M78" s="156"/>
      <c r="N78" s="157"/>
      <c r="O78" s="141"/>
      <c r="P78" s="158"/>
      <c r="Q78" s="141"/>
      <c r="R78" s="158"/>
    </row>
    <row r="79" spans="2:18" s="34" customFormat="1">
      <c r="B79" s="139"/>
      <c r="C79" s="140"/>
      <c r="D79" s="156"/>
      <c r="E79" s="157"/>
      <c r="F79" s="141"/>
      <c r="G79" s="158"/>
      <c r="H79" s="141"/>
      <c r="I79" s="158"/>
      <c r="M79" s="156"/>
      <c r="N79" s="157"/>
      <c r="O79" s="141"/>
      <c r="P79" s="158"/>
      <c r="Q79" s="141"/>
      <c r="R79" s="158"/>
    </row>
    <row r="80" spans="2:18" s="34" customFormat="1">
      <c r="B80" s="139"/>
      <c r="C80" s="140"/>
      <c r="D80" s="156"/>
      <c r="E80" s="157"/>
      <c r="F80" s="141"/>
      <c r="G80" s="158"/>
      <c r="H80" s="141"/>
      <c r="I80" s="158"/>
      <c r="M80" s="156"/>
      <c r="N80" s="157"/>
      <c r="O80" s="141"/>
      <c r="P80" s="158"/>
      <c r="Q80" s="141"/>
      <c r="R80" s="158"/>
    </row>
    <row r="81" spans="2:18" s="34" customFormat="1">
      <c r="B81" s="139"/>
      <c r="C81" s="140"/>
      <c r="D81" s="142"/>
      <c r="E81" s="134"/>
      <c r="F81" s="143"/>
      <c r="G81" s="144"/>
      <c r="H81" s="143"/>
      <c r="I81" s="144"/>
      <c r="M81" s="142"/>
      <c r="N81" s="134"/>
      <c r="O81" s="143"/>
      <c r="P81" s="144"/>
      <c r="Q81" s="143"/>
      <c r="R81" s="144"/>
    </row>
    <row r="82" spans="2:18" s="34" customFormat="1">
      <c r="B82" s="139"/>
      <c r="C82" s="140"/>
      <c r="D82" s="142"/>
      <c r="E82" s="142"/>
      <c r="F82" s="142"/>
      <c r="G82" s="142"/>
      <c r="H82" s="142"/>
      <c r="I82" s="142"/>
      <c r="M82" s="142"/>
      <c r="N82" s="142"/>
      <c r="O82" s="142"/>
      <c r="P82" s="142"/>
      <c r="Q82" s="142"/>
      <c r="R82" s="142"/>
    </row>
    <row r="83" spans="2:18" s="34" customFormat="1">
      <c r="B83" s="139"/>
      <c r="C83" s="140"/>
      <c r="D83" s="142"/>
      <c r="E83" s="142"/>
      <c r="F83" s="142"/>
      <c r="G83" s="142"/>
      <c r="H83" s="142"/>
      <c r="I83" s="142"/>
      <c r="M83" s="142"/>
      <c r="N83" s="142"/>
      <c r="O83" s="142"/>
      <c r="P83" s="142"/>
      <c r="Q83" s="142"/>
      <c r="R83" s="142"/>
    </row>
    <row r="84" spans="2:18" s="34" customFormat="1">
      <c r="B84" s="139"/>
      <c r="C84" s="140"/>
      <c r="D84" s="145"/>
      <c r="E84" s="146"/>
      <c r="F84" s="142"/>
      <c r="G84" s="142"/>
      <c r="H84" s="142"/>
      <c r="I84" s="142"/>
      <c r="M84" s="145"/>
      <c r="N84" s="146"/>
      <c r="O84" s="142"/>
      <c r="P84" s="142"/>
      <c r="Q84" s="142"/>
      <c r="R84" s="142"/>
    </row>
    <row r="85" spans="2:18" s="34" customFormat="1">
      <c r="B85" s="139"/>
      <c r="C85" s="140"/>
      <c r="D85" s="134"/>
      <c r="E85" s="146"/>
      <c r="F85" s="142"/>
      <c r="G85" s="142"/>
      <c r="H85" s="142"/>
      <c r="I85" s="142"/>
      <c r="M85" s="134"/>
      <c r="N85" s="146"/>
      <c r="O85" s="142"/>
      <c r="P85" s="142"/>
      <c r="Q85" s="142"/>
      <c r="R85" s="142"/>
    </row>
    <row r="86" spans="2:18" s="34" customFormat="1">
      <c r="B86" s="139"/>
      <c r="C86" s="140"/>
      <c r="D86" s="142"/>
      <c r="E86" s="146"/>
      <c r="F86" s="142"/>
      <c r="G86" s="142"/>
      <c r="H86" s="142"/>
      <c r="I86" s="142"/>
      <c r="M86" s="142"/>
      <c r="N86" s="146"/>
      <c r="O86" s="142"/>
      <c r="P86" s="142"/>
      <c r="Q86" s="142"/>
      <c r="R86" s="142"/>
    </row>
    <row r="87" spans="2:18" s="34" customFormat="1" ht="14.25">
      <c r="B87" s="142"/>
      <c r="C87" s="134"/>
      <c r="D87" s="150"/>
      <c r="E87" s="150"/>
      <c r="F87" s="150"/>
      <c r="G87" s="150"/>
      <c r="H87" s="150"/>
      <c r="I87" s="150"/>
      <c r="M87" s="150"/>
      <c r="N87" s="150"/>
      <c r="O87" s="150"/>
      <c r="P87" s="150"/>
      <c r="Q87" s="150"/>
      <c r="R87" s="150"/>
    </row>
    <row r="88" spans="2:18" s="34" customFormat="1" ht="14.25">
      <c r="B88" s="173"/>
      <c r="C88" s="173"/>
      <c r="D88" s="150"/>
      <c r="E88" s="150"/>
      <c r="F88" s="150"/>
      <c r="G88" s="150"/>
      <c r="H88" s="150"/>
      <c r="I88" s="150"/>
      <c r="M88" s="150"/>
      <c r="N88" s="150"/>
      <c r="O88" s="150"/>
      <c r="P88" s="150"/>
      <c r="Q88" s="150"/>
      <c r="R88" s="150"/>
    </row>
    <row r="89" spans="2:18" s="34" customFormat="1" ht="14.25">
      <c r="B89" s="173"/>
      <c r="C89" s="173"/>
      <c r="D89" s="151"/>
      <c r="E89" s="152"/>
      <c r="F89" s="150"/>
      <c r="G89" s="150"/>
      <c r="H89" s="150"/>
      <c r="I89" s="150"/>
      <c r="M89" s="151"/>
      <c r="N89" s="152"/>
      <c r="O89" s="150"/>
      <c r="P89" s="150"/>
      <c r="Q89" s="150"/>
      <c r="R89" s="150"/>
    </row>
    <row r="90" spans="2:18" s="34" customFormat="1" ht="14.25">
      <c r="B90" s="145"/>
      <c r="C90" s="146"/>
      <c r="D90" s="153"/>
      <c r="E90" s="152"/>
      <c r="F90" s="150"/>
      <c r="G90" s="150"/>
      <c r="H90" s="150"/>
      <c r="I90" s="150"/>
      <c r="M90" s="153"/>
      <c r="N90" s="152"/>
      <c r="O90" s="150"/>
      <c r="P90" s="150"/>
      <c r="Q90" s="150"/>
      <c r="R90" s="150"/>
    </row>
    <row r="91" spans="2:18" s="34" customFormat="1" ht="14.25">
      <c r="B91" s="147"/>
      <c r="C91" s="146"/>
      <c r="D91" s="150"/>
      <c r="E91" s="152"/>
      <c r="F91" s="150"/>
      <c r="G91" s="150"/>
      <c r="H91" s="150"/>
      <c r="I91" s="150"/>
      <c r="M91" s="150"/>
      <c r="N91" s="152"/>
      <c r="O91" s="150"/>
      <c r="P91" s="150"/>
      <c r="Q91" s="150"/>
      <c r="R91" s="150"/>
    </row>
    <row r="92" spans="2:18" s="34" customFormat="1">
      <c r="B92" s="148"/>
      <c r="C92" s="146"/>
      <c r="D92" s="148"/>
      <c r="E92" s="148"/>
      <c r="F92" s="148"/>
      <c r="M92" s="148"/>
      <c r="N92" s="148"/>
      <c r="O92" s="148"/>
    </row>
    <row r="93" spans="2:18" s="34" customFormat="1"/>
    <row r="94" spans="2:18" s="34" customFormat="1"/>
    <row r="95" spans="2:18" s="34" customFormat="1"/>
    <row r="96" spans="2:18" s="34" customFormat="1"/>
    <row r="97" s="34" customFormat="1"/>
    <row r="98" s="34" customFormat="1"/>
    <row r="99" s="34" customFormat="1"/>
    <row r="100" s="34" customFormat="1"/>
    <row r="101" s="34" customFormat="1"/>
    <row r="102" s="34" customFormat="1"/>
    <row r="103" s="34" customFormat="1"/>
    <row r="104" s="34" customFormat="1"/>
    <row r="105" s="34" customFormat="1"/>
    <row r="106" s="34" customFormat="1"/>
    <row r="107" s="34" customFormat="1"/>
    <row r="108" s="34" customFormat="1"/>
    <row r="109" s="34" customFormat="1"/>
    <row r="110" s="34" customFormat="1"/>
    <row r="111" s="34" customFormat="1"/>
    <row r="112" s="34" customFormat="1"/>
    <row r="113" s="34" customFormat="1"/>
    <row r="114" s="34" customFormat="1"/>
    <row r="115" s="34" customFormat="1"/>
    <row r="116" s="34" customFormat="1"/>
    <row r="117" s="34" customFormat="1"/>
    <row r="118" s="34" customFormat="1"/>
    <row r="119" s="34" customFormat="1"/>
    <row r="120" s="34" customFormat="1"/>
    <row r="121" s="34" customFormat="1"/>
    <row r="122" s="34" customFormat="1"/>
    <row r="123" s="34" customFormat="1"/>
    <row r="124" s="34" customFormat="1"/>
    <row r="125" s="34" customFormat="1"/>
    <row r="126" s="34" customFormat="1"/>
    <row r="127" s="34" customFormat="1"/>
    <row r="128" s="34" customFormat="1"/>
    <row r="129" s="34" customFormat="1"/>
    <row r="130" s="34" customFormat="1"/>
    <row r="131" s="34" customFormat="1"/>
    <row r="132" s="34" customFormat="1"/>
    <row r="133" s="34" customFormat="1"/>
    <row r="134" s="34" customFormat="1"/>
    <row r="135" s="34" customFormat="1"/>
    <row r="136" s="34" customFormat="1"/>
    <row r="137" s="34" customFormat="1"/>
    <row r="138" s="34" customFormat="1"/>
    <row r="139" s="34" customFormat="1"/>
    <row r="140" s="34" customFormat="1"/>
    <row r="141" s="34" customFormat="1"/>
    <row r="142" s="34" customFormat="1"/>
    <row r="143" s="34" customFormat="1"/>
    <row r="144" s="34" customFormat="1"/>
    <row r="145" s="34" customFormat="1"/>
    <row r="146" s="34" customFormat="1"/>
    <row r="147" s="34" customFormat="1"/>
    <row r="148" s="34" customFormat="1"/>
    <row r="149" s="34" customFormat="1"/>
    <row r="150" s="34" customFormat="1"/>
    <row r="151" s="34" customFormat="1"/>
    <row r="152" s="34" customFormat="1"/>
    <row r="153" s="34" customFormat="1"/>
    <row r="154" s="34" customFormat="1"/>
    <row r="155" s="34" customFormat="1"/>
    <row r="156" s="34" customFormat="1"/>
    <row r="157" s="34" customFormat="1"/>
    <row r="158" s="34" customFormat="1"/>
    <row r="159" s="34" customFormat="1"/>
    <row r="160" s="34" customFormat="1"/>
    <row r="161" s="34" customFormat="1"/>
    <row r="162" s="34" customFormat="1"/>
    <row r="163" s="34" customFormat="1"/>
    <row r="164" s="34" customFormat="1"/>
    <row r="165" s="34" customFormat="1"/>
    <row r="166" s="34" customFormat="1"/>
    <row r="167" s="34" customFormat="1"/>
    <row r="168" s="34" customFormat="1"/>
    <row r="169" s="34" customFormat="1"/>
    <row r="170" s="34" customFormat="1"/>
    <row r="171" s="34" customFormat="1"/>
    <row r="172" s="34" customFormat="1"/>
    <row r="173" s="34" customFormat="1"/>
    <row r="174" s="34" customFormat="1"/>
    <row r="175" s="34" customFormat="1"/>
    <row r="176" s="34" customFormat="1"/>
    <row r="177" s="34" customFormat="1"/>
    <row r="178" s="34" customFormat="1"/>
    <row r="179" s="34" customFormat="1"/>
    <row r="180" s="34" customFormat="1"/>
    <row r="181" s="34" customFormat="1"/>
    <row r="182" s="34" customFormat="1"/>
    <row r="183" s="34" customFormat="1"/>
    <row r="184" s="34" customFormat="1"/>
    <row r="185" s="34" customFormat="1"/>
    <row r="186" s="34" customFormat="1"/>
    <row r="187" s="34" customFormat="1"/>
    <row r="188" s="34" customFormat="1"/>
    <row r="189" s="34" customFormat="1"/>
    <row r="190" s="34" customFormat="1"/>
    <row r="191" s="34" customFormat="1"/>
    <row r="192" s="34" customFormat="1"/>
    <row r="193" s="34" customFormat="1"/>
    <row r="194" s="34" customFormat="1"/>
    <row r="195" s="34" customFormat="1"/>
    <row r="196" s="34" customFormat="1"/>
    <row r="197" s="34" customFormat="1"/>
    <row r="198" s="34" customFormat="1"/>
    <row r="199" s="34" customFormat="1"/>
    <row r="200" s="34" customFormat="1"/>
    <row r="201" s="34" customFormat="1"/>
    <row r="202" s="34" customFormat="1"/>
    <row r="203" s="34" customFormat="1"/>
    <row r="204" s="34" customFormat="1"/>
    <row r="205" s="34" customFormat="1"/>
    <row r="206" s="34" customFormat="1"/>
    <row r="207" s="34" customFormat="1"/>
    <row r="208" s="34" customFormat="1"/>
    <row r="209" s="34" customFormat="1"/>
    <row r="210" s="34" customFormat="1"/>
    <row r="211" s="34" customFormat="1"/>
    <row r="212" s="34" customFormat="1"/>
    <row r="213" s="34" customFormat="1"/>
    <row r="214" s="34" customFormat="1"/>
    <row r="215" s="34" customFormat="1"/>
    <row r="216" s="34" customFormat="1"/>
    <row r="217" s="34" customFormat="1"/>
    <row r="218" s="34" customFormat="1"/>
    <row r="219" s="34" customFormat="1"/>
    <row r="220" s="34" customFormat="1"/>
    <row r="221" s="34" customFormat="1"/>
    <row r="222" s="34" customFormat="1"/>
    <row r="223" s="34" customFormat="1"/>
    <row r="224" s="34" customFormat="1"/>
    <row r="225" s="34" customFormat="1"/>
    <row r="226" s="34" customFormat="1"/>
    <row r="227" s="34" customFormat="1"/>
    <row r="228" s="34" customFormat="1"/>
    <row r="229" s="34" customFormat="1"/>
    <row r="230" s="34" customFormat="1"/>
    <row r="231" s="34" customFormat="1"/>
    <row r="232" s="34" customFormat="1"/>
    <row r="233" s="34" customFormat="1"/>
    <row r="234" s="34" customFormat="1"/>
    <row r="235" s="34" customFormat="1"/>
    <row r="236" s="34" customFormat="1"/>
    <row r="237" s="34" customFormat="1"/>
    <row r="238" s="34" customFormat="1"/>
    <row r="239" s="34" customFormat="1"/>
    <row r="240" s="34" customFormat="1"/>
    <row r="241" s="34" customFormat="1"/>
    <row r="242" s="34" customFormat="1"/>
    <row r="243" s="34" customFormat="1"/>
    <row r="244" s="34" customFormat="1"/>
    <row r="245" s="34" customFormat="1"/>
    <row r="246" s="34" customFormat="1"/>
    <row r="247" s="34" customFormat="1"/>
    <row r="248" s="34" customFormat="1"/>
    <row r="249" s="34" customFormat="1"/>
    <row r="250" s="34" customFormat="1"/>
    <row r="251" s="34" customFormat="1"/>
    <row r="252" s="34" customFormat="1"/>
    <row r="253" s="34" customFormat="1"/>
    <row r="254" s="34" customFormat="1"/>
    <row r="255" s="34" customFormat="1"/>
    <row r="256" s="34" customFormat="1"/>
    <row r="257" s="34" customFormat="1"/>
    <row r="258" s="34" customFormat="1"/>
    <row r="259" s="34" customFormat="1"/>
    <row r="260" s="34" customFormat="1"/>
    <row r="261" s="34" customFormat="1"/>
    <row r="262" s="34" customFormat="1"/>
    <row r="263" s="34" customFormat="1"/>
    <row r="264" s="34" customFormat="1"/>
    <row r="265" s="34" customFormat="1"/>
    <row r="266" s="34" customFormat="1"/>
    <row r="267" s="34" customFormat="1"/>
    <row r="268" s="34" customFormat="1"/>
    <row r="269" s="34" customFormat="1"/>
    <row r="270" s="34" customFormat="1"/>
    <row r="271" s="34" customFormat="1"/>
    <row r="272" s="34" customFormat="1"/>
    <row r="273" s="34" customFormat="1"/>
    <row r="274" s="34" customFormat="1"/>
    <row r="275" s="34" customFormat="1"/>
    <row r="276" s="34" customFormat="1"/>
    <row r="277" s="34" customFormat="1"/>
    <row r="278" s="34" customFormat="1"/>
    <row r="279" s="34" customFormat="1"/>
    <row r="280" s="34" customFormat="1"/>
    <row r="281" s="34" customFormat="1"/>
    <row r="282" s="34" customFormat="1"/>
    <row r="283" s="34" customFormat="1"/>
    <row r="284" s="34" customFormat="1"/>
    <row r="285" s="34" customFormat="1"/>
    <row r="286" s="34" customFormat="1"/>
    <row r="287" s="34" customFormat="1"/>
    <row r="288" s="34" customFormat="1"/>
    <row r="289" s="34" customFormat="1"/>
    <row r="290" s="34" customFormat="1"/>
    <row r="291" s="34" customFormat="1"/>
    <row r="292" s="34" customFormat="1"/>
    <row r="293" s="34" customFormat="1"/>
    <row r="294" s="34" customFormat="1"/>
    <row r="295" s="34" customFormat="1"/>
    <row r="296" s="34" customFormat="1"/>
    <row r="297" s="34" customFormat="1"/>
    <row r="298" s="34" customFormat="1"/>
    <row r="299" s="34" customFormat="1"/>
    <row r="300" s="34" customFormat="1"/>
    <row r="301" s="34" customFormat="1"/>
    <row r="302" s="34" customFormat="1"/>
    <row r="303" s="34" customFormat="1"/>
    <row r="304" s="34" customFormat="1"/>
    <row r="305" s="34" customFormat="1"/>
    <row r="306" s="34" customFormat="1"/>
    <row r="307" s="34" customFormat="1"/>
    <row r="308" s="34" customFormat="1"/>
    <row r="309" s="34" customFormat="1"/>
    <row r="310" s="34" customFormat="1"/>
    <row r="311" s="34" customFormat="1"/>
    <row r="312" s="34" customFormat="1"/>
    <row r="313" s="34" customFormat="1"/>
    <row r="314" s="34" customFormat="1"/>
    <row r="315" s="34" customFormat="1"/>
    <row r="316" s="34" customFormat="1"/>
    <row r="317" s="34" customFormat="1"/>
    <row r="318" s="34" customFormat="1"/>
    <row r="319" s="34" customFormat="1"/>
    <row r="320" s="34" customFormat="1"/>
    <row r="321" s="34" customFormat="1"/>
    <row r="322" s="34" customFormat="1"/>
    <row r="323" s="34" customFormat="1"/>
    <row r="324" s="34" customFormat="1"/>
    <row r="325" s="34" customFormat="1"/>
    <row r="326" s="34" customFormat="1"/>
    <row r="327" s="34" customFormat="1"/>
    <row r="328" s="34" customFormat="1"/>
    <row r="329" s="34" customFormat="1"/>
    <row r="330" s="34" customFormat="1"/>
    <row r="331" s="34" customFormat="1"/>
    <row r="332" s="34" customFormat="1"/>
    <row r="333" s="34" customFormat="1"/>
    <row r="334" s="34" customFormat="1"/>
    <row r="335" s="34" customFormat="1"/>
    <row r="336" s="34" customFormat="1"/>
    <row r="337" s="34" customFormat="1"/>
    <row r="338" s="34" customFormat="1"/>
    <row r="339" s="34" customFormat="1"/>
    <row r="340" s="34" customFormat="1"/>
    <row r="341" s="34" customFormat="1"/>
    <row r="342" s="34" customFormat="1"/>
    <row r="343" s="34" customFormat="1"/>
    <row r="344" s="34" customFormat="1"/>
    <row r="345" s="34" customFormat="1"/>
    <row r="346" s="34" customFormat="1"/>
    <row r="347" s="34" customFormat="1"/>
    <row r="348" s="34" customFormat="1"/>
    <row r="349" s="34" customFormat="1"/>
    <row r="350" s="34" customFormat="1"/>
    <row r="351" s="34" customFormat="1"/>
    <row r="352" s="34" customFormat="1"/>
    <row r="353" s="34" customFormat="1"/>
    <row r="354" s="34" customFormat="1"/>
    <row r="355" s="34" customFormat="1"/>
    <row r="356" s="34" customFormat="1"/>
    <row r="357" s="34" customFormat="1"/>
    <row r="358" s="34" customFormat="1"/>
    <row r="359" s="34" customFormat="1"/>
    <row r="360" s="34" customFormat="1"/>
    <row r="361" s="34" customFormat="1"/>
    <row r="362" s="34" customFormat="1"/>
    <row r="363" s="34" customFormat="1"/>
    <row r="364" s="34" customFormat="1"/>
    <row r="365" s="34" customFormat="1"/>
    <row r="366" s="34" customFormat="1"/>
    <row r="367" s="34" customFormat="1"/>
    <row r="368" s="34" customFormat="1"/>
    <row r="369" s="34" customFormat="1"/>
    <row r="370" s="34" customFormat="1"/>
    <row r="371" s="34" customFormat="1"/>
    <row r="372" s="34" customFormat="1"/>
    <row r="373" s="34" customFormat="1"/>
    <row r="374" s="34" customFormat="1"/>
    <row r="375" s="34" customFormat="1"/>
    <row r="376" s="34" customFormat="1"/>
    <row r="377" s="34" customFormat="1"/>
    <row r="378" s="34" customFormat="1"/>
    <row r="379" s="34" customFormat="1"/>
    <row r="380" s="34" customFormat="1"/>
    <row r="381" s="34" customFormat="1"/>
    <row r="382" s="34" customFormat="1"/>
    <row r="383" s="34" customFormat="1"/>
    <row r="384" s="34" customFormat="1"/>
    <row r="385" s="34" customFormat="1"/>
    <row r="386" s="34" customFormat="1"/>
    <row r="387" s="34" customFormat="1"/>
    <row r="388" s="34" customFormat="1"/>
    <row r="389" s="34" customFormat="1"/>
    <row r="390" s="34" customFormat="1"/>
    <row r="391" s="34" customFormat="1"/>
    <row r="392" s="34" customFormat="1"/>
    <row r="393" s="34" customFormat="1"/>
    <row r="394" s="34" customFormat="1"/>
    <row r="395" s="34" customFormat="1"/>
    <row r="396" s="34" customFormat="1"/>
    <row r="397" s="34" customFormat="1"/>
    <row r="398" s="34" customFormat="1"/>
    <row r="399" s="34" customFormat="1"/>
    <row r="400" s="34" customFormat="1"/>
    <row r="401" s="34" customFormat="1"/>
    <row r="402" s="34" customFormat="1"/>
    <row r="403" s="34" customFormat="1"/>
    <row r="404" s="34" customFormat="1"/>
    <row r="405" s="34" customFormat="1"/>
    <row r="406" s="34" customFormat="1"/>
    <row r="407" s="34" customFormat="1"/>
    <row r="408" s="34" customFormat="1"/>
    <row r="409" s="34" customFormat="1"/>
    <row r="410" s="34" customFormat="1"/>
    <row r="411" s="34" customFormat="1"/>
    <row r="412" s="34" customFormat="1"/>
    <row r="413" s="34" customFormat="1"/>
    <row r="414" s="34" customFormat="1"/>
    <row r="415" s="34" customFormat="1"/>
    <row r="416" s="34" customFormat="1"/>
    <row r="417" s="34" customFormat="1"/>
    <row r="418" s="34" customFormat="1"/>
    <row r="419" s="34" customFormat="1"/>
    <row r="420" s="34" customFormat="1"/>
    <row r="421" s="34" customFormat="1"/>
    <row r="422" s="34" customFormat="1"/>
    <row r="423" s="34" customFormat="1"/>
    <row r="424" s="34" customFormat="1"/>
    <row r="425" s="34" customFormat="1"/>
    <row r="426" s="34" customFormat="1"/>
    <row r="427" s="34" customFormat="1"/>
    <row r="428" s="34" customFormat="1"/>
    <row r="429" s="34" customFormat="1"/>
    <row r="430" s="34" customFormat="1"/>
    <row r="431" s="34" customFormat="1"/>
    <row r="432" s="34" customFormat="1"/>
    <row r="433" s="34" customFormat="1"/>
    <row r="434" s="34" customFormat="1"/>
    <row r="435" s="34" customFormat="1"/>
    <row r="436" s="34" customFormat="1"/>
    <row r="437" s="34" customFormat="1"/>
    <row r="438" s="34" customFormat="1"/>
    <row r="439" s="34" customFormat="1"/>
    <row r="440" s="34" customFormat="1"/>
    <row r="441" s="34" customFormat="1"/>
    <row r="442" s="34" customFormat="1"/>
    <row r="443" s="34" customFormat="1"/>
    <row r="444" s="34" customFormat="1"/>
    <row r="445" s="34" customFormat="1"/>
    <row r="446" s="34" customFormat="1"/>
    <row r="447" s="34" customFormat="1"/>
    <row r="448" s="34" customFormat="1"/>
    <row r="449" s="34" customFormat="1"/>
    <row r="450" s="34" customFormat="1"/>
    <row r="451" s="34" customFormat="1"/>
    <row r="452" s="34" customFormat="1"/>
    <row r="453" s="34" customFormat="1"/>
    <row r="454" s="34" customFormat="1"/>
    <row r="455" s="34" customFormat="1"/>
    <row r="456" s="34" customFormat="1"/>
    <row r="457" s="34" customFormat="1"/>
    <row r="458" s="34" customFormat="1"/>
    <row r="459" s="34" customFormat="1"/>
    <row r="460" s="34" customFormat="1"/>
    <row r="461" s="34" customFormat="1"/>
    <row r="462" s="34" customFormat="1"/>
    <row r="463" s="34" customFormat="1"/>
    <row r="464" s="34" customFormat="1"/>
    <row r="465" s="34" customFormat="1"/>
    <row r="466" s="34" customFormat="1"/>
    <row r="467" s="34" customFormat="1"/>
    <row r="468" s="34" customFormat="1"/>
    <row r="469" s="34" customFormat="1"/>
    <row r="470" s="34" customFormat="1"/>
    <row r="471" s="34" customFormat="1"/>
    <row r="472" s="34" customFormat="1"/>
    <row r="473" s="34" customFormat="1"/>
    <row r="474" s="34" customFormat="1"/>
    <row r="475" s="34" customFormat="1"/>
    <row r="476" s="34" customFormat="1"/>
    <row r="477" s="34" customFormat="1"/>
    <row r="478" s="34" customFormat="1"/>
    <row r="479" s="34" customFormat="1"/>
    <row r="480" s="34" customFormat="1"/>
    <row r="481" s="34" customFormat="1"/>
    <row r="482" s="34" customFormat="1"/>
    <row r="483" s="34" customFormat="1"/>
    <row r="484" s="34" customFormat="1"/>
    <row r="485" s="34" customFormat="1"/>
    <row r="486" s="34" customFormat="1"/>
    <row r="487" s="34" customFormat="1"/>
    <row r="488" s="34" customFormat="1"/>
    <row r="489" s="34" customFormat="1"/>
    <row r="490" s="34" customFormat="1"/>
    <row r="491" s="34" customFormat="1"/>
    <row r="492" s="34" customFormat="1"/>
    <row r="493" s="34" customFormat="1"/>
    <row r="494" s="34" customFormat="1"/>
    <row r="495" s="34" customFormat="1"/>
    <row r="496" s="34" customFormat="1"/>
    <row r="497" s="34" customFormat="1"/>
    <row r="498" s="34" customFormat="1"/>
    <row r="499" s="34" customFormat="1"/>
    <row r="500" s="34" customFormat="1"/>
    <row r="501" s="34" customFormat="1"/>
    <row r="502" s="34" customFormat="1"/>
    <row r="503" s="34" customFormat="1"/>
    <row r="504" s="34" customFormat="1"/>
    <row r="505" s="34" customFormat="1"/>
    <row r="506" s="34" customFormat="1"/>
    <row r="507" s="34" customFormat="1"/>
    <row r="508" s="34" customFormat="1"/>
    <row r="509" s="34" customFormat="1"/>
    <row r="510" s="34" customFormat="1"/>
    <row r="511" s="34" customFormat="1"/>
    <row r="512" s="34" customFormat="1"/>
    <row r="513" s="34" customFormat="1"/>
    <row r="514" s="34" customFormat="1"/>
    <row r="515" s="34" customFormat="1"/>
    <row r="516" s="34" customFormat="1"/>
    <row r="517" s="34" customFormat="1"/>
    <row r="518" s="34" customFormat="1"/>
    <row r="519" s="34" customFormat="1"/>
    <row r="520" s="34" customFormat="1"/>
    <row r="521" s="34" customFormat="1"/>
    <row r="522" s="34" customFormat="1"/>
    <row r="523" s="34" customFormat="1"/>
    <row r="524" s="34" customFormat="1"/>
    <row r="525" s="34" customFormat="1"/>
    <row r="526" s="34" customFormat="1"/>
    <row r="527" s="34" customFormat="1"/>
    <row r="528" s="34" customFormat="1"/>
    <row r="529" s="34" customFormat="1"/>
    <row r="530" s="34" customFormat="1"/>
    <row r="531" s="34" customFormat="1"/>
    <row r="532" s="34" customFormat="1"/>
    <row r="533" s="34" customFormat="1"/>
    <row r="534" s="34" customFormat="1"/>
    <row r="535" s="34" customFormat="1"/>
    <row r="536" s="34" customFormat="1"/>
    <row r="537" s="34" customFormat="1"/>
    <row r="538" s="34" customFormat="1"/>
    <row r="539" s="34" customFormat="1"/>
    <row r="540" s="34" customFormat="1"/>
    <row r="541" s="34" customFormat="1"/>
    <row r="542" s="34" customFormat="1"/>
    <row r="543" s="34" customFormat="1"/>
    <row r="544" s="34" customFormat="1"/>
    <row r="545" s="34" customFormat="1"/>
    <row r="546" s="34" customFormat="1"/>
    <row r="547" s="34" customFormat="1"/>
    <row r="548" s="34" customFormat="1"/>
    <row r="549" s="34" customFormat="1"/>
    <row r="550" s="34" customFormat="1"/>
    <row r="551" s="34" customFormat="1"/>
    <row r="552" s="34" customFormat="1"/>
    <row r="553" s="34" customFormat="1"/>
    <row r="554" s="34" customFormat="1"/>
    <row r="555" s="34" customFormat="1"/>
    <row r="556" s="34" customFormat="1"/>
    <row r="557" s="34" customFormat="1"/>
    <row r="558" s="34" customFormat="1"/>
    <row r="559" s="34" customFormat="1"/>
    <row r="560" s="34" customFormat="1"/>
    <row r="561" s="34" customFormat="1"/>
    <row r="562" s="34" customFormat="1"/>
    <row r="563" s="34" customFormat="1"/>
    <row r="564" s="34" customFormat="1"/>
    <row r="565" s="34" customFormat="1"/>
    <row r="566" s="34" customFormat="1"/>
    <row r="567" s="34" customFormat="1"/>
    <row r="568" s="34" customFormat="1"/>
    <row r="569" s="34" customFormat="1"/>
    <row r="570" s="34" customFormat="1"/>
    <row r="571" s="34" customFormat="1"/>
    <row r="572" s="34" customFormat="1"/>
    <row r="573" s="34" customFormat="1"/>
    <row r="574" s="34" customFormat="1"/>
    <row r="575" s="34" customFormat="1"/>
    <row r="576" s="34" customFormat="1"/>
    <row r="577" s="34" customFormat="1"/>
    <row r="578" s="34" customFormat="1"/>
    <row r="579" s="34" customFormat="1"/>
    <row r="580" s="34" customFormat="1"/>
    <row r="581" s="34" customFormat="1"/>
    <row r="582" s="34" customFormat="1"/>
    <row r="583" s="34" customFormat="1"/>
    <row r="584" s="34" customFormat="1"/>
    <row r="585" s="34" customFormat="1"/>
    <row r="586" s="34" customFormat="1"/>
    <row r="587" s="34" customFormat="1"/>
    <row r="588" s="34" customFormat="1"/>
    <row r="589" s="34" customFormat="1"/>
    <row r="590" s="34" customFormat="1"/>
    <row r="591" s="34" customFormat="1"/>
    <row r="592" s="34" customFormat="1"/>
    <row r="593" s="34" customFormat="1"/>
    <row r="594" s="34" customFormat="1"/>
    <row r="595" s="34" customFormat="1"/>
    <row r="596" s="34" customFormat="1"/>
    <row r="597" s="34" customFormat="1"/>
    <row r="598" s="34" customFormat="1"/>
    <row r="599" s="34" customFormat="1"/>
    <row r="600" s="34" customFormat="1"/>
    <row r="601" s="34" customFormat="1"/>
    <row r="602" s="34" customFormat="1"/>
    <row r="603" s="34" customFormat="1"/>
    <row r="604" s="34" customFormat="1"/>
    <row r="605" s="34" customFormat="1"/>
    <row r="606" s="34" customFormat="1"/>
    <row r="607" s="34" customFormat="1"/>
    <row r="608" s="34" customFormat="1"/>
    <row r="609" s="34" customFormat="1"/>
    <row r="610" s="34" customFormat="1"/>
    <row r="611" s="34" customFormat="1"/>
    <row r="612" s="34" customFormat="1"/>
    <row r="613" s="34" customFormat="1"/>
    <row r="614" s="34" customFormat="1"/>
    <row r="615" s="34" customFormat="1"/>
    <row r="616" s="34" customFormat="1"/>
    <row r="617" s="34" customFormat="1"/>
    <row r="618" s="34" customFormat="1"/>
    <row r="619" s="34" customFormat="1"/>
    <row r="620" s="34" customFormat="1"/>
    <row r="621" s="34" customFormat="1"/>
    <row r="622" s="34" customFormat="1"/>
    <row r="623" s="34" customFormat="1"/>
    <row r="624" s="34" customFormat="1"/>
    <row r="625" s="34" customFormat="1"/>
    <row r="626" s="34" customFormat="1"/>
    <row r="627" s="34" customFormat="1"/>
    <row r="628" s="34" customFormat="1"/>
    <row r="629" s="34" customFormat="1"/>
    <row r="630" s="34" customFormat="1"/>
    <row r="631" s="34" customFormat="1"/>
    <row r="632" s="34" customFormat="1"/>
    <row r="633" s="34" customFormat="1"/>
    <row r="634" s="34" customFormat="1"/>
    <row r="635" s="34" customFormat="1"/>
    <row r="636" s="34" customFormat="1"/>
    <row r="637" s="34" customFormat="1"/>
    <row r="638" s="34" customFormat="1"/>
    <row r="639" s="34" customFormat="1"/>
    <row r="640" s="34" customFormat="1"/>
    <row r="641" s="34" customFormat="1"/>
    <row r="642" s="34" customFormat="1"/>
    <row r="643" s="34" customFormat="1"/>
    <row r="644" s="34" customFormat="1"/>
    <row r="645" s="34" customFormat="1"/>
    <row r="646" s="34" customFormat="1"/>
    <row r="647" s="34" customFormat="1"/>
    <row r="648" s="34" customFormat="1"/>
    <row r="649" s="34" customFormat="1"/>
    <row r="650" s="34" customFormat="1"/>
    <row r="651" s="34" customFormat="1"/>
    <row r="652" s="34" customFormat="1"/>
    <row r="653" s="34" customFormat="1"/>
    <row r="654" s="34" customFormat="1"/>
    <row r="655" s="34" customFormat="1"/>
    <row r="656" s="34" customFormat="1"/>
    <row r="657" s="34" customFormat="1"/>
    <row r="658" s="34" customFormat="1"/>
    <row r="659" s="34" customFormat="1"/>
    <row r="660" s="34" customFormat="1"/>
    <row r="661" s="34" customFormat="1"/>
    <row r="662" s="34" customFormat="1"/>
    <row r="663" s="34" customFormat="1"/>
    <row r="664" s="34" customFormat="1"/>
    <row r="665" s="34" customFormat="1"/>
    <row r="666" s="34" customFormat="1"/>
    <row r="667" s="34" customFormat="1"/>
    <row r="668" s="34" customFormat="1"/>
    <row r="669" s="34" customFormat="1"/>
    <row r="670" s="34" customFormat="1"/>
    <row r="671" s="34" customFormat="1"/>
    <row r="672" s="34" customFormat="1"/>
    <row r="673" s="34" customFormat="1"/>
    <row r="674" s="34" customFormat="1"/>
    <row r="675" s="34" customFormat="1"/>
    <row r="676" s="34" customFormat="1"/>
    <row r="677" s="34" customFormat="1"/>
    <row r="678" s="34" customFormat="1"/>
    <row r="679" s="34" customFormat="1"/>
    <row r="680" s="34" customFormat="1"/>
    <row r="681" s="34" customFormat="1"/>
    <row r="682" s="34" customFormat="1"/>
    <row r="683" s="34" customFormat="1"/>
    <row r="684" s="34" customFormat="1"/>
    <row r="685" s="34" customFormat="1"/>
    <row r="686" s="34" customFormat="1"/>
    <row r="687" s="34" customFormat="1"/>
    <row r="688" s="34" customFormat="1"/>
    <row r="689" s="34" customFormat="1"/>
    <row r="690" s="34" customFormat="1"/>
    <row r="691" s="34" customFormat="1"/>
    <row r="692" s="34" customFormat="1"/>
    <row r="693" s="34" customFormat="1"/>
    <row r="694" s="34" customFormat="1"/>
    <row r="695" s="34" customFormat="1"/>
    <row r="696" s="34" customFormat="1"/>
    <row r="697" s="34" customFormat="1"/>
    <row r="698" s="34" customFormat="1"/>
    <row r="699" s="34" customFormat="1"/>
    <row r="700" s="34" customFormat="1"/>
    <row r="701" s="34" customFormat="1"/>
    <row r="702" s="34" customFormat="1"/>
    <row r="703" s="34" customFormat="1"/>
    <row r="704" s="34" customFormat="1"/>
    <row r="705" s="34" customFormat="1"/>
    <row r="706" s="34" customFormat="1"/>
    <row r="707" s="34" customFormat="1"/>
    <row r="708" s="34" customFormat="1"/>
    <row r="709" s="34" customFormat="1"/>
    <row r="710" s="34" customFormat="1"/>
    <row r="711" s="34" customFormat="1"/>
    <row r="712" s="34" customFormat="1"/>
    <row r="713" s="34" customFormat="1"/>
    <row r="714" s="34" customFormat="1"/>
    <row r="715" s="34" customFormat="1"/>
    <row r="716" s="34" customFormat="1"/>
    <row r="717" s="34" customFormat="1"/>
    <row r="718" s="34" customFormat="1"/>
    <row r="719" s="34" customFormat="1"/>
    <row r="720" s="34" customFormat="1"/>
    <row r="721" s="34" customFormat="1"/>
    <row r="722" s="34" customFormat="1"/>
    <row r="723" s="34" customFormat="1"/>
    <row r="724" s="34" customFormat="1"/>
    <row r="725" s="34" customFormat="1"/>
    <row r="726" s="34" customFormat="1"/>
    <row r="727" s="34" customFormat="1"/>
    <row r="728" s="34" customFormat="1"/>
    <row r="729" s="34" customFormat="1"/>
    <row r="730" s="34" customFormat="1"/>
    <row r="731" s="34" customFormat="1"/>
    <row r="732" s="34" customFormat="1"/>
    <row r="733" s="34" customFormat="1"/>
    <row r="734" s="34" customFormat="1"/>
    <row r="735" s="34" customFormat="1"/>
    <row r="736" s="34" customFormat="1"/>
    <row r="737" s="34" customFormat="1"/>
    <row r="738" s="34" customFormat="1"/>
    <row r="739" s="34" customFormat="1"/>
    <row r="740" s="34" customFormat="1"/>
    <row r="741" s="34" customFormat="1"/>
    <row r="742" s="34" customFormat="1"/>
    <row r="743" s="34" customFormat="1"/>
    <row r="744" s="34" customFormat="1"/>
    <row r="745" s="34" customFormat="1"/>
    <row r="746" s="34" customFormat="1"/>
    <row r="747" s="34" customFormat="1"/>
    <row r="748" s="34" customFormat="1"/>
    <row r="749" s="34" customFormat="1"/>
    <row r="750" s="34" customFormat="1"/>
    <row r="751" s="34" customFormat="1"/>
    <row r="752" s="34" customFormat="1"/>
    <row r="753" s="34" customFormat="1"/>
    <row r="754" s="34" customFormat="1"/>
    <row r="755" s="34" customFormat="1"/>
    <row r="756" s="34" customFormat="1"/>
    <row r="757" s="34" customFormat="1"/>
    <row r="758" s="34" customFormat="1"/>
    <row r="759" s="34" customFormat="1"/>
    <row r="760" s="34" customFormat="1"/>
    <row r="761" s="34" customFormat="1"/>
    <row r="762" s="34" customFormat="1"/>
    <row r="763" s="34" customFormat="1"/>
    <row r="764" s="34" customFormat="1"/>
    <row r="765" s="34" customFormat="1"/>
    <row r="766" s="34" customFormat="1"/>
    <row r="767" s="34" customFormat="1"/>
    <row r="768" s="34" customFormat="1"/>
    <row r="769" s="34" customFormat="1"/>
    <row r="770" s="34" customFormat="1"/>
    <row r="771" s="34" customFormat="1"/>
    <row r="772" s="34" customFormat="1"/>
    <row r="773" s="34" customFormat="1"/>
    <row r="774" s="34" customFormat="1"/>
    <row r="775" s="34" customFormat="1"/>
    <row r="776" s="34" customFormat="1"/>
    <row r="777" s="34" customFormat="1"/>
    <row r="778" s="34" customFormat="1"/>
    <row r="779" s="34" customFormat="1"/>
    <row r="780" s="34" customFormat="1"/>
    <row r="781" s="34" customFormat="1"/>
    <row r="782" s="34" customFormat="1"/>
    <row r="783" s="34" customFormat="1"/>
    <row r="784" s="34" customFormat="1"/>
    <row r="785" s="34" customFormat="1"/>
    <row r="786" s="34" customFormat="1"/>
    <row r="787" s="34" customFormat="1"/>
    <row r="788" s="34" customFormat="1"/>
    <row r="789" s="34" customFormat="1"/>
    <row r="790" s="34" customFormat="1"/>
    <row r="791" s="34" customFormat="1"/>
    <row r="792" s="34" customFormat="1"/>
    <row r="793" s="34" customFormat="1"/>
    <row r="794" s="34" customFormat="1"/>
    <row r="795" s="34" customFormat="1"/>
    <row r="796" s="34" customFormat="1"/>
    <row r="797" s="34" customFormat="1"/>
    <row r="798" s="34" customFormat="1"/>
    <row r="799" s="34" customFormat="1"/>
    <row r="800" s="34" customFormat="1"/>
    <row r="801" s="34" customFormat="1"/>
    <row r="802" s="34" customFormat="1"/>
    <row r="803" s="34" customFormat="1"/>
    <row r="804" s="34" customFormat="1"/>
    <row r="805" s="34" customFormat="1"/>
    <row r="806" s="34" customFormat="1"/>
    <row r="807" s="34" customFormat="1"/>
    <row r="808" s="34" customFormat="1"/>
    <row r="809" s="34" customFormat="1"/>
    <row r="810" s="34" customFormat="1"/>
    <row r="811" s="34" customFormat="1"/>
    <row r="812" s="34" customFormat="1"/>
    <row r="813" s="34" customFormat="1"/>
    <row r="814" s="34" customFormat="1"/>
    <row r="815" s="34" customFormat="1"/>
    <row r="816" s="34" customFormat="1"/>
    <row r="817" s="34" customFormat="1"/>
    <row r="818" s="34" customFormat="1"/>
    <row r="819" s="34" customFormat="1"/>
    <row r="820" s="34" customFormat="1"/>
    <row r="821" s="34" customFormat="1"/>
    <row r="822" s="34" customFormat="1"/>
    <row r="823" s="34" customFormat="1"/>
    <row r="824" s="34" customFormat="1"/>
    <row r="825" s="34" customFormat="1"/>
    <row r="826" s="34" customFormat="1"/>
    <row r="827" s="34" customFormat="1"/>
    <row r="828" s="34" customFormat="1"/>
    <row r="829" s="34" customFormat="1"/>
    <row r="830" s="34" customFormat="1"/>
    <row r="831" s="34" customFormat="1"/>
    <row r="832" s="34" customFormat="1"/>
    <row r="833" s="34" customFormat="1"/>
    <row r="834" s="34" customFormat="1"/>
    <row r="835" s="34" customFormat="1"/>
    <row r="836" s="34" customFormat="1"/>
    <row r="837" s="34" customFormat="1"/>
    <row r="838" s="34" customFormat="1"/>
    <row r="839" s="34" customFormat="1"/>
    <row r="840" s="34" customFormat="1"/>
    <row r="841" s="34" customFormat="1"/>
    <row r="842" s="34" customFormat="1"/>
    <row r="843" s="34" customFormat="1"/>
    <row r="844" s="34" customFormat="1"/>
    <row r="845" s="34" customFormat="1"/>
    <row r="846" s="34" customFormat="1"/>
    <row r="847" s="34" customFormat="1"/>
    <row r="848" s="34" customFormat="1"/>
    <row r="849" s="34" customFormat="1"/>
    <row r="850" s="34" customFormat="1"/>
    <row r="851" s="34" customFormat="1"/>
    <row r="852" s="34" customFormat="1"/>
    <row r="853" s="34" customFormat="1"/>
    <row r="854" s="34" customFormat="1"/>
    <row r="855" s="34" customFormat="1"/>
    <row r="856" s="34" customFormat="1"/>
    <row r="857" s="34" customFormat="1"/>
    <row r="858" s="34" customFormat="1"/>
    <row r="859" s="34" customFormat="1"/>
    <row r="860" s="34" customFormat="1"/>
    <row r="861" s="34" customFormat="1"/>
    <row r="862" s="34" customFormat="1"/>
    <row r="863" s="34" customFormat="1"/>
    <row r="864" s="34" customFormat="1"/>
    <row r="865" s="34" customFormat="1"/>
    <row r="866" s="34" customFormat="1"/>
    <row r="867" s="34" customFormat="1"/>
    <row r="868" s="34" customFormat="1"/>
    <row r="869" s="34" customFormat="1"/>
    <row r="870" s="34" customFormat="1"/>
    <row r="871" s="34" customFormat="1"/>
    <row r="872" s="34" customFormat="1"/>
    <row r="873" s="34" customFormat="1"/>
    <row r="874" s="34" customFormat="1"/>
    <row r="875" s="34" customFormat="1"/>
    <row r="876" s="34" customFormat="1"/>
    <row r="877" s="34" customFormat="1"/>
    <row r="878" s="34" customFormat="1"/>
    <row r="879" s="34" customFormat="1"/>
    <row r="880" s="34" customFormat="1"/>
    <row r="881" s="34" customFormat="1"/>
    <row r="882" s="34" customFormat="1"/>
    <row r="883" s="34" customFormat="1"/>
    <row r="884" s="34" customFormat="1"/>
    <row r="885" s="34" customFormat="1"/>
    <row r="886" s="34" customFormat="1"/>
    <row r="887" s="34" customFormat="1"/>
    <row r="888" s="34" customFormat="1"/>
    <row r="889" s="34" customFormat="1"/>
    <row r="890" s="34" customFormat="1"/>
    <row r="891" s="34" customFormat="1"/>
    <row r="892" s="34" customFormat="1"/>
    <row r="893" s="34" customFormat="1"/>
    <row r="894" s="34" customFormat="1"/>
    <row r="895" s="34" customFormat="1"/>
    <row r="896" s="34" customFormat="1"/>
    <row r="897" s="34" customFormat="1"/>
    <row r="898" s="34" customFormat="1"/>
    <row r="899" s="34" customFormat="1"/>
    <row r="900" s="34" customFormat="1"/>
    <row r="901" s="34" customFormat="1"/>
    <row r="902" s="34" customFormat="1"/>
    <row r="903" s="34" customFormat="1"/>
    <row r="904" s="34" customFormat="1"/>
    <row r="905" s="34" customFormat="1"/>
    <row r="906" s="34" customFormat="1"/>
    <row r="907" s="34" customFormat="1"/>
    <row r="908" s="34" customFormat="1"/>
    <row r="909" s="34" customFormat="1"/>
    <row r="910" s="34" customFormat="1"/>
    <row r="911" s="34" customFormat="1"/>
    <row r="912" s="34" customFormat="1"/>
    <row r="913" s="34" customFormat="1"/>
    <row r="914" s="34" customFormat="1"/>
    <row r="915" s="34" customFormat="1"/>
    <row r="916" s="34" customFormat="1"/>
    <row r="917" s="34" customFormat="1"/>
    <row r="918" s="34" customFormat="1"/>
    <row r="919" s="34" customFormat="1"/>
    <row r="920" s="34" customFormat="1"/>
    <row r="921" s="34" customFormat="1"/>
    <row r="922" s="34" customFormat="1"/>
    <row r="923" s="34" customFormat="1"/>
    <row r="924" s="34" customFormat="1"/>
    <row r="925" s="34" customFormat="1"/>
    <row r="926" s="34" customFormat="1"/>
    <row r="927" s="34" customFormat="1"/>
    <row r="928" s="34" customFormat="1"/>
    <row r="929" s="34" customFormat="1"/>
    <row r="930" s="34" customFormat="1"/>
    <row r="931" s="34" customFormat="1"/>
    <row r="932" s="34" customFormat="1"/>
    <row r="933" s="34" customFormat="1"/>
    <row r="934" s="34" customFormat="1"/>
    <row r="935" s="34" customFormat="1"/>
    <row r="936" s="34" customFormat="1"/>
    <row r="937" s="34" customFormat="1"/>
    <row r="938" s="34" customFormat="1"/>
    <row r="939" s="34" customFormat="1"/>
    <row r="940" s="34" customFormat="1"/>
    <row r="941" s="34" customFormat="1"/>
    <row r="942" s="34" customFormat="1"/>
    <row r="943" s="34" customFormat="1"/>
    <row r="944" s="34" customFormat="1"/>
    <row r="945" s="34" customFormat="1"/>
    <row r="946" s="34" customFormat="1"/>
    <row r="947" s="34" customFormat="1"/>
    <row r="948" s="34" customFormat="1"/>
    <row r="949" s="34" customFormat="1"/>
    <row r="950" s="34" customFormat="1"/>
    <row r="951" s="34" customFormat="1"/>
    <row r="952" s="34" customFormat="1"/>
    <row r="953" s="34" customFormat="1"/>
    <row r="954" s="34" customFormat="1"/>
    <row r="955" s="34" customFormat="1"/>
    <row r="956" s="34" customFormat="1"/>
    <row r="957" s="34" customFormat="1"/>
    <row r="958" s="34" customFormat="1"/>
    <row r="959" s="34" customFormat="1"/>
    <row r="960" s="34" customFormat="1"/>
    <row r="961" s="34" customFormat="1"/>
    <row r="962" s="34" customFormat="1"/>
    <row r="963" s="34" customFormat="1"/>
    <row r="964" s="34" customFormat="1"/>
    <row r="965" s="34" customFormat="1"/>
    <row r="966" s="34" customFormat="1"/>
    <row r="967" s="34" customFormat="1"/>
    <row r="968" s="34" customFormat="1"/>
    <row r="969" s="34" customFormat="1"/>
    <row r="970" s="34" customFormat="1"/>
    <row r="971" s="34" customFormat="1"/>
    <row r="972" s="34" customFormat="1"/>
    <row r="973" s="34" customFormat="1"/>
    <row r="974" s="34" customFormat="1"/>
    <row r="975" s="34" customFormat="1"/>
    <row r="976" s="34" customFormat="1"/>
    <row r="977" s="34" customFormat="1"/>
    <row r="978" s="34" customFormat="1"/>
    <row r="979" s="34" customFormat="1"/>
    <row r="980" s="34" customFormat="1"/>
    <row r="981" s="34" customFormat="1"/>
    <row r="982" s="34" customFormat="1"/>
    <row r="983" s="34" customFormat="1"/>
    <row r="984" s="34" customFormat="1"/>
    <row r="985" s="34" customFormat="1"/>
    <row r="986" s="34" customFormat="1"/>
    <row r="987" s="34" customFormat="1"/>
    <row r="988" s="34" customFormat="1"/>
    <row r="989" s="34" customFormat="1"/>
    <row r="990" s="34" customFormat="1"/>
    <row r="991" s="34" customFormat="1"/>
    <row r="992" s="34" customFormat="1"/>
    <row r="993" s="34" customFormat="1"/>
    <row r="994" s="34" customFormat="1"/>
    <row r="995" s="34" customFormat="1"/>
    <row r="996" s="34" customFormat="1"/>
    <row r="997" s="34" customFormat="1"/>
    <row r="998" s="34" customFormat="1"/>
    <row r="999" s="34" customFormat="1"/>
    <row r="1000" s="34" customFormat="1"/>
    <row r="1001" s="34" customFormat="1"/>
    <row r="1002" s="34" customFormat="1"/>
    <row r="1003" s="34" customFormat="1"/>
    <row r="1004" s="34" customFormat="1"/>
    <row r="1005" s="34" customFormat="1"/>
    <row r="1006" s="34" customFormat="1"/>
    <row r="1007" s="34" customFormat="1"/>
    <row r="1008" s="34" customFormat="1"/>
    <row r="1009" s="34" customFormat="1"/>
    <row r="1010" s="34" customFormat="1"/>
    <row r="1011" s="34" customFormat="1"/>
    <row r="1012" s="34" customFormat="1"/>
    <row r="1013" s="34" customFormat="1"/>
    <row r="1014" s="34" customFormat="1"/>
    <row r="1015" s="34" customFormat="1"/>
    <row r="1016" s="34" customFormat="1"/>
    <row r="1017" s="34" customFormat="1"/>
    <row r="1018" s="34" customFormat="1"/>
    <row r="1019" s="34" customFormat="1"/>
    <row r="1020" s="34" customFormat="1"/>
    <row r="1021" s="34" customFormat="1"/>
    <row r="1022" s="34" customFormat="1"/>
    <row r="1023" s="34" customFormat="1"/>
    <row r="1024" s="34" customFormat="1"/>
    <row r="1025" s="34" customFormat="1"/>
    <row r="1026" s="34" customFormat="1"/>
    <row r="1027" s="34" customFormat="1"/>
    <row r="1028" s="34" customFormat="1"/>
    <row r="1029" s="34" customFormat="1"/>
    <row r="1030" s="34" customFormat="1"/>
    <row r="1031" s="34" customFormat="1"/>
    <row r="1032" s="34" customFormat="1"/>
    <row r="1033" s="34" customFormat="1"/>
    <row r="1034" s="34" customFormat="1"/>
    <row r="1035" s="34" customFormat="1"/>
    <row r="1036" s="34" customFormat="1"/>
    <row r="1037" s="34" customFormat="1"/>
    <row r="1038" s="34" customFormat="1"/>
    <row r="1039" s="34" customFormat="1"/>
    <row r="1040" s="34" customFormat="1"/>
    <row r="1041" s="34" customFormat="1"/>
    <row r="1042" s="34" customFormat="1"/>
    <row r="1043" s="34" customFormat="1"/>
    <row r="1044" s="34" customFormat="1"/>
    <row r="1045" s="34" customFormat="1"/>
    <row r="1046" s="34" customFormat="1"/>
    <row r="1047" s="34" customFormat="1"/>
    <row r="1048" s="34" customFormat="1"/>
    <row r="1049" s="34" customFormat="1"/>
    <row r="1050" s="34" customFormat="1"/>
    <row r="1051" s="34" customFormat="1"/>
    <row r="1052" s="34" customFormat="1"/>
    <row r="1053" s="34" customFormat="1"/>
    <row r="1054" s="34" customFormat="1"/>
    <row r="1055" s="34" customFormat="1"/>
    <row r="1056" s="34" customFormat="1"/>
    <row r="1057" s="34" customFormat="1"/>
    <row r="1058" s="34" customFormat="1"/>
    <row r="1059" s="34" customFormat="1"/>
    <row r="1060" s="34" customFormat="1"/>
    <row r="1061" s="34" customFormat="1"/>
    <row r="1062" s="34" customFormat="1"/>
    <row r="1063" s="34" customFormat="1"/>
    <row r="1064" s="34" customFormat="1"/>
    <row r="1065" s="34" customFormat="1"/>
    <row r="1066" s="34" customFormat="1"/>
    <row r="1067" s="34" customFormat="1"/>
    <row r="1068" s="34" customFormat="1"/>
    <row r="1069" s="34" customFormat="1"/>
    <row r="1070" s="34" customFormat="1"/>
    <row r="1071" s="34" customFormat="1"/>
    <row r="1072" s="34" customFormat="1"/>
    <row r="1073" s="34" customFormat="1"/>
    <row r="1074" s="34" customFormat="1"/>
    <row r="1075" s="34" customFormat="1"/>
    <row r="1076" s="34" customFormat="1"/>
    <row r="1077" s="34" customFormat="1"/>
    <row r="1078" s="34" customFormat="1"/>
    <row r="1079" s="34" customFormat="1"/>
    <row r="1080" s="34" customFormat="1"/>
    <row r="1081" s="34" customFormat="1"/>
    <row r="1082" s="34" customFormat="1"/>
    <row r="1083" s="34" customFormat="1"/>
    <row r="1084" s="34" customFormat="1"/>
    <row r="1085" s="34" customFormat="1"/>
    <row r="1086" s="34" customFormat="1"/>
    <row r="1087" s="34" customFormat="1"/>
    <row r="1088" s="34" customFormat="1"/>
    <row r="1089" s="34" customFormat="1"/>
    <row r="1090" s="34" customFormat="1"/>
    <row r="1091" s="34" customFormat="1"/>
    <row r="1092" s="34" customFormat="1"/>
    <row r="1093" s="34" customFormat="1"/>
    <row r="1094" s="34" customFormat="1"/>
    <row r="1095" s="34" customFormat="1"/>
    <row r="1096" s="34" customFormat="1"/>
    <row r="1097" s="34" customFormat="1"/>
    <row r="1098" s="34" customFormat="1"/>
    <row r="1099" s="34" customFormat="1"/>
    <row r="1100" s="34" customFormat="1"/>
    <row r="1101" s="34" customFormat="1"/>
    <row r="1102" s="34" customFormat="1"/>
    <row r="1103" s="34" customFormat="1"/>
    <row r="1104" s="34" customFormat="1"/>
    <row r="1105" s="34" customFormat="1"/>
    <row r="1106" s="34" customFormat="1"/>
    <row r="1107" s="34" customFormat="1"/>
    <row r="1108" s="34" customFormat="1"/>
    <row r="1109" s="34" customFormat="1"/>
    <row r="1110" s="34" customFormat="1"/>
    <row r="1111" s="34" customFormat="1"/>
    <row r="1112" s="34" customFormat="1"/>
    <row r="1113" s="34" customFormat="1"/>
    <row r="1114" s="34" customFormat="1"/>
    <row r="1115" s="34" customFormat="1"/>
    <row r="1116" s="34" customFormat="1"/>
    <row r="1117" s="34" customFormat="1"/>
    <row r="1118" s="34" customFormat="1"/>
    <row r="1119" s="34" customFormat="1"/>
    <row r="1120" s="34" customFormat="1"/>
    <row r="1121" s="34" customFormat="1"/>
    <row r="1122" s="34" customFormat="1"/>
    <row r="1123" s="34" customFormat="1"/>
    <row r="1124" s="34" customFormat="1"/>
    <row r="1125" s="34" customFormat="1"/>
    <row r="1126" s="34" customFormat="1"/>
    <row r="1127" s="34" customFormat="1"/>
    <row r="1128" s="34" customFormat="1"/>
    <row r="1129" s="34" customFormat="1"/>
    <row r="1130" s="34" customFormat="1"/>
    <row r="1131" s="34" customFormat="1"/>
    <row r="1132" s="34" customFormat="1"/>
    <row r="1133" s="34" customFormat="1"/>
    <row r="1134" s="34" customFormat="1"/>
    <row r="1135" s="34" customFormat="1"/>
    <row r="1136" s="34" customFormat="1"/>
    <row r="1137" s="34" customFormat="1"/>
    <row r="1138" s="34" customFormat="1"/>
    <row r="1139" s="34" customFormat="1"/>
    <row r="1140" s="34" customFormat="1"/>
    <row r="1141" s="34" customFormat="1"/>
    <row r="1142" s="34" customFormat="1"/>
    <row r="1143" s="34" customFormat="1"/>
    <row r="1144" s="34" customFormat="1"/>
    <row r="1145" s="34" customFormat="1"/>
    <row r="1146" s="34" customFormat="1"/>
    <row r="1147" s="34" customFormat="1"/>
    <row r="1148" s="34" customFormat="1"/>
    <row r="1149" s="34" customFormat="1"/>
    <row r="1150" s="34" customFormat="1"/>
    <row r="1151" s="34" customFormat="1"/>
    <row r="1152" s="34" customFormat="1"/>
    <row r="1153" s="34" customFormat="1"/>
    <row r="1154" s="34" customFormat="1"/>
    <row r="1155" s="34" customFormat="1"/>
    <row r="1156" s="34" customFormat="1"/>
    <row r="1157" s="34" customFormat="1"/>
    <row r="1158" s="34" customFormat="1"/>
    <row r="1159" s="34" customFormat="1"/>
    <row r="1160" s="34" customFormat="1"/>
    <row r="1161" s="34" customFormat="1"/>
    <row r="1162" s="34" customFormat="1"/>
    <row r="1163" s="34" customFormat="1"/>
    <row r="1164" s="34" customFormat="1"/>
    <row r="1165" s="34" customFormat="1"/>
    <row r="1166" s="34" customFormat="1"/>
    <row r="1167" s="34" customFormat="1"/>
    <row r="1168" s="34" customFormat="1"/>
    <row r="1169" s="34" customFormat="1"/>
    <row r="1170" s="34" customFormat="1"/>
    <row r="1171" s="34" customFormat="1"/>
    <row r="1172" s="34" customFormat="1"/>
    <row r="1173" s="34" customFormat="1"/>
    <row r="1174" s="34" customFormat="1"/>
    <row r="1175" s="34" customFormat="1"/>
    <row r="1176" s="34" customFormat="1"/>
    <row r="1177" s="34" customFormat="1"/>
    <row r="1178" s="34" customFormat="1"/>
    <row r="1179" s="34" customFormat="1"/>
    <row r="1180" s="34" customFormat="1"/>
    <row r="1181" s="34" customFormat="1"/>
    <row r="1182" s="34" customFormat="1"/>
    <row r="1183" s="34" customFormat="1"/>
    <row r="1184" s="34" customFormat="1"/>
    <row r="1185" s="34" customFormat="1"/>
    <row r="1186" s="34" customFormat="1"/>
    <row r="1187" s="34" customFormat="1"/>
    <row r="1188" s="34" customFormat="1"/>
    <row r="1189" s="34" customFormat="1"/>
    <row r="1190" s="34" customFormat="1"/>
    <row r="1191" s="34" customFormat="1"/>
    <row r="1192" s="34" customFormat="1"/>
    <row r="1193" s="34" customFormat="1"/>
    <row r="1194" s="34" customFormat="1"/>
    <row r="1195" s="34" customFormat="1"/>
    <row r="1196" s="34" customFormat="1"/>
    <row r="1197" s="34" customFormat="1"/>
    <row r="1198" s="34" customFormat="1"/>
    <row r="1199" s="34" customFormat="1"/>
    <row r="1200" s="34" customFormat="1"/>
    <row r="1201" s="34" customFormat="1"/>
    <row r="1202" s="34" customFormat="1"/>
    <row r="1203" s="34" customFormat="1"/>
    <row r="1204" s="34" customFormat="1"/>
    <row r="1205" s="34" customFormat="1"/>
    <row r="1206" s="34" customFormat="1"/>
    <row r="1207" s="34" customFormat="1"/>
    <row r="1208" s="34" customFormat="1"/>
    <row r="1209" s="34" customFormat="1"/>
    <row r="1210" s="34" customFormat="1"/>
    <row r="1211" s="34" customFormat="1"/>
    <row r="1212" s="34" customFormat="1"/>
    <row r="1213" s="34" customFormat="1"/>
    <row r="1214" s="34" customFormat="1"/>
    <row r="1215" s="34" customFormat="1"/>
    <row r="1216" s="34" customFormat="1"/>
    <row r="1217" s="34" customFormat="1"/>
    <row r="1218" s="34" customFormat="1"/>
    <row r="1219" s="34" customFormat="1"/>
    <row r="1220" s="34" customFormat="1"/>
    <row r="1221" s="34" customFormat="1"/>
    <row r="1222" s="34" customFormat="1"/>
    <row r="1223" s="34" customFormat="1"/>
    <row r="1224" s="34" customFormat="1"/>
    <row r="1225" s="34" customFormat="1"/>
    <row r="1226" s="34" customFormat="1"/>
    <row r="1227" s="34" customFormat="1"/>
    <row r="1228" s="34" customFormat="1"/>
    <row r="1229" s="34" customFormat="1"/>
    <row r="1230" s="34" customFormat="1"/>
    <row r="1231" s="34" customFormat="1"/>
    <row r="1232" s="34" customFormat="1"/>
    <row r="1233" s="34" customFormat="1"/>
    <row r="1234" s="34" customFormat="1"/>
    <row r="1235" s="34" customFormat="1"/>
    <row r="1236" s="34" customFormat="1"/>
    <row r="1237" s="34" customFormat="1"/>
    <row r="1238" s="34" customFormat="1"/>
    <row r="1239" s="34" customFormat="1"/>
    <row r="1240" s="34" customFormat="1"/>
    <row r="1241" s="34" customFormat="1"/>
    <row r="1242" s="34" customFormat="1"/>
    <row r="1243" s="34" customFormat="1"/>
    <row r="1244" s="34" customFormat="1"/>
    <row r="1245" s="34" customFormat="1"/>
    <row r="1246" s="34" customFormat="1"/>
    <row r="1247" s="34" customFormat="1"/>
    <row r="1248" s="34" customFormat="1"/>
    <row r="1249" s="34" customFormat="1"/>
    <row r="1250" s="34" customFormat="1"/>
    <row r="1251" s="34" customFormat="1"/>
    <row r="1252" s="34" customFormat="1"/>
    <row r="1253" s="34" customFormat="1"/>
    <row r="1254" s="34" customFormat="1"/>
    <row r="1255" s="34" customFormat="1"/>
    <row r="1256" s="34" customFormat="1"/>
    <row r="1257" s="34" customFormat="1"/>
    <row r="1258" s="34" customFormat="1"/>
    <row r="1259" s="34" customFormat="1"/>
    <row r="1260" s="34" customFormat="1"/>
    <row r="1261" s="34" customFormat="1"/>
    <row r="1262" s="34" customFormat="1"/>
    <row r="1263" s="34" customFormat="1"/>
    <row r="1264" s="34" customFormat="1"/>
    <row r="1265" s="34" customFormat="1"/>
    <row r="1266" s="34" customFormat="1"/>
    <row r="1267" s="34" customFormat="1"/>
    <row r="1268" s="34" customFormat="1"/>
    <row r="1269" s="34" customFormat="1"/>
    <row r="1270" s="34" customFormat="1"/>
    <row r="1271" s="34" customFormat="1"/>
    <row r="1272" s="34" customFormat="1"/>
    <row r="1273" s="34" customFormat="1"/>
    <row r="1274" s="34" customFormat="1"/>
    <row r="1275" s="34" customFormat="1"/>
    <row r="1276" s="34" customFormat="1"/>
    <row r="1277" s="34" customFormat="1"/>
    <row r="1278" s="34" customFormat="1"/>
    <row r="1279" s="34" customFormat="1"/>
    <row r="1280" s="34" customFormat="1"/>
    <row r="1281" s="34" customFormat="1"/>
    <row r="1282" s="34" customFormat="1"/>
    <row r="1283" s="34" customFormat="1"/>
    <row r="1284" s="34" customFormat="1"/>
    <row r="1285" s="34" customFormat="1"/>
    <row r="1286" s="34" customFormat="1"/>
    <row r="1287" s="34" customFormat="1"/>
    <row r="1288" s="34" customFormat="1"/>
    <row r="1289" s="34" customFormat="1"/>
    <row r="1290" s="34" customFormat="1"/>
    <row r="1291" s="34" customFormat="1"/>
    <row r="1292" s="34" customFormat="1"/>
    <row r="1293" s="34" customFormat="1"/>
    <row r="1294" s="34" customFormat="1"/>
    <row r="1295" s="34" customFormat="1"/>
    <row r="1296" s="34" customFormat="1"/>
    <row r="1297" s="34" customFormat="1"/>
    <row r="1298" s="34" customFormat="1"/>
    <row r="1299" s="34" customFormat="1"/>
    <row r="1300" s="34" customFormat="1"/>
    <row r="1301" s="34" customFormat="1"/>
    <row r="1302" s="34" customFormat="1"/>
    <row r="1303" s="34" customFormat="1"/>
    <row r="1304" s="34" customFormat="1"/>
    <row r="1305" s="34" customFormat="1"/>
    <row r="1306" s="34" customFormat="1"/>
    <row r="1307" s="34" customFormat="1"/>
    <row r="1308" s="34" customFormat="1"/>
    <row r="1309" s="34" customFormat="1"/>
    <row r="1310" s="34" customFormat="1"/>
    <row r="1311" s="34" customFormat="1"/>
    <row r="1312" s="34" customFormat="1"/>
    <row r="1313" s="34" customFormat="1"/>
    <row r="1314" s="34" customFormat="1"/>
    <row r="1315" s="34" customFormat="1"/>
    <row r="1316" s="34" customFormat="1"/>
    <row r="1317" s="34" customFormat="1"/>
    <row r="1318" s="34" customFormat="1"/>
    <row r="1319" s="34" customFormat="1"/>
    <row r="1320" s="34" customFormat="1"/>
    <row r="1321" s="34" customFormat="1"/>
    <row r="1322" s="34" customFormat="1"/>
    <row r="1323" s="34" customFormat="1"/>
    <row r="1324" s="34" customFormat="1"/>
    <row r="1325" s="34" customFormat="1"/>
    <row r="1326" s="34" customFormat="1"/>
    <row r="1327" s="34" customFormat="1"/>
    <row r="1328" s="34" customFormat="1"/>
    <row r="1329" s="34" customFormat="1"/>
    <row r="1330" s="34" customFormat="1"/>
    <row r="1331" s="34" customFormat="1"/>
    <row r="1332" s="34" customFormat="1"/>
    <row r="1333" s="34" customFormat="1"/>
    <row r="1334" s="34" customFormat="1"/>
    <row r="1335" s="34" customFormat="1"/>
    <row r="1336" s="34" customFormat="1"/>
    <row r="1337" s="34" customFormat="1"/>
    <row r="1338" s="34" customFormat="1"/>
    <row r="1339" s="34" customFormat="1"/>
    <row r="1340" s="34" customFormat="1"/>
    <row r="1341" s="34" customFormat="1"/>
    <row r="1342" s="34" customFormat="1"/>
    <row r="1343" s="34" customFormat="1"/>
    <row r="1344" s="34" customFormat="1"/>
    <row r="1345" s="34" customFormat="1"/>
    <row r="1346" s="34" customFormat="1"/>
    <row r="1347" s="34" customFormat="1"/>
    <row r="1348" s="34" customFormat="1"/>
    <row r="1349" s="34" customFormat="1"/>
    <row r="1350" s="34" customFormat="1"/>
    <row r="1351" s="34" customFormat="1"/>
    <row r="1352" s="34" customFormat="1"/>
    <row r="1353" s="34" customFormat="1"/>
    <row r="1354" s="34" customFormat="1"/>
    <row r="1355" s="34" customFormat="1"/>
    <row r="1356" s="34" customFormat="1"/>
    <row r="1357" s="34" customFormat="1"/>
    <row r="1358" s="34" customFormat="1"/>
    <row r="1359" s="34" customFormat="1"/>
    <row r="1360" s="34" customFormat="1"/>
    <row r="1361" s="34" customFormat="1"/>
    <row r="1362" s="34" customFormat="1"/>
    <row r="1363" s="34" customFormat="1"/>
    <row r="1364" s="34" customFormat="1"/>
    <row r="1365" s="34" customFormat="1"/>
    <row r="1366" s="34" customFormat="1"/>
    <row r="1367" s="34" customFormat="1"/>
    <row r="1368" s="34" customFormat="1"/>
    <row r="1369" s="34" customFormat="1"/>
    <row r="1370" s="34" customFormat="1"/>
    <row r="1371" s="34" customFormat="1"/>
    <row r="1372" s="34" customFormat="1"/>
    <row r="1373" s="34" customFormat="1"/>
    <row r="1374" s="34" customFormat="1"/>
    <row r="1375" s="34" customFormat="1"/>
    <row r="1376" s="34" customFormat="1"/>
    <row r="1377" s="34" customFormat="1"/>
    <row r="1378" s="34" customFormat="1"/>
    <row r="1379" s="34" customFormat="1"/>
    <row r="1380" s="34" customFormat="1"/>
    <row r="1381" s="34" customFormat="1"/>
    <row r="1382" s="34" customFormat="1"/>
    <row r="1383" s="34" customFormat="1"/>
    <row r="1384" s="34" customFormat="1"/>
    <row r="1385" s="34" customFormat="1"/>
    <row r="1386" s="34" customFormat="1"/>
    <row r="1387" s="34" customFormat="1"/>
    <row r="1388" s="34" customFormat="1"/>
    <row r="1389" s="34" customFormat="1"/>
    <row r="1390" s="34" customFormat="1"/>
    <row r="1391" s="34" customFormat="1"/>
    <row r="1392" s="34" customFormat="1"/>
    <row r="1393" s="34" customFormat="1"/>
    <row r="1394" s="34" customFormat="1"/>
    <row r="1395" s="34" customFormat="1"/>
    <row r="1396" s="34" customFormat="1"/>
    <row r="1397" s="34" customFormat="1"/>
    <row r="1398" s="34" customFormat="1"/>
    <row r="1399" s="34" customFormat="1"/>
    <row r="1400" s="34" customFormat="1"/>
    <row r="1401" s="34" customFormat="1"/>
    <row r="1402" s="34" customFormat="1"/>
    <row r="1403" s="34" customFormat="1"/>
    <row r="1404" s="34" customFormat="1"/>
    <row r="1405" s="34" customFormat="1"/>
    <row r="1406" s="34" customFormat="1"/>
    <row r="1407" s="34" customFormat="1"/>
    <row r="1408" s="34" customFormat="1"/>
    <row r="1409" s="34" customFormat="1"/>
    <row r="1410" s="34" customFormat="1"/>
    <row r="1411" s="34" customFormat="1"/>
    <row r="1412" s="34" customFormat="1"/>
    <row r="1413" s="34" customFormat="1"/>
    <row r="1414" s="34" customFormat="1"/>
    <row r="1415" s="34" customFormat="1"/>
    <row r="1416" s="34" customFormat="1"/>
    <row r="1417" s="34" customFormat="1"/>
    <row r="1418" s="34" customFormat="1"/>
    <row r="1419" s="34" customFormat="1"/>
    <row r="1420" s="34" customFormat="1"/>
    <row r="1421" s="34" customFormat="1"/>
    <row r="1422" s="34" customFormat="1"/>
    <row r="1423" s="34" customFormat="1"/>
    <row r="1424" s="34" customFormat="1"/>
    <row r="1425" s="34" customFormat="1"/>
    <row r="1426" s="34" customFormat="1"/>
    <row r="1427" s="34" customFormat="1"/>
    <row r="1428" s="34" customFormat="1"/>
    <row r="1429" s="34" customFormat="1"/>
    <row r="1430" s="34" customFormat="1"/>
    <row r="1431" s="34" customFormat="1"/>
    <row r="1432" s="34" customFormat="1"/>
    <row r="1433" s="34" customFormat="1"/>
    <row r="1434" s="34" customFormat="1"/>
    <row r="1435" s="34" customFormat="1"/>
    <row r="1436" s="34" customFormat="1"/>
    <row r="1437" s="34" customFormat="1"/>
    <row r="1438" s="34" customFormat="1"/>
    <row r="1439" s="34" customFormat="1"/>
    <row r="1440" s="34" customFormat="1"/>
    <row r="1441" s="34" customFormat="1"/>
    <row r="1442" s="34" customFormat="1"/>
    <row r="1443" s="34" customFormat="1"/>
    <row r="1444" s="34" customFormat="1"/>
    <row r="1445" s="34" customFormat="1"/>
    <row r="1446" s="34" customFormat="1"/>
    <row r="1447" s="34" customFormat="1"/>
    <row r="1448" s="34" customFormat="1"/>
    <row r="1449" s="34" customFormat="1"/>
    <row r="1450" s="34" customFormat="1"/>
    <row r="1451" s="34" customFormat="1"/>
    <row r="1452" s="34" customFormat="1"/>
    <row r="1453" s="34" customFormat="1"/>
    <row r="1454" s="34" customFormat="1"/>
    <row r="1455" s="34" customFormat="1"/>
    <row r="1456" s="34" customFormat="1"/>
    <row r="1457" s="34" customFormat="1"/>
    <row r="1458" s="34" customFormat="1"/>
    <row r="1459" s="34" customFormat="1"/>
    <row r="1460" s="34" customFormat="1"/>
    <row r="1461" s="34" customFormat="1"/>
    <row r="1462" s="34" customFormat="1"/>
    <row r="1463" s="34" customFormat="1"/>
    <row r="1464" s="34" customFormat="1"/>
    <row r="1465" s="34" customFormat="1"/>
    <row r="1466" s="34" customFormat="1"/>
    <row r="1467" s="34" customFormat="1"/>
    <row r="1468" s="34" customFormat="1"/>
    <row r="1469" s="34" customFormat="1"/>
    <row r="1470" s="34" customFormat="1"/>
    <row r="1471" s="34" customFormat="1"/>
    <row r="1472" s="34" customFormat="1"/>
    <row r="1473" s="34" customFormat="1"/>
    <row r="1474" s="34" customFormat="1"/>
    <row r="1475" s="34" customFormat="1"/>
    <row r="1476" s="34" customFormat="1"/>
    <row r="1477" s="34" customFormat="1"/>
    <row r="1478" s="34" customFormat="1"/>
    <row r="1479" s="34" customFormat="1"/>
    <row r="1480" s="34" customFormat="1"/>
    <row r="1481" s="34" customFormat="1"/>
    <row r="1482" s="34" customFormat="1"/>
    <row r="1483" s="34" customFormat="1"/>
    <row r="1484" s="34" customFormat="1"/>
    <row r="1485" s="34" customFormat="1"/>
    <row r="1486" s="34" customFormat="1"/>
    <row r="1487" s="34" customFormat="1"/>
    <row r="1488" s="34" customFormat="1"/>
    <row r="1489" s="34" customFormat="1"/>
    <row r="1490" s="34" customFormat="1"/>
    <row r="1491" s="34" customFormat="1"/>
    <row r="1492" s="34" customFormat="1"/>
    <row r="1493" s="34" customFormat="1"/>
    <row r="1494" s="34" customFormat="1"/>
    <row r="1495" s="34" customFormat="1"/>
    <row r="1496" s="34" customFormat="1"/>
    <row r="1497" s="34" customFormat="1"/>
    <row r="1498" s="34" customFormat="1"/>
    <row r="1499" s="34" customFormat="1"/>
    <row r="1500" s="34" customFormat="1"/>
    <row r="1501" s="34" customFormat="1"/>
    <row r="1502" s="34" customFormat="1"/>
    <row r="1503" s="34" customFormat="1"/>
    <row r="1504" s="34" customFormat="1"/>
    <row r="1505" s="34" customFormat="1"/>
    <row r="1506" s="34" customFormat="1"/>
    <row r="1507" s="34" customFormat="1"/>
    <row r="1508" s="34" customFormat="1"/>
    <row r="1509" s="34" customFormat="1"/>
    <row r="1510" s="34" customFormat="1"/>
    <row r="1511" s="34" customFormat="1"/>
    <row r="1512" s="34" customFormat="1"/>
    <row r="1513" s="34" customFormat="1"/>
    <row r="1514" s="34" customFormat="1"/>
    <row r="1515" s="34" customFormat="1"/>
    <row r="1516" s="34" customFormat="1"/>
    <row r="1517" s="34" customFormat="1"/>
    <row r="1518" s="34" customFormat="1"/>
    <row r="1519" s="34" customFormat="1"/>
    <row r="1520" s="34" customFormat="1"/>
    <row r="1521" s="34" customFormat="1"/>
    <row r="1522" s="34" customFormat="1"/>
    <row r="1523" s="34" customFormat="1"/>
    <row r="1524" s="34" customFormat="1"/>
    <row r="1525" s="34" customFormat="1"/>
    <row r="1526" s="34" customFormat="1"/>
    <row r="1527" s="34" customFormat="1"/>
    <row r="1528" s="34" customFormat="1"/>
    <row r="1529" s="34" customFormat="1"/>
    <row r="1530" s="34" customFormat="1"/>
    <row r="1531" s="34" customFormat="1"/>
    <row r="1532" s="34" customFormat="1"/>
    <row r="1533" s="34" customFormat="1"/>
    <row r="1534" s="34" customFormat="1"/>
    <row r="1535" s="34" customFormat="1"/>
    <row r="1536" s="34" customFormat="1"/>
    <row r="1537" s="34" customFormat="1"/>
    <row r="1538" s="34" customFormat="1"/>
    <row r="1539" s="34" customFormat="1"/>
    <row r="1540" s="34" customFormat="1"/>
    <row r="1541" s="34" customFormat="1"/>
    <row r="1542" s="34" customFormat="1"/>
    <row r="1543" s="34" customFormat="1"/>
    <row r="1544" s="34" customFormat="1"/>
    <row r="1545" s="34" customFormat="1"/>
    <row r="1546" s="34" customFormat="1"/>
    <row r="1547" s="34" customFormat="1"/>
    <row r="1548" s="34" customFormat="1"/>
    <row r="1549" s="34" customFormat="1"/>
    <row r="1550" s="34" customFormat="1"/>
    <row r="1551" s="34" customFormat="1"/>
    <row r="1552" s="34" customFormat="1"/>
    <row r="1553" s="34" customFormat="1"/>
    <row r="1554" s="34" customFormat="1"/>
    <row r="1555" s="34" customFormat="1"/>
    <row r="1556" s="34" customFormat="1"/>
    <row r="1557" s="34" customFormat="1"/>
    <row r="1558" s="34" customFormat="1"/>
    <row r="1559" s="34" customFormat="1"/>
    <row r="1560" s="34" customFormat="1"/>
    <row r="1561" s="34" customFormat="1"/>
    <row r="1562" s="34" customFormat="1"/>
    <row r="1563" s="34" customFormat="1"/>
    <row r="1564" s="34" customFormat="1"/>
    <row r="1565" s="34" customFormat="1"/>
    <row r="1566" s="34" customFormat="1"/>
    <row r="1567" s="34" customFormat="1"/>
    <row r="1568" s="34" customFormat="1"/>
    <row r="1569" s="34" customFormat="1"/>
    <row r="1570" s="34" customFormat="1"/>
    <row r="1571" s="34" customFormat="1"/>
    <row r="1572" s="34" customFormat="1"/>
    <row r="1573" s="34" customFormat="1"/>
    <row r="1574" s="34" customFormat="1"/>
    <row r="1575" s="34" customFormat="1"/>
    <row r="1576" s="34" customFormat="1"/>
    <row r="1577" s="34" customFormat="1"/>
    <row r="1578" s="34" customFormat="1"/>
    <row r="1579" s="34" customFormat="1"/>
    <row r="1580" s="34" customFormat="1"/>
    <row r="1581" s="34" customFormat="1"/>
    <row r="1582" s="34" customFormat="1"/>
    <row r="1583" s="34" customFormat="1"/>
    <row r="1584" s="34" customFormat="1"/>
    <row r="1585" s="34" customFormat="1"/>
    <row r="1586" s="34" customFormat="1"/>
    <row r="1587" s="34" customFormat="1"/>
    <row r="1588" s="34" customFormat="1"/>
    <row r="1589" s="34" customFormat="1"/>
    <row r="1590" s="34" customFormat="1"/>
    <row r="1591" s="34" customFormat="1"/>
    <row r="1592" s="34" customFormat="1"/>
    <row r="1593" s="34" customFormat="1"/>
    <row r="1594" s="34" customFormat="1"/>
    <row r="1595" s="34" customFormat="1"/>
    <row r="1596" s="34" customFormat="1"/>
    <row r="1597" s="34" customFormat="1"/>
    <row r="1598" s="34" customFormat="1"/>
    <row r="1599" s="34" customFormat="1"/>
    <row r="1600" s="34" customFormat="1"/>
    <row r="1601" s="34" customFormat="1"/>
    <row r="1602" s="34" customFormat="1"/>
    <row r="1603" s="34" customFormat="1"/>
    <row r="1604" s="34" customFormat="1"/>
    <row r="1605" s="34" customFormat="1"/>
    <row r="1606" s="34" customFormat="1"/>
    <row r="1607" s="34" customFormat="1"/>
    <row r="1608" s="34" customFormat="1"/>
    <row r="1609" s="34" customFormat="1"/>
    <row r="1610" s="34" customFormat="1"/>
    <row r="1611" s="34" customFormat="1"/>
    <row r="1612" s="34" customFormat="1"/>
    <row r="1613" s="34" customFormat="1"/>
    <row r="1614" s="34" customFormat="1"/>
    <row r="1615" s="34" customFormat="1"/>
    <row r="1616" s="34" customFormat="1"/>
    <row r="1617" s="34" customFormat="1"/>
    <row r="1618" s="34" customFormat="1"/>
    <row r="1619" s="34" customFormat="1"/>
    <row r="1620" s="34" customFormat="1"/>
    <row r="1621" s="34" customFormat="1"/>
    <row r="1622" s="34" customFormat="1"/>
    <row r="1623" s="34" customFormat="1"/>
    <row r="1624" s="34" customFormat="1"/>
    <row r="1625" s="34" customFormat="1"/>
    <row r="1626" s="34" customFormat="1"/>
    <row r="1627" s="34" customFormat="1"/>
    <row r="1628" s="34" customFormat="1"/>
    <row r="1629" s="34" customFormat="1"/>
    <row r="1630" s="34" customFormat="1"/>
    <row r="1631" s="34" customFormat="1"/>
    <row r="1632" s="34" customFormat="1"/>
    <row r="1633" s="34" customFormat="1"/>
    <row r="1634" s="34" customFormat="1"/>
    <row r="1635" s="34" customFormat="1"/>
    <row r="1636" s="34" customFormat="1"/>
    <row r="1637" s="34" customFormat="1"/>
    <row r="1638" s="34" customFormat="1"/>
    <row r="1639" s="34" customFormat="1"/>
    <row r="1640" s="34" customFormat="1"/>
    <row r="1641" s="34" customFormat="1"/>
    <row r="1642" s="34" customFormat="1"/>
    <row r="1643" s="34" customFormat="1"/>
    <row r="1644" s="34" customFormat="1"/>
    <row r="1645" s="34" customFormat="1"/>
    <row r="1646" s="34" customFormat="1"/>
    <row r="1647" s="34" customFormat="1"/>
    <row r="1648" s="34" customFormat="1"/>
    <row r="1649" s="34" customFormat="1"/>
    <row r="1650" s="34" customFormat="1"/>
    <row r="1651" s="34" customFormat="1"/>
    <row r="1652" s="34" customFormat="1"/>
    <row r="1653" s="34" customFormat="1"/>
    <row r="1654" s="34" customFormat="1"/>
    <row r="1655" s="34" customFormat="1"/>
    <row r="1656" s="34" customFormat="1"/>
    <row r="1657" s="34" customFormat="1"/>
    <row r="1658" s="34" customFormat="1"/>
    <row r="1659" s="34" customFormat="1"/>
    <row r="1660" s="34" customFormat="1"/>
    <row r="1661" s="34" customFormat="1"/>
    <row r="1662" s="34" customFormat="1"/>
    <row r="1663" s="34" customFormat="1"/>
    <row r="1664" s="34" customFormat="1"/>
    <row r="1665" s="34" customFormat="1"/>
    <row r="1666" s="34" customFormat="1"/>
    <row r="1667" s="34" customFormat="1"/>
    <row r="1668" s="34" customFormat="1"/>
    <row r="1669" s="34" customFormat="1"/>
    <row r="1670" s="34" customFormat="1"/>
    <row r="1671" s="34" customFormat="1"/>
    <row r="1672" s="34" customFormat="1"/>
    <row r="1673" s="34" customFormat="1"/>
    <row r="1674" s="34" customFormat="1"/>
    <row r="1675" s="34" customFormat="1"/>
    <row r="1676" s="34" customFormat="1"/>
    <row r="1677" s="34" customFormat="1"/>
    <row r="1678" s="34" customFormat="1"/>
    <row r="1679" s="34" customFormat="1"/>
    <row r="1680" s="34" customFormat="1"/>
    <row r="1681" s="34" customFormat="1"/>
    <row r="1682" s="34" customFormat="1"/>
    <row r="1683" s="34" customFormat="1"/>
    <row r="1684" s="34" customFormat="1"/>
    <row r="1685" s="34" customFormat="1"/>
    <row r="1686" s="34" customFormat="1"/>
    <row r="1687" s="34" customFormat="1"/>
    <row r="1688" s="34" customFormat="1"/>
    <row r="1689" s="34" customFormat="1"/>
    <row r="1690" s="34" customFormat="1"/>
    <row r="1691" s="34" customFormat="1"/>
    <row r="1692" s="34" customFormat="1"/>
    <row r="1693" s="34" customFormat="1"/>
    <row r="1694" s="34" customFormat="1"/>
    <row r="1695" s="34" customFormat="1"/>
    <row r="1696" s="34" customFormat="1"/>
    <row r="1697" s="34" customFormat="1"/>
    <row r="1698" s="34" customFormat="1"/>
    <row r="1699" s="34" customFormat="1"/>
    <row r="1700" s="34" customFormat="1"/>
    <row r="1701" s="34" customFormat="1"/>
    <row r="1702" s="34" customFormat="1"/>
    <row r="1703" s="34" customFormat="1"/>
    <row r="1704" s="34" customFormat="1"/>
    <row r="1705" s="34" customFormat="1"/>
    <row r="1706" s="34" customFormat="1"/>
    <row r="1707" s="34" customFormat="1"/>
    <row r="1708" s="34" customFormat="1"/>
    <row r="1709" s="34" customFormat="1"/>
    <row r="1710" s="34" customFormat="1"/>
    <row r="1711" s="34" customFormat="1"/>
    <row r="1712" s="34" customFormat="1"/>
    <row r="1713" s="34" customFormat="1"/>
    <row r="1714" s="34" customFormat="1"/>
    <row r="1715" s="34" customFormat="1"/>
    <row r="1716" s="34" customFormat="1"/>
    <row r="1717" s="34" customFormat="1"/>
    <row r="1718" s="34" customFormat="1"/>
    <row r="1719" s="34" customFormat="1"/>
    <row r="1720" s="34" customFormat="1"/>
    <row r="1721" s="34" customFormat="1"/>
    <row r="1722" s="34" customFormat="1"/>
    <row r="1723" s="34" customFormat="1"/>
    <row r="1724" s="34" customFormat="1"/>
    <row r="1725" s="34" customFormat="1"/>
    <row r="1726" s="34" customFormat="1"/>
    <row r="1727" s="34" customFormat="1"/>
    <row r="1728" s="34" customFormat="1"/>
    <row r="1729" s="34" customFormat="1"/>
    <row r="1730" s="34" customFormat="1"/>
    <row r="1731" s="34" customFormat="1"/>
    <row r="1732" s="34" customFormat="1"/>
    <row r="1733" s="34" customFormat="1"/>
    <row r="1734" s="34" customFormat="1"/>
    <row r="1735" s="34" customFormat="1"/>
    <row r="1736" s="34" customFormat="1"/>
    <row r="1737" s="34" customFormat="1"/>
    <row r="1738" s="34" customFormat="1"/>
    <row r="1739" s="34" customFormat="1"/>
    <row r="1740" s="34" customFormat="1"/>
    <row r="1741" s="34" customFormat="1"/>
    <row r="1742" s="34" customFormat="1"/>
    <row r="1743" s="34" customFormat="1"/>
    <row r="1744" s="34" customFormat="1"/>
    <row r="1745" s="34" customFormat="1"/>
    <row r="1746" s="34" customFormat="1"/>
    <row r="1747" s="34" customFormat="1"/>
    <row r="1748" s="34" customFormat="1"/>
    <row r="1749" s="34" customFormat="1"/>
    <row r="1750" s="34" customFormat="1"/>
    <row r="1751" s="34" customFormat="1"/>
    <row r="1752" s="34" customFormat="1"/>
    <row r="1753" s="34" customFormat="1"/>
    <row r="1754" s="34" customFormat="1"/>
    <row r="1755" s="34" customFormat="1"/>
    <row r="1756" s="34" customFormat="1"/>
    <row r="1757" s="34" customFormat="1"/>
    <row r="1758" s="34" customFormat="1"/>
    <row r="1759" s="34" customFormat="1"/>
    <row r="1760" s="34" customFormat="1"/>
    <row r="1761" s="34" customFormat="1"/>
    <row r="1762" s="34" customFormat="1"/>
    <row r="1763" s="34" customFormat="1"/>
    <row r="1764" s="34" customFormat="1"/>
    <row r="1765" s="34" customFormat="1"/>
    <row r="1766" s="34" customFormat="1"/>
    <row r="1767" s="34" customFormat="1"/>
    <row r="1768" s="34" customFormat="1"/>
    <row r="1769" s="34" customFormat="1"/>
    <row r="1770" s="34" customFormat="1"/>
    <row r="1771" s="34" customFormat="1"/>
    <row r="1772" s="34" customFormat="1"/>
    <row r="1773" s="34" customFormat="1"/>
    <row r="1774" s="34" customFormat="1"/>
    <row r="1775" s="34" customFormat="1"/>
    <row r="1776" s="34" customFormat="1"/>
    <row r="1777" s="34" customFormat="1"/>
    <row r="1778" s="34" customFormat="1"/>
    <row r="1779" s="34" customFormat="1"/>
    <row r="1780" s="34" customFormat="1"/>
    <row r="1781" s="34" customFormat="1"/>
    <row r="1782" s="34" customFormat="1"/>
    <row r="1783" s="34" customFormat="1"/>
    <row r="1784" s="34" customFormat="1"/>
    <row r="1785" s="34" customFormat="1"/>
    <row r="1786" s="34" customFormat="1"/>
    <row r="1787" s="34" customFormat="1"/>
    <row r="1788" s="34" customFormat="1"/>
    <row r="1789" s="34" customFormat="1"/>
    <row r="1790" s="34" customFormat="1"/>
    <row r="1791" s="34" customFormat="1"/>
    <row r="1792" s="34" customFormat="1"/>
    <row r="1793" s="34" customFormat="1"/>
    <row r="1794" s="34" customFormat="1"/>
    <row r="1795" s="34" customFormat="1"/>
    <row r="1796" s="34" customFormat="1"/>
    <row r="1797" s="34" customFormat="1"/>
    <row r="1798" s="34" customFormat="1"/>
    <row r="1799" s="34" customFormat="1"/>
    <row r="1800" s="34" customFormat="1"/>
    <row r="1801" s="34" customFormat="1"/>
    <row r="1802" s="34" customFormat="1"/>
    <row r="1803" s="34" customFormat="1"/>
    <row r="1804" s="34" customFormat="1"/>
    <row r="1805" s="34" customFormat="1"/>
    <row r="1806" s="34" customFormat="1"/>
    <row r="1807" s="34" customFormat="1"/>
    <row r="1808" s="34" customFormat="1"/>
    <row r="1809" s="34" customFormat="1"/>
    <row r="1810" s="34" customFormat="1"/>
    <row r="1811" s="34" customFormat="1"/>
    <row r="1812" s="34" customFormat="1"/>
    <row r="1813" s="34" customFormat="1"/>
    <row r="1814" s="34" customFormat="1"/>
    <row r="1815" s="34" customFormat="1"/>
    <row r="1816" s="34" customFormat="1"/>
    <row r="1817" s="34" customFormat="1"/>
    <row r="1818" s="34" customFormat="1"/>
    <row r="1819" s="34" customFormat="1"/>
    <row r="1820" s="34" customFormat="1"/>
    <row r="1821" s="34" customFormat="1"/>
    <row r="1822" s="34" customFormat="1"/>
    <row r="1823" s="34" customFormat="1"/>
    <row r="1824" s="34" customFormat="1"/>
    <row r="1825" s="34" customFormat="1"/>
    <row r="1826" s="34" customFormat="1"/>
    <row r="1827" s="34" customFormat="1"/>
    <row r="1828" s="34" customFormat="1"/>
    <row r="1829" s="34" customFormat="1"/>
    <row r="1830" s="34" customFormat="1"/>
    <row r="1831" s="34" customFormat="1"/>
    <row r="1832" s="34" customFormat="1"/>
    <row r="1833" s="34" customFormat="1"/>
    <row r="1834" s="34" customFormat="1"/>
    <row r="1835" s="34" customFormat="1"/>
    <row r="1836" s="34" customFormat="1"/>
    <row r="1837" s="34" customFormat="1"/>
    <row r="1838" s="34" customFormat="1"/>
    <row r="1839" s="34" customFormat="1"/>
    <row r="1840" s="34" customFormat="1"/>
    <row r="1841" s="34" customFormat="1"/>
    <row r="1842" s="34" customFormat="1"/>
    <row r="1843" s="34" customFormat="1"/>
    <row r="1844" s="34" customFormat="1"/>
    <row r="1845" s="34" customFormat="1"/>
    <row r="1846" s="34" customFormat="1"/>
    <row r="1847" s="34" customFormat="1"/>
    <row r="1848" s="34" customFormat="1"/>
    <row r="1849" s="34" customFormat="1"/>
    <row r="1850" s="34" customFormat="1"/>
    <row r="1851" s="34" customFormat="1"/>
    <row r="1852" s="34" customFormat="1"/>
    <row r="1853" s="34" customFormat="1"/>
    <row r="1854" s="34" customFormat="1"/>
    <row r="1855" s="34" customFormat="1"/>
    <row r="1856" s="34" customFormat="1"/>
    <row r="1857" s="34" customFormat="1"/>
    <row r="1858" s="34" customFormat="1"/>
    <row r="1859" s="34" customFormat="1"/>
    <row r="1860" s="34" customFormat="1"/>
    <row r="1861" s="34" customFormat="1"/>
    <row r="1862" s="34" customFormat="1"/>
    <row r="1863" s="34" customFormat="1"/>
    <row r="1864" s="34" customFormat="1"/>
    <row r="1865" s="34" customFormat="1"/>
    <row r="1866" s="34" customFormat="1"/>
    <row r="1867" s="34" customFormat="1"/>
    <row r="1868" s="34" customFormat="1"/>
    <row r="1869" s="34" customFormat="1"/>
    <row r="1870" s="34" customFormat="1"/>
    <row r="1871" s="34" customFormat="1"/>
    <row r="1872" s="34" customFormat="1"/>
    <row r="1873" s="34" customFormat="1"/>
    <row r="1874" s="34" customFormat="1"/>
    <row r="1875" s="34" customFormat="1"/>
    <row r="1876" s="34" customFormat="1"/>
    <row r="1877" s="34" customFormat="1"/>
    <row r="1878" s="34" customFormat="1"/>
    <row r="1879" s="34" customFormat="1"/>
    <row r="1880" s="34" customFormat="1"/>
    <row r="1881" s="34" customFormat="1"/>
    <row r="1882" s="34" customFormat="1"/>
    <row r="1883" s="34" customFormat="1"/>
    <row r="1884" s="34" customFormat="1"/>
    <row r="1885" s="34" customFormat="1"/>
    <row r="1886" s="34" customFormat="1"/>
    <row r="1887" s="34" customFormat="1"/>
    <row r="1888" s="34" customFormat="1"/>
    <row r="1889" s="34" customFormat="1"/>
    <row r="1890" s="34" customFormat="1"/>
    <row r="1891" s="34" customFormat="1"/>
    <row r="1892" s="34" customFormat="1"/>
    <row r="1893" s="34" customFormat="1"/>
    <row r="1894" s="34" customFormat="1"/>
    <row r="1895" s="34" customFormat="1"/>
    <row r="1896" s="34" customFormat="1"/>
    <row r="1897" s="34" customFormat="1"/>
    <row r="1898" s="34" customFormat="1"/>
    <row r="1899" s="34" customFormat="1"/>
    <row r="1900" s="34" customFormat="1"/>
    <row r="1901" s="34" customFormat="1"/>
    <row r="1902" s="34" customFormat="1"/>
    <row r="1903" s="34" customFormat="1"/>
    <row r="1904" s="34" customFormat="1"/>
    <row r="1905" s="34" customFormat="1"/>
    <row r="1906" s="34" customFormat="1"/>
    <row r="1907" s="34" customFormat="1"/>
    <row r="1908" s="34" customFormat="1"/>
    <row r="1909" s="34" customFormat="1"/>
    <row r="1910" s="34" customFormat="1"/>
    <row r="1911" s="34" customFormat="1"/>
    <row r="1912" s="34" customFormat="1"/>
    <row r="1913" s="34" customFormat="1"/>
    <row r="1914" s="34" customFormat="1"/>
    <row r="1915" s="34" customFormat="1"/>
    <row r="1916" s="34" customFormat="1"/>
    <row r="1917" s="34" customFormat="1"/>
    <row r="1918" s="34" customFormat="1"/>
    <row r="1919" s="34" customFormat="1"/>
    <row r="1920" s="34" customFormat="1"/>
    <row r="1921" s="34" customFormat="1"/>
    <row r="1922" s="34" customFormat="1"/>
    <row r="1923" s="34" customFormat="1"/>
    <row r="1924" s="34" customFormat="1"/>
    <row r="1925" s="34" customFormat="1"/>
    <row r="1926" s="34" customFormat="1"/>
    <row r="1927" s="34" customFormat="1"/>
    <row r="1928" s="34" customFormat="1"/>
    <row r="1929" s="34" customFormat="1"/>
    <row r="1930" s="34" customFormat="1"/>
    <row r="1931" s="34" customFormat="1"/>
    <row r="1932" s="34" customFormat="1"/>
    <row r="1933" s="34" customFormat="1"/>
    <row r="1934" s="34" customFormat="1"/>
    <row r="1935" s="34" customFormat="1"/>
    <row r="1936" s="34" customFormat="1"/>
    <row r="1937" s="34" customFormat="1"/>
    <row r="1938" s="34" customFormat="1"/>
    <row r="1939" s="34" customFormat="1"/>
    <row r="1940" s="34" customFormat="1"/>
    <row r="1941" s="34" customFormat="1"/>
    <row r="1942" s="34" customFormat="1"/>
    <row r="1943" s="34" customFormat="1"/>
    <row r="1944" s="34" customFormat="1"/>
    <row r="1945" s="34" customFormat="1"/>
    <row r="1946" s="34" customFormat="1"/>
    <row r="1947" s="34" customFormat="1"/>
    <row r="1948" s="34" customFormat="1"/>
    <row r="1949" s="34" customFormat="1"/>
    <row r="1950" s="34" customFormat="1"/>
    <row r="1951" s="34" customFormat="1"/>
    <row r="1952" s="34" customFormat="1"/>
    <row r="1953" s="34" customFormat="1"/>
    <row r="1954" s="34" customFormat="1"/>
    <row r="1955" s="34" customFormat="1"/>
    <row r="1956" s="34" customFormat="1"/>
    <row r="1957" s="34" customFormat="1"/>
    <row r="1958" s="34" customFormat="1"/>
    <row r="1959" s="34" customFormat="1"/>
    <row r="1960" s="34" customFormat="1"/>
    <row r="1961" s="34" customFormat="1"/>
    <row r="1962" s="34" customFormat="1"/>
    <row r="1963" s="34" customFormat="1"/>
    <row r="1964" s="34" customFormat="1"/>
    <row r="1965" s="34" customFormat="1"/>
    <row r="1966" s="34" customFormat="1"/>
    <row r="1967" s="34" customFormat="1"/>
    <row r="1968" s="34" customFormat="1"/>
    <row r="1969" s="34" customFormat="1"/>
    <row r="1970" s="34" customFormat="1"/>
    <row r="1971" s="34" customFormat="1"/>
    <row r="1972" s="34" customFormat="1"/>
    <row r="1973" s="34" customFormat="1"/>
    <row r="1974" s="34" customFormat="1"/>
    <row r="1975" s="34" customFormat="1"/>
    <row r="1976" s="34" customFormat="1"/>
    <row r="1977" s="34" customFormat="1"/>
    <row r="1978" s="34" customFormat="1"/>
    <row r="1979" s="34" customFormat="1"/>
    <row r="1980" s="34" customFormat="1"/>
    <row r="1981" s="34" customFormat="1"/>
    <row r="1982" s="34" customFormat="1"/>
    <row r="1983" s="34" customFormat="1"/>
    <row r="1984" s="34" customFormat="1"/>
    <row r="1985" s="34" customFormat="1"/>
    <row r="1986" s="34" customFormat="1"/>
    <row r="1987" s="34" customFormat="1"/>
    <row r="1988" s="34" customFormat="1"/>
    <row r="1989" s="34" customFormat="1"/>
    <row r="1990" s="34" customFormat="1"/>
    <row r="1991" s="34" customFormat="1"/>
    <row r="1992" s="34" customFormat="1"/>
    <row r="1993" s="34" customFormat="1"/>
    <row r="1994" s="34" customFormat="1"/>
    <row r="1995" s="34" customFormat="1"/>
    <row r="1996" s="34" customFormat="1"/>
    <row r="1997" s="34" customFormat="1"/>
    <row r="1998" s="34" customFormat="1"/>
    <row r="1999" s="34" customFormat="1"/>
    <row r="2000" s="34" customFormat="1"/>
    <row r="2001" s="34" customFormat="1"/>
    <row r="2002" s="34" customFormat="1"/>
    <row r="2003" s="34" customFormat="1"/>
    <row r="2004" s="34" customFormat="1"/>
    <row r="2005" s="34" customFormat="1"/>
    <row r="2006" s="34" customFormat="1"/>
    <row r="2007" s="34" customFormat="1"/>
    <row r="2008" s="34" customFormat="1"/>
    <row r="2009" s="34" customFormat="1"/>
    <row r="2010" s="34" customFormat="1"/>
    <row r="2011" s="34" customFormat="1"/>
    <row r="2012" s="34" customFormat="1"/>
    <row r="2013" s="34" customFormat="1"/>
    <row r="2014" s="34" customFormat="1"/>
    <row r="2015" s="34" customFormat="1"/>
    <row r="2016" s="34" customFormat="1"/>
    <row r="2017" s="34" customFormat="1"/>
    <row r="2018" s="34" customFormat="1"/>
    <row r="2019" s="34" customFormat="1"/>
    <row r="2020" s="34" customFormat="1"/>
    <row r="2021" s="34" customFormat="1"/>
    <row r="2022" s="34" customFormat="1"/>
    <row r="2023" s="34" customFormat="1"/>
    <row r="2024" s="34" customFormat="1"/>
    <row r="2025" s="34" customFormat="1"/>
    <row r="2026" s="34" customFormat="1"/>
    <row r="2027" s="34" customFormat="1"/>
    <row r="2028" s="34" customFormat="1"/>
    <row r="2029" s="34" customFormat="1"/>
    <row r="2030" s="34" customFormat="1"/>
    <row r="2031" s="34" customFormat="1"/>
    <row r="2032" s="34" customFormat="1"/>
    <row r="2033" s="34" customFormat="1"/>
    <row r="2034" s="34" customFormat="1"/>
    <row r="2035" s="34" customFormat="1"/>
    <row r="2036" s="34" customFormat="1"/>
    <row r="2037" s="34" customFormat="1"/>
    <row r="2038" s="34" customFormat="1"/>
    <row r="2039" s="34" customFormat="1"/>
    <row r="2040" s="34" customFormat="1"/>
    <row r="2041" s="34" customFormat="1"/>
    <row r="2042" s="34" customFormat="1"/>
    <row r="2043" s="34" customFormat="1"/>
    <row r="2044" s="34" customFormat="1"/>
    <row r="2045" s="34" customFormat="1"/>
    <row r="2046" s="34" customFormat="1"/>
    <row r="2047" s="34" customFormat="1"/>
    <row r="2048" s="34" customFormat="1"/>
    <row r="2049" s="34" customFormat="1"/>
    <row r="2050" s="34" customFormat="1"/>
    <row r="2051" s="34" customFormat="1"/>
    <row r="2052" s="34" customFormat="1"/>
    <row r="2053" s="34" customFormat="1"/>
    <row r="2054" s="34" customFormat="1"/>
    <row r="2055" s="34" customFormat="1"/>
    <row r="2056" s="34" customFormat="1"/>
    <row r="2057" s="34" customFormat="1"/>
    <row r="2058" s="34" customFormat="1"/>
    <row r="2059" s="34" customFormat="1"/>
    <row r="2060" s="34" customFormat="1"/>
    <row r="2061" s="34" customFormat="1"/>
    <row r="2062" s="34" customFormat="1"/>
    <row r="2063" s="34" customFormat="1"/>
    <row r="2064" s="34" customFormat="1"/>
    <row r="2065" s="34" customFormat="1"/>
    <row r="2066" s="34" customFormat="1"/>
    <row r="2067" s="34" customFormat="1"/>
    <row r="2068" s="34" customFormat="1"/>
    <row r="2069" s="34" customFormat="1"/>
    <row r="2070" s="34" customFormat="1"/>
    <row r="2071" s="34" customFormat="1"/>
    <row r="2072" s="34" customFormat="1"/>
    <row r="2073" s="34" customFormat="1"/>
    <row r="2074" s="34" customFormat="1"/>
    <row r="2075" s="34" customFormat="1"/>
    <row r="2076" s="34" customFormat="1"/>
    <row r="2077" s="34" customFormat="1"/>
    <row r="2078" s="34" customFormat="1"/>
    <row r="2079" s="34" customFormat="1"/>
    <row r="2080" s="34" customFormat="1"/>
    <row r="2081" s="34" customFormat="1"/>
    <row r="2082" s="34" customFormat="1"/>
    <row r="2083" s="34" customFormat="1"/>
    <row r="2084" s="34" customFormat="1"/>
    <row r="2085" s="34" customFormat="1"/>
    <row r="2086" s="34" customFormat="1"/>
    <row r="2087" s="34" customFormat="1"/>
    <row r="2088" s="34" customFormat="1"/>
    <row r="2089" s="34" customFormat="1"/>
    <row r="2090" s="34" customFormat="1"/>
    <row r="2091" s="34" customFormat="1"/>
    <row r="2092" s="34" customFormat="1"/>
    <row r="2093" s="34" customFormat="1"/>
    <row r="2094" s="34" customFormat="1"/>
    <row r="2095" s="34" customFormat="1"/>
    <row r="2096" s="34" customFormat="1"/>
    <row r="2097" s="34" customFormat="1"/>
    <row r="2098" s="34" customFormat="1"/>
    <row r="2099" s="34" customFormat="1"/>
    <row r="2100" s="34" customFormat="1"/>
    <row r="2101" s="34" customFormat="1"/>
    <row r="2102" s="34" customFormat="1"/>
    <row r="2103" s="34" customFormat="1"/>
    <row r="2104" s="34" customFormat="1"/>
    <row r="2105" s="34" customFormat="1"/>
    <row r="2106" s="34" customFormat="1"/>
    <row r="2107" s="34" customFormat="1"/>
    <row r="2108" s="34" customFormat="1"/>
    <row r="2109" s="34" customFormat="1"/>
    <row r="2110" s="34" customFormat="1"/>
    <row r="2111" s="34" customFormat="1"/>
    <row r="2112" s="34" customFormat="1"/>
    <row r="2113" s="34" customFormat="1"/>
    <row r="2114" s="34" customFormat="1"/>
    <row r="2115" s="34" customFormat="1"/>
    <row r="2116" s="34" customFormat="1"/>
    <row r="2117" s="34" customFormat="1"/>
    <row r="2118" s="34" customFormat="1"/>
    <row r="2119" s="34" customFormat="1"/>
    <row r="2120" s="34" customFormat="1"/>
    <row r="2121" s="34" customFormat="1"/>
    <row r="2122" s="34" customFormat="1"/>
    <row r="2123" s="34" customFormat="1"/>
    <row r="2124" s="34" customFormat="1"/>
    <row r="2125" s="34" customFormat="1"/>
    <row r="2126" s="34" customFormat="1"/>
    <row r="2127" s="34" customFormat="1"/>
    <row r="2128" s="34" customFormat="1"/>
    <row r="2129" s="34" customFormat="1"/>
    <row r="2130" s="34" customFormat="1"/>
    <row r="2131" s="34" customFormat="1"/>
    <row r="2132" s="34" customFormat="1"/>
    <row r="2133" s="34" customFormat="1"/>
    <row r="2134" s="34" customFormat="1"/>
    <row r="2135" s="34" customFormat="1"/>
    <row r="2136" s="34" customFormat="1"/>
    <row r="2137" s="34" customFormat="1"/>
    <row r="2138" s="34" customFormat="1"/>
    <row r="2139" s="34" customFormat="1"/>
    <row r="2140" s="34" customFormat="1"/>
    <row r="2141" s="34" customFormat="1"/>
    <row r="2142" s="34" customFormat="1"/>
    <row r="2143" s="34" customFormat="1"/>
    <row r="2144" s="34" customFormat="1"/>
    <row r="2145" s="34" customFormat="1"/>
    <row r="2146" s="34" customFormat="1"/>
    <row r="2147" s="34" customFormat="1"/>
    <row r="2148" s="34" customFormat="1"/>
    <row r="2149" s="34" customFormat="1"/>
    <row r="2150" s="34" customFormat="1"/>
    <row r="2151" s="34" customFormat="1"/>
    <row r="2152" s="34" customFormat="1"/>
    <row r="2153" s="34" customFormat="1"/>
    <row r="2154" s="34" customFormat="1"/>
    <row r="2155" s="34" customFormat="1"/>
    <row r="2156" s="34" customFormat="1"/>
    <row r="2157" s="34" customFormat="1"/>
    <row r="2158" s="34" customFormat="1"/>
    <row r="2159" s="34" customFormat="1"/>
    <row r="2160" s="34" customFormat="1"/>
    <row r="2161" s="34" customFormat="1"/>
    <row r="2162" s="34" customFormat="1"/>
    <row r="2163" s="34" customFormat="1"/>
    <row r="2164" s="34" customFormat="1"/>
    <row r="2165" s="34" customFormat="1"/>
    <row r="2166" s="34" customFormat="1"/>
    <row r="2167" s="34" customFormat="1"/>
    <row r="2168" s="34" customFormat="1"/>
    <row r="2169" s="34" customFormat="1"/>
    <row r="2170" s="34" customFormat="1"/>
    <row r="2171" s="34" customFormat="1"/>
    <row r="2172" s="34" customFormat="1"/>
    <row r="2173" s="34" customFormat="1"/>
    <row r="2174" s="34" customFormat="1"/>
    <row r="2175" s="34" customFormat="1"/>
    <row r="2176" s="34" customFormat="1"/>
    <row r="2177" s="34" customFormat="1"/>
    <row r="2178" s="34" customFormat="1"/>
    <row r="2179" s="34" customFormat="1"/>
    <row r="2180" s="34" customFormat="1"/>
    <row r="2181" s="34" customFormat="1"/>
    <row r="2182" s="34" customFormat="1"/>
    <row r="2183" s="34" customFormat="1"/>
    <row r="2184" s="34" customFormat="1"/>
    <row r="2185" s="34" customFormat="1"/>
    <row r="2186" s="34" customFormat="1"/>
    <row r="2187" s="34" customFormat="1"/>
    <row r="2188" s="34" customFormat="1"/>
    <row r="2189" s="34" customFormat="1"/>
    <row r="2190" s="34" customFormat="1"/>
    <row r="2191" s="34" customFormat="1"/>
    <row r="2192" s="34" customFormat="1"/>
    <row r="2193" s="34" customFormat="1"/>
    <row r="2194" s="34" customFormat="1"/>
    <row r="2195" s="34" customFormat="1"/>
    <row r="2196" s="34" customFormat="1"/>
    <row r="2197" s="34" customFormat="1"/>
    <row r="2198" s="34" customFormat="1"/>
    <row r="2199" s="34" customFormat="1"/>
    <row r="2200" s="34" customFormat="1"/>
    <row r="2201" s="34" customFormat="1"/>
    <row r="2202" s="34" customFormat="1"/>
    <row r="2203" s="34" customFormat="1"/>
    <row r="2204" s="34" customFormat="1"/>
    <row r="2205" s="34" customFormat="1"/>
    <row r="2206" s="34" customFormat="1"/>
    <row r="2207" s="34" customFormat="1"/>
    <row r="2208" s="34" customFormat="1"/>
    <row r="2209" s="34" customFormat="1"/>
    <row r="2210" s="34" customFormat="1"/>
    <row r="2211" s="34" customFormat="1"/>
    <row r="2212" s="34" customFormat="1"/>
    <row r="2213" s="34" customFormat="1"/>
    <row r="2214" s="34" customFormat="1"/>
    <row r="2215" s="34" customFormat="1"/>
    <row r="2216" s="34" customFormat="1"/>
    <row r="2217" s="34" customFormat="1"/>
    <row r="2218" s="34" customFormat="1"/>
    <row r="2219" s="34" customFormat="1"/>
    <row r="2220" s="34" customFormat="1"/>
    <row r="2221" s="34" customFormat="1"/>
    <row r="2222" s="34" customFormat="1"/>
    <row r="2223" s="34" customFormat="1"/>
    <row r="2224" s="34" customFormat="1"/>
    <row r="2225" s="34" customFormat="1"/>
    <row r="2226" s="34" customFormat="1"/>
    <row r="2227" s="34" customFormat="1"/>
    <row r="2228" s="34" customFormat="1"/>
    <row r="2229" s="34" customFormat="1"/>
    <row r="2230" s="34" customFormat="1"/>
    <row r="2231" s="34" customFormat="1"/>
    <row r="2232" s="34" customFormat="1"/>
    <row r="2233" s="34" customFormat="1"/>
    <row r="2234" s="34" customFormat="1"/>
    <row r="2235" s="34" customFormat="1"/>
    <row r="2236" s="34" customFormat="1"/>
    <row r="2237" s="34" customFormat="1"/>
    <row r="2238" s="34" customFormat="1"/>
    <row r="2239" s="34" customFormat="1"/>
    <row r="2240" s="34" customFormat="1"/>
    <row r="2241" s="34" customFormat="1"/>
    <row r="2242" s="34" customFormat="1"/>
    <row r="2243" s="34" customFormat="1"/>
    <row r="2244" s="34" customFormat="1"/>
    <row r="2245" s="34" customFormat="1"/>
    <row r="2246" s="34" customFormat="1"/>
    <row r="2247" s="34" customFormat="1"/>
    <row r="2248" s="34" customFormat="1"/>
    <row r="2249" s="34" customFormat="1"/>
    <row r="2250" s="34" customFormat="1"/>
  </sheetData>
  <sheetProtection password="8B10" sheet="1" objects="1" scenarios="1"/>
  <phoneticPr fontId="3" type="noConversion"/>
  <pageMargins left="0.70866141732283472" right="0.70866141732283472" top="1.0236220472440944" bottom="1.0236220472440944" header="0.39370078740157483" footer="0.39370078740157483"/>
  <pageSetup paperSize="9" scale="72" orientation="landscape" r:id="rId1"/>
  <headerFooter alignWithMargins="0">
    <oddFooter>&amp;L&amp;"Frutiger 57Cn,Standard"&amp;8
Santander Consumer Bank AG
Santander-Platz 1
41061 Mönchengladbach
Tel.: +49 180 / 5556 - 499
Fax.: +49 180 / 5556 - 498</oddFooter>
  </headerFooter>
  <rowBreaks count="1" manualBreakCount="1">
    <brk id="52" max="11" man="1"/>
  </rowBreaks>
  <colBreaks count="1" manualBreakCount="1">
    <brk id="1" max="46" man="1"/>
  </col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M2249"/>
  <sheetViews>
    <sheetView view="pageBreakPreview" zoomScale="85" zoomScaleNormal="75" zoomScaleSheetLayoutView="85" workbookViewId="0">
      <selection activeCell="B3" sqref="B3"/>
    </sheetView>
  </sheetViews>
  <sheetFormatPr defaultRowHeight="12.75"/>
  <cols>
    <col min="1" max="1" width="1.28515625" style="31" customWidth="1"/>
    <col min="2" max="2" width="39.7109375" style="31" customWidth="1"/>
    <col min="3" max="3" width="19.5703125" style="84" customWidth="1"/>
    <col min="4" max="4" width="21.28515625" style="31" bestFit="1" customWidth="1"/>
    <col min="5" max="5" width="17.42578125" style="31" customWidth="1"/>
    <col min="6" max="6" width="19.5703125" style="31" customWidth="1"/>
    <col min="7" max="8" width="19" style="31" customWidth="1"/>
    <col min="9" max="10" width="15.42578125" style="31" customWidth="1"/>
    <col min="11" max="11" width="1.28515625" style="31" customWidth="1"/>
    <col min="12" max="12" width="3.140625" style="31" customWidth="1"/>
    <col min="13" max="256" width="11.42578125" style="31" customWidth="1"/>
    <col min="257" max="16384" width="9.140625" style="31"/>
  </cols>
  <sheetData>
    <row r="1" spans="1:13" ht="6" customHeight="1">
      <c r="A1" s="35"/>
      <c r="B1" s="36"/>
      <c r="C1" s="364"/>
      <c r="D1" s="36"/>
      <c r="E1" s="36"/>
      <c r="F1" s="36"/>
      <c r="G1" s="36"/>
      <c r="H1" s="36"/>
      <c r="I1" s="36"/>
      <c r="J1" s="36"/>
      <c r="K1" s="37"/>
    </row>
    <row r="2" spans="1:13" s="27" customFormat="1" ht="18">
      <c r="A2" s="5"/>
      <c r="B2" s="7" t="str">
        <f>'Cover Sheet'!B2</f>
        <v>SC Germany Auto 10-1</v>
      </c>
      <c r="C2" s="365"/>
      <c r="D2" s="108" t="s">
        <v>54</v>
      </c>
      <c r="E2" s="109"/>
      <c r="F2" s="110">
        <f>'Cover Sheet'!F2</f>
        <v>41191</v>
      </c>
      <c r="G2" s="109"/>
      <c r="H2" s="109"/>
      <c r="I2" s="109"/>
      <c r="J2" s="111"/>
      <c r="K2" s="88"/>
    </row>
    <row r="3" spans="1:13" s="27" customFormat="1" ht="18">
      <c r="A3" s="5"/>
      <c r="B3" s="7" t="str">
        <f>'Cover Sheet'!B3</f>
        <v>Monthly Investor Report</v>
      </c>
      <c r="C3" s="365"/>
      <c r="D3" s="112" t="s">
        <v>4</v>
      </c>
      <c r="E3" s="113"/>
      <c r="F3" s="114">
        <f>'Cover Sheet'!F3</f>
        <v>41197</v>
      </c>
      <c r="G3" s="113"/>
      <c r="H3" s="113"/>
      <c r="I3" s="113"/>
      <c r="J3" s="115"/>
      <c r="K3" s="90"/>
    </row>
    <row r="4" spans="1:13" s="27" customFormat="1">
      <c r="A4" s="5"/>
      <c r="B4" s="42"/>
      <c r="C4" s="12"/>
      <c r="D4" s="112" t="s">
        <v>5</v>
      </c>
      <c r="E4" s="113"/>
      <c r="F4" s="122">
        <f>'Cover Sheet'!F4</f>
        <v>27</v>
      </c>
      <c r="G4" s="113"/>
      <c r="H4" s="117"/>
      <c r="I4" s="113"/>
      <c r="J4" s="118"/>
      <c r="K4" s="88"/>
    </row>
    <row r="5" spans="1:13" s="27" customFormat="1" ht="18">
      <c r="A5" s="5"/>
      <c r="B5" s="105" t="s">
        <v>404</v>
      </c>
      <c r="C5" s="366"/>
      <c r="D5" s="112" t="s">
        <v>3</v>
      </c>
      <c r="E5" s="113"/>
      <c r="F5" s="123">
        <f>'Cover Sheet'!F5</f>
        <v>41197</v>
      </c>
      <c r="G5" s="113"/>
      <c r="H5" s="117"/>
      <c r="I5" s="113"/>
      <c r="J5" s="118"/>
      <c r="K5" s="90"/>
    </row>
    <row r="6" spans="1:13" s="27" customFormat="1" ht="15" customHeight="1">
      <c r="A6" s="5"/>
      <c r="B6" s="43"/>
      <c r="C6" s="11"/>
      <c r="D6" s="552" t="str">
        <f>'Cover Sheet'!D6</f>
        <v>Interest Period</v>
      </c>
      <c r="E6" s="114" t="s">
        <v>38</v>
      </c>
      <c r="F6" s="114">
        <f>'Cover Sheet'!F6</f>
        <v>41164</v>
      </c>
      <c r="G6" s="116" t="s">
        <v>6</v>
      </c>
      <c r="H6" s="114">
        <f>'Cover Sheet'!H6</f>
        <v>41197</v>
      </c>
      <c r="I6" s="116" t="s">
        <v>18</v>
      </c>
      <c r="J6" s="542" t="str">
        <f>'Cover Sheet'!J6</f>
        <v>33 days</v>
      </c>
      <c r="K6" s="90"/>
      <c r="M6" s="30"/>
    </row>
    <row r="7" spans="1:13" s="27" customFormat="1">
      <c r="A7" s="5"/>
      <c r="B7" s="4"/>
      <c r="C7" s="12"/>
      <c r="D7" s="553" t="str">
        <f>'Cover Sheet'!D7</f>
        <v>Collection Period</v>
      </c>
      <c r="E7" s="121" t="s">
        <v>38</v>
      </c>
      <c r="F7" s="121" t="str">
        <f>'Cover Sheet'!F7</f>
        <v>01.09.2012</v>
      </c>
      <c r="G7" s="120" t="s">
        <v>6</v>
      </c>
      <c r="H7" s="121">
        <f>'Cover Sheet'!H7</f>
        <v>41182</v>
      </c>
      <c r="I7" s="543"/>
      <c r="J7" s="544"/>
      <c r="K7" s="90"/>
    </row>
    <row r="8" spans="1:13" s="27" customFormat="1">
      <c r="A8" s="5"/>
      <c r="B8" s="4"/>
      <c r="C8" s="12"/>
      <c r="D8" s="4"/>
      <c r="E8" s="9"/>
      <c r="F8" s="15"/>
      <c r="G8" s="9"/>
      <c r="H8" s="4"/>
      <c r="I8" s="16"/>
      <c r="J8" s="4"/>
      <c r="K8" s="90"/>
    </row>
    <row r="9" spans="1:13" s="27" customFormat="1">
      <c r="A9" s="5"/>
      <c r="C9" s="367"/>
      <c r="K9" s="8"/>
      <c r="M9" s="32"/>
    </row>
    <row r="10" spans="1:13" s="27" customFormat="1">
      <c r="A10" s="5"/>
      <c r="B10" s="4"/>
      <c r="C10" s="12"/>
      <c r="D10" s="34"/>
      <c r="E10" s="4"/>
      <c r="F10" s="18"/>
      <c r="G10" s="4"/>
      <c r="H10" s="4"/>
      <c r="I10" s="34"/>
      <c r="J10" s="34"/>
      <c r="K10" s="8"/>
    </row>
    <row r="11" spans="1:13" s="27" customFormat="1" ht="18">
      <c r="A11" s="5"/>
      <c r="B11" s="125"/>
      <c r="C11" s="12"/>
      <c r="D11" s="34"/>
      <c r="E11" s="7"/>
      <c r="F11" s="4"/>
      <c r="G11" s="47"/>
      <c r="H11" s="100"/>
      <c r="I11" s="34"/>
      <c r="K11" s="8"/>
      <c r="M11" s="101"/>
    </row>
    <row r="12" spans="1:13" s="27" customFormat="1">
      <c r="A12" s="5"/>
      <c r="B12" s="4"/>
      <c r="C12" s="28"/>
      <c r="D12" s="34"/>
      <c r="I12" s="4"/>
      <c r="K12" s="8"/>
      <c r="M12" s="101"/>
    </row>
    <row r="13" spans="1:13" s="27" customFormat="1" ht="18">
      <c r="A13" s="5"/>
      <c r="B13" s="7" t="s">
        <v>103</v>
      </c>
      <c r="C13" s="28"/>
      <c r="D13" s="545"/>
      <c r="E13" s="545"/>
      <c r="F13" s="155"/>
      <c r="G13" s="138"/>
      <c r="H13" s="138"/>
      <c r="I13" s="102"/>
      <c r="J13" s="34"/>
      <c r="K13" s="8"/>
      <c r="M13" s="101"/>
    </row>
    <row r="14" spans="1:13" s="27" customFormat="1" ht="12" customHeight="1">
      <c r="A14" s="5"/>
      <c r="B14" s="1"/>
      <c r="C14" s="691"/>
      <c r="D14" s="692"/>
      <c r="E14" s="693"/>
      <c r="F14" s="694"/>
      <c r="G14" s="694"/>
      <c r="H14" s="695"/>
      <c r="I14" s="696"/>
      <c r="J14" s="37"/>
      <c r="K14" s="8"/>
      <c r="M14" s="101"/>
    </row>
    <row r="15" spans="1:13" s="27" customFormat="1" ht="12" customHeight="1">
      <c r="A15" s="5"/>
      <c r="B15" s="754" t="s">
        <v>120</v>
      </c>
      <c r="C15" s="755"/>
      <c r="D15" s="20">
        <v>26449007.939999927</v>
      </c>
      <c r="E15" s="327"/>
      <c r="F15" s="328"/>
      <c r="G15" s="328"/>
      <c r="H15" s="329"/>
      <c r="I15" s="138"/>
      <c r="J15" s="41"/>
      <c r="K15" s="8"/>
      <c r="M15" s="101"/>
    </row>
    <row r="16" spans="1:13">
      <c r="A16" s="40"/>
      <c r="B16" s="697" t="s">
        <v>121</v>
      </c>
      <c r="C16" s="698" t="s">
        <v>39</v>
      </c>
      <c r="D16" s="20">
        <v>34450.199999999997</v>
      </c>
      <c r="E16" s="566"/>
      <c r="F16" s="316"/>
      <c r="G16" s="323"/>
      <c r="H16" s="316"/>
      <c r="I16" s="316"/>
      <c r="J16" s="41"/>
      <c r="K16" s="41"/>
      <c r="M16" s="101"/>
    </row>
    <row r="17" spans="1:13">
      <c r="A17" s="40"/>
      <c r="B17" s="697" t="s">
        <v>102</v>
      </c>
      <c r="C17" s="140" t="s">
        <v>39</v>
      </c>
      <c r="D17" s="20">
        <v>205578.36</v>
      </c>
      <c r="E17" s="566"/>
      <c r="F17" s="316"/>
      <c r="G17" s="323"/>
      <c r="H17" s="316"/>
      <c r="I17" s="316"/>
      <c r="J17" s="41"/>
      <c r="K17" s="41"/>
      <c r="M17" s="101"/>
    </row>
    <row r="18" spans="1:13">
      <c r="A18" s="40"/>
      <c r="B18" s="697" t="s">
        <v>122</v>
      </c>
      <c r="C18" s="140" t="s">
        <v>39</v>
      </c>
      <c r="D18" s="20">
        <v>210016.8</v>
      </c>
      <c r="E18" s="566"/>
      <c r="F18" s="316"/>
      <c r="G18" s="323"/>
      <c r="H18" s="316"/>
      <c r="I18" s="316"/>
      <c r="J18" s="41"/>
      <c r="K18" s="41"/>
      <c r="M18" s="101"/>
    </row>
    <row r="19" spans="1:13">
      <c r="A19" s="40"/>
      <c r="B19" s="697" t="s">
        <v>123</v>
      </c>
      <c r="C19" s="140" t="s">
        <v>39</v>
      </c>
      <c r="D19" s="20">
        <v>49005</v>
      </c>
      <c r="E19" s="566"/>
      <c r="F19" s="316"/>
      <c r="G19" s="323"/>
      <c r="H19" s="316"/>
      <c r="I19" s="316"/>
      <c r="J19" s="41"/>
      <c r="K19" s="41"/>
      <c r="M19" s="101"/>
    </row>
    <row r="20" spans="1:13">
      <c r="A20" s="40"/>
      <c r="B20" s="697" t="s">
        <v>124</v>
      </c>
      <c r="C20" s="140" t="s">
        <v>39</v>
      </c>
      <c r="D20" s="20">
        <v>11290557.6</v>
      </c>
      <c r="E20" s="566"/>
      <c r="F20" s="316"/>
      <c r="G20" s="323"/>
      <c r="H20" s="316"/>
      <c r="I20" s="316"/>
      <c r="J20" s="41"/>
      <c r="K20" s="41"/>
      <c r="M20" s="101"/>
    </row>
    <row r="21" spans="1:13">
      <c r="A21" s="40"/>
      <c r="B21" s="697" t="s">
        <v>125</v>
      </c>
      <c r="C21" s="140" t="s">
        <v>39</v>
      </c>
      <c r="D21" s="20">
        <v>0</v>
      </c>
      <c r="E21" s="566"/>
      <c r="F21" s="316"/>
      <c r="G21" s="323"/>
      <c r="H21" s="316"/>
      <c r="I21" s="258"/>
      <c r="J21" s="41"/>
      <c r="K21" s="41"/>
      <c r="M21" s="101"/>
    </row>
    <row r="22" spans="1:13">
      <c r="A22" s="40"/>
      <c r="B22" s="697" t="s">
        <v>182</v>
      </c>
      <c r="C22" s="140" t="s">
        <v>39</v>
      </c>
      <c r="D22" s="20">
        <v>89.729999929666519</v>
      </c>
      <c r="E22" s="566"/>
      <c r="F22" s="316"/>
      <c r="G22" s="323"/>
      <c r="H22" s="316"/>
      <c r="I22" s="258"/>
      <c r="J22" s="41"/>
      <c r="K22" s="41"/>
      <c r="M22" s="101"/>
    </row>
    <row r="23" spans="1:13">
      <c r="A23" s="40"/>
      <c r="B23" s="697" t="s">
        <v>126</v>
      </c>
      <c r="C23" s="140" t="s">
        <v>39</v>
      </c>
      <c r="D23" s="20">
        <v>13053217.43</v>
      </c>
      <c r="E23" s="566"/>
      <c r="F23" s="325"/>
      <c r="G23" s="326"/>
      <c r="H23" s="325"/>
      <c r="I23" s="148"/>
      <c r="J23" s="41"/>
      <c r="K23" s="41"/>
      <c r="M23" s="101"/>
    </row>
    <row r="24" spans="1:13" ht="12" customHeight="1">
      <c r="A24" s="40"/>
      <c r="B24" s="697" t="s">
        <v>127</v>
      </c>
      <c r="C24" s="140" t="s">
        <v>39</v>
      </c>
      <c r="D24" s="20" t="s">
        <v>92</v>
      </c>
      <c r="E24" s="566"/>
      <c r="F24" s="173"/>
      <c r="G24" s="173"/>
      <c r="H24" s="173"/>
      <c r="I24" s="177"/>
      <c r="J24" s="41"/>
      <c r="K24" s="41"/>
      <c r="M24" s="101"/>
    </row>
    <row r="25" spans="1:13">
      <c r="A25" s="40"/>
      <c r="B25" s="697" t="s">
        <v>128</v>
      </c>
      <c r="C25" s="140" t="s">
        <v>39</v>
      </c>
      <c r="D25" s="20" t="s">
        <v>92</v>
      </c>
      <c r="E25" s="566"/>
      <c r="F25" s="217"/>
      <c r="G25" s="217"/>
      <c r="H25" s="173"/>
      <c r="I25" s="148"/>
      <c r="J25" s="41"/>
      <c r="K25" s="41"/>
      <c r="M25" s="101"/>
    </row>
    <row r="26" spans="1:13">
      <c r="A26" s="40"/>
      <c r="B26" s="697" t="s">
        <v>129</v>
      </c>
      <c r="C26" s="140" t="s">
        <v>39</v>
      </c>
      <c r="D26" s="20" t="s">
        <v>92</v>
      </c>
      <c r="E26" s="566"/>
      <c r="F26" s="173"/>
      <c r="G26" s="173"/>
      <c r="H26" s="173"/>
      <c r="I26" s="148"/>
      <c r="J26" s="41"/>
      <c r="K26" s="41"/>
      <c r="M26" s="101"/>
    </row>
    <row r="27" spans="1:13">
      <c r="A27" s="40"/>
      <c r="B27" s="697" t="s">
        <v>130</v>
      </c>
      <c r="C27" s="140" t="s">
        <v>39</v>
      </c>
      <c r="D27" s="20">
        <v>32976.449999999997</v>
      </c>
      <c r="E27" s="566"/>
      <c r="F27" s="173"/>
      <c r="G27" s="173"/>
      <c r="H27" s="173"/>
      <c r="I27" s="258"/>
      <c r="J27" s="41"/>
      <c r="K27" s="41"/>
      <c r="M27" s="101"/>
    </row>
    <row r="28" spans="1:13">
      <c r="A28" s="40"/>
      <c r="B28" s="697" t="s">
        <v>131</v>
      </c>
      <c r="C28" s="140" t="s">
        <v>39</v>
      </c>
      <c r="D28" s="20">
        <v>677433.45000000112</v>
      </c>
      <c r="E28" s="566"/>
      <c r="F28" s="148"/>
      <c r="G28" s="148"/>
      <c r="H28" s="148"/>
      <c r="I28" s="148"/>
      <c r="J28" s="41"/>
      <c r="K28" s="41"/>
      <c r="M28" s="101"/>
    </row>
    <row r="29" spans="1:13">
      <c r="A29" s="40"/>
      <c r="B29" s="697" t="s">
        <v>132</v>
      </c>
      <c r="C29" s="368" t="s">
        <v>18</v>
      </c>
      <c r="D29" s="369">
        <f>D15-D16-D17-D18-D19-D20-D21-D22-IF(ISNUMBER(D23),D23,0)-IF(ISNUMBER(D24),D24,0)-IF(ISNUMBER(D25),D25,0)-IF(ISNUMBER(D26),D26,0)-D27-D28</f>
        <v>895682.91999999736</v>
      </c>
      <c r="E29" s="566"/>
      <c r="F29" s="148"/>
      <c r="G29" s="148"/>
      <c r="H29" s="148"/>
      <c r="I29" s="148"/>
      <c r="J29" s="41"/>
      <c r="K29" s="41"/>
      <c r="M29" s="101"/>
    </row>
    <row r="30" spans="1:13">
      <c r="A30" s="40"/>
      <c r="B30" s="699"/>
      <c r="C30" s="168"/>
      <c r="D30" s="700"/>
      <c r="E30" s="700"/>
      <c r="F30" s="700"/>
      <c r="G30" s="700"/>
      <c r="H30" s="700"/>
      <c r="I30" s="700"/>
      <c r="J30" s="79"/>
      <c r="K30" s="41"/>
      <c r="M30" s="101"/>
    </row>
    <row r="31" spans="1:13">
      <c r="A31" s="40"/>
      <c r="B31" s="139"/>
      <c r="C31" s="140"/>
      <c r="D31" s="148"/>
      <c r="E31" s="148"/>
      <c r="F31" s="148"/>
      <c r="G31" s="148"/>
      <c r="H31" s="148"/>
      <c r="I31" s="148"/>
      <c r="J31" s="34"/>
      <c r="K31" s="41"/>
      <c r="M31" s="101"/>
    </row>
    <row r="32" spans="1:13">
      <c r="A32" s="40"/>
      <c r="B32" s="139"/>
      <c r="C32" s="140"/>
      <c r="D32" s="148"/>
      <c r="E32" s="148"/>
      <c r="F32" s="148"/>
      <c r="G32" s="148"/>
      <c r="H32" s="148"/>
      <c r="I32" s="148"/>
      <c r="J32" s="34"/>
      <c r="K32" s="41"/>
      <c r="M32" s="101"/>
    </row>
    <row r="33" spans="1:13" ht="18">
      <c r="A33" s="40"/>
      <c r="B33" s="426" t="s">
        <v>142</v>
      </c>
      <c r="C33" s="427" t="s">
        <v>10</v>
      </c>
      <c r="D33" s="427" t="s">
        <v>8</v>
      </c>
      <c r="E33" s="427"/>
      <c r="F33" s="427" t="s">
        <v>9</v>
      </c>
      <c r="G33" s="427"/>
      <c r="H33" s="48"/>
      <c r="I33" s="48"/>
      <c r="J33" s="48"/>
      <c r="K33" s="41"/>
      <c r="M33" s="101"/>
    </row>
    <row r="34" spans="1:13" ht="12.75" customHeight="1">
      <c r="A34" s="40"/>
      <c r="B34" s="428" t="s">
        <v>121</v>
      </c>
      <c r="C34" s="429">
        <v>-34450.199999999997</v>
      </c>
      <c r="D34" s="430"/>
      <c r="E34" s="430"/>
      <c r="F34" s="430"/>
      <c r="G34" s="431"/>
      <c r="H34" s="50"/>
      <c r="I34" s="50"/>
      <c r="J34" s="51"/>
      <c r="K34" s="41"/>
      <c r="M34" s="101"/>
    </row>
    <row r="35" spans="1:13" ht="12.75" customHeight="1">
      <c r="A35" s="40"/>
      <c r="B35" s="432" t="s">
        <v>143</v>
      </c>
      <c r="C35" s="433">
        <f>SUM(D35:F35)</f>
        <v>-259021.8</v>
      </c>
      <c r="D35" s="433">
        <v>-210016.8</v>
      </c>
      <c r="E35" s="434"/>
      <c r="F35" s="433">
        <v>-49005</v>
      </c>
      <c r="G35" s="435"/>
      <c r="H35" s="53"/>
      <c r="I35" s="52"/>
      <c r="J35" s="54"/>
      <c r="K35" s="41"/>
      <c r="M35" s="101"/>
    </row>
    <row r="36" spans="1:13" ht="12.75" customHeight="1">
      <c r="A36" s="40"/>
      <c r="B36" s="432" t="s">
        <v>144</v>
      </c>
      <c r="C36" s="433">
        <f>SUM(D36:F36)</f>
        <v>-17651683.199999999</v>
      </c>
      <c r="D36" s="433">
        <v>-15931452.599999998</v>
      </c>
      <c r="E36" s="434"/>
      <c r="F36" s="433">
        <v>-1720230.6000000003</v>
      </c>
      <c r="G36" s="435"/>
      <c r="H36" s="53"/>
      <c r="I36" s="52"/>
      <c r="J36" s="54"/>
      <c r="K36" s="41"/>
      <c r="M36" s="101"/>
    </row>
    <row r="37" spans="1:13">
      <c r="A37" s="40"/>
      <c r="B37" s="432" t="s">
        <v>145</v>
      </c>
      <c r="C37" s="433">
        <f>SUM(D37:F37)</f>
        <v>-259021.8</v>
      </c>
      <c r="D37" s="433">
        <v>-210016.8</v>
      </c>
      <c r="E37" s="434"/>
      <c r="F37" s="433">
        <v>-49005</v>
      </c>
      <c r="G37" s="436"/>
      <c r="H37" s="55"/>
      <c r="I37" s="55"/>
      <c r="J37" s="56"/>
      <c r="K37" s="41"/>
      <c r="M37" s="101"/>
    </row>
    <row r="38" spans="1:13">
      <c r="A38" s="40"/>
      <c r="B38" s="432" t="s">
        <v>146</v>
      </c>
      <c r="C38" s="433">
        <f>SUM(D38:F38)</f>
        <v>-17651683.199999999</v>
      </c>
      <c r="D38" s="433">
        <v>-15931452.599999998</v>
      </c>
      <c r="E38" s="434"/>
      <c r="F38" s="433">
        <v>-1720230.6000000003</v>
      </c>
      <c r="G38" s="436"/>
      <c r="H38" s="55"/>
      <c r="I38" s="55"/>
      <c r="J38" s="56"/>
      <c r="K38" s="41"/>
      <c r="M38" s="101"/>
    </row>
    <row r="39" spans="1:13">
      <c r="A39" s="40"/>
      <c r="B39" s="432" t="s">
        <v>147</v>
      </c>
      <c r="C39" s="433">
        <v>-32976.449999999997</v>
      </c>
      <c r="D39" s="433"/>
      <c r="E39" s="434"/>
      <c r="F39" s="433"/>
      <c r="G39" s="436"/>
      <c r="H39" s="55"/>
      <c r="I39" s="55"/>
      <c r="J39" s="56"/>
      <c r="K39" s="41"/>
      <c r="M39" s="101"/>
    </row>
    <row r="40" spans="1:13">
      <c r="A40" s="40"/>
      <c r="B40" s="432" t="s">
        <v>148</v>
      </c>
      <c r="C40" s="433">
        <v>-1308729.4400000002</v>
      </c>
      <c r="D40" s="433"/>
      <c r="E40" s="434"/>
      <c r="F40" s="433"/>
      <c r="G40" s="436"/>
      <c r="H40" s="55"/>
      <c r="I40" s="55"/>
      <c r="J40" s="56"/>
      <c r="K40" s="41"/>
      <c r="M40" s="101"/>
    </row>
    <row r="41" spans="1:13">
      <c r="A41" s="40"/>
      <c r="B41" s="432" t="s">
        <v>149</v>
      </c>
      <c r="C41" s="433">
        <v>-32976.449999999997</v>
      </c>
      <c r="D41" s="433"/>
      <c r="E41" s="434"/>
      <c r="F41" s="433"/>
      <c r="G41" s="436"/>
      <c r="H41" s="55"/>
      <c r="I41" s="55"/>
      <c r="J41" s="56"/>
      <c r="K41" s="41"/>
      <c r="M41" s="101"/>
    </row>
    <row r="42" spans="1:13">
      <c r="A42" s="40"/>
      <c r="B42" s="432" t="s">
        <v>150</v>
      </c>
      <c r="C42" s="433">
        <v>-1308729.4400000002</v>
      </c>
      <c r="D42" s="433"/>
      <c r="E42" s="434"/>
      <c r="F42" s="433"/>
      <c r="G42" s="436"/>
      <c r="H42" s="55"/>
      <c r="I42" s="55"/>
      <c r="J42" s="56"/>
      <c r="K42" s="41"/>
      <c r="M42" s="101"/>
    </row>
    <row r="43" spans="1:13">
      <c r="A43" s="40"/>
      <c r="B43" s="432" t="s">
        <v>151</v>
      </c>
      <c r="C43" s="433">
        <f>C35-C37+C39-C41</f>
        <v>0</v>
      </c>
      <c r="D43" s="433"/>
      <c r="E43" s="434"/>
      <c r="F43" s="433"/>
      <c r="G43" s="436"/>
      <c r="H43" s="55"/>
      <c r="I43" s="55"/>
      <c r="J43" s="56"/>
      <c r="K43" s="41"/>
      <c r="M43" s="101"/>
    </row>
    <row r="44" spans="1:13">
      <c r="A44" s="40"/>
      <c r="B44" s="437" t="s">
        <v>152</v>
      </c>
      <c r="C44" s="438">
        <f>C36-C38+C40-C42</f>
        <v>0</v>
      </c>
      <c r="D44" s="438"/>
      <c r="E44" s="439"/>
      <c r="F44" s="438"/>
      <c r="G44" s="440"/>
      <c r="H44" s="441"/>
      <c r="I44" s="441"/>
      <c r="J44" s="442"/>
      <c r="K44" s="41"/>
      <c r="M44" s="101"/>
    </row>
    <row r="45" spans="1:13">
      <c r="A45" s="40"/>
      <c r="B45" s="139"/>
      <c r="C45" s="140"/>
      <c r="D45" s="148"/>
      <c r="E45" s="148"/>
      <c r="F45" s="148"/>
      <c r="G45" s="148"/>
      <c r="H45" s="148"/>
      <c r="I45" s="148"/>
      <c r="J45" s="34"/>
      <c r="K45" s="41"/>
      <c r="M45" s="101"/>
    </row>
    <row r="46" spans="1:13">
      <c r="A46" s="60"/>
      <c r="B46" s="167"/>
      <c r="C46" s="168"/>
      <c r="D46" s="169"/>
      <c r="E46" s="170"/>
      <c r="F46" s="171"/>
      <c r="G46" s="172"/>
      <c r="H46" s="171"/>
      <c r="I46" s="126"/>
      <c r="J46" s="61"/>
      <c r="K46" s="79"/>
    </row>
    <row r="47" spans="1:13">
      <c r="A47" s="36"/>
      <c r="B47" s="139"/>
      <c r="C47" s="140"/>
      <c r="D47" s="156"/>
      <c r="E47" s="157"/>
      <c r="F47" s="141"/>
      <c r="G47" s="158"/>
      <c r="H47" s="141"/>
      <c r="I47" s="102"/>
      <c r="J47" s="34"/>
      <c r="K47" s="34"/>
      <c r="L47" s="34"/>
    </row>
    <row r="48" spans="1:13" s="34" customFormat="1">
      <c r="B48" s="139"/>
      <c r="C48" s="140"/>
      <c r="D48" s="156"/>
      <c r="E48" s="157"/>
      <c r="F48" s="141"/>
      <c r="G48" s="158"/>
      <c r="H48" s="141"/>
      <c r="I48" s="102"/>
    </row>
    <row r="49" spans="2:9" s="34" customFormat="1">
      <c r="B49" s="139"/>
      <c r="C49" s="140"/>
      <c r="D49" s="156"/>
      <c r="E49" s="157"/>
      <c r="F49" s="141"/>
      <c r="G49" s="158"/>
      <c r="H49" s="141"/>
      <c r="I49" s="102"/>
    </row>
    <row r="50" spans="2:9" s="4" customFormat="1" ht="15" customHeight="1">
      <c r="B50" s="139"/>
      <c r="C50" s="140"/>
      <c r="D50" s="156"/>
      <c r="E50" s="157"/>
      <c r="F50" s="141"/>
      <c r="G50" s="158"/>
      <c r="H50" s="141"/>
      <c r="I50" s="18"/>
    </row>
    <row r="51" spans="2:9" s="4" customFormat="1">
      <c r="B51" s="139"/>
      <c r="C51" s="140"/>
      <c r="D51" s="156"/>
      <c r="E51" s="157"/>
      <c r="F51" s="141"/>
      <c r="G51" s="158"/>
      <c r="H51" s="141"/>
      <c r="I51" s="18"/>
    </row>
    <row r="52" spans="2:9" s="34" customFormat="1">
      <c r="B52" s="139"/>
      <c r="C52" s="140"/>
      <c r="D52" s="156"/>
      <c r="E52" s="157"/>
      <c r="F52" s="141"/>
      <c r="G52" s="158"/>
      <c r="H52" s="141"/>
      <c r="I52" s="102"/>
    </row>
    <row r="53" spans="2:9" s="34" customFormat="1">
      <c r="B53" s="139"/>
      <c r="C53" s="140"/>
      <c r="D53" s="156"/>
      <c r="E53" s="157"/>
      <c r="F53" s="141"/>
      <c r="G53" s="158"/>
      <c r="H53" s="141"/>
      <c r="I53" s="102"/>
    </row>
    <row r="54" spans="2:9" s="34" customFormat="1">
      <c r="B54" s="139"/>
      <c r="C54" s="140"/>
      <c r="D54" s="156"/>
      <c r="E54" s="157"/>
      <c r="F54" s="141"/>
      <c r="G54" s="158"/>
      <c r="H54" s="141"/>
      <c r="I54" s="102"/>
    </row>
    <row r="55" spans="2:9" s="34" customFormat="1">
      <c r="B55" s="139"/>
      <c r="C55" s="140"/>
      <c r="D55" s="156"/>
      <c r="E55" s="157"/>
      <c r="F55" s="141"/>
      <c r="G55" s="158"/>
      <c r="H55" s="141"/>
      <c r="I55" s="102"/>
    </row>
    <row r="56" spans="2:9" s="34" customFormat="1">
      <c r="B56" s="139"/>
      <c r="C56" s="140"/>
      <c r="D56" s="156"/>
      <c r="E56" s="157"/>
      <c r="F56" s="141"/>
      <c r="G56" s="158"/>
      <c r="H56" s="141"/>
      <c r="I56" s="102"/>
    </row>
    <row r="57" spans="2:9" s="34" customFormat="1">
      <c r="B57" s="139"/>
      <c r="C57" s="140"/>
      <c r="D57" s="156"/>
      <c r="E57" s="157"/>
      <c r="F57" s="141"/>
      <c r="G57" s="158"/>
      <c r="H57" s="141"/>
      <c r="I57" s="102"/>
    </row>
    <row r="58" spans="2:9" s="34" customFormat="1">
      <c r="B58" s="139"/>
      <c r="C58" s="140"/>
      <c r="D58" s="156"/>
      <c r="E58" s="157"/>
      <c r="F58" s="141"/>
      <c r="G58" s="158"/>
      <c r="H58" s="141"/>
      <c r="I58" s="102"/>
    </row>
    <row r="59" spans="2:9" s="34" customFormat="1">
      <c r="B59" s="139"/>
      <c r="C59" s="140"/>
      <c r="D59" s="156"/>
      <c r="E59" s="157"/>
      <c r="F59" s="141"/>
      <c r="G59" s="158"/>
      <c r="H59" s="141"/>
      <c r="I59" s="102"/>
    </row>
    <row r="60" spans="2:9" s="34" customFormat="1">
      <c r="B60" s="139"/>
      <c r="C60" s="140"/>
      <c r="D60" s="156"/>
      <c r="E60" s="157"/>
      <c r="F60" s="141"/>
      <c r="G60" s="158"/>
      <c r="H60" s="141"/>
      <c r="I60" s="102"/>
    </row>
    <row r="61" spans="2:9" s="34" customFormat="1">
      <c r="B61" s="139"/>
      <c r="C61" s="140"/>
      <c r="D61" s="156"/>
      <c r="E61" s="157"/>
      <c r="F61" s="141"/>
      <c r="G61" s="158"/>
      <c r="H61" s="141"/>
      <c r="I61" s="102"/>
    </row>
    <row r="62" spans="2:9" s="34" customFormat="1">
      <c r="B62" s="139"/>
      <c r="C62" s="140"/>
      <c r="D62" s="156"/>
      <c r="E62" s="157"/>
      <c r="F62" s="141"/>
      <c r="G62" s="158"/>
      <c r="H62" s="141"/>
      <c r="I62" s="102"/>
    </row>
    <row r="63" spans="2:9" s="34" customFormat="1">
      <c r="B63" s="139"/>
      <c r="C63" s="140"/>
      <c r="D63" s="156"/>
      <c r="E63" s="157"/>
      <c r="F63" s="141"/>
      <c r="G63" s="158"/>
      <c r="H63" s="141"/>
      <c r="I63" s="102"/>
    </row>
    <row r="64" spans="2:9" s="34" customFormat="1">
      <c r="B64" s="139"/>
      <c r="C64" s="140"/>
      <c r="D64" s="156"/>
      <c r="E64" s="157"/>
      <c r="F64" s="141"/>
      <c r="G64" s="158"/>
      <c r="H64" s="141"/>
      <c r="I64" s="102"/>
    </row>
    <row r="65" spans="2:9" s="34" customFormat="1">
      <c r="B65" s="139"/>
      <c r="C65" s="140"/>
      <c r="D65" s="156"/>
      <c r="E65" s="157"/>
      <c r="F65" s="141"/>
      <c r="G65" s="158"/>
      <c r="H65" s="141"/>
      <c r="I65" s="102"/>
    </row>
    <row r="66" spans="2:9" s="34" customFormat="1">
      <c r="B66" s="139"/>
      <c r="C66" s="140"/>
      <c r="D66" s="156"/>
      <c r="E66" s="157"/>
      <c r="F66" s="141"/>
      <c r="G66" s="158"/>
      <c r="H66" s="141"/>
      <c r="I66" s="102"/>
    </row>
    <row r="67" spans="2:9" s="34" customFormat="1">
      <c r="B67" s="139"/>
      <c r="C67" s="140"/>
      <c r="D67" s="156"/>
      <c r="E67" s="157"/>
      <c r="F67" s="141"/>
      <c r="G67" s="158"/>
      <c r="H67" s="141"/>
      <c r="I67" s="102"/>
    </row>
    <row r="68" spans="2:9" s="34" customFormat="1">
      <c r="B68" s="139"/>
      <c r="C68" s="140"/>
      <c r="D68" s="156"/>
      <c r="E68" s="157"/>
      <c r="F68" s="141"/>
      <c r="G68" s="158"/>
      <c r="H68" s="141"/>
      <c r="I68" s="102"/>
    </row>
    <row r="69" spans="2:9" s="34" customFormat="1">
      <c r="B69" s="139"/>
      <c r="C69" s="140"/>
      <c r="D69" s="156"/>
      <c r="E69" s="157"/>
      <c r="F69" s="141"/>
      <c r="G69" s="158"/>
      <c r="H69" s="141"/>
      <c r="I69" s="102"/>
    </row>
    <row r="70" spans="2:9" s="34" customFormat="1">
      <c r="B70" s="139"/>
      <c r="C70" s="140"/>
      <c r="D70" s="156"/>
      <c r="E70" s="157"/>
      <c r="F70" s="141"/>
      <c r="G70" s="158"/>
      <c r="H70" s="141"/>
      <c r="I70" s="102"/>
    </row>
    <row r="71" spans="2:9" s="34" customFormat="1">
      <c r="B71" s="139"/>
      <c r="C71" s="140"/>
      <c r="D71" s="156"/>
      <c r="E71" s="157"/>
      <c r="F71" s="141"/>
      <c r="G71" s="158"/>
      <c r="H71" s="141"/>
      <c r="I71" s="102"/>
    </row>
    <row r="72" spans="2:9" s="34" customFormat="1">
      <c r="B72" s="139"/>
      <c r="C72" s="140"/>
      <c r="D72" s="156"/>
      <c r="E72" s="157"/>
      <c r="F72" s="141"/>
      <c r="G72" s="158"/>
      <c r="H72" s="141"/>
      <c r="I72" s="102"/>
    </row>
    <row r="73" spans="2:9" s="34" customFormat="1">
      <c r="B73" s="139"/>
      <c r="C73" s="140"/>
      <c r="D73" s="156"/>
      <c r="E73" s="157"/>
      <c r="F73" s="141"/>
      <c r="G73" s="158"/>
      <c r="H73" s="141"/>
      <c r="I73" s="102"/>
    </row>
    <row r="74" spans="2:9" s="34" customFormat="1">
      <c r="B74" s="139"/>
      <c r="C74" s="140"/>
      <c r="D74" s="156"/>
      <c r="E74" s="157"/>
      <c r="F74" s="141"/>
      <c r="G74" s="158"/>
      <c r="H74" s="141"/>
      <c r="I74" s="102"/>
    </row>
    <row r="75" spans="2:9" s="34" customFormat="1">
      <c r="B75" s="139"/>
      <c r="C75" s="140"/>
      <c r="D75" s="156"/>
      <c r="E75" s="157"/>
      <c r="F75" s="141"/>
      <c r="G75" s="158"/>
      <c r="H75" s="141"/>
      <c r="I75" s="102"/>
    </row>
    <row r="76" spans="2:9" s="34" customFormat="1">
      <c r="B76" s="139"/>
      <c r="C76" s="140"/>
      <c r="D76" s="156"/>
      <c r="E76" s="157"/>
      <c r="F76" s="141"/>
      <c r="G76" s="158"/>
      <c r="H76" s="141"/>
      <c r="I76" s="102"/>
    </row>
    <row r="77" spans="2:9" s="34" customFormat="1">
      <c r="B77" s="139"/>
      <c r="C77" s="140"/>
      <c r="D77" s="156"/>
      <c r="E77" s="157"/>
      <c r="F77" s="141"/>
      <c r="G77" s="158"/>
      <c r="H77" s="141"/>
      <c r="I77" s="102"/>
    </row>
    <row r="78" spans="2:9" s="34" customFormat="1">
      <c r="B78" s="139"/>
      <c r="C78" s="140"/>
      <c r="D78" s="156"/>
      <c r="E78" s="157"/>
      <c r="F78" s="141"/>
      <c r="G78" s="158"/>
      <c r="H78" s="141"/>
      <c r="I78" s="102"/>
    </row>
    <row r="79" spans="2:9" s="34" customFormat="1">
      <c r="B79" s="139"/>
      <c r="C79" s="140"/>
      <c r="D79" s="156"/>
      <c r="E79" s="157"/>
      <c r="F79" s="141"/>
      <c r="G79" s="158"/>
      <c r="H79" s="141"/>
      <c r="I79" s="102"/>
    </row>
    <row r="80" spans="2:9" s="34" customFormat="1">
      <c r="B80" s="139"/>
      <c r="C80" s="140"/>
      <c r="D80" s="142"/>
      <c r="E80" s="134"/>
      <c r="F80" s="143"/>
      <c r="G80" s="144"/>
      <c r="H80" s="143"/>
      <c r="I80" s="102"/>
    </row>
    <row r="81" spans="2:9" s="34" customFormat="1">
      <c r="B81" s="139"/>
      <c r="C81" s="140"/>
      <c r="D81" s="142"/>
      <c r="E81" s="142"/>
      <c r="F81" s="142"/>
      <c r="G81" s="142"/>
      <c r="H81" s="142"/>
      <c r="I81" s="102"/>
    </row>
    <row r="82" spans="2:9" s="34" customFormat="1">
      <c r="B82" s="139"/>
      <c r="C82" s="140"/>
      <c r="D82" s="142"/>
      <c r="E82" s="142"/>
      <c r="F82" s="142"/>
      <c r="G82" s="142"/>
      <c r="H82" s="142"/>
      <c r="I82" s="102"/>
    </row>
    <row r="83" spans="2:9" s="34" customFormat="1">
      <c r="B83" s="139"/>
      <c r="C83" s="140"/>
      <c r="D83" s="145"/>
      <c r="E83" s="146"/>
      <c r="F83" s="142"/>
      <c r="G83" s="142"/>
      <c r="H83" s="142"/>
      <c r="I83" s="102"/>
    </row>
    <row r="84" spans="2:9" s="34" customFormat="1">
      <c r="B84" s="139"/>
      <c r="C84" s="140"/>
      <c r="D84" s="134"/>
      <c r="E84" s="146"/>
      <c r="F84" s="142"/>
      <c r="G84" s="142"/>
      <c r="H84" s="142"/>
      <c r="I84" s="102"/>
    </row>
    <row r="85" spans="2:9" s="34" customFormat="1">
      <c r="B85" s="139"/>
      <c r="C85" s="140"/>
      <c r="D85" s="142"/>
      <c r="E85" s="146"/>
      <c r="F85" s="142"/>
      <c r="G85" s="142"/>
      <c r="H85" s="142"/>
      <c r="I85" s="102"/>
    </row>
    <row r="86" spans="2:9" s="34" customFormat="1" ht="14.25">
      <c r="B86" s="142"/>
      <c r="C86" s="370"/>
      <c r="D86" s="150"/>
      <c r="E86" s="150"/>
      <c r="F86" s="150"/>
      <c r="G86" s="150"/>
      <c r="H86" s="150"/>
      <c r="I86" s="102"/>
    </row>
    <row r="87" spans="2:9" s="34" customFormat="1" ht="14.25">
      <c r="B87" s="173"/>
      <c r="C87" s="371"/>
      <c r="D87" s="150"/>
      <c r="E87" s="150"/>
      <c r="F87" s="150"/>
      <c r="G87" s="150"/>
      <c r="H87" s="150"/>
      <c r="I87" s="102"/>
    </row>
    <row r="88" spans="2:9" s="34" customFormat="1" ht="14.25">
      <c r="B88" s="173"/>
      <c r="C88" s="371"/>
      <c r="D88" s="151"/>
      <c r="E88" s="152"/>
      <c r="F88" s="150"/>
      <c r="G88" s="150"/>
      <c r="H88" s="150"/>
      <c r="I88" s="102"/>
    </row>
    <row r="89" spans="2:9" s="34" customFormat="1" ht="14.25">
      <c r="B89" s="145"/>
      <c r="C89" s="146"/>
      <c r="D89" s="153"/>
      <c r="E89" s="152"/>
      <c r="F89" s="150"/>
      <c r="G89" s="150"/>
      <c r="H89" s="150"/>
      <c r="I89" s="102"/>
    </row>
    <row r="90" spans="2:9" s="34" customFormat="1" ht="14.25">
      <c r="B90" s="147"/>
      <c r="C90" s="146"/>
      <c r="D90" s="150"/>
      <c r="E90" s="152"/>
      <c r="F90" s="150"/>
      <c r="G90" s="150"/>
      <c r="H90" s="150"/>
      <c r="I90" s="102"/>
    </row>
    <row r="91" spans="2:9" s="34" customFormat="1">
      <c r="B91" s="148"/>
      <c r="C91" s="146"/>
      <c r="D91" s="148"/>
      <c r="E91" s="148"/>
      <c r="F91" s="148"/>
      <c r="I91" s="102"/>
    </row>
    <row r="92" spans="2:9" s="34" customFormat="1">
      <c r="C92" s="28"/>
      <c r="I92" s="102"/>
    </row>
    <row r="93" spans="2:9" s="34" customFormat="1">
      <c r="C93" s="28"/>
      <c r="I93" s="102"/>
    </row>
    <row r="94" spans="2:9" s="34" customFormat="1">
      <c r="C94" s="28"/>
      <c r="I94" s="102"/>
    </row>
    <row r="95" spans="2:9" s="34" customFormat="1">
      <c r="C95" s="28"/>
      <c r="I95" s="102"/>
    </row>
    <row r="96" spans="2:9" s="34" customFormat="1">
      <c r="C96" s="28"/>
      <c r="I96" s="102"/>
    </row>
    <row r="97" spans="3:9" s="34" customFormat="1">
      <c r="C97" s="28"/>
      <c r="I97" s="102"/>
    </row>
    <row r="98" spans="3:9" s="34" customFormat="1">
      <c r="C98" s="28"/>
      <c r="I98" s="102"/>
    </row>
    <row r="99" spans="3:9" s="34" customFormat="1">
      <c r="C99" s="28"/>
      <c r="I99" s="102"/>
    </row>
    <row r="100" spans="3:9" s="34" customFormat="1">
      <c r="C100" s="28"/>
      <c r="I100" s="102"/>
    </row>
    <row r="101" spans="3:9" s="34" customFormat="1">
      <c r="C101" s="28"/>
      <c r="I101" s="102"/>
    </row>
    <row r="102" spans="3:9" s="34" customFormat="1">
      <c r="C102" s="28"/>
      <c r="I102" s="102"/>
    </row>
    <row r="103" spans="3:9" s="34" customFormat="1">
      <c r="C103" s="28"/>
      <c r="I103" s="102"/>
    </row>
    <row r="104" spans="3:9" s="34" customFormat="1">
      <c r="C104" s="28"/>
      <c r="I104" s="102"/>
    </row>
    <row r="105" spans="3:9" s="34" customFormat="1">
      <c r="C105" s="28"/>
      <c r="I105" s="102"/>
    </row>
    <row r="106" spans="3:9" s="34" customFormat="1">
      <c r="C106" s="28"/>
      <c r="I106" s="102"/>
    </row>
    <row r="107" spans="3:9" s="34" customFormat="1">
      <c r="C107" s="28"/>
      <c r="I107" s="102"/>
    </row>
    <row r="108" spans="3:9" s="34" customFormat="1">
      <c r="C108" s="28"/>
      <c r="I108" s="102"/>
    </row>
    <row r="109" spans="3:9" s="34" customFormat="1">
      <c r="C109" s="28"/>
      <c r="I109" s="102"/>
    </row>
    <row r="110" spans="3:9" s="34" customFormat="1">
      <c r="C110" s="28"/>
      <c r="I110" s="102"/>
    </row>
    <row r="111" spans="3:9" s="34" customFormat="1">
      <c r="C111" s="28"/>
      <c r="I111" s="102"/>
    </row>
    <row r="112" spans="3:9" s="34" customFormat="1">
      <c r="C112" s="28"/>
      <c r="I112" s="102"/>
    </row>
    <row r="113" spans="3:9" s="34" customFormat="1">
      <c r="C113" s="28"/>
      <c r="I113" s="102"/>
    </row>
    <row r="114" spans="3:9" s="34" customFormat="1">
      <c r="C114" s="28"/>
      <c r="I114" s="102"/>
    </row>
    <row r="115" spans="3:9" s="34" customFormat="1">
      <c r="C115" s="28"/>
      <c r="I115" s="102"/>
    </row>
    <row r="116" spans="3:9" s="34" customFormat="1">
      <c r="C116" s="28"/>
      <c r="I116" s="102"/>
    </row>
    <row r="117" spans="3:9" s="34" customFormat="1">
      <c r="C117" s="28"/>
      <c r="I117" s="102"/>
    </row>
    <row r="118" spans="3:9" s="34" customFormat="1">
      <c r="C118" s="28"/>
      <c r="I118" s="102"/>
    </row>
    <row r="119" spans="3:9" s="34" customFormat="1">
      <c r="C119" s="28"/>
      <c r="I119" s="102"/>
    </row>
    <row r="120" spans="3:9" s="34" customFormat="1">
      <c r="C120" s="28"/>
      <c r="I120" s="102"/>
    </row>
    <row r="121" spans="3:9" s="34" customFormat="1">
      <c r="C121" s="28"/>
      <c r="I121" s="102"/>
    </row>
    <row r="122" spans="3:9" s="34" customFormat="1">
      <c r="C122" s="28"/>
      <c r="I122" s="102"/>
    </row>
    <row r="123" spans="3:9" s="34" customFormat="1">
      <c r="C123" s="28"/>
      <c r="I123" s="102"/>
    </row>
    <row r="124" spans="3:9" s="34" customFormat="1">
      <c r="C124" s="28"/>
      <c r="I124" s="102"/>
    </row>
    <row r="125" spans="3:9" s="34" customFormat="1">
      <c r="C125" s="28"/>
      <c r="I125" s="102"/>
    </row>
    <row r="126" spans="3:9" s="34" customFormat="1">
      <c r="C126" s="28"/>
      <c r="I126" s="102"/>
    </row>
    <row r="127" spans="3:9" s="34" customFormat="1">
      <c r="C127" s="28"/>
      <c r="I127" s="102"/>
    </row>
    <row r="128" spans="3:9" s="34" customFormat="1">
      <c r="C128" s="28"/>
      <c r="I128" s="102"/>
    </row>
    <row r="129" spans="3:9" s="34" customFormat="1">
      <c r="C129" s="28"/>
      <c r="I129" s="102"/>
    </row>
    <row r="130" spans="3:9" s="34" customFormat="1">
      <c r="C130" s="28"/>
      <c r="I130" s="102"/>
    </row>
    <row r="131" spans="3:9" s="34" customFormat="1">
      <c r="C131" s="28"/>
      <c r="I131" s="102"/>
    </row>
    <row r="132" spans="3:9" s="34" customFormat="1">
      <c r="C132" s="28"/>
      <c r="I132" s="102"/>
    </row>
    <row r="133" spans="3:9" s="34" customFormat="1">
      <c r="C133" s="28"/>
      <c r="I133" s="102"/>
    </row>
    <row r="134" spans="3:9" s="34" customFormat="1">
      <c r="C134" s="28"/>
      <c r="I134" s="102"/>
    </row>
    <row r="135" spans="3:9" s="34" customFormat="1">
      <c r="C135" s="28"/>
      <c r="I135" s="102"/>
    </row>
    <row r="136" spans="3:9" s="34" customFormat="1">
      <c r="C136" s="28"/>
      <c r="I136" s="102"/>
    </row>
    <row r="137" spans="3:9" s="34" customFormat="1">
      <c r="C137" s="28"/>
      <c r="I137" s="102"/>
    </row>
    <row r="138" spans="3:9" s="34" customFormat="1">
      <c r="C138" s="28"/>
      <c r="I138" s="102"/>
    </row>
    <row r="139" spans="3:9" s="34" customFormat="1">
      <c r="C139" s="28"/>
      <c r="I139" s="102"/>
    </row>
    <row r="140" spans="3:9" s="34" customFormat="1">
      <c r="C140" s="28"/>
      <c r="I140" s="102"/>
    </row>
    <row r="141" spans="3:9" s="34" customFormat="1">
      <c r="C141" s="28"/>
      <c r="I141" s="102"/>
    </row>
    <row r="142" spans="3:9" s="34" customFormat="1">
      <c r="C142" s="28"/>
      <c r="I142" s="102"/>
    </row>
    <row r="143" spans="3:9" s="34" customFormat="1">
      <c r="C143" s="28"/>
      <c r="I143" s="102"/>
    </row>
    <row r="144" spans="3:9" s="34" customFormat="1">
      <c r="C144" s="28"/>
      <c r="I144" s="102"/>
    </row>
    <row r="145" spans="3:9" s="34" customFormat="1">
      <c r="C145" s="28"/>
      <c r="I145" s="102"/>
    </row>
    <row r="146" spans="3:9" s="34" customFormat="1">
      <c r="C146" s="28"/>
      <c r="I146" s="102"/>
    </row>
    <row r="147" spans="3:9" s="34" customFormat="1">
      <c r="C147" s="28"/>
      <c r="I147" s="102"/>
    </row>
    <row r="148" spans="3:9" s="34" customFormat="1">
      <c r="C148" s="28"/>
      <c r="I148" s="102"/>
    </row>
    <row r="149" spans="3:9" s="34" customFormat="1">
      <c r="C149" s="28"/>
      <c r="I149" s="102"/>
    </row>
    <row r="150" spans="3:9" s="34" customFormat="1">
      <c r="C150" s="28"/>
      <c r="I150" s="102"/>
    </row>
    <row r="151" spans="3:9" s="34" customFormat="1">
      <c r="C151" s="28"/>
      <c r="I151" s="102"/>
    </row>
    <row r="152" spans="3:9" s="34" customFormat="1">
      <c r="C152" s="28"/>
      <c r="I152" s="102"/>
    </row>
    <row r="153" spans="3:9" s="34" customFormat="1">
      <c r="C153" s="28"/>
      <c r="I153" s="102"/>
    </row>
    <row r="154" spans="3:9" s="34" customFormat="1">
      <c r="C154" s="28"/>
      <c r="I154" s="102"/>
    </row>
    <row r="155" spans="3:9" s="34" customFormat="1">
      <c r="C155" s="28"/>
      <c r="I155" s="102"/>
    </row>
    <row r="156" spans="3:9" s="34" customFormat="1">
      <c r="C156" s="28"/>
      <c r="I156" s="102"/>
    </row>
    <row r="157" spans="3:9" s="34" customFormat="1">
      <c r="C157" s="28"/>
      <c r="I157" s="102"/>
    </row>
    <row r="158" spans="3:9" s="34" customFormat="1">
      <c r="C158" s="28"/>
      <c r="I158" s="102"/>
    </row>
    <row r="159" spans="3:9" s="34" customFormat="1">
      <c r="C159" s="28"/>
      <c r="I159" s="102"/>
    </row>
    <row r="160" spans="3:9" s="34" customFormat="1">
      <c r="C160" s="28"/>
      <c r="I160" s="102"/>
    </row>
    <row r="161" spans="3:9" s="34" customFormat="1">
      <c r="C161" s="28"/>
      <c r="I161" s="102"/>
    </row>
    <row r="162" spans="3:9" s="34" customFormat="1">
      <c r="C162" s="28"/>
      <c r="I162" s="102"/>
    </row>
    <row r="163" spans="3:9" s="34" customFormat="1">
      <c r="C163" s="28"/>
      <c r="I163" s="102"/>
    </row>
    <row r="164" spans="3:9" s="34" customFormat="1">
      <c r="C164" s="28"/>
      <c r="I164" s="102"/>
    </row>
    <row r="165" spans="3:9" s="34" customFormat="1">
      <c r="C165" s="28"/>
      <c r="I165" s="102"/>
    </row>
    <row r="166" spans="3:9" s="34" customFormat="1">
      <c r="C166" s="28"/>
      <c r="I166" s="102"/>
    </row>
    <row r="167" spans="3:9" s="34" customFormat="1">
      <c r="C167" s="28"/>
      <c r="I167" s="102"/>
    </row>
    <row r="168" spans="3:9" s="34" customFormat="1">
      <c r="C168" s="28"/>
      <c r="I168" s="102"/>
    </row>
    <row r="169" spans="3:9" s="34" customFormat="1">
      <c r="C169" s="28"/>
      <c r="I169" s="102"/>
    </row>
    <row r="170" spans="3:9" s="34" customFormat="1">
      <c r="C170" s="28"/>
      <c r="I170" s="102"/>
    </row>
    <row r="171" spans="3:9" s="34" customFormat="1">
      <c r="C171" s="28"/>
      <c r="I171" s="102"/>
    </row>
    <row r="172" spans="3:9" s="34" customFormat="1">
      <c r="C172" s="28"/>
      <c r="I172" s="102"/>
    </row>
    <row r="173" spans="3:9" s="34" customFormat="1">
      <c r="C173" s="28"/>
      <c r="I173" s="102"/>
    </row>
    <row r="174" spans="3:9" s="34" customFormat="1">
      <c r="C174" s="28"/>
      <c r="I174" s="102"/>
    </row>
    <row r="175" spans="3:9" s="34" customFormat="1">
      <c r="C175" s="28"/>
      <c r="I175" s="102"/>
    </row>
    <row r="176" spans="3:9" s="34" customFormat="1">
      <c r="C176" s="28"/>
      <c r="I176" s="102"/>
    </row>
    <row r="177" spans="3:9" s="34" customFormat="1">
      <c r="C177" s="28"/>
      <c r="I177" s="102"/>
    </row>
    <row r="178" spans="3:9" s="34" customFormat="1">
      <c r="C178" s="28"/>
      <c r="I178" s="102"/>
    </row>
    <row r="179" spans="3:9" s="34" customFormat="1">
      <c r="C179" s="28"/>
      <c r="I179" s="102"/>
    </row>
    <row r="180" spans="3:9" s="34" customFormat="1">
      <c r="C180" s="28"/>
      <c r="I180" s="102"/>
    </row>
    <row r="181" spans="3:9" s="34" customFormat="1">
      <c r="C181" s="28"/>
      <c r="I181" s="102"/>
    </row>
    <row r="182" spans="3:9" s="34" customFormat="1">
      <c r="C182" s="28"/>
      <c r="I182" s="102"/>
    </row>
    <row r="183" spans="3:9" s="34" customFormat="1">
      <c r="C183" s="28"/>
      <c r="I183" s="102"/>
    </row>
    <row r="184" spans="3:9" s="34" customFormat="1">
      <c r="C184" s="28"/>
      <c r="I184" s="102"/>
    </row>
    <row r="185" spans="3:9" s="34" customFormat="1">
      <c r="C185" s="28"/>
      <c r="I185" s="102"/>
    </row>
    <row r="186" spans="3:9" s="34" customFormat="1">
      <c r="C186" s="28"/>
      <c r="I186" s="102"/>
    </row>
    <row r="187" spans="3:9" s="34" customFormat="1">
      <c r="C187" s="28"/>
      <c r="I187" s="102"/>
    </row>
    <row r="188" spans="3:9" s="34" customFormat="1">
      <c r="C188" s="28"/>
      <c r="I188" s="102"/>
    </row>
    <row r="189" spans="3:9" s="34" customFormat="1">
      <c r="C189" s="28"/>
      <c r="I189" s="102"/>
    </row>
    <row r="190" spans="3:9" s="34" customFormat="1">
      <c r="C190" s="28"/>
      <c r="I190" s="102"/>
    </row>
    <row r="191" spans="3:9" s="34" customFormat="1">
      <c r="C191" s="28"/>
      <c r="I191" s="102"/>
    </row>
    <row r="192" spans="3:9" s="34" customFormat="1">
      <c r="C192" s="28"/>
      <c r="I192" s="102"/>
    </row>
    <row r="193" spans="3:9" s="34" customFormat="1">
      <c r="C193" s="28"/>
      <c r="I193" s="102"/>
    </row>
    <row r="194" spans="3:9" s="34" customFormat="1">
      <c r="C194" s="28"/>
      <c r="I194" s="102"/>
    </row>
    <row r="195" spans="3:9" s="34" customFormat="1">
      <c r="C195" s="28"/>
      <c r="I195" s="102"/>
    </row>
    <row r="196" spans="3:9" s="34" customFormat="1">
      <c r="C196" s="28"/>
      <c r="I196" s="102"/>
    </row>
    <row r="197" spans="3:9" s="34" customFormat="1">
      <c r="C197" s="28"/>
      <c r="I197" s="102"/>
    </row>
    <row r="198" spans="3:9" s="34" customFormat="1">
      <c r="C198" s="28"/>
      <c r="I198" s="102"/>
    </row>
    <row r="199" spans="3:9" s="34" customFormat="1">
      <c r="C199" s="28"/>
      <c r="I199" s="102"/>
    </row>
    <row r="200" spans="3:9" s="34" customFormat="1">
      <c r="C200" s="28"/>
      <c r="I200" s="102"/>
    </row>
    <row r="201" spans="3:9" s="34" customFormat="1">
      <c r="C201" s="28"/>
      <c r="I201" s="102"/>
    </row>
    <row r="202" spans="3:9" s="34" customFormat="1">
      <c r="C202" s="28"/>
      <c r="I202" s="102"/>
    </row>
    <row r="203" spans="3:9" s="34" customFormat="1">
      <c r="C203" s="28"/>
      <c r="I203" s="102"/>
    </row>
    <row r="204" spans="3:9" s="34" customFormat="1">
      <c r="C204" s="28"/>
      <c r="I204" s="102"/>
    </row>
    <row r="205" spans="3:9" s="34" customFormat="1">
      <c r="C205" s="28"/>
      <c r="I205" s="102"/>
    </row>
    <row r="206" spans="3:9" s="34" customFormat="1">
      <c r="C206" s="28"/>
      <c r="I206" s="102"/>
    </row>
    <row r="207" spans="3:9" s="34" customFormat="1">
      <c r="C207" s="28"/>
      <c r="I207" s="102"/>
    </row>
    <row r="208" spans="3:9" s="34" customFormat="1">
      <c r="C208" s="28"/>
      <c r="I208" s="102"/>
    </row>
    <row r="209" spans="3:9" s="34" customFormat="1">
      <c r="C209" s="28"/>
      <c r="I209" s="102"/>
    </row>
    <row r="210" spans="3:9" s="34" customFormat="1">
      <c r="C210" s="28"/>
      <c r="I210" s="102"/>
    </row>
    <row r="211" spans="3:9" s="34" customFormat="1">
      <c r="C211" s="28"/>
      <c r="I211" s="102"/>
    </row>
    <row r="212" spans="3:9" s="34" customFormat="1">
      <c r="C212" s="28"/>
      <c r="I212" s="102"/>
    </row>
    <row r="213" spans="3:9" s="34" customFormat="1">
      <c r="C213" s="28"/>
      <c r="I213" s="102"/>
    </row>
    <row r="214" spans="3:9" s="34" customFormat="1">
      <c r="C214" s="28"/>
      <c r="I214" s="102"/>
    </row>
    <row r="215" spans="3:9" s="34" customFormat="1">
      <c r="C215" s="28"/>
      <c r="I215" s="102"/>
    </row>
    <row r="216" spans="3:9" s="34" customFormat="1">
      <c r="C216" s="28"/>
      <c r="I216" s="102"/>
    </row>
    <row r="217" spans="3:9" s="34" customFormat="1">
      <c r="C217" s="28"/>
      <c r="I217" s="102"/>
    </row>
    <row r="218" spans="3:9" s="34" customFormat="1">
      <c r="C218" s="28"/>
      <c r="I218" s="102"/>
    </row>
    <row r="219" spans="3:9" s="34" customFormat="1">
      <c r="C219" s="28"/>
      <c r="I219" s="102"/>
    </row>
    <row r="220" spans="3:9" s="34" customFormat="1">
      <c r="C220" s="28"/>
      <c r="I220" s="102"/>
    </row>
    <row r="221" spans="3:9" s="34" customFormat="1">
      <c r="C221" s="28"/>
      <c r="I221" s="102"/>
    </row>
    <row r="222" spans="3:9" s="34" customFormat="1">
      <c r="C222" s="28"/>
      <c r="I222" s="102"/>
    </row>
    <row r="223" spans="3:9" s="34" customFormat="1">
      <c r="C223" s="28"/>
      <c r="I223" s="102"/>
    </row>
    <row r="224" spans="3:9" s="34" customFormat="1">
      <c r="C224" s="28"/>
      <c r="I224" s="102"/>
    </row>
    <row r="225" spans="3:9" s="34" customFormat="1">
      <c r="C225" s="28"/>
      <c r="I225" s="102"/>
    </row>
    <row r="226" spans="3:9" s="34" customFormat="1">
      <c r="C226" s="28"/>
      <c r="I226" s="102"/>
    </row>
    <row r="227" spans="3:9" s="34" customFormat="1">
      <c r="C227" s="28"/>
      <c r="I227" s="102"/>
    </row>
    <row r="228" spans="3:9" s="34" customFormat="1">
      <c r="C228" s="28"/>
      <c r="I228" s="102"/>
    </row>
    <row r="229" spans="3:9" s="34" customFormat="1">
      <c r="C229" s="28"/>
      <c r="I229" s="102"/>
    </row>
    <row r="230" spans="3:9" s="34" customFormat="1">
      <c r="C230" s="28"/>
      <c r="I230" s="102"/>
    </row>
    <row r="231" spans="3:9" s="34" customFormat="1">
      <c r="C231" s="28"/>
      <c r="I231" s="102"/>
    </row>
    <row r="232" spans="3:9" s="34" customFormat="1">
      <c r="C232" s="28"/>
      <c r="I232" s="102"/>
    </row>
    <row r="233" spans="3:9" s="34" customFormat="1">
      <c r="C233" s="28"/>
      <c r="I233" s="102"/>
    </row>
    <row r="234" spans="3:9" s="34" customFormat="1">
      <c r="C234" s="28"/>
      <c r="I234" s="102"/>
    </row>
    <row r="235" spans="3:9" s="34" customFormat="1">
      <c r="C235" s="28"/>
      <c r="I235" s="102"/>
    </row>
    <row r="236" spans="3:9" s="34" customFormat="1">
      <c r="C236" s="28"/>
      <c r="I236" s="102"/>
    </row>
    <row r="237" spans="3:9" s="34" customFormat="1">
      <c r="C237" s="28"/>
      <c r="I237" s="102"/>
    </row>
    <row r="238" spans="3:9" s="34" customFormat="1">
      <c r="C238" s="28"/>
      <c r="I238" s="102"/>
    </row>
    <row r="239" spans="3:9" s="34" customFormat="1">
      <c r="C239" s="28"/>
      <c r="I239" s="102"/>
    </row>
    <row r="240" spans="3:9" s="34" customFormat="1">
      <c r="C240" s="28"/>
      <c r="I240" s="102"/>
    </row>
    <row r="241" spans="3:9" s="34" customFormat="1">
      <c r="C241" s="28"/>
      <c r="I241" s="102"/>
    </row>
    <row r="242" spans="3:9" s="34" customFormat="1">
      <c r="C242" s="28"/>
      <c r="I242" s="102"/>
    </row>
    <row r="243" spans="3:9" s="34" customFormat="1">
      <c r="C243" s="28"/>
      <c r="I243" s="102"/>
    </row>
    <row r="244" spans="3:9" s="34" customFormat="1">
      <c r="C244" s="28"/>
      <c r="I244" s="102"/>
    </row>
    <row r="245" spans="3:9" s="34" customFormat="1">
      <c r="C245" s="28"/>
      <c r="I245" s="102"/>
    </row>
    <row r="246" spans="3:9" s="34" customFormat="1">
      <c r="C246" s="28"/>
      <c r="I246" s="102"/>
    </row>
    <row r="247" spans="3:9" s="34" customFormat="1">
      <c r="C247" s="28"/>
      <c r="I247" s="102"/>
    </row>
    <row r="248" spans="3:9" s="34" customFormat="1">
      <c r="C248" s="28"/>
      <c r="I248" s="102"/>
    </row>
    <row r="249" spans="3:9" s="34" customFormat="1">
      <c r="C249" s="28"/>
      <c r="I249" s="102"/>
    </row>
    <row r="250" spans="3:9" s="34" customFormat="1">
      <c r="C250" s="28"/>
      <c r="I250" s="102"/>
    </row>
    <row r="251" spans="3:9" s="34" customFormat="1">
      <c r="C251" s="28"/>
      <c r="I251" s="102"/>
    </row>
    <row r="252" spans="3:9" s="34" customFormat="1">
      <c r="C252" s="28"/>
      <c r="I252" s="102"/>
    </row>
    <row r="253" spans="3:9" s="34" customFormat="1">
      <c r="C253" s="28"/>
      <c r="I253" s="102"/>
    </row>
    <row r="254" spans="3:9" s="34" customFormat="1">
      <c r="C254" s="28"/>
      <c r="I254" s="102"/>
    </row>
    <row r="255" spans="3:9" s="34" customFormat="1">
      <c r="C255" s="28"/>
      <c r="I255" s="102"/>
    </row>
    <row r="256" spans="3:9" s="34" customFormat="1">
      <c r="C256" s="28"/>
      <c r="I256" s="102"/>
    </row>
    <row r="257" spans="3:9" s="34" customFormat="1">
      <c r="C257" s="28"/>
      <c r="I257" s="102"/>
    </row>
    <row r="258" spans="3:9" s="34" customFormat="1">
      <c r="C258" s="28"/>
      <c r="I258" s="102"/>
    </row>
    <row r="259" spans="3:9" s="34" customFormat="1">
      <c r="C259" s="28"/>
      <c r="I259" s="102"/>
    </row>
    <row r="260" spans="3:9" s="34" customFormat="1">
      <c r="C260" s="28"/>
      <c r="I260" s="102"/>
    </row>
    <row r="261" spans="3:9" s="34" customFormat="1">
      <c r="C261" s="28"/>
      <c r="I261" s="102"/>
    </row>
    <row r="262" spans="3:9" s="34" customFormat="1">
      <c r="C262" s="28"/>
      <c r="I262" s="102"/>
    </row>
    <row r="263" spans="3:9" s="34" customFormat="1">
      <c r="C263" s="28"/>
      <c r="I263" s="102"/>
    </row>
    <row r="264" spans="3:9" s="34" customFormat="1">
      <c r="C264" s="28"/>
      <c r="I264" s="102"/>
    </row>
    <row r="265" spans="3:9" s="34" customFormat="1">
      <c r="C265" s="28"/>
      <c r="I265" s="102"/>
    </row>
    <row r="266" spans="3:9" s="34" customFormat="1">
      <c r="C266" s="28"/>
      <c r="I266" s="102"/>
    </row>
    <row r="267" spans="3:9" s="34" customFormat="1">
      <c r="C267" s="28"/>
      <c r="I267" s="102"/>
    </row>
    <row r="268" spans="3:9" s="34" customFormat="1">
      <c r="C268" s="28"/>
      <c r="I268" s="102"/>
    </row>
    <row r="269" spans="3:9" s="34" customFormat="1">
      <c r="C269" s="28"/>
      <c r="I269" s="102"/>
    </row>
    <row r="270" spans="3:9" s="34" customFormat="1">
      <c r="C270" s="28"/>
      <c r="I270" s="102"/>
    </row>
    <row r="271" spans="3:9" s="34" customFormat="1">
      <c r="C271" s="28"/>
      <c r="I271" s="102"/>
    </row>
    <row r="272" spans="3:9" s="34" customFormat="1">
      <c r="C272" s="28"/>
      <c r="I272" s="102"/>
    </row>
    <row r="273" spans="3:9" s="34" customFormat="1">
      <c r="C273" s="28"/>
      <c r="I273" s="102"/>
    </row>
    <row r="274" spans="3:9" s="34" customFormat="1">
      <c r="C274" s="28"/>
      <c r="I274" s="102"/>
    </row>
    <row r="275" spans="3:9" s="34" customFormat="1">
      <c r="C275" s="28"/>
      <c r="I275" s="102"/>
    </row>
    <row r="276" spans="3:9" s="34" customFormat="1">
      <c r="C276" s="28"/>
      <c r="I276" s="102"/>
    </row>
    <row r="277" spans="3:9" s="34" customFormat="1">
      <c r="C277" s="28"/>
      <c r="I277" s="102"/>
    </row>
    <row r="278" spans="3:9" s="34" customFormat="1">
      <c r="C278" s="28"/>
      <c r="I278" s="102"/>
    </row>
    <row r="279" spans="3:9" s="34" customFormat="1">
      <c r="C279" s="28"/>
      <c r="I279" s="102"/>
    </row>
    <row r="280" spans="3:9" s="34" customFormat="1">
      <c r="C280" s="28"/>
      <c r="I280" s="102"/>
    </row>
    <row r="281" spans="3:9" s="34" customFormat="1">
      <c r="C281" s="28"/>
      <c r="I281" s="102"/>
    </row>
    <row r="282" spans="3:9" s="34" customFormat="1">
      <c r="C282" s="28"/>
      <c r="I282" s="102"/>
    </row>
    <row r="283" spans="3:9" s="34" customFormat="1">
      <c r="C283" s="28"/>
      <c r="I283" s="102"/>
    </row>
    <row r="284" spans="3:9" s="34" customFormat="1">
      <c r="C284" s="28"/>
      <c r="I284" s="102"/>
    </row>
    <row r="285" spans="3:9" s="34" customFormat="1">
      <c r="C285" s="28"/>
      <c r="I285" s="102"/>
    </row>
    <row r="286" spans="3:9" s="34" customFormat="1">
      <c r="C286" s="28"/>
      <c r="I286" s="102"/>
    </row>
    <row r="287" spans="3:9" s="34" customFormat="1">
      <c r="C287" s="28"/>
      <c r="I287" s="102"/>
    </row>
    <row r="288" spans="3:9" s="34" customFormat="1">
      <c r="C288" s="28"/>
      <c r="I288" s="102"/>
    </row>
    <row r="289" spans="3:9" s="34" customFormat="1">
      <c r="C289" s="28"/>
      <c r="I289" s="102"/>
    </row>
    <row r="290" spans="3:9" s="34" customFormat="1">
      <c r="C290" s="28"/>
      <c r="I290" s="102"/>
    </row>
    <row r="291" spans="3:9" s="34" customFormat="1">
      <c r="C291" s="28"/>
      <c r="I291" s="102"/>
    </row>
    <row r="292" spans="3:9" s="34" customFormat="1">
      <c r="C292" s="28"/>
      <c r="I292" s="102"/>
    </row>
    <row r="293" spans="3:9" s="34" customFormat="1">
      <c r="C293" s="28"/>
      <c r="I293" s="102"/>
    </row>
    <row r="294" spans="3:9" s="34" customFormat="1">
      <c r="C294" s="28"/>
      <c r="I294" s="102"/>
    </row>
    <row r="295" spans="3:9" s="34" customFormat="1">
      <c r="C295" s="28"/>
      <c r="I295" s="102"/>
    </row>
    <row r="296" spans="3:9" s="34" customFormat="1">
      <c r="C296" s="28"/>
      <c r="I296" s="102"/>
    </row>
    <row r="297" spans="3:9" s="34" customFormat="1">
      <c r="C297" s="28"/>
      <c r="I297" s="102"/>
    </row>
    <row r="298" spans="3:9" s="34" customFormat="1">
      <c r="C298" s="28"/>
      <c r="I298" s="102"/>
    </row>
    <row r="299" spans="3:9" s="34" customFormat="1">
      <c r="C299" s="28"/>
      <c r="I299" s="102"/>
    </row>
    <row r="300" spans="3:9" s="34" customFormat="1">
      <c r="C300" s="28"/>
      <c r="I300" s="102"/>
    </row>
    <row r="301" spans="3:9" s="34" customFormat="1">
      <c r="C301" s="28"/>
      <c r="I301" s="102"/>
    </row>
    <row r="302" spans="3:9" s="34" customFormat="1">
      <c r="C302" s="28"/>
      <c r="I302" s="102"/>
    </row>
    <row r="303" spans="3:9" s="34" customFormat="1">
      <c r="C303" s="28"/>
      <c r="I303" s="102"/>
    </row>
    <row r="304" spans="3:9" s="34" customFormat="1">
      <c r="C304" s="28"/>
      <c r="I304" s="102"/>
    </row>
    <row r="305" spans="3:9" s="34" customFormat="1">
      <c r="C305" s="28"/>
      <c r="I305" s="102"/>
    </row>
    <row r="306" spans="3:9" s="34" customFormat="1">
      <c r="C306" s="28"/>
      <c r="I306" s="102"/>
    </row>
    <row r="307" spans="3:9" s="34" customFormat="1">
      <c r="C307" s="28"/>
      <c r="I307" s="102"/>
    </row>
    <row r="308" spans="3:9" s="34" customFormat="1">
      <c r="C308" s="28"/>
      <c r="I308" s="102"/>
    </row>
    <row r="309" spans="3:9" s="34" customFormat="1">
      <c r="C309" s="28"/>
      <c r="I309" s="102"/>
    </row>
    <row r="310" spans="3:9" s="34" customFormat="1">
      <c r="C310" s="28"/>
    </row>
    <row r="311" spans="3:9" s="34" customFormat="1">
      <c r="C311" s="28"/>
    </row>
    <row r="312" spans="3:9" s="34" customFormat="1">
      <c r="C312" s="28"/>
    </row>
    <row r="313" spans="3:9" s="34" customFormat="1">
      <c r="C313" s="28"/>
    </row>
    <row r="314" spans="3:9" s="34" customFormat="1">
      <c r="C314" s="28"/>
    </row>
    <row r="315" spans="3:9" s="34" customFormat="1">
      <c r="C315" s="28"/>
    </row>
    <row r="316" spans="3:9" s="34" customFormat="1">
      <c r="C316" s="28"/>
    </row>
    <row r="317" spans="3:9" s="34" customFormat="1">
      <c r="C317" s="28"/>
    </row>
    <row r="318" spans="3:9" s="34" customFormat="1">
      <c r="C318" s="28"/>
    </row>
    <row r="319" spans="3:9" s="34" customFormat="1">
      <c r="C319" s="28"/>
    </row>
    <row r="320" spans="3:9" s="34" customFormat="1">
      <c r="C320" s="28"/>
    </row>
    <row r="321" spans="3:3" s="34" customFormat="1">
      <c r="C321" s="28"/>
    </row>
    <row r="322" spans="3:3" s="34" customFormat="1">
      <c r="C322" s="28"/>
    </row>
    <row r="323" spans="3:3" s="34" customFormat="1">
      <c r="C323" s="28"/>
    </row>
    <row r="324" spans="3:3" s="34" customFormat="1">
      <c r="C324" s="28"/>
    </row>
    <row r="325" spans="3:3" s="34" customFormat="1">
      <c r="C325" s="28"/>
    </row>
    <row r="326" spans="3:3" s="34" customFormat="1">
      <c r="C326" s="28"/>
    </row>
    <row r="327" spans="3:3" s="34" customFormat="1">
      <c r="C327" s="28"/>
    </row>
    <row r="328" spans="3:3" s="34" customFormat="1">
      <c r="C328" s="28"/>
    </row>
    <row r="329" spans="3:3" s="34" customFormat="1">
      <c r="C329" s="28"/>
    </row>
    <row r="330" spans="3:3" s="34" customFormat="1">
      <c r="C330" s="28"/>
    </row>
    <row r="331" spans="3:3" s="34" customFormat="1">
      <c r="C331" s="28"/>
    </row>
    <row r="332" spans="3:3" s="34" customFormat="1">
      <c r="C332" s="28"/>
    </row>
    <row r="333" spans="3:3" s="34" customFormat="1">
      <c r="C333" s="28"/>
    </row>
    <row r="334" spans="3:3" s="34" customFormat="1">
      <c r="C334" s="28"/>
    </row>
    <row r="335" spans="3:3" s="34" customFormat="1">
      <c r="C335" s="28"/>
    </row>
    <row r="336" spans="3:3" s="34" customFormat="1">
      <c r="C336" s="28"/>
    </row>
    <row r="337" spans="3:3" s="34" customFormat="1">
      <c r="C337" s="28"/>
    </row>
    <row r="338" spans="3:3" s="34" customFormat="1">
      <c r="C338" s="28"/>
    </row>
    <row r="339" spans="3:3" s="34" customFormat="1">
      <c r="C339" s="28"/>
    </row>
    <row r="340" spans="3:3" s="34" customFormat="1">
      <c r="C340" s="28"/>
    </row>
    <row r="341" spans="3:3" s="34" customFormat="1">
      <c r="C341" s="28"/>
    </row>
    <row r="342" spans="3:3" s="34" customFormat="1">
      <c r="C342" s="28"/>
    </row>
    <row r="343" spans="3:3" s="34" customFormat="1">
      <c r="C343" s="28"/>
    </row>
    <row r="344" spans="3:3" s="34" customFormat="1">
      <c r="C344" s="28"/>
    </row>
    <row r="345" spans="3:3" s="34" customFormat="1">
      <c r="C345" s="28"/>
    </row>
    <row r="346" spans="3:3" s="34" customFormat="1">
      <c r="C346" s="28"/>
    </row>
    <row r="347" spans="3:3" s="34" customFormat="1">
      <c r="C347" s="28"/>
    </row>
    <row r="348" spans="3:3" s="34" customFormat="1">
      <c r="C348" s="28"/>
    </row>
    <row r="349" spans="3:3" s="34" customFormat="1">
      <c r="C349" s="28"/>
    </row>
    <row r="350" spans="3:3" s="34" customFormat="1">
      <c r="C350" s="28"/>
    </row>
    <row r="351" spans="3:3" s="34" customFormat="1">
      <c r="C351" s="28"/>
    </row>
    <row r="352" spans="3:3" s="34" customFormat="1">
      <c r="C352" s="28"/>
    </row>
    <row r="353" spans="3:3" s="34" customFormat="1">
      <c r="C353" s="28"/>
    </row>
    <row r="354" spans="3:3" s="34" customFormat="1">
      <c r="C354" s="28"/>
    </row>
    <row r="355" spans="3:3" s="34" customFormat="1">
      <c r="C355" s="28"/>
    </row>
    <row r="356" spans="3:3" s="34" customFormat="1">
      <c r="C356" s="28"/>
    </row>
    <row r="357" spans="3:3" s="34" customFormat="1">
      <c r="C357" s="28"/>
    </row>
    <row r="358" spans="3:3" s="34" customFormat="1">
      <c r="C358" s="28"/>
    </row>
    <row r="359" spans="3:3" s="34" customFormat="1">
      <c r="C359" s="28"/>
    </row>
    <row r="360" spans="3:3" s="34" customFormat="1">
      <c r="C360" s="28"/>
    </row>
    <row r="361" spans="3:3" s="34" customFormat="1">
      <c r="C361" s="28"/>
    </row>
    <row r="362" spans="3:3" s="34" customFormat="1">
      <c r="C362" s="28"/>
    </row>
    <row r="363" spans="3:3" s="34" customFormat="1">
      <c r="C363" s="28"/>
    </row>
    <row r="364" spans="3:3" s="34" customFormat="1">
      <c r="C364" s="28"/>
    </row>
    <row r="365" spans="3:3" s="34" customFormat="1">
      <c r="C365" s="28"/>
    </row>
    <row r="366" spans="3:3" s="34" customFormat="1">
      <c r="C366" s="28"/>
    </row>
    <row r="367" spans="3:3" s="34" customFormat="1">
      <c r="C367" s="28"/>
    </row>
    <row r="368" spans="3:3" s="34" customFormat="1">
      <c r="C368" s="28"/>
    </row>
    <row r="369" spans="3:3" s="34" customFormat="1">
      <c r="C369" s="28"/>
    </row>
    <row r="370" spans="3:3" s="34" customFormat="1">
      <c r="C370" s="28"/>
    </row>
    <row r="371" spans="3:3" s="34" customFormat="1">
      <c r="C371" s="28"/>
    </row>
    <row r="372" spans="3:3" s="34" customFormat="1">
      <c r="C372" s="28"/>
    </row>
    <row r="373" spans="3:3" s="34" customFormat="1">
      <c r="C373" s="28"/>
    </row>
    <row r="374" spans="3:3" s="34" customFormat="1">
      <c r="C374" s="28"/>
    </row>
    <row r="375" spans="3:3" s="34" customFormat="1">
      <c r="C375" s="28"/>
    </row>
    <row r="376" spans="3:3" s="34" customFormat="1">
      <c r="C376" s="28"/>
    </row>
    <row r="377" spans="3:3" s="34" customFormat="1">
      <c r="C377" s="28"/>
    </row>
    <row r="378" spans="3:3" s="34" customFormat="1">
      <c r="C378" s="28"/>
    </row>
    <row r="379" spans="3:3" s="34" customFormat="1">
      <c r="C379" s="28"/>
    </row>
    <row r="380" spans="3:3" s="34" customFormat="1">
      <c r="C380" s="28"/>
    </row>
    <row r="381" spans="3:3" s="34" customFormat="1">
      <c r="C381" s="28"/>
    </row>
    <row r="382" spans="3:3" s="34" customFormat="1">
      <c r="C382" s="28"/>
    </row>
    <row r="383" spans="3:3" s="34" customFormat="1">
      <c r="C383" s="28"/>
    </row>
    <row r="384" spans="3:3" s="34" customFormat="1">
      <c r="C384" s="28"/>
    </row>
    <row r="385" spans="3:3" s="34" customFormat="1">
      <c r="C385" s="28"/>
    </row>
    <row r="386" spans="3:3" s="34" customFormat="1">
      <c r="C386" s="28"/>
    </row>
    <row r="387" spans="3:3" s="34" customFormat="1">
      <c r="C387" s="28"/>
    </row>
    <row r="388" spans="3:3" s="34" customFormat="1">
      <c r="C388" s="28"/>
    </row>
    <row r="389" spans="3:3" s="34" customFormat="1">
      <c r="C389" s="28"/>
    </row>
    <row r="390" spans="3:3" s="34" customFormat="1">
      <c r="C390" s="28"/>
    </row>
    <row r="391" spans="3:3" s="34" customFormat="1">
      <c r="C391" s="28"/>
    </row>
    <row r="392" spans="3:3" s="34" customFormat="1">
      <c r="C392" s="28"/>
    </row>
    <row r="393" spans="3:3" s="34" customFormat="1">
      <c r="C393" s="28"/>
    </row>
    <row r="394" spans="3:3" s="34" customFormat="1">
      <c r="C394" s="28"/>
    </row>
    <row r="395" spans="3:3" s="34" customFormat="1">
      <c r="C395" s="28"/>
    </row>
    <row r="396" spans="3:3" s="34" customFormat="1">
      <c r="C396" s="28"/>
    </row>
    <row r="397" spans="3:3" s="34" customFormat="1">
      <c r="C397" s="28"/>
    </row>
    <row r="398" spans="3:3" s="34" customFormat="1">
      <c r="C398" s="28"/>
    </row>
    <row r="399" spans="3:3" s="34" customFormat="1">
      <c r="C399" s="28"/>
    </row>
    <row r="400" spans="3:3" s="34" customFormat="1">
      <c r="C400" s="28"/>
    </row>
    <row r="401" spans="3:3" s="34" customFormat="1">
      <c r="C401" s="28"/>
    </row>
    <row r="402" spans="3:3" s="34" customFormat="1">
      <c r="C402" s="28"/>
    </row>
    <row r="403" spans="3:3" s="34" customFormat="1">
      <c r="C403" s="28"/>
    </row>
    <row r="404" spans="3:3" s="34" customFormat="1">
      <c r="C404" s="28"/>
    </row>
    <row r="405" spans="3:3" s="34" customFormat="1">
      <c r="C405" s="28"/>
    </row>
    <row r="406" spans="3:3" s="34" customFormat="1">
      <c r="C406" s="28"/>
    </row>
    <row r="407" spans="3:3" s="34" customFormat="1">
      <c r="C407" s="28"/>
    </row>
    <row r="408" spans="3:3" s="34" customFormat="1">
      <c r="C408" s="28"/>
    </row>
    <row r="409" spans="3:3" s="34" customFormat="1">
      <c r="C409" s="28"/>
    </row>
    <row r="410" spans="3:3" s="34" customFormat="1">
      <c r="C410" s="28"/>
    </row>
    <row r="411" spans="3:3" s="34" customFormat="1">
      <c r="C411" s="28"/>
    </row>
    <row r="412" spans="3:3" s="34" customFormat="1">
      <c r="C412" s="28"/>
    </row>
    <row r="413" spans="3:3" s="34" customFormat="1">
      <c r="C413" s="28"/>
    </row>
    <row r="414" spans="3:3" s="34" customFormat="1">
      <c r="C414" s="28"/>
    </row>
    <row r="415" spans="3:3" s="34" customFormat="1">
      <c r="C415" s="28"/>
    </row>
    <row r="416" spans="3:3" s="34" customFormat="1">
      <c r="C416" s="28"/>
    </row>
    <row r="417" spans="3:3" s="34" customFormat="1">
      <c r="C417" s="28"/>
    </row>
    <row r="418" spans="3:3" s="34" customFormat="1">
      <c r="C418" s="28"/>
    </row>
    <row r="419" spans="3:3" s="34" customFormat="1">
      <c r="C419" s="28"/>
    </row>
    <row r="420" spans="3:3" s="34" customFormat="1">
      <c r="C420" s="28"/>
    </row>
    <row r="421" spans="3:3" s="34" customFormat="1">
      <c r="C421" s="28"/>
    </row>
    <row r="422" spans="3:3" s="34" customFormat="1">
      <c r="C422" s="28"/>
    </row>
    <row r="423" spans="3:3" s="34" customFormat="1">
      <c r="C423" s="28"/>
    </row>
    <row r="424" spans="3:3" s="34" customFormat="1">
      <c r="C424" s="28"/>
    </row>
    <row r="425" spans="3:3" s="34" customFormat="1">
      <c r="C425" s="28"/>
    </row>
    <row r="426" spans="3:3" s="34" customFormat="1">
      <c r="C426" s="28"/>
    </row>
    <row r="427" spans="3:3" s="34" customFormat="1">
      <c r="C427" s="28"/>
    </row>
    <row r="428" spans="3:3" s="34" customFormat="1">
      <c r="C428" s="28"/>
    </row>
    <row r="429" spans="3:3" s="34" customFormat="1">
      <c r="C429" s="28"/>
    </row>
    <row r="430" spans="3:3" s="34" customFormat="1">
      <c r="C430" s="28"/>
    </row>
    <row r="431" spans="3:3" s="34" customFormat="1">
      <c r="C431" s="28"/>
    </row>
    <row r="432" spans="3:3" s="34" customFormat="1">
      <c r="C432" s="28"/>
    </row>
    <row r="433" spans="3:3" s="34" customFormat="1">
      <c r="C433" s="28"/>
    </row>
    <row r="434" spans="3:3" s="34" customFormat="1">
      <c r="C434" s="28"/>
    </row>
    <row r="435" spans="3:3" s="34" customFormat="1">
      <c r="C435" s="28"/>
    </row>
    <row r="436" spans="3:3" s="34" customFormat="1">
      <c r="C436" s="28"/>
    </row>
    <row r="437" spans="3:3" s="34" customFormat="1">
      <c r="C437" s="28"/>
    </row>
    <row r="438" spans="3:3" s="34" customFormat="1">
      <c r="C438" s="28"/>
    </row>
    <row r="439" spans="3:3" s="34" customFormat="1">
      <c r="C439" s="28"/>
    </row>
    <row r="440" spans="3:3" s="34" customFormat="1">
      <c r="C440" s="28"/>
    </row>
    <row r="441" spans="3:3" s="34" customFormat="1">
      <c r="C441" s="28"/>
    </row>
    <row r="442" spans="3:3" s="34" customFormat="1">
      <c r="C442" s="28"/>
    </row>
    <row r="443" spans="3:3" s="34" customFormat="1">
      <c r="C443" s="28"/>
    </row>
    <row r="444" spans="3:3" s="34" customFormat="1">
      <c r="C444" s="28"/>
    </row>
    <row r="445" spans="3:3" s="34" customFormat="1">
      <c r="C445" s="28"/>
    </row>
    <row r="446" spans="3:3" s="34" customFormat="1">
      <c r="C446" s="28"/>
    </row>
    <row r="447" spans="3:3" s="34" customFormat="1">
      <c r="C447" s="28"/>
    </row>
    <row r="448" spans="3:3" s="34" customFormat="1">
      <c r="C448" s="28"/>
    </row>
    <row r="449" spans="3:3" s="34" customFormat="1">
      <c r="C449" s="28"/>
    </row>
    <row r="450" spans="3:3" s="34" customFormat="1">
      <c r="C450" s="28"/>
    </row>
    <row r="451" spans="3:3" s="34" customFormat="1">
      <c r="C451" s="28"/>
    </row>
    <row r="452" spans="3:3" s="34" customFormat="1">
      <c r="C452" s="28"/>
    </row>
    <row r="453" spans="3:3" s="34" customFormat="1">
      <c r="C453" s="28"/>
    </row>
    <row r="454" spans="3:3" s="34" customFormat="1">
      <c r="C454" s="28"/>
    </row>
    <row r="455" spans="3:3" s="34" customFormat="1">
      <c r="C455" s="28"/>
    </row>
    <row r="456" spans="3:3" s="34" customFormat="1">
      <c r="C456" s="28"/>
    </row>
    <row r="457" spans="3:3" s="34" customFormat="1">
      <c r="C457" s="28"/>
    </row>
    <row r="458" spans="3:3" s="34" customFormat="1">
      <c r="C458" s="28"/>
    </row>
    <row r="459" spans="3:3" s="34" customFormat="1">
      <c r="C459" s="28"/>
    </row>
    <row r="460" spans="3:3" s="34" customFormat="1">
      <c r="C460" s="28"/>
    </row>
    <row r="461" spans="3:3" s="34" customFormat="1">
      <c r="C461" s="28"/>
    </row>
    <row r="462" spans="3:3" s="34" customFormat="1">
      <c r="C462" s="28"/>
    </row>
    <row r="463" spans="3:3" s="34" customFormat="1">
      <c r="C463" s="28"/>
    </row>
    <row r="464" spans="3:3" s="34" customFormat="1">
      <c r="C464" s="28"/>
    </row>
    <row r="465" spans="3:3" s="34" customFormat="1">
      <c r="C465" s="28"/>
    </row>
    <row r="466" spans="3:3" s="34" customFormat="1">
      <c r="C466" s="28"/>
    </row>
    <row r="467" spans="3:3" s="34" customFormat="1">
      <c r="C467" s="28"/>
    </row>
    <row r="468" spans="3:3" s="34" customFormat="1">
      <c r="C468" s="28"/>
    </row>
    <row r="469" spans="3:3" s="34" customFormat="1">
      <c r="C469" s="28"/>
    </row>
    <row r="470" spans="3:3" s="34" customFormat="1">
      <c r="C470" s="28"/>
    </row>
    <row r="471" spans="3:3" s="34" customFormat="1">
      <c r="C471" s="28"/>
    </row>
    <row r="472" spans="3:3" s="34" customFormat="1">
      <c r="C472" s="28"/>
    </row>
    <row r="473" spans="3:3" s="34" customFormat="1">
      <c r="C473" s="28"/>
    </row>
    <row r="474" spans="3:3" s="34" customFormat="1">
      <c r="C474" s="28"/>
    </row>
    <row r="475" spans="3:3" s="34" customFormat="1">
      <c r="C475" s="28"/>
    </row>
    <row r="476" spans="3:3" s="34" customFormat="1">
      <c r="C476" s="28"/>
    </row>
    <row r="477" spans="3:3" s="34" customFormat="1">
      <c r="C477" s="28"/>
    </row>
    <row r="478" spans="3:3" s="34" customFormat="1">
      <c r="C478" s="28"/>
    </row>
    <row r="479" spans="3:3" s="34" customFormat="1">
      <c r="C479" s="28"/>
    </row>
    <row r="480" spans="3:3" s="34" customFormat="1">
      <c r="C480" s="28"/>
    </row>
    <row r="481" spans="3:3" s="34" customFormat="1">
      <c r="C481" s="28"/>
    </row>
    <row r="482" spans="3:3" s="34" customFormat="1">
      <c r="C482" s="28"/>
    </row>
    <row r="483" spans="3:3" s="34" customFormat="1">
      <c r="C483" s="28"/>
    </row>
    <row r="484" spans="3:3" s="34" customFormat="1">
      <c r="C484" s="28"/>
    </row>
    <row r="485" spans="3:3" s="34" customFormat="1">
      <c r="C485" s="28"/>
    </row>
    <row r="486" spans="3:3" s="34" customFormat="1">
      <c r="C486" s="28"/>
    </row>
    <row r="487" spans="3:3" s="34" customFormat="1">
      <c r="C487" s="28"/>
    </row>
    <row r="488" spans="3:3" s="34" customFormat="1">
      <c r="C488" s="28"/>
    </row>
    <row r="489" spans="3:3" s="34" customFormat="1">
      <c r="C489" s="28"/>
    </row>
    <row r="490" spans="3:3" s="34" customFormat="1">
      <c r="C490" s="28"/>
    </row>
    <row r="491" spans="3:3" s="34" customFormat="1">
      <c r="C491" s="28"/>
    </row>
    <row r="492" spans="3:3" s="34" customFormat="1">
      <c r="C492" s="28"/>
    </row>
    <row r="493" spans="3:3" s="34" customFormat="1">
      <c r="C493" s="28"/>
    </row>
    <row r="494" spans="3:3" s="34" customFormat="1">
      <c r="C494" s="28"/>
    </row>
    <row r="495" spans="3:3" s="34" customFormat="1">
      <c r="C495" s="28"/>
    </row>
    <row r="496" spans="3:3" s="34" customFormat="1">
      <c r="C496" s="28"/>
    </row>
    <row r="497" spans="3:3" s="34" customFormat="1">
      <c r="C497" s="28"/>
    </row>
    <row r="498" spans="3:3" s="34" customFormat="1">
      <c r="C498" s="28"/>
    </row>
    <row r="499" spans="3:3" s="34" customFormat="1">
      <c r="C499" s="28"/>
    </row>
    <row r="500" spans="3:3" s="34" customFormat="1">
      <c r="C500" s="28"/>
    </row>
    <row r="501" spans="3:3" s="34" customFormat="1">
      <c r="C501" s="28"/>
    </row>
    <row r="502" spans="3:3" s="34" customFormat="1">
      <c r="C502" s="28"/>
    </row>
    <row r="503" spans="3:3" s="34" customFormat="1">
      <c r="C503" s="28"/>
    </row>
    <row r="504" spans="3:3" s="34" customFormat="1">
      <c r="C504" s="28"/>
    </row>
    <row r="505" spans="3:3" s="34" customFormat="1">
      <c r="C505" s="28"/>
    </row>
    <row r="506" spans="3:3" s="34" customFormat="1">
      <c r="C506" s="28"/>
    </row>
    <row r="507" spans="3:3" s="34" customFormat="1">
      <c r="C507" s="28"/>
    </row>
    <row r="508" spans="3:3" s="34" customFormat="1">
      <c r="C508" s="28"/>
    </row>
    <row r="509" spans="3:3" s="34" customFormat="1">
      <c r="C509" s="28"/>
    </row>
    <row r="510" spans="3:3" s="34" customFormat="1">
      <c r="C510" s="28"/>
    </row>
    <row r="511" spans="3:3" s="34" customFormat="1">
      <c r="C511" s="28"/>
    </row>
    <row r="512" spans="3:3" s="34" customFormat="1">
      <c r="C512" s="28"/>
    </row>
    <row r="513" spans="3:3" s="34" customFormat="1">
      <c r="C513" s="28"/>
    </row>
    <row r="514" spans="3:3" s="34" customFormat="1">
      <c r="C514" s="28"/>
    </row>
    <row r="515" spans="3:3" s="34" customFormat="1">
      <c r="C515" s="28"/>
    </row>
    <row r="516" spans="3:3" s="34" customFormat="1">
      <c r="C516" s="28"/>
    </row>
    <row r="517" spans="3:3" s="34" customFormat="1">
      <c r="C517" s="28"/>
    </row>
    <row r="518" spans="3:3" s="34" customFormat="1">
      <c r="C518" s="28"/>
    </row>
    <row r="519" spans="3:3" s="34" customFormat="1">
      <c r="C519" s="28"/>
    </row>
    <row r="520" spans="3:3" s="34" customFormat="1">
      <c r="C520" s="28"/>
    </row>
    <row r="521" spans="3:3" s="34" customFormat="1">
      <c r="C521" s="28"/>
    </row>
    <row r="522" spans="3:3" s="34" customFormat="1">
      <c r="C522" s="28"/>
    </row>
    <row r="523" spans="3:3" s="34" customFormat="1">
      <c r="C523" s="28"/>
    </row>
    <row r="524" spans="3:3" s="34" customFormat="1">
      <c r="C524" s="28"/>
    </row>
    <row r="525" spans="3:3" s="34" customFormat="1">
      <c r="C525" s="28"/>
    </row>
    <row r="526" spans="3:3" s="34" customFormat="1">
      <c r="C526" s="28"/>
    </row>
    <row r="527" spans="3:3" s="34" customFormat="1">
      <c r="C527" s="28"/>
    </row>
    <row r="528" spans="3:3" s="34" customFormat="1">
      <c r="C528" s="28"/>
    </row>
    <row r="529" spans="3:3" s="34" customFormat="1">
      <c r="C529" s="28"/>
    </row>
    <row r="530" spans="3:3" s="34" customFormat="1">
      <c r="C530" s="28"/>
    </row>
    <row r="531" spans="3:3" s="34" customFormat="1">
      <c r="C531" s="28"/>
    </row>
    <row r="532" spans="3:3" s="34" customFormat="1">
      <c r="C532" s="28"/>
    </row>
    <row r="533" spans="3:3" s="34" customFormat="1">
      <c r="C533" s="28"/>
    </row>
    <row r="534" spans="3:3" s="34" customFormat="1">
      <c r="C534" s="28"/>
    </row>
    <row r="535" spans="3:3" s="34" customFormat="1">
      <c r="C535" s="28"/>
    </row>
    <row r="536" spans="3:3" s="34" customFormat="1">
      <c r="C536" s="28"/>
    </row>
    <row r="537" spans="3:3" s="34" customFormat="1">
      <c r="C537" s="28"/>
    </row>
    <row r="538" spans="3:3" s="34" customFormat="1">
      <c r="C538" s="28"/>
    </row>
    <row r="539" spans="3:3" s="34" customFormat="1">
      <c r="C539" s="28"/>
    </row>
    <row r="540" spans="3:3" s="34" customFormat="1">
      <c r="C540" s="28"/>
    </row>
    <row r="541" spans="3:3" s="34" customFormat="1">
      <c r="C541" s="28"/>
    </row>
    <row r="542" spans="3:3" s="34" customFormat="1">
      <c r="C542" s="28"/>
    </row>
    <row r="543" spans="3:3" s="34" customFormat="1">
      <c r="C543" s="28"/>
    </row>
    <row r="544" spans="3:3" s="34" customFormat="1">
      <c r="C544" s="28"/>
    </row>
    <row r="545" spans="3:3" s="34" customFormat="1">
      <c r="C545" s="28"/>
    </row>
    <row r="546" spans="3:3" s="34" customFormat="1">
      <c r="C546" s="28"/>
    </row>
    <row r="547" spans="3:3" s="34" customFormat="1">
      <c r="C547" s="28"/>
    </row>
    <row r="548" spans="3:3" s="34" customFormat="1">
      <c r="C548" s="28"/>
    </row>
    <row r="549" spans="3:3" s="34" customFormat="1">
      <c r="C549" s="28"/>
    </row>
    <row r="550" spans="3:3" s="34" customFormat="1">
      <c r="C550" s="28"/>
    </row>
    <row r="551" spans="3:3" s="34" customFormat="1">
      <c r="C551" s="28"/>
    </row>
    <row r="552" spans="3:3" s="34" customFormat="1">
      <c r="C552" s="28"/>
    </row>
    <row r="553" spans="3:3" s="34" customFormat="1">
      <c r="C553" s="28"/>
    </row>
    <row r="554" spans="3:3" s="34" customFormat="1">
      <c r="C554" s="28"/>
    </row>
    <row r="555" spans="3:3" s="34" customFormat="1">
      <c r="C555" s="28"/>
    </row>
    <row r="556" spans="3:3" s="34" customFormat="1">
      <c r="C556" s="28"/>
    </row>
    <row r="557" spans="3:3" s="34" customFormat="1">
      <c r="C557" s="28"/>
    </row>
    <row r="558" spans="3:3" s="34" customFormat="1">
      <c r="C558" s="28"/>
    </row>
    <row r="559" spans="3:3" s="34" customFormat="1">
      <c r="C559" s="28"/>
    </row>
    <row r="560" spans="3:3" s="34" customFormat="1">
      <c r="C560" s="28"/>
    </row>
    <row r="561" spans="3:3" s="34" customFormat="1">
      <c r="C561" s="28"/>
    </row>
    <row r="562" spans="3:3" s="34" customFormat="1">
      <c r="C562" s="28"/>
    </row>
    <row r="563" spans="3:3" s="34" customFormat="1">
      <c r="C563" s="28"/>
    </row>
    <row r="564" spans="3:3" s="34" customFormat="1">
      <c r="C564" s="28"/>
    </row>
    <row r="565" spans="3:3" s="34" customFormat="1">
      <c r="C565" s="28"/>
    </row>
    <row r="566" spans="3:3" s="34" customFormat="1">
      <c r="C566" s="28"/>
    </row>
    <row r="567" spans="3:3" s="34" customFormat="1">
      <c r="C567" s="28"/>
    </row>
    <row r="568" spans="3:3" s="34" customFormat="1">
      <c r="C568" s="28"/>
    </row>
    <row r="569" spans="3:3" s="34" customFormat="1">
      <c r="C569" s="28"/>
    </row>
    <row r="570" spans="3:3" s="34" customFormat="1">
      <c r="C570" s="28"/>
    </row>
    <row r="571" spans="3:3" s="34" customFormat="1">
      <c r="C571" s="28"/>
    </row>
    <row r="572" spans="3:3" s="34" customFormat="1">
      <c r="C572" s="28"/>
    </row>
    <row r="573" spans="3:3" s="34" customFormat="1">
      <c r="C573" s="28"/>
    </row>
    <row r="574" spans="3:3" s="34" customFormat="1">
      <c r="C574" s="28"/>
    </row>
    <row r="575" spans="3:3" s="34" customFormat="1">
      <c r="C575" s="28"/>
    </row>
    <row r="576" spans="3:3" s="34" customFormat="1">
      <c r="C576" s="28"/>
    </row>
    <row r="577" spans="3:3" s="34" customFormat="1">
      <c r="C577" s="28"/>
    </row>
    <row r="578" spans="3:3" s="34" customFormat="1">
      <c r="C578" s="28"/>
    </row>
    <row r="579" spans="3:3" s="34" customFormat="1">
      <c r="C579" s="28"/>
    </row>
    <row r="580" spans="3:3" s="34" customFormat="1">
      <c r="C580" s="28"/>
    </row>
    <row r="581" spans="3:3" s="34" customFormat="1">
      <c r="C581" s="28"/>
    </row>
    <row r="582" spans="3:3" s="34" customFormat="1">
      <c r="C582" s="28"/>
    </row>
    <row r="583" spans="3:3" s="34" customFormat="1">
      <c r="C583" s="28"/>
    </row>
    <row r="584" spans="3:3" s="34" customFormat="1">
      <c r="C584" s="28"/>
    </row>
    <row r="585" spans="3:3" s="34" customFormat="1">
      <c r="C585" s="28"/>
    </row>
    <row r="586" spans="3:3" s="34" customFormat="1">
      <c r="C586" s="28"/>
    </row>
    <row r="587" spans="3:3" s="34" customFormat="1">
      <c r="C587" s="28"/>
    </row>
    <row r="588" spans="3:3" s="34" customFormat="1">
      <c r="C588" s="28"/>
    </row>
    <row r="589" spans="3:3" s="34" customFormat="1">
      <c r="C589" s="28"/>
    </row>
    <row r="590" spans="3:3" s="34" customFormat="1">
      <c r="C590" s="28"/>
    </row>
    <row r="591" spans="3:3" s="34" customFormat="1">
      <c r="C591" s="28"/>
    </row>
    <row r="592" spans="3:3" s="34" customFormat="1">
      <c r="C592" s="28"/>
    </row>
    <row r="593" spans="3:3" s="34" customFormat="1">
      <c r="C593" s="28"/>
    </row>
    <row r="594" spans="3:3" s="34" customFormat="1">
      <c r="C594" s="28"/>
    </row>
    <row r="595" spans="3:3" s="34" customFormat="1">
      <c r="C595" s="28"/>
    </row>
    <row r="596" spans="3:3" s="34" customFormat="1">
      <c r="C596" s="28"/>
    </row>
    <row r="597" spans="3:3" s="34" customFormat="1">
      <c r="C597" s="28"/>
    </row>
    <row r="598" spans="3:3" s="34" customFormat="1">
      <c r="C598" s="28"/>
    </row>
    <row r="599" spans="3:3" s="34" customFormat="1">
      <c r="C599" s="28"/>
    </row>
    <row r="600" spans="3:3" s="34" customFormat="1">
      <c r="C600" s="28"/>
    </row>
    <row r="601" spans="3:3" s="34" customFormat="1">
      <c r="C601" s="28"/>
    </row>
    <row r="602" spans="3:3" s="34" customFormat="1">
      <c r="C602" s="28"/>
    </row>
    <row r="603" spans="3:3" s="34" customFormat="1">
      <c r="C603" s="28"/>
    </row>
    <row r="604" spans="3:3" s="34" customFormat="1">
      <c r="C604" s="28"/>
    </row>
    <row r="605" spans="3:3" s="34" customFormat="1">
      <c r="C605" s="28"/>
    </row>
    <row r="606" spans="3:3" s="34" customFormat="1">
      <c r="C606" s="28"/>
    </row>
    <row r="607" spans="3:3" s="34" customFormat="1">
      <c r="C607" s="28"/>
    </row>
    <row r="608" spans="3:3" s="34" customFormat="1">
      <c r="C608" s="28"/>
    </row>
    <row r="609" spans="3:3" s="34" customFormat="1">
      <c r="C609" s="28"/>
    </row>
    <row r="610" spans="3:3" s="34" customFormat="1">
      <c r="C610" s="28"/>
    </row>
    <row r="611" spans="3:3" s="34" customFormat="1">
      <c r="C611" s="28"/>
    </row>
    <row r="612" spans="3:3" s="34" customFormat="1">
      <c r="C612" s="28"/>
    </row>
    <row r="613" spans="3:3" s="34" customFormat="1">
      <c r="C613" s="28"/>
    </row>
    <row r="614" spans="3:3" s="34" customFormat="1">
      <c r="C614" s="28"/>
    </row>
    <row r="615" spans="3:3" s="34" customFormat="1">
      <c r="C615" s="28"/>
    </row>
    <row r="616" spans="3:3" s="34" customFormat="1">
      <c r="C616" s="28"/>
    </row>
    <row r="617" spans="3:3" s="34" customFormat="1">
      <c r="C617" s="28"/>
    </row>
    <row r="618" spans="3:3" s="34" customFormat="1">
      <c r="C618" s="28"/>
    </row>
    <row r="619" spans="3:3" s="34" customFormat="1">
      <c r="C619" s="28"/>
    </row>
    <row r="620" spans="3:3" s="34" customFormat="1">
      <c r="C620" s="28"/>
    </row>
    <row r="621" spans="3:3" s="34" customFormat="1">
      <c r="C621" s="28"/>
    </row>
    <row r="622" spans="3:3" s="34" customFormat="1">
      <c r="C622" s="28"/>
    </row>
    <row r="623" spans="3:3" s="34" customFormat="1">
      <c r="C623" s="28"/>
    </row>
    <row r="624" spans="3:3" s="34" customFormat="1">
      <c r="C624" s="28"/>
    </row>
    <row r="625" spans="3:3" s="34" customFormat="1">
      <c r="C625" s="28"/>
    </row>
    <row r="626" spans="3:3" s="34" customFormat="1">
      <c r="C626" s="28"/>
    </row>
    <row r="627" spans="3:3" s="34" customFormat="1">
      <c r="C627" s="28"/>
    </row>
    <row r="628" spans="3:3" s="34" customFormat="1">
      <c r="C628" s="28"/>
    </row>
    <row r="629" spans="3:3" s="34" customFormat="1">
      <c r="C629" s="28"/>
    </row>
    <row r="630" spans="3:3" s="34" customFormat="1">
      <c r="C630" s="28"/>
    </row>
    <row r="631" spans="3:3" s="34" customFormat="1">
      <c r="C631" s="28"/>
    </row>
    <row r="632" spans="3:3" s="34" customFormat="1">
      <c r="C632" s="28"/>
    </row>
    <row r="633" spans="3:3" s="34" customFormat="1">
      <c r="C633" s="28"/>
    </row>
    <row r="634" spans="3:3" s="34" customFormat="1">
      <c r="C634" s="28"/>
    </row>
    <row r="635" spans="3:3" s="34" customFormat="1">
      <c r="C635" s="28"/>
    </row>
    <row r="636" spans="3:3" s="34" customFormat="1">
      <c r="C636" s="28"/>
    </row>
    <row r="637" spans="3:3" s="34" customFormat="1">
      <c r="C637" s="28"/>
    </row>
    <row r="638" spans="3:3" s="34" customFormat="1">
      <c r="C638" s="28"/>
    </row>
    <row r="639" spans="3:3" s="34" customFormat="1">
      <c r="C639" s="28"/>
    </row>
    <row r="640" spans="3:3" s="34" customFormat="1">
      <c r="C640" s="28"/>
    </row>
    <row r="641" spans="3:3" s="34" customFormat="1">
      <c r="C641" s="28"/>
    </row>
    <row r="642" spans="3:3" s="34" customFormat="1">
      <c r="C642" s="28"/>
    </row>
    <row r="643" spans="3:3" s="34" customFormat="1">
      <c r="C643" s="28"/>
    </row>
    <row r="644" spans="3:3" s="34" customFormat="1">
      <c r="C644" s="28"/>
    </row>
    <row r="645" spans="3:3" s="34" customFormat="1">
      <c r="C645" s="28"/>
    </row>
    <row r="646" spans="3:3" s="34" customFormat="1">
      <c r="C646" s="28"/>
    </row>
    <row r="647" spans="3:3" s="34" customFormat="1">
      <c r="C647" s="28"/>
    </row>
    <row r="648" spans="3:3" s="34" customFormat="1">
      <c r="C648" s="28"/>
    </row>
    <row r="649" spans="3:3" s="34" customFormat="1">
      <c r="C649" s="28"/>
    </row>
    <row r="650" spans="3:3" s="34" customFormat="1">
      <c r="C650" s="28"/>
    </row>
    <row r="651" spans="3:3" s="34" customFormat="1">
      <c r="C651" s="28"/>
    </row>
    <row r="652" spans="3:3" s="34" customFormat="1">
      <c r="C652" s="28"/>
    </row>
    <row r="653" spans="3:3" s="34" customFormat="1">
      <c r="C653" s="28"/>
    </row>
    <row r="654" spans="3:3" s="34" customFormat="1">
      <c r="C654" s="28"/>
    </row>
    <row r="655" spans="3:3" s="34" customFormat="1">
      <c r="C655" s="28"/>
    </row>
    <row r="656" spans="3:3" s="34" customFormat="1">
      <c r="C656" s="28"/>
    </row>
    <row r="657" spans="3:3" s="34" customFormat="1">
      <c r="C657" s="28"/>
    </row>
    <row r="658" spans="3:3" s="34" customFormat="1">
      <c r="C658" s="28"/>
    </row>
    <row r="659" spans="3:3" s="34" customFormat="1">
      <c r="C659" s="28"/>
    </row>
    <row r="660" spans="3:3" s="34" customFormat="1">
      <c r="C660" s="28"/>
    </row>
    <row r="661" spans="3:3" s="34" customFormat="1">
      <c r="C661" s="28"/>
    </row>
    <row r="662" spans="3:3" s="34" customFormat="1">
      <c r="C662" s="28"/>
    </row>
    <row r="663" spans="3:3" s="34" customFormat="1">
      <c r="C663" s="28"/>
    </row>
    <row r="664" spans="3:3" s="34" customFormat="1">
      <c r="C664" s="28"/>
    </row>
    <row r="665" spans="3:3" s="34" customFormat="1">
      <c r="C665" s="28"/>
    </row>
    <row r="666" spans="3:3" s="34" customFormat="1">
      <c r="C666" s="28"/>
    </row>
    <row r="667" spans="3:3" s="34" customFormat="1">
      <c r="C667" s="28"/>
    </row>
    <row r="668" spans="3:3" s="34" customFormat="1">
      <c r="C668" s="28"/>
    </row>
    <row r="669" spans="3:3" s="34" customFormat="1">
      <c r="C669" s="28"/>
    </row>
    <row r="670" spans="3:3" s="34" customFormat="1">
      <c r="C670" s="28"/>
    </row>
    <row r="671" spans="3:3" s="34" customFormat="1">
      <c r="C671" s="28"/>
    </row>
    <row r="672" spans="3:3" s="34" customFormat="1">
      <c r="C672" s="28"/>
    </row>
    <row r="673" spans="3:3" s="34" customFormat="1">
      <c r="C673" s="28"/>
    </row>
    <row r="674" spans="3:3" s="34" customFormat="1">
      <c r="C674" s="28"/>
    </row>
    <row r="675" spans="3:3" s="34" customFormat="1">
      <c r="C675" s="28"/>
    </row>
    <row r="676" spans="3:3" s="34" customFormat="1">
      <c r="C676" s="28"/>
    </row>
    <row r="677" spans="3:3" s="34" customFormat="1">
      <c r="C677" s="28"/>
    </row>
    <row r="678" spans="3:3" s="34" customFormat="1">
      <c r="C678" s="28"/>
    </row>
    <row r="679" spans="3:3" s="34" customFormat="1">
      <c r="C679" s="28"/>
    </row>
    <row r="680" spans="3:3" s="34" customFormat="1">
      <c r="C680" s="28"/>
    </row>
    <row r="681" spans="3:3" s="34" customFormat="1">
      <c r="C681" s="28"/>
    </row>
    <row r="682" spans="3:3" s="34" customFormat="1">
      <c r="C682" s="28"/>
    </row>
    <row r="683" spans="3:3" s="34" customFormat="1">
      <c r="C683" s="28"/>
    </row>
    <row r="684" spans="3:3" s="34" customFormat="1">
      <c r="C684" s="28"/>
    </row>
    <row r="685" spans="3:3" s="34" customFormat="1">
      <c r="C685" s="28"/>
    </row>
    <row r="686" spans="3:3" s="34" customFormat="1">
      <c r="C686" s="28"/>
    </row>
    <row r="687" spans="3:3" s="34" customFormat="1">
      <c r="C687" s="28"/>
    </row>
    <row r="688" spans="3:3" s="34" customFormat="1">
      <c r="C688" s="28"/>
    </row>
    <row r="689" spans="3:3" s="34" customFormat="1">
      <c r="C689" s="28"/>
    </row>
    <row r="690" spans="3:3" s="34" customFormat="1">
      <c r="C690" s="28"/>
    </row>
    <row r="691" spans="3:3" s="34" customFormat="1">
      <c r="C691" s="28"/>
    </row>
    <row r="692" spans="3:3" s="34" customFormat="1">
      <c r="C692" s="28"/>
    </row>
    <row r="693" spans="3:3" s="34" customFormat="1">
      <c r="C693" s="28"/>
    </row>
    <row r="694" spans="3:3" s="34" customFormat="1">
      <c r="C694" s="28"/>
    </row>
    <row r="695" spans="3:3" s="34" customFormat="1">
      <c r="C695" s="28"/>
    </row>
    <row r="696" spans="3:3" s="34" customFormat="1">
      <c r="C696" s="28"/>
    </row>
    <row r="697" spans="3:3" s="34" customFormat="1">
      <c r="C697" s="28"/>
    </row>
    <row r="698" spans="3:3" s="34" customFormat="1">
      <c r="C698" s="28"/>
    </row>
    <row r="699" spans="3:3" s="34" customFormat="1">
      <c r="C699" s="28"/>
    </row>
    <row r="700" spans="3:3" s="34" customFormat="1">
      <c r="C700" s="28"/>
    </row>
    <row r="701" spans="3:3" s="34" customFormat="1">
      <c r="C701" s="28"/>
    </row>
    <row r="702" spans="3:3" s="34" customFormat="1">
      <c r="C702" s="28"/>
    </row>
    <row r="703" spans="3:3" s="34" customFormat="1">
      <c r="C703" s="28"/>
    </row>
    <row r="704" spans="3:3" s="34" customFormat="1">
      <c r="C704" s="28"/>
    </row>
    <row r="705" spans="3:3" s="34" customFormat="1">
      <c r="C705" s="28"/>
    </row>
    <row r="706" spans="3:3" s="34" customFormat="1">
      <c r="C706" s="28"/>
    </row>
    <row r="707" spans="3:3" s="34" customFormat="1">
      <c r="C707" s="28"/>
    </row>
    <row r="708" spans="3:3" s="34" customFormat="1">
      <c r="C708" s="28"/>
    </row>
    <row r="709" spans="3:3" s="34" customFormat="1">
      <c r="C709" s="28"/>
    </row>
    <row r="710" spans="3:3" s="34" customFormat="1">
      <c r="C710" s="28"/>
    </row>
    <row r="711" spans="3:3" s="34" customFormat="1">
      <c r="C711" s="28"/>
    </row>
    <row r="712" spans="3:3" s="34" customFormat="1">
      <c r="C712" s="28"/>
    </row>
    <row r="713" spans="3:3" s="34" customFormat="1">
      <c r="C713" s="28"/>
    </row>
    <row r="714" spans="3:3" s="34" customFormat="1">
      <c r="C714" s="28"/>
    </row>
    <row r="715" spans="3:3" s="34" customFormat="1">
      <c r="C715" s="28"/>
    </row>
    <row r="716" spans="3:3" s="34" customFormat="1">
      <c r="C716" s="28"/>
    </row>
    <row r="717" spans="3:3" s="34" customFormat="1">
      <c r="C717" s="28"/>
    </row>
    <row r="718" spans="3:3" s="34" customFormat="1">
      <c r="C718" s="28"/>
    </row>
    <row r="719" spans="3:3" s="34" customFormat="1">
      <c r="C719" s="28"/>
    </row>
    <row r="720" spans="3:3" s="34" customFormat="1">
      <c r="C720" s="28"/>
    </row>
    <row r="721" spans="3:3" s="34" customFormat="1">
      <c r="C721" s="28"/>
    </row>
    <row r="722" spans="3:3" s="34" customFormat="1">
      <c r="C722" s="28"/>
    </row>
    <row r="723" spans="3:3" s="34" customFormat="1">
      <c r="C723" s="28"/>
    </row>
    <row r="724" spans="3:3" s="34" customFormat="1">
      <c r="C724" s="28"/>
    </row>
    <row r="725" spans="3:3" s="34" customFormat="1">
      <c r="C725" s="28"/>
    </row>
    <row r="726" spans="3:3" s="34" customFormat="1">
      <c r="C726" s="28"/>
    </row>
    <row r="727" spans="3:3" s="34" customFormat="1">
      <c r="C727" s="28"/>
    </row>
    <row r="728" spans="3:3" s="34" customFormat="1">
      <c r="C728" s="28"/>
    </row>
    <row r="729" spans="3:3" s="34" customFormat="1">
      <c r="C729" s="28"/>
    </row>
    <row r="730" spans="3:3" s="34" customFormat="1">
      <c r="C730" s="28"/>
    </row>
    <row r="731" spans="3:3" s="34" customFormat="1">
      <c r="C731" s="28"/>
    </row>
    <row r="732" spans="3:3" s="34" customFormat="1">
      <c r="C732" s="28"/>
    </row>
    <row r="733" spans="3:3" s="34" customFormat="1">
      <c r="C733" s="28"/>
    </row>
    <row r="734" spans="3:3" s="34" customFormat="1">
      <c r="C734" s="28"/>
    </row>
    <row r="735" spans="3:3" s="34" customFormat="1">
      <c r="C735" s="28"/>
    </row>
    <row r="736" spans="3:3" s="34" customFormat="1">
      <c r="C736" s="28"/>
    </row>
    <row r="737" spans="3:3" s="34" customFormat="1">
      <c r="C737" s="28"/>
    </row>
    <row r="738" spans="3:3" s="34" customFormat="1">
      <c r="C738" s="28"/>
    </row>
    <row r="739" spans="3:3" s="34" customFormat="1">
      <c r="C739" s="28"/>
    </row>
    <row r="740" spans="3:3" s="34" customFormat="1">
      <c r="C740" s="28"/>
    </row>
    <row r="741" spans="3:3" s="34" customFormat="1">
      <c r="C741" s="28"/>
    </row>
    <row r="742" spans="3:3" s="34" customFormat="1">
      <c r="C742" s="28"/>
    </row>
    <row r="743" spans="3:3" s="34" customFormat="1">
      <c r="C743" s="28"/>
    </row>
    <row r="744" spans="3:3" s="34" customFormat="1">
      <c r="C744" s="28"/>
    </row>
    <row r="745" spans="3:3" s="34" customFormat="1">
      <c r="C745" s="28"/>
    </row>
    <row r="746" spans="3:3" s="34" customFormat="1">
      <c r="C746" s="28"/>
    </row>
    <row r="747" spans="3:3" s="34" customFormat="1">
      <c r="C747" s="28"/>
    </row>
    <row r="748" spans="3:3" s="34" customFormat="1">
      <c r="C748" s="28"/>
    </row>
    <row r="749" spans="3:3" s="34" customFormat="1">
      <c r="C749" s="28"/>
    </row>
    <row r="750" spans="3:3" s="34" customFormat="1">
      <c r="C750" s="28"/>
    </row>
    <row r="751" spans="3:3" s="34" customFormat="1">
      <c r="C751" s="28"/>
    </row>
    <row r="752" spans="3:3" s="34" customFormat="1">
      <c r="C752" s="28"/>
    </row>
    <row r="753" spans="3:3" s="34" customFormat="1">
      <c r="C753" s="28"/>
    </row>
    <row r="754" spans="3:3" s="34" customFormat="1">
      <c r="C754" s="28"/>
    </row>
    <row r="755" spans="3:3" s="34" customFormat="1">
      <c r="C755" s="28"/>
    </row>
    <row r="756" spans="3:3" s="34" customFormat="1">
      <c r="C756" s="28"/>
    </row>
    <row r="757" spans="3:3" s="34" customFormat="1">
      <c r="C757" s="28"/>
    </row>
    <row r="758" spans="3:3" s="34" customFormat="1">
      <c r="C758" s="28"/>
    </row>
    <row r="759" spans="3:3" s="34" customFormat="1">
      <c r="C759" s="28"/>
    </row>
    <row r="760" spans="3:3" s="34" customFormat="1">
      <c r="C760" s="28"/>
    </row>
    <row r="761" spans="3:3" s="34" customFormat="1">
      <c r="C761" s="28"/>
    </row>
    <row r="762" spans="3:3" s="34" customFormat="1">
      <c r="C762" s="28"/>
    </row>
    <row r="763" spans="3:3" s="34" customFormat="1">
      <c r="C763" s="28"/>
    </row>
    <row r="764" spans="3:3" s="34" customFormat="1">
      <c r="C764" s="28"/>
    </row>
    <row r="765" spans="3:3" s="34" customFormat="1">
      <c r="C765" s="28"/>
    </row>
    <row r="766" spans="3:3" s="34" customFormat="1">
      <c r="C766" s="28"/>
    </row>
    <row r="767" spans="3:3" s="34" customFormat="1">
      <c r="C767" s="28"/>
    </row>
    <row r="768" spans="3:3" s="34" customFormat="1">
      <c r="C768" s="28"/>
    </row>
    <row r="769" spans="3:3" s="34" customFormat="1">
      <c r="C769" s="28"/>
    </row>
    <row r="770" spans="3:3" s="34" customFormat="1">
      <c r="C770" s="28"/>
    </row>
    <row r="771" spans="3:3" s="34" customFormat="1">
      <c r="C771" s="28"/>
    </row>
    <row r="772" spans="3:3" s="34" customFormat="1">
      <c r="C772" s="28"/>
    </row>
    <row r="773" spans="3:3" s="34" customFormat="1">
      <c r="C773" s="28"/>
    </row>
    <row r="774" spans="3:3" s="34" customFormat="1">
      <c r="C774" s="28"/>
    </row>
    <row r="775" spans="3:3" s="34" customFormat="1">
      <c r="C775" s="28"/>
    </row>
    <row r="776" spans="3:3" s="34" customFormat="1">
      <c r="C776" s="28"/>
    </row>
    <row r="777" spans="3:3" s="34" customFormat="1">
      <c r="C777" s="28"/>
    </row>
    <row r="778" spans="3:3" s="34" customFormat="1">
      <c r="C778" s="28"/>
    </row>
    <row r="779" spans="3:3" s="34" customFormat="1">
      <c r="C779" s="28"/>
    </row>
    <row r="780" spans="3:3" s="34" customFormat="1">
      <c r="C780" s="28"/>
    </row>
    <row r="781" spans="3:3" s="34" customFormat="1">
      <c r="C781" s="28"/>
    </row>
    <row r="782" spans="3:3" s="34" customFormat="1">
      <c r="C782" s="28"/>
    </row>
    <row r="783" spans="3:3" s="34" customFormat="1">
      <c r="C783" s="28"/>
    </row>
    <row r="784" spans="3:3" s="34" customFormat="1">
      <c r="C784" s="28"/>
    </row>
    <row r="785" spans="3:3" s="34" customFormat="1">
      <c r="C785" s="28"/>
    </row>
    <row r="786" spans="3:3" s="34" customFormat="1">
      <c r="C786" s="28"/>
    </row>
    <row r="787" spans="3:3" s="34" customFormat="1">
      <c r="C787" s="28"/>
    </row>
    <row r="788" spans="3:3" s="34" customFormat="1">
      <c r="C788" s="28"/>
    </row>
    <row r="789" spans="3:3" s="34" customFormat="1">
      <c r="C789" s="28"/>
    </row>
    <row r="790" spans="3:3" s="34" customFormat="1">
      <c r="C790" s="28"/>
    </row>
    <row r="791" spans="3:3" s="34" customFormat="1">
      <c r="C791" s="28"/>
    </row>
    <row r="792" spans="3:3" s="34" customFormat="1">
      <c r="C792" s="28"/>
    </row>
    <row r="793" spans="3:3" s="34" customFormat="1">
      <c r="C793" s="28"/>
    </row>
    <row r="794" spans="3:3" s="34" customFormat="1">
      <c r="C794" s="28"/>
    </row>
    <row r="795" spans="3:3" s="34" customFormat="1">
      <c r="C795" s="28"/>
    </row>
    <row r="796" spans="3:3" s="34" customFormat="1">
      <c r="C796" s="28"/>
    </row>
    <row r="797" spans="3:3" s="34" customFormat="1">
      <c r="C797" s="28"/>
    </row>
    <row r="798" spans="3:3" s="34" customFormat="1">
      <c r="C798" s="28"/>
    </row>
    <row r="799" spans="3:3" s="34" customFormat="1">
      <c r="C799" s="28"/>
    </row>
    <row r="800" spans="3:3" s="34" customFormat="1">
      <c r="C800" s="28"/>
    </row>
    <row r="801" spans="3:3" s="34" customFormat="1">
      <c r="C801" s="28"/>
    </row>
    <row r="802" spans="3:3" s="34" customFormat="1">
      <c r="C802" s="28"/>
    </row>
    <row r="803" spans="3:3" s="34" customFormat="1">
      <c r="C803" s="28"/>
    </row>
    <row r="804" spans="3:3" s="34" customFormat="1">
      <c r="C804" s="28"/>
    </row>
    <row r="805" spans="3:3" s="34" customFormat="1">
      <c r="C805" s="28"/>
    </row>
    <row r="806" spans="3:3" s="34" customFormat="1">
      <c r="C806" s="28"/>
    </row>
    <row r="807" spans="3:3" s="34" customFormat="1">
      <c r="C807" s="28"/>
    </row>
    <row r="808" spans="3:3" s="34" customFormat="1">
      <c r="C808" s="28"/>
    </row>
    <row r="809" spans="3:3" s="34" customFormat="1">
      <c r="C809" s="28"/>
    </row>
    <row r="810" spans="3:3" s="34" customFormat="1">
      <c r="C810" s="28"/>
    </row>
    <row r="811" spans="3:3" s="34" customFormat="1">
      <c r="C811" s="28"/>
    </row>
    <row r="812" spans="3:3" s="34" customFormat="1">
      <c r="C812" s="28"/>
    </row>
    <row r="813" spans="3:3" s="34" customFormat="1">
      <c r="C813" s="28"/>
    </row>
    <row r="814" spans="3:3" s="34" customFormat="1">
      <c r="C814" s="28"/>
    </row>
    <row r="815" spans="3:3" s="34" customFormat="1">
      <c r="C815" s="28"/>
    </row>
    <row r="816" spans="3:3" s="34" customFormat="1">
      <c r="C816" s="28"/>
    </row>
    <row r="817" spans="3:3" s="34" customFormat="1">
      <c r="C817" s="28"/>
    </row>
    <row r="818" spans="3:3" s="34" customFormat="1">
      <c r="C818" s="28"/>
    </row>
    <row r="819" spans="3:3" s="34" customFormat="1">
      <c r="C819" s="28"/>
    </row>
    <row r="820" spans="3:3" s="34" customFormat="1">
      <c r="C820" s="28"/>
    </row>
    <row r="821" spans="3:3" s="34" customFormat="1">
      <c r="C821" s="28"/>
    </row>
    <row r="822" spans="3:3" s="34" customFormat="1">
      <c r="C822" s="28"/>
    </row>
    <row r="823" spans="3:3" s="34" customFormat="1">
      <c r="C823" s="28"/>
    </row>
    <row r="824" spans="3:3" s="34" customFormat="1">
      <c r="C824" s="28"/>
    </row>
    <row r="825" spans="3:3" s="34" customFormat="1">
      <c r="C825" s="28"/>
    </row>
    <row r="826" spans="3:3" s="34" customFormat="1">
      <c r="C826" s="28"/>
    </row>
    <row r="827" spans="3:3" s="34" customFormat="1">
      <c r="C827" s="28"/>
    </row>
    <row r="828" spans="3:3" s="34" customFormat="1">
      <c r="C828" s="28"/>
    </row>
    <row r="829" spans="3:3" s="34" customFormat="1">
      <c r="C829" s="28"/>
    </row>
    <row r="830" spans="3:3" s="34" customFormat="1">
      <c r="C830" s="28"/>
    </row>
    <row r="831" spans="3:3" s="34" customFormat="1">
      <c r="C831" s="28"/>
    </row>
    <row r="832" spans="3:3" s="34" customFormat="1">
      <c r="C832" s="28"/>
    </row>
    <row r="833" spans="3:3" s="34" customFormat="1">
      <c r="C833" s="28"/>
    </row>
    <row r="834" spans="3:3" s="34" customFormat="1">
      <c r="C834" s="28"/>
    </row>
    <row r="835" spans="3:3" s="34" customFormat="1">
      <c r="C835" s="28"/>
    </row>
    <row r="836" spans="3:3" s="34" customFormat="1">
      <c r="C836" s="28"/>
    </row>
    <row r="837" spans="3:3" s="34" customFormat="1">
      <c r="C837" s="28"/>
    </row>
    <row r="838" spans="3:3" s="34" customFormat="1">
      <c r="C838" s="28"/>
    </row>
    <row r="839" spans="3:3" s="34" customFormat="1">
      <c r="C839" s="28"/>
    </row>
    <row r="840" spans="3:3" s="34" customFormat="1">
      <c r="C840" s="28"/>
    </row>
    <row r="841" spans="3:3" s="34" customFormat="1">
      <c r="C841" s="28"/>
    </row>
    <row r="842" spans="3:3" s="34" customFormat="1">
      <c r="C842" s="28"/>
    </row>
    <row r="843" spans="3:3" s="34" customFormat="1">
      <c r="C843" s="28"/>
    </row>
    <row r="844" spans="3:3" s="34" customFormat="1">
      <c r="C844" s="28"/>
    </row>
    <row r="845" spans="3:3" s="34" customFormat="1">
      <c r="C845" s="28"/>
    </row>
    <row r="846" spans="3:3" s="34" customFormat="1">
      <c r="C846" s="28"/>
    </row>
    <row r="847" spans="3:3" s="34" customFormat="1">
      <c r="C847" s="28"/>
    </row>
    <row r="848" spans="3:3" s="34" customFormat="1">
      <c r="C848" s="28"/>
    </row>
    <row r="849" spans="3:3" s="34" customFormat="1">
      <c r="C849" s="28"/>
    </row>
    <row r="850" spans="3:3" s="34" customFormat="1">
      <c r="C850" s="28"/>
    </row>
    <row r="851" spans="3:3" s="34" customFormat="1">
      <c r="C851" s="28"/>
    </row>
    <row r="852" spans="3:3" s="34" customFormat="1">
      <c r="C852" s="28"/>
    </row>
    <row r="853" spans="3:3" s="34" customFormat="1">
      <c r="C853" s="28"/>
    </row>
    <row r="854" spans="3:3" s="34" customFormat="1">
      <c r="C854" s="28"/>
    </row>
    <row r="855" spans="3:3" s="34" customFormat="1">
      <c r="C855" s="28"/>
    </row>
    <row r="856" spans="3:3" s="34" customFormat="1">
      <c r="C856" s="28"/>
    </row>
    <row r="857" spans="3:3" s="34" customFormat="1">
      <c r="C857" s="28"/>
    </row>
    <row r="858" spans="3:3" s="34" customFormat="1">
      <c r="C858" s="28"/>
    </row>
    <row r="859" spans="3:3" s="34" customFormat="1">
      <c r="C859" s="28"/>
    </row>
    <row r="860" spans="3:3" s="34" customFormat="1">
      <c r="C860" s="28"/>
    </row>
    <row r="861" spans="3:3" s="34" customFormat="1">
      <c r="C861" s="28"/>
    </row>
    <row r="862" spans="3:3" s="34" customFormat="1">
      <c r="C862" s="28"/>
    </row>
    <row r="863" spans="3:3" s="34" customFormat="1">
      <c r="C863" s="28"/>
    </row>
    <row r="864" spans="3:3" s="34" customFormat="1">
      <c r="C864" s="28"/>
    </row>
    <row r="865" spans="3:3" s="34" customFormat="1">
      <c r="C865" s="28"/>
    </row>
    <row r="866" spans="3:3" s="34" customFormat="1">
      <c r="C866" s="28"/>
    </row>
    <row r="867" spans="3:3" s="34" customFormat="1">
      <c r="C867" s="28"/>
    </row>
    <row r="868" spans="3:3" s="34" customFormat="1">
      <c r="C868" s="28"/>
    </row>
    <row r="869" spans="3:3" s="34" customFormat="1">
      <c r="C869" s="28"/>
    </row>
    <row r="870" spans="3:3" s="34" customFormat="1">
      <c r="C870" s="28"/>
    </row>
    <row r="871" spans="3:3" s="34" customFormat="1">
      <c r="C871" s="28"/>
    </row>
    <row r="872" spans="3:3" s="34" customFormat="1">
      <c r="C872" s="28"/>
    </row>
    <row r="873" spans="3:3" s="34" customFormat="1">
      <c r="C873" s="28"/>
    </row>
    <row r="874" spans="3:3" s="34" customFormat="1">
      <c r="C874" s="28"/>
    </row>
    <row r="875" spans="3:3" s="34" customFormat="1">
      <c r="C875" s="28"/>
    </row>
    <row r="876" spans="3:3" s="34" customFormat="1">
      <c r="C876" s="28"/>
    </row>
    <row r="877" spans="3:3" s="34" customFormat="1">
      <c r="C877" s="28"/>
    </row>
    <row r="878" spans="3:3" s="34" customFormat="1">
      <c r="C878" s="28"/>
    </row>
    <row r="879" spans="3:3" s="34" customFormat="1">
      <c r="C879" s="28"/>
    </row>
    <row r="880" spans="3:3" s="34" customFormat="1">
      <c r="C880" s="28"/>
    </row>
    <row r="881" spans="3:3" s="34" customFormat="1">
      <c r="C881" s="28"/>
    </row>
    <row r="882" spans="3:3" s="34" customFormat="1">
      <c r="C882" s="28"/>
    </row>
    <row r="883" spans="3:3" s="34" customFormat="1">
      <c r="C883" s="28"/>
    </row>
    <row r="884" spans="3:3" s="34" customFormat="1">
      <c r="C884" s="28"/>
    </row>
    <row r="885" spans="3:3" s="34" customFormat="1">
      <c r="C885" s="28"/>
    </row>
    <row r="886" spans="3:3" s="34" customFormat="1">
      <c r="C886" s="28"/>
    </row>
    <row r="887" spans="3:3" s="34" customFormat="1">
      <c r="C887" s="28"/>
    </row>
    <row r="888" spans="3:3" s="34" customFormat="1">
      <c r="C888" s="28"/>
    </row>
    <row r="889" spans="3:3" s="34" customFormat="1">
      <c r="C889" s="28"/>
    </row>
    <row r="890" spans="3:3" s="34" customFormat="1">
      <c r="C890" s="28"/>
    </row>
    <row r="891" spans="3:3" s="34" customFormat="1">
      <c r="C891" s="28"/>
    </row>
    <row r="892" spans="3:3" s="34" customFormat="1">
      <c r="C892" s="28"/>
    </row>
    <row r="893" spans="3:3" s="34" customFormat="1">
      <c r="C893" s="28"/>
    </row>
    <row r="894" spans="3:3" s="34" customFormat="1">
      <c r="C894" s="28"/>
    </row>
    <row r="895" spans="3:3" s="34" customFormat="1">
      <c r="C895" s="28"/>
    </row>
    <row r="896" spans="3:3" s="34" customFormat="1">
      <c r="C896" s="28"/>
    </row>
    <row r="897" spans="3:3" s="34" customFormat="1">
      <c r="C897" s="28"/>
    </row>
    <row r="898" spans="3:3" s="34" customFormat="1">
      <c r="C898" s="28"/>
    </row>
    <row r="899" spans="3:3" s="34" customFormat="1">
      <c r="C899" s="28"/>
    </row>
    <row r="900" spans="3:3" s="34" customFormat="1">
      <c r="C900" s="28"/>
    </row>
    <row r="901" spans="3:3" s="34" customFormat="1">
      <c r="C901" s="28"/>
    </row>
    <row r="902" spans="3:3" s="34" customFormat="1">
      <c r="C902" s="28"/>
    </row>
    <row r="903" spans="3:3" s="34" customFormat="1">
      <c r="C903" s="28"/>
    </row>
    <row r="904" spans="3:3" s="34" customFormat="1">
      <c r="C904" s="28"/>
    </row>
    <row r="905" spans="3:3" s="34" customFormat="1">
      <c r="C905" s="28"/>
    </row>
    <row r="906" spans="3:3" s="34" customFormat="1">
      <c r="C906" s="28"/>
    </row>
    <row r="907" spans="3:3" s="34" customFormat="1">
      <c r="C907" s="28"/>
    </row>
    <row r="908" spans="3:3" s="34" customFormat="1">
      <c r="C908" s="28"/>
    </row>
    <row r="909" spans="3:3" s="34" customFormat="1">
      <c r="C909" s="28"/>
    </row>
    <row r="910" spans="3:3" s="34" customFormat="1">
      <c r="C910" s="28"/>
    </row>
    <row r="911" spans="3:3" s="34" customFormat="1">
      <c r="C911" s="28"/>
    </row>
    <row r="912" spans="3:3" s="34" customFormat="1">
      <c r="C912" s="28"/>
    </row>
    <row r="913" spans="3:3" s="34" customFormat="1">
      <c r="C913" s="28"/>
    </row>
    <row r="914" spans="3:3" s="34" customFormat="1">
      <c r="C914" s="28"/>
    </row>
    <row r="915" spans="3:3" s="34" customFormat="1">
      <c r="C915" s="28"/>
    </row>
    <row r="916" spans="3:3" s="34" customFormat="1">
      <c r="C916" s="28"/>
    </row>
    <row r="917" spans="3:3" s="34" customFormat="1">
      <c r="C917" s="28"/>
    </row>
    <row r="918" spans="3:3" s="34" customFormat="1">
      <c r="C918" s="28"/>
    </row>
    <row r="919" spans="3:3" s="34" customFormat="1">
      <c r="C919" s="28"/>
    </row>
    <row r="920" spans="3:3" s="34" customFormat="1">
      <c r="C920" s="28"/>
    </row>
    <row r="921" spans="3:3" s="34" customFormat="1">
      <c r="C921" s="28"/>
    </row>
    <row r="922" spans="3:3" s="34" customFormat="1">
      <c r="C922" s="28"/>
    </row>
    <row r="923" spans="3:3" s="34" customFormat="1">
      <c r="C923" s="28"/>
    </row>
    <row r="924" spans="3:3" s="34" customFormat="1">
      <c r="C924" s="28"/>
    </row>
    <row r="925" spans="3:3" s="34" customFormat="1">
      <c r="C925" s="28"/>
    </row>
    <row r="926" spans="3:3" s="34" customFormat="1">
      <c r="C926" s="28"/>
    </row>
    <row r="927" spans="3:3" s="34" customFormat="1">
      <c r="C927" s="28"/>
    </row>
    <row r="928" spans="3:3" s="34" customFormat="1">
      <c r="C928" s="28"/>
    </row>
    <row r="929" spans="3:3" s="34" customFormat="1">
      <c r="C929" s="28"/>
    </row>
    <row r="930" spans="3:3" s="34" customFormat="1">
      <c r="C930" s="28"/>
    </row>
    <row r="931" spans="3:3" s="34" customFormat="1">
      <c r="C931" s="28"/>
    </row>
    <row r="932" spans="3:3" s="34" customFormat="1">
      <c r="C932" s="28"/>
    </row>
    <row r="933" spans="3:3" s="34" customFormat="1">
      <c r="C933" s="28"/>
    </row>
    <row r="934" spans="3:3" s="34" customFormat="1">
      <c r="C934" s="28"/>
    </row>
    <row r="935" spans="3:3" s="34" customFormat="1">
      <c r="C935" s="28"/>
    </row>
    <row r="936" spans="3:3" s="34" customFormat="1">
      <c r="C936" s="28"/>
    </row>
    <row r="937" spans="3:3" s="34" customFormat="1">
      <c r="C937" s="28"/>
    </row>
    <row r="938" spans="3:3" s="34" customFormat="1">
      <c r="C938" s="28"/>
    </row>
    <row r="939" spans="3:3" s="34" customFormat="1">
      <c r="C939" s="28"/>
    </row>
    <row r="940" spans="3:3" s="34" customFormat="1">
      <c r="C940" s="28"/>
    </row>
    <row r="941" spans="3:3" s="34" customFormat="1">
      <c r="C941" s="28"/>
    </row>
    <row r="942" spans="3:3" s="34" customFormat="1">
      <c r="C942" s="28"/>
    </row>
    <row r="943" spans="3:3" s="34" customFormat="1">
      <c r="C943" s="28"/>
    </row>
    <row r="944" spans="3:3" s="34" customFormat="1">
      <c r="C944" s="28"/>
    </row>
    <row r="945" spans="3:3" s="34" customFormat="1">
      <c r="C945" s="28"/>
    </row>
    <row r="946" spans="3:3" s="34" customFormat="1">
      <c r="C946" s="28"/>
    </row>
    <row r="947" spans="3:3" s="34" customFormat="1">
      <c r="C947" s="28"/>
    </row>
    <row r="948" spans="3:3" s="34" customFormat="1">
      <c r="C948" s="28"/>
    </row>
    <row r="949" spans="3:3" s="34" customFormat="1">
      <c r="C949" s="28"/>
    </row>
    <row r="950" spans="3:3" s="34" customFormat="1">
      <c r="C950" s="28"/>
    </row>
    <row r="951" spans="3:3" s="34" customFormat="1">
      <c r="C951" s="28"/>
    </row>
    <row r="952" spans="3:3" s="34" customFormat="1">
      <c r="C952" s="28"/>
    </row>
    <row r="953" spans="3:3" s="34" customFormat="1">
      <c r="C953" s="28"/>
    </row>
    <row r="954" spans="3:3" s="34" customFormat="1">
      <c r="C954" s="28"/>
    </row>
    <row r="955" spans="3:3" s="34" customFormat="1">
      <c r="C955" s="28"/>
    </row>
    <row r="956" spans="3:3" s="34" customFormat="1">
      <c r="C956" s="28"/>
    </row>
    <row r="957" spans="3:3" s="34" customFormat="1">
      <c r="C957" s="28"/>
    </row>
    <row r="958" spans="3:3" s="34" customFormat="1">
      <c r="C958" s="28"/>
    </row>
    <row r="959" spans="3:3" s="34" customFormat="1">
      <c r="C959" s="28"/>
    </row>
    <row r="960" spans="3:3" s="34" customFormat="1">
      <c r="C960" s="28"/>
    </row>
    <row r="961" spans="3:3" s="34" customFormat="1">
      <c r="C961" s="28"/>
    </row>
    <row r="962" spans="3:3" s="34" customFormat="1">
      <c r="C962" s="28"/>
    </row>
    <row r="963" spans="3:3" s="34" customFormat="1">
      <c r="C963" s="28"/>
    </row>
    <row r="964" spans="3:3" s="34" customFormat="1">
      <c r="C964" s="28"/>
    </row>
    <row r="965" spans="3:3" s="34" customFormat="1">
      <c r="C965" s="28"/>
    </row>
    <row r="966" spans="3:3" s="34" customFormat="1">
      <c r="C966" s="28"/>
    </row>
    <row r="967" spans="3:3" s="34" customFormat="1">
      <c r="C967" s="28"/>
    </row>
    <row r="968" spans="3:3" s="34" customFormat="1">
      <c r="C968" s="28"/>
    </row>
    <row r="969" spans="3:3" s="34" customFormat="1">
      <c r="C969" s="28"/>
    </row>
    <row r="970" spans="3:3" s="34" customFormat="1">
      <c r="C970" s="28"/>
    </row>
    <row r="971" spans="3:3" s="34" customFormat="1">
      <c r="C971" s="28"/>
    </row>
    <row r="972" spans="3:3" s="34" customFormat="1">
      <c r="C972" s="28"/>
    </row>
    <row r="973" spans="3:3" s="34" customFormat="1">
      <c r="C973" s="28"/>
    </row>
    <row r="974" spans="3:3" s="34" customFormat="1">
      <c r="C974" s="28"/>
    </row>
    <row r="975" spans="3:3" s="34" customFormat="1">
      <c r="C975" s="28"/>
    </row>
    <row r="976" spans="3:3" s="34" customFormat="1">
      <c r="C976" s="28"/>
    </row>
    <row r="977" spans="3:3" s="34" customFormat="1">
      <c r="C977" s="28"/>
    </row>
    <row r="978" spans="3:3" s="34" customFormat="1">
      <c r="C978" s="28"/>
    </row>
    <row r="979" spans="3:3" s="34" customFormat="1">
      <c r="C979" s="28"/>
    </row>
    <row r="980" spans="3:3" s="34" customFormat="1">
      <c r="C980" s="28"/>
    </row>
    <row r="981" spans="3:3" s="34" customFormat="1">
      <c r="C981" s="28"/>
    </row>
    <row r="982" spans="3:3" s="34" customFormat="1">
      <c r="C982" s="28"/>
    </row>
    <row r="983" spans="3:3" s="34" customFormat="1">
      <c r="C983" s="28"/>
    </row>
    <row r="984" spans="3:3" s="34" customFormat="1">
      <c r="C984" s="28"/>
    </row>
    <row r="985" spans="3:3" s="34" customFormat="1">
      <c r="C985" s="28"/>
    </row>
    <row r="986" spans="3:3" s="34" customFormat="1">
      <c r="C986" s="28"/>
    </row>
    <row r="987" spans="3:3" s="34" customFormat="1">
      <c r="C987" s="28"/>
    </row>
    <row r="988" spans="3:3" s="34" customFormat="1">
      <c r="C988" s="28"/>
    </row>
    <row r="989" spans="3:3" s="34" customFormat="1">
      <c r="C989" s="28"/>
    </row>
    <row r="990" spans="3:3" s="34" customFormat="1">
      <c r="C990" s="28"/>
    </row>
    <row r="991" spans="3:3" s="34" customFormat="1">
      <c r="C991" s="28"/>
    </row>
    <row r="992" spans="3:3" s="34" customFormat="1">
      <c r="C992" s="28"/>
    </row>
    <row r="993" spans="3:3" s="34" customFormat="1">
      <c r="C993" s="28"/>
    </row>
    <row r="994" spans="3:3" s="34" customFormat="1">
      <c r="C994" s="28"/>
    </row>
    <row r="995" spans="3:3" s="34" customFormat="1">
      <c r="C995" s="28"/>
    </row>
    <row r="996" spans="3:3" s="34" customFormat="1">
      <c r="C996" s="28"/>
    </row>
    <row r="997" spans="3:3" s="34" customFormat="1">
      <c r="C997" s="28"/>
    </row>
    <row r="998" spans="3:3" s="34" customFormat="1">
      <c r="C998" s="28"/>
    </row>
    <row r="999" spans="3:3" s="34" customFormat="1">
      <c r="C999" s="28"/>
    </row>
    <row r="1000" spans="3:3" s="34" customFormat="1">
      <c r="C1000" s="28"/>
    </row>
    <row r="1001" spans="3:3" s="34" customFormat="1">
      <c r="C1001" s="28"/>
    </row>
    <row r="1002" spans="3:3" s="34" customFormat="1">
      <c r="C1002" s="28"/>
    </row>
    <row r="1003" spans="3:3" s="34" customFormat="1">
      <c r="C1003" s="28"/>
    </row>
    <row r="1004" spans="3:3" s="34" customFormat="1">
      <c r="C1004" s="28"/>
    </row>
    <row r="1005" spans="3:3" s="34" customFormat="1">
      <c r="C1005" s="28"/>
    </row>
    <row r="1006" spans="3:3" s="34" customFormat="1">
      <c r="C1006" s="28"/>
    </row>
    <row r="1007" spans="3:3" s="34" customFormat="1">
      <c r="C1007" s="28"/>
    </row>
    <row r="1008" spans="3:3" s="34" customFormat="1">
      <c r="C1008" s="28"/>
    </row>
    <row r="1009" spans="3:3" s="34" customFormat="1">
      <c r="C1009" s="28"/>
    </row>
    <row r="1010" spans="3:3" s="34" customFormat="1">
      <c r="C1010" s="28"/>
    </row>
    <row r="1011" spans="3:3" s="34" customFormat="1">
      <c r="C1011" s="28"/>
    </row>
    <row r="1012" spans="3:3" s="34" customFormat="1">
      <c r="C1012" s="28"/>
    </row>
    <row r="1013" spans="3:3" s="34" customFormat="1">
      <c r="C1013" s="28"/>
    </row>
    <row r="1014" spans="3:3" s="34" customFormat="1">
      <c r="C1014" s="28"/>
    </row>
    <row r="1015" spans="3:3" s="34" customFormat="1">
      <c r="C1015" s="28"/>
    </row>
    <row r="1016" spans="3:3" s="34" customFormat="1">
      <c r="C1016" s="28"/>
    </row>
    <row r="1017" spans="3:3" s="34" customFormat="1">
      <c r="C1017" s="28"/>
    </row>
    <row r="1018" spans="3:3" s="34" customFormat="1">
      <c r="C1018" s="28"/>
    </row>
    <row r="1019" spans="3:3" s="34" customFormat="1">
      <c r="C1019" s="28"/>
    </row>
    <row r="1020" spans="3:3" s="34" customFormat="1">
      <c r="C1020" s="28"/>
    </row>
    <row r="1021" spans="3:3" s="34" customFormat="1">
      <c r="C1021" s="28"/>
    </row>
    <row r="1022" spans="3:3" s="34" customFormat="1">
      <c r="C1022" s="28"/>
    </row>
    <row r="1023" spans="3:3" s="34" customFormat="1">
      <c r="C1023" s="28"/>
    </row>
    <row r="1024" spans="3:3" s="34" customFormat="1">
      <c r="C1024" s="28"/>
    </row>
    <row r="1025" spans="3:3" s="34" customFormat="1">
      <c r="C1025" s="28"/>
    </row>
    <row r="1026" spans="3:3" s="34" customFormat="1">
      <c r="C1026" s="28"/>
    </row>
    <row r="1027" spans="3:3" s="34" customFormat="1">
      <c r="C1027" s="28"/>
    </row>
    <row r="1028" spans="3:3" s="34" customFormat="1">
      <c r="C1028" s="28"/>
    </row>
    <row r="1029" spans="3:3" s="34" customFormat="1">
      <c r="C1029" s="28"/>
    </row>
    <row r="1030" spans="3:3" s="34" customFormat="1">
      <c r="C1030" s="28"/>
    </row>
    <row r="1031" spans="3:3" s="34" customFormat="1">
      <c r="C1031" s="28"/>
    </row>
    <row r="1032" spans="3:3" s="34" customFormat="1">
      <c r="C1032" s="28"/>
    </row>
    <row r="1033" spans="3:3" s="34" customFormat="1">
      <c r="C1033" s="28"/>
    </row>
    <row r="1034" spans="3:3" s="34" customFormat="1">
      <c r="C1034" s="28"/>
    </row>
    <row r="1035" spans="3:3" s="34" customFormat="1">
      <c r="C1035" s="28"/>
    </row>
    <row r="1036" spans="3:3" s="34" customFormat="1">
      <c r="C1036" s="28"/>
    </row>
    <row r="1037" spans="3:3" s="34" customFormat="1">
      <c r="C1037" s="28"/>
    </row>
    <row r="1038" spans="3:3" s="34" customFormat="1">
      <c r="C1038" s="28"/>
    </row>
    <row r="1039" spans="3:3" s="34" customFormat="1">
      <c r="C1039" s="28"/>
    </row>
    <row r="1040" spans="3:3" s="34" customFormat="1">
      <c r="C1040" s="28"/>
    </row>
    <row r="1041" spans="3:3" s="34" customFormat="1">
      <c r="C1041" s="28"/>
    </row>
    <row r="1042" spans="3:3" s="34" customFormat="1">
      <c r="C1042" s="28"/>
    </row>
    <row r="1043" spans="3:3" s="34" customFormat="1">
      <c r="C1043" s="28"/>
    </row>
    <row r="1044" spans="3:3" s="34" customFormat="1">
      <c r="C1044" s="28"/>
    </row>
    <row r="1045" spans="3:3" s="34" customFormat="1">
      <c r="C1045" s="28"/>
    </row>
    <row r="1046" spans="3:3" s="34" customFormat="1">
      <c r="C1046" s="28"/>
    </row>
    <row r="1047" spans="3:3" s="34" customFormat="1">
      <c r="C1047" s="28"/>
    </row>
    <row r="1048" spans="3:3" s="34" customFormat="1">
      <c r="C1048" s="28"/>
    </row>
    <row r="1049" spans="3:3" s="34" customFormat="1">
      <c r="C1049" s="28"/>
    </row>
    <row r="1050" spans="3:3" s="34" customFormat="1">
      <c r="C1050" s="28"/>
    </row>
    <row r="1051" spans="3:3" s="34" customFormat="1">
      <c r="C1051" s="28"/>
    </row>
    <row r="1052" spans="3:3" s="34" customFormat="1">
      <c r="C1052" s="28"/>
    </row>
    <row r="1053" spans="3:3" s="34" customFormat="1">
      <c r="C1053" s="28"/>
    </row>
    <row r="1054" spans="3:3" s="34" customFormat="1">
      <c r="C1054" s="28"/>
    </row>
    <row r="1055" spans="3:3" s="34" customFormat="1">
      <c r="C1055" s="28"/>
    </row>
    <row r="1056" spans="3:3" s="34" customFormat="1">
      <c r="C1056" s="28"/>
    </row>
    <row r="1057" spans="3:3" s="34" customFormat="1">
      <c r="C1057" s="28"/>
    </row>
    <row r="1058" spans="3:3" s="34" customFormat="1">
      <c r="C1058" s="28"/>
    </row>
    <row r="1059" spans="3:3" s="34" customFormat="1">
      <c r="C1059" s="28"/>
    </row>
    <row r="1060" spans="3:3" s="34" customFormat="1">
      <c r="C1060" s="28"/>
    </row>
    <row r="1061" spans="3:3" s="34" customFormat="1">
      <c r="C1061" s="28"/>
    </row>
    <row r="1062" spans="3:3" s="34" customFormat="1">
      <c r="C1062" s="28"/>
    </row>
    <row r="1063" spans="3:3" s="34" customFormat="1">
      <c r="C1063" s="28"/>
    </row>
    <row r="1064" spans="3:3" s="34" customFormat="1">
      <c r="C1064" s="28"/>
    </row>
    <row r="1065" spans="3:3" s="34" customFormat="1">
      <c r="C1065" s="28"/>
    </row>
    <row r="1066" spans="3:3" s="34" customFormat="1">
      <c r="C1066" s="28"/>
    </row>
    <row r="1067" spans="3:3" s="34" customFormat="1">
      <c r="C1067" s="28"/>
    </row>
    <row r="1068" spans="3:3" s="34" customFormat="1">
      <c r="C1068" s="28"/>
    </row>
    <row r="1069" spans="3:3" s="34" customFormat="1">
      <c r="C1069" s="28"/>
    </row>
    <row r="1070" spans="3:3" s="34" customFormat="1">
      <c r="C1070" s="28"/>
    </row>
    <row r="1071" spans="3:3" s="34" customFormat="1">
      <c r="C1071" s="28"/>
    </row>
    <row r="1072" spans="3:3" s="34" customFormat="1">
      <c r="C1072" s="28"/>
    </row>
    <row r="1073" spans="3:3" s="34" customFormat="1">
      <c r="C1073" s="28"/>
    </row>
    <row r="1074" spans="3:3" s="34" customFormat="1">
      <c r="C1074" s="28"/>
    </row>
    <row r="1075" spans="3:3" s="34" customFormat="1">
      <c r="C1075" s="28"/>
    </row>
    <row r="1076" spans="3:3" s="34" customFormat="1">
      <c r="C1076" s="28"/>
    </row>
    <row r="1077" spans="3:3" s="34" customFormat="1">
      <c r="C1077" s="28"/>
    </row>
    <row r="1078" spans="3:3" s="34" customFormat="1">
      <c r="C1078" s="28"/>
    </row>
    <row r="1079" spans="3:3" s="34" customFormat="1">
      <c r="C1079" s="28"/>
    </row>
    <row r="1080" spans="3:3" s="34" customFormat="1">
      <c r="C1080" s="28"/>
    </row>
    <row r="1081" spans="3:3" s="34" customFormat="1">
      <c r="C1081" s="28"/>
    </row>
    <row r="1082" spans="3:3" s="34" customFormat="1">
      <c r="C1082" s="28"/>
    </row>
    <row r="1083" spans="3:3" s="34" customFormat="1">
      <c r="C1083" s="28"/>
    </row>
    <row r="1084" spans="3:3" s="34" customFormat="1">
      <c r="C1084" s="28"/>
    </row>
    <row r="1085" spans="3:3" s="34" customFormat="1">
      <c r="C1085" s="28"/>
    </row>
    <row r="1086" spans="3:3" s="34" customFormat="1">
      <c r="C1086" s="28"/>
    </row>
    <row r="1087" spans="3:3" s="34" customFormat="1">
      <c r="C1087" s="28"/>
    </row>
    <row r="1088" spans="3:3" s="34" customFormat="1">
      <c r="C1088" s="28"/>
    </row>
    <row r="1089" spans="3:3" s="34" customFormat="1">
      <c r="C1089" s="28"/>
    </row>
    <row r="1090" spans="3:3" s="34" customFormat="1">
      <c r="C1090" s="28"/>
    </row>
    <row r="1091" spans="3:3" s="34" customFormat="1">
      <c r="C1091" s="28"/>
    </row>
    <row r="1092" spans="3:3" s="34" customFormat="1">
      <c r="C1092" s="28"/>
    </row>
    <row r="1093" spans="3:3" s="34" customFormat="1">
      <c r="C1093" s="28"/>
    </row>
    <row r="1094" spans="3:3" s="34" customFormat="1">
      <c r="C1094" s="28"/>
    </row>
    <row r="1095" spans="3:3" s="34" customFormat="1">
      <c r="C1095" s="28"/>
    </row>
    <row r="1096" spans="3:3" s="34" customFormat="1">
      <c r="C1096" s="28"/>
    </row>
    <row r="1097" spans="3:3" s="34" customFormat="1">
      <c r="C1097" s="28"/>
    </row>
    <row r="1098" spans="3:3" s="34" customFormat="1">
      <c r="C1098" s="28"/>
    </row>
    <row r="1099" spans="3:3" s="34" customFormat="1">
      <c r="C1099" s="28"/>
    </row>
    <row r="1100" spans="3:3" s="34" customFormat="1">
      <c r="C1100" s="28"/>
    </row>
    <row r="1101" spans="3:3" s="34" customFormat="1">
      <c r="C1101" s="28"/>
    </row>
    <row r="1102" spans="3:3" s="34" customFormat="1">
      <c r="C1102" s="28"/>
    </row>
    <row r="1103" spans="3:3" s="34" customFormat="1">
      <c r="C1103" s="28"/>
    </row>
    <row r="1104" spans="3:3" s="34" customFormat="1">
      <c r="C1104" s="28"/>
    </row>
    <row r="1105" spans="3:3" s="34" customFormat="1">
      <c r="C1105" s="28"/>
    </row>
    <row r="1106" spans="3:3" s="34" customFormat="1">
      <c r="C1106" s="28"/>
    </row>
    <row r="1107" spans="3:3" s="34" customFormat="1">
      <c r="C1107" s="28"/>
    </row>
    <row r="1108" spans="3:3" s="34" customFormat="1">
      <c r="C1108" s="28"/>
    </row>
    <row r="1109" spans="3:3" s="34" customFormat="1">
      <c r="C1109" s="28"/>
    </row>
    <row r="1110" spans="3:3" s="34" customFormat="1">
      <c r="C1110" s="28"/>
    </row>
    <row r="1111" spans="3:3" s="34" customFormat="1">
      <c r="C1111" s="28"/>
    </row>
    <row r="1112" spans="3:3" s="34" customFormat="1">
      <c r="C1112" s="28"/>
    </row>
    <row r="1113" spans="3:3" s="34" customFormat="1">
      <c r="C1113" s="28"/>
    </row>
    <row r="1114" spans="3:3" s="34" customFormat="1">
      <c r="C1114" s="28"/>
    </row>
    <row r="1115" spans="3:3" s="34" customFormat="1">
      <c r="C1115" s="28"/>
    </row>
    <row r="1116" spans="3:3" s="34" customFormat="1">
      <c r="C1116" s="28"/>
    </row>
    <row r="1117" spans="3:3" s="34" customFormat="1">
      <c r="C1117" s="28"/>
    </row>
    <row r="1118" spans="3:3" s="34" customFormat="1">
      <c r="C1118" s="28"/>
    </row>
    <row r="1119" spans="3:3" s="34" customFormat="1">
      <c r="C1119" s="28"/>
    </row>
    <row r="1120" spans="3:3" s="34" customFormat="1">
      <c r="C1120" s="28"/>
    </row>
    <row r="1121" spans="3:3" s="34" customFormat="1">
      <c r="C1121" s="28"/>
    </row>
    <row r="1122" spans="3:3" s="34" customFormat="1">
      <c r="C1122" s="28"/>
    </row>
    <row r="1123" spans="3:3" s="34" customFormat="1">
      <c r="C1123" s="28"/>
    </row>
    <row r="1124" spans="3:3" s="34" customFormat="1">
      <c r="C1124" s="28"/>
    </row>
    <row r="1125" spans="3:3" s="34" customFormat="1">
      <c r="C1125" s="28"/>
    </row>
    <row r="1126" spans="3:3" s="34" customFormat="1">
      <c r="C1126" s="28"/>
    </row>
    <row r="1127" spans="3:3" s="34" customFormat="1">
      <c r="C1127" s="28"/>
    </row>
    <row r="1128" spans="3:3" s="34" customFormat="1">
      <c r="C1128" s="28"/>
    </row>
    <row r="1129" spans="3:3" s="34" customFormat="1">
      <c r="C1129" s="28"/>
    </row>
    <row r="1130" spans="3:3" s="34" customFormat="1">
      <c r="C1130" s="28"/>
    </row>
    <row r="1131" spans="3:3" s="34" customFormat="1">
      <c r="C1131" s="28"/>
    </row>
    <row r="1132" spans="3:3" s="34" customFormat="1">
      <c r="C1132" s="28"/>
    </row>
    <row r="1133" spans="3:3" s="34" customFormat="1">
      <c r="C1133" s="28"/>
    </row>
    <row r="1134" spans="3:3" s="34" customFormat="1">
      <c r="C1134" s="28"/>
    </row>
    <row r="1135" spans="3:3" s="34" customFormat="1">
      <c r="C1135" s="28"/>
    </row>
    <row r="1136" spans="3:3" s="34" customFormat="1">
      <c r="C1136" s="28"/>
    </row>
    <row r="1137" spans="3:3" s="34" customFormat="1">
      <c r="C1137" s="28"/>
    </row>
    <row r="1138" spans="3:3" s="34" customFormat="1">
      <c r="C1138" s="28"/>
    </row>
    <row r="1139" spans="3:3" s="34" customFormat="1">
      <c r="C1139" s="28"/>
    </row>
    <row r="1140" spans="3:3" s="34" customFormat="1">
      <c r="C1140" s="28"/>
    </row>
    <row r="1141" spans="3:3" s="34" customFormat="1">
      <c r="C1141" s="28"/>
    </row>
    <row r="1142" spans="3:3" s="34" customFormat="1">
      <c r="C1142" s="28"/>
    </row>
    <row r="1143" spans="3:3" s="34" customFormat="1">
      <c r="C1143" s="28"/>
    </row>
    <row r="1144" spans="3:3" s="34" customFormat="1">
      <c r="C1144" s="28"/>
    </row>
    <row r="1145" spans="3:3" s="34" customFormat="1">
      <c r="C1145" s="28"/>
    </row>
    <row r="1146" spans="3:3" s="34" customFormat="1">
      <c r="C1146" s="28"/>
    </row>
    <row r="1147" spans="3:3" s="34" customFormat="1">
      <c r="C1147" s="28"/>
    </row>
    <row r="1148" spans="3:3" s="34" customFormat="1">
      <c r="C1148" s="28"/>
    </row>
    <row r="1149" spans="3:3" s="34" customFormat="1">
      <c r="C1149" s="28"/>
    </row>
    <row r="1150" spans="3:3" s="34" customFormat="1">
      <c r="C1150" s="28"/>
    </row>
    <row r="1151" spans="3:3" s="34" customFormat="1">
      <c r="C1151" s="28"/>
    </row>
    <row r="1152" spans="3:3" s="34" customFormat="1">
      <c r="C1152" s="28"/>
    </row>
    <row r="1153" spans="3:3" s="34" customFormat="1">
      <c r="C1153" s="28"/>
    </row>
    <row r="1154" spans="3:3" s="34" customFormat="1">
      <c r="C1154" s="28"/>
    </row>
    <row r="1155" spans="3:3" s="34" customFormat="1">
      <c r="C1155" s="28"/>
    </row>
    <row r="1156" spans="3:3" s="34" customFormat="1">
      <c r="C1156" s="28"/>
    </row>
    <row r="1157" spans="3:3" s="34" customFormat="1">
      <c r="C1157" s="28"/>
    </row>
    <row r="1158" spans="3:3" s="34" customFormat="1">
      <c r="C1158" s="28"/>
    </row>
    <row r="1159" spans="3:3" s="34" customFormat="1">
      <c r="C1159" s="28"/>
    </row>
    <row r="1160" spans="3:3" s="34" customFormat="1">
      <c r="C1160" s="28"/>
    </row>
    <row r="1161" spans="3:3" s="34" customFormat="1">
      <c r="C1161" s="28"/>
    </row>
    <row r="1162" spans="3:3" s="34" customFormat="1">
      <c r="C1162" s="28"/>
    </row>
    <row r="1163" spans="3:3" s="34" customFormat="1">
      <c r="C1163" s="28"/>
    </row>
    <row r="1164" spans="3:3" s="34" customFormat="1">
      <c r="C1164" s="28"/>
    </row>
    <row r="1165" spans="3:3" s="34" customFormat="1">
      <c r="C1165" s="28"/>
    </row>
    <row r="1166" spans="3:3" s="34" customFormat="1">
      <c r="C1166" s="28"/>
    </row>
    <row r="1167" spans="3:3" s="34" customFormat="1">
      <c r="C1167" s="28"/>
    </row>
    <row r="1168" spans="3:3" s="34" customFormat="1">
      <c r="C1168" s="28"/>
    </row>
    <row r="1169" spans="3:3" s="34" customFormat="1">
      <c r="C1169" s="28"/>
    </row>
    <row r="1170" spans="3:3" s="34" customFormat="1">
      <c r="C1170" s="28"/>
    </row>
    <row r="1171" spans="3:3" s="34" customFormat="1">
      <c r="C1171" s="28"/>
    </row>
    <row r="1172" spans="3:3" s="34" customFormat="1">
      <c r="C1172" s="28"/>
    </row>
    <row r="1173" spans="3:3" s="34" customFormat="1">
      <c r="C1173" s="28"/>
    </row>
    <row r="1174" spans="3:3" s="34" customFormat="1">
      <c r="C1174" s="28"/>
    </row>
    <row r="1175" spans="3:3" s="34" customFormat="1">
      <c r="C1175" s="28"/>
    </row>
    <row r="1176" spans="3:3" s="34" customFormat="1">
      <c r="C1176" s="28"/>
    </row>
    <row r="1177" spans="3:3" s="34" customFormat="1">
      <c r="C1177" s="28"/>
    </row>
    <row r="1178" spans="3:3" s="34" customFormat="1">
      <c r="C1178" s="28"/>
    </row>
    <row r="1179" spans="3:3" s="34" customFormat="1">
      <c r="C1179" s="28"/>
    </row>
    <row r="1180" spans="3:3" s="34" customFormat="1">
      <c r="C1180" s="28"/>
    </row>
    <row r="1181" spans="3:3" s="34" customFormat="1">
      <c r="C1181" s="28"/>
    </row>
    <row r="1182" spans="3:3" s="34" customFormat="1">
      <c r="C1182" s="28"/>
    </row>
    <row r="1183" spans="3:3" s="34" customFormat="1">
      <c r="C1183" s="28"/>
    </row>
    <row r="1184" spans="3:3" s="34" customFormat="1">
      <c r="C1184" s="28"/>
    </row>
    <row r="1185" spans="3:3" s="34" customFormat="1">
      <c r="C1185" s="28"/>
    </row>
    <row r="1186" spans="3:3" s="34" customFormat="1">
      <c r="C1186" s="28"/>
    </row>
    <row r="1187" spans="3:3" s="34" customFormat="1">
      <c r="C1187" s="28"/>
    </row>
    <row r="1188" spans="3:3" s="34" customFormat="1">
      <c r="C1188" s="28"/>
    </row>
    <row r="1189" spans="3:3" s="34" customFormat="1">
      <c r="C1189" s="28"/>
    </row>
    <row r="1190" spans="3:3" s="34" customFormat="1">
      <c r="C1190" s="28"/>
    </row>
    <row r="1191" spans="3:3" s="34" customFormat="1">
      <c r="C1191" s="28"/>
    </row>
    <row r="1192" spans="3:3" s="34" customFormat="1">
      <c r="C1192" s="28"/>
    </row>
    <row r="1193" spans="3:3" s="34" customFormat="1">
      <c r="C1193" s="28"/>
    </row>
    <row r="1194" spans="3:3" s="34" customFormat="1">
      <c r="C1194" s="28"/>
    </row>
    <row r="1195" spans="3:3" s="34" customFormat="1">
      <c r="C1195" s="28"/>
    </row>
    <row r="1196" spans="3:3" s="34" customFormat="1">
      <c r="C1196" s="28"/>
    </row>
    <row r="1197" spans="3:3" s="34" customFormat="1">
      <c r="C1197" s="28"/>
    </row>
    <row r="1198" spans="3:3" s="34" customFormat="1">
      <c r="C1198" s="28"/>
    </row>
    <row r="1199" spans="3:3" s="34" customFormat="1">
      <c r="C1199" s="28"/>
    </row>
    <row r="1200" spans="3:3" s="34" customFormat="1">
      <c r="C1200" s="28"/>
    </row>
    <row r="1201" spans="3:3" s="34" customFormat="1">
      <c r="C1201" s="28"/>
    </row>
    <row r="1202" spans="3:3" s="34" customFormat="1">
      <c r="C1202" s="28"/>
    </row>
    <row r="1203" spans="3:3" s="34" customFormat="1">
      <c r="C1203" s="28"/>
    </row>
    <row r="1204" spans="3:3" s="34" customFormat="1">
      <c r="C1204" s="28"/>
    </row>
    <row r="1205" spans="3:3" s="34" customFormat="1">
      <c r="C1205" s="28"/>
    </row>
    <row r="1206" spans="3:3" s="34" customFormat="1">
      <c r="C1206" s="28"/>
    </row>
    <row r="1207" spans="3:3" s="34" customFormat="1">
      <c r="C1207" s="28"/>
    </row>
    <row r="1208" spans="3:3" s="34" customFormat="1">
      <c r="C1208" s="28"/>
    </row>
    <row r="1209" spans="3:3" s="34" customFormat="1">
      <c r="C1209" s="28"/>
    </row>
    <row r="1210" spans="3:3" s="34" customFormat="1">
      <c r="C1210" s="28"/>
    </row>
    <row r="1211" spans="3:3" s="34" customFormat="1">
      <c r="C1211" s="28"/>
    </row>
    <row r="1212" spans="3:3" s="34" customFormat="1">
      <c r="C1212" s="28"/>
    </row>
    <row r="1213" spans="3:3" s="34" customFormat="1">
      <c r="C1213" s="28"/>
    </row>
    <row r="1214" spans="3:3" s="34" customFormat="1">
      <c r="C1214" s="28"/>
    </row>
    <row r="1215" spans="3:3" s="34" customFormat="1">
      <c r="C1215" s="28"/>
    </row>
    <row r="1216" spans="3:3" s="34" customFormat="1">
      <c r="C1216" s="28"/>
    </row>
    <row r="1217" spans="3:3" s="34" customFormat="1">
      <c r="C1217" s="28"/>
    </row>
    <row r="1218" spans="3:3" s="34" customFormat="1">
      <c r="C1218" s="28"/>
    </row>
    <row r="1219" spans="3:3" s="34" customFormat="1">
      <c r="C1219" s="28"/>
    </row>
    <row r="1220" spans="3:3" s="34" customFormat="1">
      <c r="C1220" s="28"/>
    </row>
    <row r="1221" spans="3:3" s="34" customFormat="1">
      <c r="C1221" s="28"/>
    </row>
    <row r="1222" spans="3:3" s="34" customFormat="1">
      <c r="C1222" s="28"/>
    </row>
    <row r="1223" spans="3:3" s="34" customFormat="1">
      <c r="C1223" s="28"/>
    </row>
    <row r="1224" spans="3:3" s="34" customFormat="1">
      <c r="C1224" s="28"/>
    </row>
    <row r="1225" spans="3:3" s="34" customFormat="1">
      <c r="C1225" s="28"/>
    </row>
    <row r="1226" spans="3:3" s="34" customFormat="1">
      <c r="C1226" s="28"/>
    </row>
    <row r="1227" spans="3:3" s="34" customFormat="1">
      <c r="C1227" s="28"/>
    </row>
    <row r="1228" spans="3:3" s="34" customFormat="1">
      <c r="C1228" s="28"/>
    </row>
    <row r="1229" spans="3:3" s="34" customFormat="1">
      <c r="C1229" s="28"/>
    </row>
    <row r="1230" spans="3:3" s="34" customFormat="1">
      <c r="C1230" s="28"/>
    </row>
    <row r="1231" spans="3:3" s="34" customFormat="1">
      <c r="C1231" s="28"/>
    </row>
    <row r="1232" spans="3:3" s="34" customFormat="1">
      <c r="C1232" s="28"/>
    </row>
    <row r="1233" spans="3:3" s="34" customFormat="1">
      <c r="C1233" s="28"/>
    </row>
    <row r="1234" spans="3:3" s="34" customFormat="1">
      <c r="C1234" s="28"/>
    </row>
    <row r="1235" spans="3:3" s="34" customFormat="1">
      <c r="C1235" s="28"/>
    </row>
    <row r="1236" spans="3:3" s="34" customFormat="1">
      <c r="C1236" s="28"/>
    </row>
    <row r="1237" spans="3:3" s="34" customFormat="1">
      <c r="C1237" s="28"/>
    </row>
    <row r="1238" spans="3:3" s="34" customFormat="1">
      <c r="C1238" s="28"/>
    </row>
    <row r="1239" spans="3:3" s="34" customFormat="1">
      <c r="C1239" s="28"/>
    </row>
    <row r="1240" spans="3:3" s="34" customFormat="1">
      <c r="C1240" s="28"/>
    </row>
    <row r="1241" spans="3:3" s="34" customFormat="1">
      <c r="C1241" s="28"/>
    </row>
    <row r="1242" spans="3:3" s="34" customFormat="1">
      <c r="C1242" s="28"/>
    </row>
    <row r="1243" spans="3:3" s="34" customFormat="1">
      <c r="C1243" s="28"/>
    </row>
    <row r="1244" spans="3:3" s="34" customFormat="1">
      <c r="C1244" s="28"/>
    </row>
    <row r="1245" spans="3:3" s="34" customFormat="1">
      <c r="C1245" s="28"/>
    </row>
    <row r="1246" spans="3:3" s="34" customFormat="1">
      <c r="C1246" s="28"/>
    </row>
    <row r="1247" spans="3:3" s="34" customFormat="1">
      <c r="C1247" s="28"/>
    </row>
    <row r="1248" spans="3:3" s="34" customFormat="1">
      <c r="C1248" s="28"/>
    </row>
    <row r="1249" spans="3:3" s="34" customFormat="1">
      <c r="C1249" s="28"/>
    </row>
    <row r="1250" spans="3:3" s="34" customFormat="1">
      <c r="C1250" s="28"/>
    </row>
    <row r="1251" spans="3:3" s="34" customFormat="1">
      <c r="C1251" s="28"/>
    </row>
    <row r="1252" spans="3:3" s="34" customFormat="1">
      <c r="C1252" s="28"/>
    </row>
    <row r="1253" spans="3:3" s="34" customFormat="1">
      <c r="C1253" s="28"/>
    </row>
    <row r="1254" spans="3:3" s="34" customFormat="1">
      <c r="C1254" s="28"/>
    </row>
    <row r="1255" spans="3:3" s="34" customFormat="1">
      <c r="C1255" s="28"/>
    </row>
    <row r="1256" spans="3:3" s="34" customFormat="1">
      <c r="C1256" s="28"/>
    </row>
    <row r="1257" spans="3:3" s="34" customFormat="1">
      <c r="C1257" s="28"/>
    </row>
    <row r="1258" spans="3:3" s="34" customFormat="1">
      <c r="C1258" s="28"/>
    </row>
    <row r="1259" spans="3:3" s="34" customFormat="1">
      <c r="C1259" s="28"/>
    </row>
    <row r="1260" spans="3:3" s="34" customFormat="1">
      <c r="C1260" s="28"/>
    </row>
    <row r="1261" spans="3:3" s="34" customFormat="1">
      <c r="C1261" s="28"/>
    </row>
    <row r="1262" spans="3:3" s="34" customFormat="1">
      <c r="C1262" s="28"/>
    </row>
    <row r="1263" spans="3:3" s="34" customFormat="1">
      <c r="C1263" s="28"/>
    </row>
    <row r="1264" spans="3:3" s="34" customFormat="1">
      <c r="C1264" s="28"/>
    </row>
    <row r="1265" spans="3:3" s="34" customFormat="1">
      <c r="C1265" s="28"/>
    </row>
    <row r="1266" spans="3:3" s="34" customFormat="1">
      <c r="C1266" s="28"/>
    </row>
    <row r="1267" spans="3:3" s="34" customFormat="1">
      <c r="C1267" s="28"/>
    </row>
    <row r="1268" spans="3:3" s="34" customFormat="1">
      <c r="C1268" s="28"/>
    </row>
    <row r="1269" spans="3:3" s="34" customFormat="1">
      <c r="C1269" s="28"/>
    </row>
    <row r="1270" spans="3:3" s="34" customFormat="1">
      <c r="C1270" s="28"/>
    </row>
    <row r="1271" spans="3:3" s="34" customFormat="1">
      <c r="C1271" s="28"/>
    </row>
    <row r="1272" spans="3:3" s="34" customFormat="1">
      <c r="C1272" s="28"/>
    </row>
    <row r="1273" spans="3:3" s="34" customFormat="1">
      <c r="C1273" s="28"/>
    </row>
    <row r="1274" spans="3:3" s="34" customFormat="1">
      <c r="C1274" s="28"/>
    </row>
    <row r="1275" spans="3:3" s="34" customFormat="1">
      <c r="C1275" s="28"/>
    </row>
    <row r="1276" spans="3:3" s="34" customFormat="1">
      <c r="C1276" s="28"/>
    </row>
    <row r="1277" spans="3:3" s="34" customFormat="1">
      <c r="C1277" s="28"/>
    </row>
    <row r="1278" spans="3:3" s="34" customFormat="1">
      <c r="C1278" s="28"/>
    </row>
    <row r="1279" spans="3:3" s="34" customFormat="1">
      <c r="C1279" s="28"/>
    </row>
    <row r="1280" spans="3:3" s="34" customFormat="1">
      <c r="C1280" s="28"/>
    </row>
    <row r="1281" spans="3:3" s="34" customFormat="1">
      <c r="C1281" s="28"/>
    </row>
    <row r="1282" spans="3:3" s="34" customFormat="1">
      <c r="C1282" s="28"/>
    </row>
    <row r="1283" spans="3:3" s="34" customFormat="1">
      <c r="C1283" s="28"/>
    </row>
    <row r="1284" spans="3:3" s="34" customFormat="1">
      <c r="C1284" s="28"/>
    </row>
    <row r="1285" spans="3:3" s="34" customFormat="1">
      <c r="C1285" s="28"/>
    </row>
    <row r="1286" spans="3:3" s="34" customFormat="1">
      <c r="C1286" s="28"/>
    </row>
    <row r="1287" spans="3:3" s="34" customFormat="1">
      <c r="C1287" s="28"/>
    </row>
    <row r="1288" spans="3:3" s="34" customFormat="1">
      <c r="C1288" s="28"/>
    </row>
    <row r="1289" spans="3:3" s="34" customFormat="1">
      <c r="C1289" s="28"/>
    </row>
    <row r="1290" spans="3:3" s="34" customFormat="1">
      <c r="C1290" s="28"/>
    </row>
    <row r="1291" spans="3:3" s="34" customFormat="1">
      <c r="C1291" s="28"/>
    </row>
    <row r="1292" spans="3:3" s="34" customFormat="1">
      <c r="C1292" s="28"/>
    </row>
    <row r="1293" spans="3:3" s="34" customFormat="1">
      <c r="C1293" s="28"/>
    </row>
    <row r="1294" spans="3:3" s="34" customFormat="1">
      <c r="C1294" s="28"/>
    </row>
    <row r="1295" spans="3:3" s="34" customFormat="1">
      <c r="C1295" s="28"/>
    </row>
    <row r="1296" spans="3:3" s="34" customFormat="1">
      <c r="C1296" s="28"/>
    </row>
    <row r="1297" spans="3:3" s="34" customFormat="1">
      <c r="C1297" s="28"/>
    </row>
    <row r="1298" spans="3:3" s="34" customFormat="1">
      <c r="C1298" s="28"/>
    </row>
    <row r="1299" spans="3:3" s="34" customFormat="1">
      <c r="C1299" s="28"/>
    </row>
    <row r="1300" spans="3:3" s="34" customFormat="1">
      <c r="C1300" s="28"/>
    </row>
    <row r="1301" spans="3:3" s="34" customFormat="1">
      <c r="C1301" s="28"/>
    </row>
    <row r="1302" spans="3:3" s="34" customFormat="1">
      <c r="C1302" s="28"/>
    </row>
    <row r="1303" spans="3:3" s="34" customFormat="1">
      <c r="C1303" s="28"/>
    </row>
    <row r="1304" spans="3:3" s="34" customFormat="1">
      <c r="C1304" s="28"/>
    </row>
    <row r="1305" spans="3:3" s="34" customFormat="1">
      <c r="C1305" s="28"/>
    </row>
    <row r="1306" spans="3:3" s="34" customFormat="1">
      <c r="C1306" s="28"/>
    </row>
    <row r="1307" spans="3:3" s="34" customFormat="1">
      <c r="C1307" s="28"/>
    </row>
    <row r="1308" spans="3:3" s="34" customFormat="1">
      <c r="C1308" s="28"/>
    </row>
    <row r="1309" spans="3:3" s="34" customFormat="1">
      <c r="C1309" s="28"/>
    </row>
    <row r="1310" spans="3:3" s="34" customFormat="1">
      <c r="C1310" s="28"/>
    </row>
    <row r="1311" spans="3:3" s="34" customFormat="1">
      <c r="C1311" s="28"/>
    </row>
    <row r="1312" spans="3:3" s="34" customFormat="1">
      <c r="C1312" s="28"/>
    </row>
    <row r="1313" spans="3:3" s="34" customFormat="1">
      <c r="C1313" s="28"/>
    </row>
    <row r="1314" spans="3:3" s="34" customFormat="1">
      <c r="C1314" s="28"/>
    </row>
    <row r="1315" spans="3:3" s="34" customFormat="1">
      <c r="C1315" s="28"/>
    </row>
    <row r="1316" spans="3:3" s="34" customFormat="1">
      <c r="C1316" s="28"/>
    </row>
    <row r="1317" spans="3:3" s="34" customFormat="1">
      <c r="C1317" s="28"/>
    </row>
    <row r="1318" spans="3:3" s="34" customFormat="1">
      <c r="C1318" s="28"/>
    </row>
    <row r="1319" spans="3:3" s="34" customFormat="1">
      <c r="C1319" s="28"/>
    </row>
    <row r="1320" spans="3:3" s="34" customFormat="1">
      <c r="C1320" s="28"/>
    </row>
    <row r="1321" spans="3:3" s="34" customFormat="1">
      <c r="C1321" s="28"/>
    </row>
    <row r="1322" spans="3:3" s="34" customFormat="1">
      <c r="C1322" s="28"/>
    </row>
    <row r="1323" spans="3:3" s="34" customFormat="1">
      <c r="C1323" s="28"/>
    </row>
    <row r="1324" spans="3:3" s="34" customFormat="1">
      <c r="C1324" s="28"/>
    </row>
    <row r="1325" spans="3:3" s="34" customFormat="1">
      <c r="C1325" s="28"/>
    </row>
    <row r="1326" spans="3:3" s="34" customFormat="1">
      <c r="C1326" s="28"/>
    </row>
    <row r="1327" spans="3:3" s="34" customFormat="1">
      <c r="C1327" s="28"/>
    </row>
    <row r="1328" spans="3:3" s="34" customFormat="1">
      <c r="C1328" s="28"/>
    </row>
    <row r="1329" spans="3:3" s="34" customFormat="1">
      <c r="C1329" s="28"/>
    </row>
    <row r="1330" spans="3:3" s="34" customFormat="1">
      <c r="C1330" s="28"/>
    </row>
    <row r="1331" spans="3:3" s="34" customFormat="1">
      <c r="C1331" s="28"/>
    </row>
    <row r="1332" spans="3:3" s="34" customFormat="1">
      <c r="C1332" s="28"/>
    </row>
    <row r="1333" spans="3:3" s="34" customFormat="1">
      <c r="C1333" s="28"/>
    </row>
    <row r="1334" spans="3:3" s="34" customFormat="1">
      <c r="C1334" s="28"/>
    </row>
    <row r="1335" spans="3:3" s="34" customFormat="1">
      <c r="C1335" s="28"/>
    </row>
    <row r="1336" spans="3:3" s="34" customFormat="1">
      <c r="C1336" s="28"/>
    </row>
    <row r="1337" spans="3:3" s="34" customFormat="1">
      <c r="C1337" s="28"/>
    </row>
    <row r="1338" spans="3:3" s="34" customFormat="1">
      <c r="C1338" s="28"/>
    </row>
    <row r="1339" spans="3:3" s="34" customFormat="1">
      <c r="C1339" s="28"/>
    </row>
    <row r="1340" spans="3:3" s="34" customFormat="1">
      <c r="C1340" s="28"/>
    </row>
    <row r="1341" spans="3:3" s="34" customFormat="1">
      <c r="C1341" s="28"/>
    </row>
    <row r="1342" spans="3:3" s="34" customFormat="1">
      <c r="C1342" s="28"/>
    </row>
    <row r="1343" spans="3:3" s="34" customFormat="1">
      <c r="C1343" s="28"/>
    </row>
    <row r="1344" spans="3:3" s="34" customFormat="1">
      <c r="C1344" s="28"/>
    </row>
    <row r="1345" spans="3:3" s="34" customFormat="1">
      <c r="C1345" s="28"/>
    </row>
    <row r="1346" spans="3:3" s="34" customFormat="1">
      <c r="C1346" s="28"/>
    </row>
    <row r="1347" spans="3:3" s="34" customFormat="1">
      <c r="C1347" s="28"/>
    </row>
    <row r="1348" spans="3:3" s="34" customFormat="1">
      <c r="C1348" s="28"/>
    </row>
    <row r="1349" spans="3:3" s="34" customFormat="1">
      <c r="C1349" s="28"/>
    </row>
    <row r="1350" spans="3:3" s="34" customFormat="1">
      <c r="C1350" s="28"/>
    </row>
    <row r="1351" spans="3:3" s="34" customFormat="1">
      <c r="C1351" s="28"/>
    </row>
    <row r="1352" spans="3:3" s="34" customFormat="1">
      <c r="C1352" s="28"/>
    </row>
    <row r="1353" spans="3:3" s="34" customFormat="1">
      <c r="C1353" s="28"/>
    </row>
    <row r="1354" spans="3:3" s="34" customFormat="1">
      <c r="C1354" s="28"/>
    </row>
    <row r="1355" spans="3:3" s="34" customFormat="1">
      <c r="C1355" s="28"/>
    </row>
    <row r="1356" spans="3:3" s="34" customFormat="1">
      <c r="C1356" s="28"/>
    </row>
    <row r="1357" spans="3:3" s="34" customFormat="1">
      <c r="C1357" s="28"/>
    </row>
    <row r="1358" spans="3:3" s="34" customFormat="1">
      <c r="C1358" s="28"/>
    </row>
    <row r="1359" spans="3:3" s="34" customFormat="1">
      <c r="C1359" s="28"/>
    </row>
    <row r="1360" spans="3:3" s="34" customFormat="1">
      <c r="C1360" s="28"/>
    </row>
    <row r="1361" spans="3:3" s="34" customFormat="1">
      <c r="C1361" s="28"/>
    </row>
    <row r="1362" spans="3:3" s="34" customFormat="1">
      <c r="C1362" s="28"/>
    </row>
    <row r="1363" spans="3:3" s="34" customFormat="1">
      <c r="C1363" s="28"/>
    </row>
    <row r="1364" spans="3:3" s="34" customFormat="1">
      <c r="C1364" s="28"/>
    </row>
    <row r="1365" spans="3:3" s="34" customFormat="1">
      <c r="C1365" s="28"/>
    </row>
    <row r="1366" spans="3:3" s="34" customFormat="1">
      <c r="C1366" s="28"/>
    </row>
    <row r="1367" spans="3:3" s="34" customFormat="1">
      <c r="C1367" s="28"/>
    </row>
    <row r="1368" spans="3:3" s="34" customFormat="1">
      <c r="C1368" s="28"/>
    </row>
    <row r="1369" spans="3:3" s="34" customFormat="1">
      <c r="C1369" s="28"/>
    </row>
    <row r="1370" spans="3:3" s="34" customFormat="1">
      <c r="C1370" s="28"/>
    </row>
    <row r="1371" spans="3:3" s="34" customFormat="1">
      <c r="C1371" s="28"/>
    </row>
    <row r="1372" spans="3:3" s="34" customFormat="1">
      <c r="C1372" s="28"/>
    </row>
    <row r="1373" spans="3:3" s="34" customFormat="1">
      <c r="C1373" s="28"/>
    </row>
    <row r="1374" spans="3:3" s="34" customFormat="1">
      <c r="C1374" s="28"/>
    </row>
    <row r="1375" spans="3:3" s="34" customFormat="1">
      <c r="C1375" s="28"/>
    </row>
    <row r="1376" spans="3:3" s="34" customFormat="1">
      <c r="C1376" s="28"/>
    </row>
    <row r="1377" spans="3:3" s="34" customFormat="1">
      <c r="C1377" s="28"/>
    </row>
    <row r="1378" spans="3:3" s="34" customFormat="1">
      <c r="C1378" s="28"/>
    </row>
    <row r="1379" spans="3:3" s="34" customFormat="1">
      <c r="C1379" s="28"/>
    </row>
    <row r="1380" spans="3:3" s="34" customFormat="1">
      <c r="C1380" s="28"/>
    </row>
    <row r="1381" spans="3:3" s="34" customFormat="1">
      <c r="C1381" s="28"/>
    </row>
    <row r="1382" spans="3:3" s="34" customFormat="1">
      <c r="C1382" s="28"/>
    </row>
    <row r="1383" spans="3:3" s="34" customFormat="1">
      <c r="C1383" s="28"/>
    </row>
    <row r="1384" spans="3:3" s="34" customFormat="1">
      <c r="C1384" s="28"/>
    </row>
    <row r="1385" spans="3:3" s="34" customFormat="1">
      <c r="C1385" s="28"/>
    </row>
    <row r="1386" spans="3:3" s="34" customFormat="1">
      <c r="C1386" s="28"/>
    </row>
    <row r="1387" spans="3:3" s="34" customFormat="1">
      <c r="C1387" s="28"/>
    </row>
    <row r="1388" spans="3:3" s="34" customFormat="1">
      <c r="C1388" s="28"/>
    </row>
    <row r="1389" spans="3:3" s="34" customFormat="1">
      <c r="C1389" s="28"/>
    </row>
    <row r="1390" spans="3:3" s="34" customFormat="1">
      <c r="C1390" s="28"/>
    </row>
    <row r="1391" spans="3:3" s="34" customFormat="1">
      <c r="C1391" s="28"/>
    </row>
    <row r="1392" spans="3:3" s="34" customFormat="1">
      <c r="C1392" s="28"/>
    </row>
    <row r="1393" spans="3:3" s="34" customFormat="1">
      <c r="C1393" s="28"/>
    </row>
    <row r="1394" spans="3:3" s="34" customFormat="1">
      <c r="C1394" s="28"/>
    </row>
    <row r="1395" spans="3:3" s="34" customFormat="1">
      <c r="C1395" s="28"/>
    </row>
    <row r="1396" spans="3:3" s="34" customFormat="1">
      <c r="C1396" s="28"/>
    </row>
    <row r="1397" spans="3:3" s="34" customFormat="1">
      <c r="C1397" s="28"/>
    </row>
    <row r="1398" spans="3:3" s="34" customFormat="1">
      <c r="C1398" s="28"/>
    </row>
    <row r="1399" spans="3:3" s="34" customFormat="1">
      <c r="C1399" s="28"/>
    </row>
    <row r="1400" spans="3:3" s="34" customFormat="1">
      <c r="C1400" s="28"/>
    </row>
    <row r="1401" spans="3:3" s="34" customFormat="1">
      <c r="C1401" s="28"/>
    </row>
    <row r="1402" spans="3:3" s="34" customFormat="1">
      <c r="C1402" s="28"/>
    </row>
    <row r="1403" spans="3:3" s="34" customFormat="1">
      <c r="C1403" s="28"/>
    </row>
    <row r="1404" spans="3:3" s="34" customFormat="1">
      <c r="C1404" s="28"/>
    </row>
    <row r="1405" spans="3:3" s="34" customFormat="1">
      <c r="C1405" s="28"/>
    </row>
    <row r="1406" spans="3:3" s="34" customFormat="1">
      <c r="C1406" s="28"/>
    </row>
    <row r="1407" spans="3:3" s="34" customFormat="1">
      <c r="C1407" s="28"/>
    </row>
    <row r="1408" spans="3:3" s="34" customFormat="1">
      <c r="C1408" s="28"/>
    </row>
    <row r="1409" spans="3:3" s="34" customFormat="1">
      <c r="C1409" s="28"/>
    </row>
    <row r="1410" spans="3:3" s="34" customFormat="1">
      <c r="C1410" s="28"/>
    </row>
    <row r="1411" spans="3:3" s="34" customFormat="1">
      <c r="C1411" s="28"/>
    </row>
    <row r="1412" spans="3:3" s="34" customFormat="1">
      <c r="C1412" s="28"/>
    </row>
    <row r="1413" spans="3:3" s="34" customFormat="1">
      <c r="C1413" s="28"/>
    </row>
    <row r="1414" spans="3:3" s="34" customFormat="1">
      <c r="C1414" s="28"/>
    </row>
    <row r="1415" spans="3:3" s="34" customFormat="1">
      <c r="C1415" s="28"/>
    </row>
    <row r="1416" spans="3:3" s="34" customFormat="1">
      <c r="C1416" s="28"/>
    </row>
    <row r="1417" spans="3:3" s="34" customFormat="1">
      <c r="C1417" s="28"/>
    </row>
    <row r="1418" spans="3:3" s="34" customFormat="1">
      <c r="C1418" s="28"/>
    </row>
    <row r="1419" spans="3:3" s="34" customFormat="1">
      <c r="C1419" s="28"/>
    </row>
    <row r="1420" spans="3:3" s="34" customFormat="1">
      <c r="C1420" s="28"/>
    </row>
    <row r="1421" spans="3:3" s="34" customFormat="1">
      <c r="C1421" s="28"/>
    </row>
    <row r="1422" spans="3:3" s="34" customFormat="1">
      <c r="C1422" s="28"/>
    </row>
    <row r="1423" spans="3:3" s="34" customFormat="1">
      <c r="C1423" s="28"/>
    </row>
    <row r="1424" spans="3:3" s="34" customFormat="1">
      <c r="C1424" s="28"/>
    </row>
    <row r="1425" spans="3:3" s="34" customFormat="1">
      <c r="C1425" s="28"/>
    </row>
    <row r="1426" spans="3:3" s="34" customFormat="1">
      <c r="C1426" s="28"/>
    </row>
    <row r="1427" spans="3:3" s="34" customFormat="1">
      <c r="C1427" s="28"/>
    </row>
    <row r="1428" spans="3:3" s="34" customFormat="1">
      <c r="C1428" s="28"/>
    </row>
    <row r="1429" spans="3:3" s="34" customFormat="1">
      <c r="C1429" s="28"/>
    </row>
    <row r="1430" spans="3:3" s="34" customFormat="1">
      <c r="C1430" s="28"/>
    </row>
    <row r="1431" spans="3:3" s="34" customFormat="1">
      <c r="C1431" s="28"/>
    </row>
    <row r="1432" spans="3:3" s="34" customFormat="1">
      <c r="C1432" s="28"/>
    </row>
    <row r="1433" spans="3:3" s="34" customFormat="1">
      <c r="C1433" s="28"/>
    </row>
    <row r="1434" spans="3:3" s="34" customFormat="1">
      <c r="C1434" s="28"/>
    </row>
    <row r="1435" spans="3:3" s="34" customFormat="1">
      <c r="C1435" s="28"/>
    </row>
    <row r="1436" spans="3:3" s="34" customFormat="1">
      <c r="C1436" s="28"/>
    </row>
    <row r="1437" spans="3:3" s="34" customFormat="1">
      <c r="C1437" s="28"/>
    </row>
    <row r="1438" spans="3:3" s="34" customFormat="1">
      <c r="C1438" s="28"/>
    </row>
    <row r="1439" spans="3:3" s="34" customFormat="1">
      <c r="C1439" s="28"/>
    </row>
    <row r="1440" spans="3:3" s="34" customFormat="1">
      <c r="C1440" s="28"/>
    </row>
    <row r="1441" spans="3:3" s="34" customFormat="1">
      <c r="C1441" s="28"/>
    </row>
    <row r="1442" spans="3:3" s="34" customFormat="1">
      <c r="C1442" s="28"/>
    </row>
    <row r="1443" spans="3:3" s="34" customFormat="1">
      <c r="C1443" s="28"/>
    </row>
    <row r="1444" spans="3:3" s="34" customFormat="1">
      <c r="C1444" s="28"/>
    </row>
    <row r="1445" spans="3:3" s="34" customFormat="1">
      <c r="C1445" s="28"/>
    </row>
    <row r="1446" spans="3:3" s="34" customFormat="1">
      <c r="C1446" s="28"/>
    </row>
    <row r="1447" spans="3:3" s="34" customFormat="1">
      <c r="C1447" s="28"/>
    </row>
    <row r="1448" spans="3:3" s="34" customFormat="1">
      <c r="C1448" s="28"/>
    </row>
    <row r="1449" spans="3:3" s="34" customFormat="1">
      <c r="C1449" s="28"/>
    </row>
    <row r="1450" spans="3:3" s="34" customFormat="1">
      <c r="C1450" s="28"/>
    </row>
    <row r="1451" spans="3:3" s="34" customFormat="1">
      <c r="C1451" s="28"/>
    </row>
    <row r="1452" spans="3:3" s="34" customFormat="1">
      <c r="C1452" s="28"/>
    </row>
    <row r="1453" spans="3:3" s="34" customFormat="1">
      <c r="C1453" s="28"/>
    </row>
    <row r="1454" spans="3:3" s="34" customFormat="1">
      <c r="C1454" s="28"/>
    </row>
    <row r="1455" spans="3:3" s="34" customFormat="1">
      <c r="C1455" s="28"/>
    </row>
    <row r="1456" spans="3:3" s="34" customFormat="1">
      <c r="C1456" s="28"/>
    </row>
    <row r="1457" spans="3:3" s="34" customFormat="1">
      <c r="C1457" s="28"/>
    </row>
    <row r="1458" spans="3:3" s="34" customFormat="1">
      <c r="C1458" s="28"/>
    </row>
    <row r="1459" spans="3:3" s="34" customFormat="1">
      <c r="C1459" s="28"/>
    </row>
    <row r="1460" spans="3:3" s="34" customFormat="1">
      <c r="C1460" s="28"/>
    </row>
    <row r="1461" spans="3:3" s="34" customFormat="1">
      <c r="C1461" s="28"/>
    </row>
    <row r="1462" spans="3:3" s="34" customFormat="1">
      <c r="C1462" s="28"/>
    </row>
    <row r="1463" spans="3:3" s="34" customFormat="1">
      <c r="C1463" s="28"/>
    </row>
    <row r="1464" spans="3:3" s="34" customFormat="1">
      <c r="C1464" s="28"/>
    </row>
    <row r="1465" spans="3:3" s="34" customFormat="1">
      <c r="C1465" s="28"/>
    </row>
    <row r="1466" spans="3:3" s="34" customFormat="1">
      <c r="C1466" s="28"/>
    </row>
    <row r="1467" spans="3:3" s="34" customFormat="1">
      <c r="C1467" s="28"/>
    </row>
    <row r="1468" spans="3:3" s="34" customFormat="1">
      <c r="C1468" s="28"/>
    </row>
    <row r="1469" spans="3:3" s="34" customFormat="1">
      <c r="C1469" s="28"/>
    </row>
    <row r="1470" spans="3:3" s="34" customFormat="1">
      <c r="C1470" s="28"/>
    </row>
    <row r="1471" spans="3:3" s="34" customFormat="1">
      <c r="C1471" s="28"/>
    </row>
    <row r="1472" spans="3:3" s="34" customFormat="1">
      <c r="C1472" s="28"/>
    </row>
    <row r="1473" spans="3:3" s="34" customFormat="1">
      <c r="C1473" s="28"/>
    </row>
    <row r="1474" spans="3:3" s="34" customFormat="1">
      <c r="C1474" s="28"/>
    </row>
    <row r="1475" spans="3:3" s="34" customFormat="1">
      <c r="C1475" s="28"/>
    </row>
    <row r="1476" spans="3:3" s="34" customFormat="1">
      <c r="C1476" s="28"/>
    </row>
    <row r="1477" spans="3:3" s="34" customFormat="1">
      <c r="C1477" s="28"/>
    </row>
    <row r="1478" spans="3:3" s="34" customFormat="1">
      <c r="C1478" s="28"/>
    </row>
    <row r="1479" spans="3:3" s="34" customFormat="1">
      <c r="C1479" s="28"/>
    </row>
    <row r="1480" spans="3:3" s="34" customFormat="1">
      <c r="C1480" s="28"/>
    </row>
    <row r="1481" spans="3:3" s="34" customFormat="1">
      <c r="C1481" s="28"/>
    </row>
    <row r="1482" spans="3:3" s="34" customFormat="1">
      <c r="C1482" s="28"/>
    </row>
    <row r="1483" spans="3:3" s="34" customFormat="1">
      <c r="C1483" s="28"/>
    </row>
    <row r="1484" spans="3:3" s="34" customFormat="1">
      <c r="C1484" s="28"/>
    </row>
    <row r="1485" spans="3:3" s="34" customFormat="1">
      <c r="C1485" s="28"/>
    </row>
    <row r="1486" spans="3:3" s="34" customFormat="1">
      <c r="C1486" s="28"/>
    </row>
    <row r="1487" spans="3:3" s="34" customFormat="1">
      <c r="C1487" s="28"/>
    </row>
    <row r="1488" spans="3:3" s="34" customFormat="1">
      <c r="C1488" s="28"/>
    </row>
    <row r="1489" spans="3:3" s="34" customFormat="1">
      <c r="C1489" s="28"/>
    </row>
    <row r="1490" spans="3:3" s="34" customFormat="1">
      <c r="C1490" s="28"/>
    </row>
    <row r="1491" spans="3:3" s="34" customFormat="1">
      <c r="C1491" s="28"/>
    </row>
    <row r="1492" spans="3:3" s="34" customFormat="1">
      <c r="C1492" s="28"/>
    </row>
    <row r="1493" spans="3:3" s="34" customFormat="1">
      <c r="C1493" s="28"/>
    </row>
    <row r="1494" spans="3:3" s="34" customFormat="1">
      <c r="C1494" s="28"/>
    </row>
    <row r="1495" spans="3:3" s="34" customFormat="1">
      <c r="C1495" s="28"/>
    </row>
    <row r="1496" spans="3:3" s="34" customFormat="1">
      <c r="C1496" s="28"/>
    </row>
    <row r="1497" spans="3:3" s="34" customFormat="1">
      <c r="C1497" s="28"/>
    </row>
    <row r="1498" spans="3:3" s="34" customFormat="1">
      <c r="C1498" s="28"/>
    </row>
    <row r="1499" spans="3:3" s="34" customFormat="1">
      <c r="C1499" s="28"/>
    </row>
    <row r="1500" spans="3:3" s="34" customFormat="1">
      <c r="C1500" s="28"/>
    </row>
    <row r="1501" spans="3:3" s="34" customFormat="1">
      <c r="C1501" s="28"/>
    </row>
    <row r="1502" spans="3:3" s="34" customFormat="1">
      <c r="C1502" s="28"/>
    </row>
    <row r="1503" spans="3:3" s="34" customFormat="1">
      <c r="C1503" s="28"/>
    </row>
    <row r="1504" spans="3:3" s="34" customFormat="1">
      <c r="C1504" s="28"/>
    </row>
    <row r="1505" spans="3:3" s="34" customFormat="1">
      <c r="C1505" s="28"/>
    </row>
    <row r="1506" spans="3:3" s="34" customFormat="1">
      <c r="C1506" s="28"/>
    </row>
    <row r="1507" spans="3:3" s="34" customFormat="1">
      <c r="C1507" s="28"/>
    </row>
    <row r="1508" spans="3:3" s="34" customFormat="1">
      <c r="C1508" s="28"/>
    </row>
    <row r="1509" spans="3:3" s="34" customFormat="1">
      <c r="C1509" s="28"/>
    </row>
    <row r="1510" spans="3:3" s="34" customFormat="1">
      <c r="C1510" s="28"/>
    </row>
    <row r="1511" spans="3:3" s="34" customFormat="1">
      <c r="C1511" s="28"/>
    </row>
    <row r="1512" spans="3:3" s="34" customFormat="1">
      <c r="C1512" s="28"/>
    </row>
    <row r="1513" spans="3:3" s="34" customFormat="1">
      <c r="C1513" s="28"/>
    </row>
    <row r="1514" spans="3:3" s="34" customFormat="1">
      <c r="C1514" s="28"/>
    </row>
    <row r="1515" spans="3:3" s="34" customFormat="1">
      <c r="C1515" s="28"/>
    </row>
    <row r="1516" spans="3:3" s="34" customFormat="1">
      <c r="C1516" s="28"/>
    </row>
    <row r="1517" spans="3:3" s="34" customFormat="1">
      <c r="C1517" s="28"/>
    </row>
    <row r="1518" spans="3:3" s="34" customFormat="1">
      <c r="C1518" s="28"/>
    </row>
    <row r="1519" spans="3:3" s="34" customFormat="1">
      <c r="C1519" s="28"/>
    </row>
    <row r="1520" spans="3:3" s="34" customFormat="1">
      <c r="C1520" s="28"/>
    </row>
    <row r="1521" spans="3:3" s="34" customFormat="1">
      <c r="C1521" s="28"/>
    </row>
    <row r="1522" spans="3:3" s="34" customFormat="1">
      <c r="C1522" s="28"/>
    </row>
    <row r="1523" spans="3:3" s="34" customFormat="1">
      <c r="C1523" s="28"/>
    </row>
    <row r="1524" spans="3:3" s="34" customFormat="1">
      <c r="C1524" s="28"/>
    </row>
    <row r="1525" spans="3:3" s="34" customFormat="1">
      <c r="C1525" s="28"/>
    </row>
    <row r="1526" spans="3:3" s="34" customFormat="1">
      <c r="C1526" s="28"/>
    </row>
    <row r="1527" spans="3:3" s="34" customFormat="1">
      <c r="C1527" s="28"/>
    </row>
    <row r="1528" spans="3:3" s="34" customFormat="1">
      <c r="C1528" s="28"/>
    </row>
    <row r="1529" spans="3:3" s="34" customFormat="1">
      <c r="C1529" s="28"/>
    </row>
    <row r="1530" spans="3:3" s="34" customFormat="1">
      <c r="C1530" s="28"/>
    </row>
    <row r="1531" spans="3:3" s="34" customFormat="1">
      <c r="C1531" s="28"/>
    </row>
    <row r="1532" spans="3:3" s="34" customFormat="1">
      <c r="C1532" s="28"/>
    </row>
    <row r="1533" spans="3:3" s="34" customFormat="1">
      <c r="C1533" s="28"/>
    </row>
    <row r="1534" spans="3:3" s="34" customFormat="1">
      <c r="C1534" s="28"/>
    </row>
    <row r="1535" spans="3:3" s="34" customFormat="1">
      <c r="C1535" s="28"/>
    </row>
    <row r="1536" spans="3:3" s="34" customFormat="1">
      <c r="C1536" s="28"/>
    </row>
    <row r="1537" spans="3:3" s="34" customFormat="1">
      <c r="C1537" s="28"/>
    </row>
    <row r="1538" spans="3:3" s="34" customFormat="1">
      <c r="C1538" s="28"/>
    </row>
    <row r="1539" spans="3:3" s="34" customFormat="1">
      <c r="C1539" s="28"/>
    </row>
    <row r="1540" spans="3:3" s="34" customFormat="1">
      <c r="C1540" s="28"/>
    </row>
    <row r="1541" spans="3:3" s="34" customFormat="1">
      <c r="C1541" s="28"/>
    </row>
    <row r="1542" spans="3:3" s="34" customFormat="1">
      <c r="C1542" s="28"/>
    </row>
    <row r="1543" spans="3:3" s="34" customFormat="1">
      <c r="C1543" s="28"/>
    </row>
    <row r="1544" spans="3:3" s="34" customFormat="1">
      <c r="C1544" s="28"/>
    </row>
    <row r="1545" spans="3:3" s="34" customFormat="1">
      <c r="C1545" s="28"/>
    </row>
    <row r="1546" spans="3:3" s="34" customFormat="1">
      <c r="C1546" s="28"/>
    </row>
    <row r="1547" spans="3:3" s="34" customFormat="1">
      <c r="C1547" s="28"/>
    </row>
    <row r="1548" spans="3:3" s="34" customFormat="1">
      <c r="C1548" s="28"/>
    </row>
    <row r="1549" spans="3:3" s="34" customFormat="1">
      <c r="C1549" s="28"/>
    </row>
    <row r="1550" spans="3:3" s="34" customFormat="1">
      <c r="C1550" s="28"/>
    </row>
    <row r="1551" spans="3:3" s="34" customFormat="1">
      <c r="C1551" s="28"/>
    </row>
    <row r="1552" spans="3:3" s="34" customFormat="1">
      <c r="C1552" s="28"/>
    </row>
    <row r="1553" spans="3:3" s="34" customFormat="1">
      <c r="C1553" s="28"/>
    </row>
    <row r="1554" spans="3:3" s="34" customFormat="1">
      <c r="C1554" s="28"/>
    </row>
    <row r="1555" spans="3:3" s="34" customFormat="1">
      <c r="C1555" s="28"/>
    </row>
    <row r="1556" spans="3:3" s="34" customFormat="1">
      <c r="C1556" s="28"/>
    </row>
    <row r="1557" spans="3:3" s="34" customFormat="1">
      <c r="C1557" s="28"/>
    </row>
    <row r="1558" spans="3:3" s="34" customFormat="1">
      <c r="C1558" s="28"/>
    </row>
    <row r="1559" spans="3:3" s="34" customFormat="1">
      <c r="C1559" s="28"/>
    </row>
    <row r="1560" spans="3:3" s="34" customFormat="1">
      <c r="C1560" s="28"/>
    </row>
    <row r="1561" spans="3:3" s="34" customFormat="1">
      <c r="C1561" s="28"/>
    </row>
    <row r="1562" spans="3:3" s="34" customFormat="1">
      <c r="C1562" s="28"/>
    </row>
    <row r="1563" spans="3:3" s="34" customFormat="1">
      <c r="C1563" s="28"/>
    </row>
    <row r="1564" spans="3:3" s="34" customFormat="1">
      <c r="C1564" s="28"/>
    </row>
    <row r="1565" spans="3:3" s="34" customFormat="1">
      <c r="C1565" s="28"/>
    </row>
    <row r="1566" spans="3:3" s="34" customFormat="1">
      <c r="C1566" s="28"/>
    </row>
    <row r="1567" spans="3:3" s="34" customFormat="1">
      <c r="C1567" s="28"/>
    </row>
    <row r="1568" spans="3:3" s="34" customFormat="1">
      <c r="C1568" s="28"/>
    </row>
    <row r="1569" spans="3:3" s="34" customFormat="1">
      <c r="C1569" s="28"/>
    </row>
    <row r="1570" spans="3:3" s="34" customFormat="1">
      <c r="C1570" s="28"/>
    </row>
    <row r="1571" spans="3:3" s="34" customFormat="1">
      <c r="C1571" s="28"/>
    </row>
    <row r="1572" spans="3:3" s="34" customFormat="1">
      <c r="C1572" s="28"/>
    </row>
    <row r="1573" spans="3:3" s="34" customFormat="1">
      <c r="C1573" s="28"/>
    </row>
    <row r="1574" spans="3:3" s="34" customFormat="1">
      <c r="C1574" s="28"/>
    </row>
    <row r="1575" spans="3:3" s="34" customFormat="1">
      <c r="C1575" s="28"/>
    </row>
    <row r="1576" spans="3:3" s="34" customFormat="1">
      <c r="C1576" s="28"/>
    </row>
    <row r="1577" spans="3:3" s="34" customFormat="1">
      <c r="C1577" s="28"/>
    </row>
    <row r="1578" spans="3:3" s="34" customFormat="1">
      <c r="C1578" s="28"/>
    </row>
    <row r="1579" spans="3:3" s="34" customFormat="1">
      <c r="C1579" s="28"/>
    </row>
    <row r="1580" spans="3:3" s="34" customFormat="1">
      <c r="C1580" s="28"/>
    </row>
    <row r="1581" spans="3:3" s="34" customFormat="1">
      <c r="C1581" s="28"/>
    </row>
    <row r="1582" spans="3:3" s="34" customFormat="1">
      <c r="C1582" s="28"/>
    </row>
    <row r="1583" spans="3:3" s="34" customFormat="1">
      <c r="C1583" s="28"/>
    </row>
    <row r="1584" spans="3:3" s="34" customFormat="1">
      <c r="C1584" s="28"/>
    </row>
    <row r="1585" spans="3:3" s="34" customFormat="1">
      <c r="C1585" s="28"/>
    </row>
    <row r="1586" spans="3:3" s="34" customFormat="1">
      <c r="C1586" s="28"/>
    </row>
    <row r="1587" spans="3:3" s="34" customFormat="1">
      <c r="C1587" s="28"/>
    </row>
    <row r="1588" spans="3:3" s="34" customFormat="1">
      <c r="C1588" s="28"/>
    </row>
    <row r="1589" spans="3:3" s="34" customFormat="1">
      <c r="C1589" s="28"/>
    </row>
    <row r="1590" spans="3:3" s="34" customFormat="1">
      <c r="C1590" s="28"/>
    </row>
    <row r="1591" spans="3:3" s="34" customFormat="1">
      <c r="C1591" s="28"/>
    </row>
    <row r="1592" spans="3:3" s="34" customFormat="1">
      <c r="C1592" s="28"/>
    </row>
    <row r="1593" spans="3:3" s="34" customFormat="1">
      <c r="C1593" s="28"/>
    </row>
    <row r="1594" spans="3:3" s="34" customFormat="1">
      <c r="C1594" s="28"/>
    </row>
    <row r="1595" spans="3:3" s="34" customFormat="1">
      <c r="C1595" s="28"/>
    </row>
    <row r="1596" spans="3:3" s="34" customFormat="1">
      <c r="C1596" s="28"/>
    </row>
    <row r="1597" spans="3:3" s="34" customFormat="1">
      <c r="C1597" s="28"/>
    </row>
    <row r="1598" spans="3:3" s="34" customFormat="1">
      <c r="C1598" s="28"/>
    </row>
    <row r="1599" spans="3:3" s="34" customFormat="1">
      <c r="C1599" s="28"/>
    </row>
    <row r="1600" spans="3:3" s="34" customFormat="1">
      <c r="C1600" s="28"/>
    </row>
    <row r="1601" spans="3:3" s="34" customFormat="1">
      <c r="C1601" s="28"/>
    </row>
    <row r="1602" spans="3:3" s="34" customFormat="1">
      <c r="C1602" s="28"/>
    </row>
    <row r="1603" spans="3:3" s="34" customFormat="1">
      <c r="C1603" s="28"/>
    </row>
    <row r="1604" spans="3:3" s="34" customFormat="1">
      <c r="C1604" s="28"/>
    </row>
    <row r="1605" spans="3:3" s="34" customFormat="1">
      <c r="C1605" s="28"/>
    </row>
    <row r="1606" spans="3:3" s="34" customFormat="1">
      <c r="C1606" s="28"/>
    </row>
    <row r="1607" spans="3:3" s="34" customFormat="1">
      <c r="C1607" s="28"/>
    </row>
    <row r="1608" spans="3:3" s="34" customFormat="1">
      <c r="C1608" s="28"/>
    </row>
    <row r="1609" spans="3:3" s="34" customFormat="1">
      <c r="C1609" s="28"/>
    </row>
    <row r="1610" spans="3:3" s="34" customFormat="1">
      <c r="C1610" s="28"/>
    </row>
    <row r="1611" spans="3:3" s="34" customFormat="1">
      <c r="C1611" s="28"/>
    </row>
    <row r="1612" spans="3:3" s="34" customFormat="1">
      <c r="C1612" s="28"/>
    </row>
    <row r="1613" spans="3:3" s="34" customFormat="1">
      <c r="C1613" s="28"/>
    </row>
    <row r="1614" spans="3:3" s="34" customFormat="1">
      <c r="C1614" s="28"/>
    </row>
    <row r="1615" spans="3:3" s="34" customFormat="1">
      <c r="C1615" s="28"/>
    </row>
    <row r="1616" spans="3:3" s="34" customFormat="1">
      <c r="C1616" s="28"/>
    </row>
    <row r="1617" spans="3:3" s="34" customFormat="1">
      <c r="C1617" s="28"/>
    </row>
    <row r="1618" spans="3:3" s="34" customFormat="1">
      <c r="C1618" s="28"/>
    </row>
    <row r="1619" spans="3:3" s="34" customFormat="1">
      <c r="C1619" s="28"/>
    </row>
    <row r="1620" spans="3:3" s="34" customFormat="1">
      <c r="C1620" s="28"/>
    </row>
    <row r="1621" spans="3:3" s="34" customFormat="1">
      <c r="C1621" s="28"/>
    </row>
    <row r="1622" spans="3:3" s="34" customFormat="1">
      <c r="C1622" s="28"/>
    </row>
    <row r="1623" spans="3:3" s="34" customFormat="1">
      <c r="C1623" s="28"/>
    </row>
    <row r="1624" spans="3:3" s="34" customFormat="1">
      <c r="C1624" s="28"/>
    </row>
    <row r="1625" spans="3:3" s="34" customFormat="1">
      <c r="C1625" s="28"/>
    </row>
    <row r="1626" spans="3:3" s="34" customFormat="1">
      <c r="C1626" s="28"/>
    </row>
    <row r="1627" spans="3:3" s="34" customFormat="1">
      <c r="C1627" s="28"/>
    </row>
    <row r="1628" spans="3:3" s="34" customFormat="1">
      <c r="C1628" s="28"/>
    </row>
    <row r="1629" spans="3:3" s="34" customFormat="1">
      <c r="C1629" s="28"/>
    </row>
    <row r="1630" spans="3:3" s="34" customFormat="1">
      <c r="C1630" s="28"/>
    </row>
    <row r="1631" spans="3:3" s="34" customFormat="1">
      <c r="C1631" s="28"/>
    </row>
    <row r="1632" spans="3:3" s="34" customFormat="1">
      <c r="C1632" s="28"/>
    </row>
    <row r="1633" spans="3:3" s="34" customFormat="1">
      <c r="C1633" s="28"/>
    </row>
    <row r="1634" spans="3:3" s="34" customFormat="1">
      <c r="C1634" s="28"/>
    </row>
    <row r="1635" spans="3:3" s="34" customFormat="1">
      <c r="C1635" s="28"/>
    </row>
    <row r="1636" spans="3:3" s="34" customFormat="1">
      <c r="C1636" s="28"/>
    </row>
    <row r="1637" spans="3:3" s="34" customFormat="1">
      <c r="C1637" s="28"/>
    </row>
    <row r="1638" spans="3:3" s="34" customFormat="1">
      <c r="C1638" s="28"/>
    </row>
    <row r="1639" spans="3:3" s="34" customFormat="1">
      <c r="C1639" s="28"/>
    </row>
    <row r="1640" spans="3:3" s="34" customFormat="1">
      <c r="C1640" s="28"/>
    </row>
    <row r="1641" spans="3:3" s="34" customFormat="1">
      <c r="C1641" s="28"/>
    </row>
    <row r="1642" spans="3:3" s="34" customFormat="1">
      <c r="C1642" s="28"/>
    </row>
    <row r="1643" spans="3:3" s="34" customFormat="1">
      <c r="C1643" s="28"/>
    </row>
    <row r="1644" spans="3:3" s="34" customFormat="1">
      <c r="C1644" s="28"/>
    </row>
    <row r="1645" spans="3:3" s="34" customFormat="1">
      <c r="C1645" s="28"/>
    </row>
    <row r="1646" spans="3:3" s="34" customFormat="1">
      <c r="C1646" s="28"/>
    </row>
    <row r="1647" spans="3:3" s="34" customFormat="1">
      <c r="C1647" s="28"/>
    </row>
    <row r="1648" spans="3:3" s="34" customFormat="1">
      <c r="C1648" s="28"/>
    </row>
    <row r="1649" spans="3:3" s="34" customFormat="1">
      <c r="C1649" s="28"/>
    </row>
    <row r="1650" spans="3:3" s="34" customFormat="1">
      <c r="C1650" s="28"/>
    </row>
    <row r="1651" spans="3:3" s="34" customFormat="1">
      <c r="C1651" s="28"/>
    </row>
    <row r="1652" spans="3:3" s="34" customFormat="1">
      <c r="C1652" s="28"/>
    </row>
    <row r="1653" spans="3:3" s="34" customFormat="1">
      <c r="C1653" s="28"/>
    </row>
    <row r="1654" spans="3:3" s="34" customFormat="1">
      <c r="C1654" s="28"/>
    </row>
    <row r="1655" spans="3:3" s="34" customFormat="1">
      <c r="C1655" s="28"/>
    </row>
    <row r="1656" spans="3:3" s="34" customFormat="1">
      <c r="C1656" s="28"/>
    </row>
    <row r="1657" spans="3:3" s="34" customFormat="1">
      <c r="C1657" s="28"/>
    </row>
    <row r="1658" spans="3:3" s="34" customFormat="1">
      <c r="C1658" s="28"/>
    </row>
    <row r="1659" spans="3:3" s="34" customFormat="1">
      <c r="C1659" s="28"/>
    </row>
    <row r="1660" spans="3:3" s="34" customFormat="1">
      <c r="C1660" s="28"/>
    </row>
    <row r="1661" spans="3:3" s="34" customFormat="1">
      <c r="C1661" s="28"/>
    </row>
    <row r="1662" spans="3:3" s="34" customFormat="1">
      <c r="C1662" s="28"/>
    </row>
    <row r="1663" spans="3:3" s="34" customFormat="1">
      <c r="C1663" s="28"/>
    </row>
    <row r="1664" spans="3:3" s="34" customFormat="1">
      <c r="C1664" s="28"/>
    </row>
    <row r="1665" spans="3:3" s="34" customFormat="1">
      <c r="C1665" s="28"/>
    </row>
    <row r="1666" spans="3:3" s="34" customFormat="1">
      <c r="C1666" s="28"/>
    </row>
    <row r="1667" spans="3:3" s="34" customFormat="1">
      <c r="C1667" s="28"/>
    </row>
    <row r="1668" spans="3:3" s="34" customFormat="1">
      <c r="C1668" s="28"/>
    </row>
    <row r="1669" spans="3:3" s="34" customFormat="1">
      <c r="C1669" s="28"/>
    </row>
    <row r="1670" spans="3:3" s="34" customFormat="1">
      <c r="C1670" s="28"/>
    </row>
    <row r="1671" spans="3:3" s="34" customFormat="1">
      <c r="C1671" s="28"/>
    </row>
    <row r="1672" spans="3:3" s="34" customFormat="1">
      <c r="C1672" s="28"/>
    </row>
    <row r="1673" spans="3:3" s="34" customFormat="1">
      <c r="C1673" s="28"/>
    </row>
    <row r="1674" spans="3:3" s="34" customFormat="1">
      <c r="C1674" s="28"/>
    </row>
    <row r="1675" spans="3:3" s="34" customFormat="1">
      <c r="C1675" s="28"/>
    </row>
    <row r="1676" spans="3:3" s="34" customFormat="1">
      <c r="C1676" s="28"/>
    </row>
    <row r="1677" spans="3:3" s="34" customFormat="1">
      <c r="C1677" s="28"/>
    </row>
    <row r="1678" spans="3:3" s="34" customFormat="1">
      <c r="C1678" s="28"/>
    </row>
    <row r="1679" spans="3:3" s="34" customFormat="1">
      <c r="C1679" s="28"/>
    </row>
    <row r="1680" spans="3:3" s="34" customFormat="1">
      <c r="C1680" s="28"/>
    </row>
    <row r="1681" spans="3:3" s="34" customFormat="1">
      <c r="C1681" s="28"/>
    </row>
    <row r="1682" spans="3:3" s="34" customFormat="1">
      <c r="C1682" s="28"/>
    </row>
    <row r="1683" spans="3:3" s="34" customFormat="1">
      <c r="C1683" s="28"/>
    </row>
    <row r="1684" spans="3:3" s="34" customFormat="1">
      <c r="C1684" s="28"/>
    </row>
    <row r="1685" spans="3:3" s="34" customFormat="1">
      <c r="C1685" s="28"/>
    </row>
    <row r="1686" spans="3:3" s="34" customFormat="1">
      <c r="C1686" s="28"/>
    </row>
    <row r="1687" spans="3:3" s="34" customFormat="1">
      <c r="C1687" s="28"/>
    </row>
    <row r="1688" spans="3:3" s="34" customFormat="1">
      <c r="C1688" s="28"/>
    </row>
    <row r="1689" spans="3:3" s="34" customFormat="1">
      <c r="C1689" s="28"/>
    </row>
    <row r="1690" spans="3:3" s="34" customFormat="1">
      <c r="C1690" s="28"/>
    </row>
    <row r="1691" spans="3:3" s="34" customFormat="1">
      <c r="C1691" s="28"/>
    </row>
    <row r="1692" spans="3:3" s="34" customFormat="1">
      <c r="C1692" s="28"/>
    </row>
    <row r="1693" spans="3:3" s="34" customFormat="1">
      <c r="C1693" s="28"/>
    </row>
    <row r="1694" spans="3:3" s="34" customFormat="1">
      <c r="C1694" s="28"/>
    </row>
    <row r="1695" spans="3:3" s="34" customFormat="1">
      <c r="C1695" s="28"/>
    </row>
    <row r="1696" spans="3:3" s="34" customFormat="1">
      <c r="C1696" s="28"/>
    </row>
    <row r="1697" spans="3:3" s="34" customFormat="1">
      <c r="C1697" s="28"/>
    </row>
    <row r="1698" spans="3:3" s="34" customFormat="1">
      <c r="C1698" s="28"/>
    </row>
    <row r="1699" spans="3:3" s="34" customFormat="1">
      <c r="C1699" s="28"/>
    </row>
    <row r="1700" spans="3:3" s="34" customFormat="1">
      <c r="C1700" s="28"/>
    </row>
    <row r="1701" spans="3:3" s="34" customFormat="1">
      <c r="C1701" s="28"/>
    </row>
    <row r="1702" spans="3:3" s="34" customFormat="1">
      <c r="C1702" s="28"/>
    </row>
    <row r="1703" spans="3:3" s="34" customFormat="1">
      <c r="C1703" s="28"/>
    </row>
    <row r="1704" spans="3:3" s="34" customFormat="1">
      <c r="C1704" s="28"/>
    </row>
    <row r="1705" spans="3:3" s="34" customFormat="1">
      <c r="C1705" s="28"/>
    </row>
    <row r="1706" spans="3:3" s="34" customFormat="1">
      <c r="C1706" s="28"/>
    </row>
    <row r="1707" spans="3:3" s="34" customFormat="1">
      <c r="C1707" s="28"/>
    </row>
    <row r="1708" spans="3:3" s="34" customFormat="1">
      <c r="C1708" s="28"/>
    </row>
    <row r="1709" spans="3:3" s="34" customFormat="1">
      <c r="C1709" s="28"/>
    </row>
    <row r="1710" spans="3:3" s="34" customFormat="1">
      <c r="C1710" s="28"/>
    </row>
    <row r="1711" spans="3:3" s="34" customFormat="1">
      <c r="C1711" s="28"/>
    </row>
    <row r="1712" spans="3:3" s="34" customFormat="1">
      <c r="C1712" s="28"/>
    </row>
    <row r="1713" spans="3:3" s="34" customFormat="1">
      <c r="C1713" s="28"/>
    </row>
    <row r="1714" spans="3:3" s="34" customFormat="1">
      <c r="C1714" s="28"/>
    </row>
    <row r="1715" spans="3:3" s="34" customFormat="1">
      <c r="C1715" s="28"/>
    </row>
    <row r="1716" spans="3:3" s="34" customFormat="1">
      <c r="C1716" s="28"/>
    </row>
    <row r="1717" spans="3:3" s="34" customFormat="1">
      <c r="C1717" s="28"/>
    </row>
    <row r="1718" spans="3:3" s="34" customFormat="1">
      <c r="C1718" s="28"/>
    </row>
    <row r="1719" spans="3:3" s="34" customFormat="1">
      <c r="C1719" s="28"/>
    </row>
    <row r="1720" spans="3:3" s="34" customFormat="1">
      <c r="C1720" s="28"/>
    </row>
    <row r="1721" spans="3:3" s="34" customFormat="1">
      <c r="C1721" s="28"/>
    </row>
    <row r="1722" spans="3:3" s="34" customFormat="1">
      <c r="C1722" s="28"/>
    </row>
    <row r="1723" spans="3:3" s="34" customFormat="1">
      <c r="C1723" s="28"/>
    </row>
    <row r="1724" spans="3:3" s="34" customFormat="1">
      <c r="C1724" s="28"/>
    </row>
    <row r="1725" spans="3:3" s="34" customFormat="1">
      <c r="C1725" s="28"/>
    </row>
    <row r="1726" spans="3:3" s="34" customFormat="1">
      <c r="C1726" s="28"/>
    </row>
    <row r="1727" spans="3:3" s="34" customFormat="1">
      <c r="C1727" s="28"/>
    </row>
    <row r="1728" spans="3:3" s="34" customFormat="1">
      <c r="C1728" s="28"/>
    </row>
    <row r="1729" spans="3:3" s="34" customFormat="1">
      <c r="C1729" s="28"/>
    </row>
    <row r="1730" spans="3:3" s="34" customFormat="1">
      <c r="C1730" s="28"/>
    </row>
    <row r="1731" spans="3:3" s="34" customFormat="1">
      <c r="C1731" s="28"/>
    </row>
    <row r="1732" spans="3:3" s="34" customFormat="1">
      <c r="C1732" s="28"/>
    </row>
    <row r="1733" spans="3:3" s="34" customFormat="1">
      <c r="C1733" s="28"/>
    </row>
    <row r="1734" spans="3:3" s="34" customFormat="1">
      <c r="C1734" s="28"/>
    </row>
    <row r="1735" spans="3:3" s="34" customFormat="1">
      <c r="C1735" s="28"/>
    </row>
    <row r="1736" spans="3:3" s="34" customFormat="1">
      <c r="C1736" s="28"/>
    </row>
    <row r="1737" spans="3:3" s="34" customFormat="1">
      <c r="C1737" s="28"/>
    </row>
    <row r="1738" spans="3:3" s="34" customFormat="1">
      <c r="C1738" s="28"/>
    </row>
    <row r="1739" spans="3:3" s="34" customFormat="1">
      <c r="C1739" s="28"/>
    </row>
    <row r="1740" spans="3:3" s="34" customFormat="1">
      <c r="C1740" s="28"/>
    </row>
    <row r="1741" spans="3:3" s="34" customFormat="1">
      <c r="C1741" s="28"/>
    </row>
    <row r="1742" spans="3:3" s="34" customFormat="1">
      <c r="C1742" s="28"/>
    </row>
    <row r="1743" spans="3:3" s="34" customFormat="1">
      <c r="C1743" s="28"/>
    </row>
    <row r="1744" spans="3:3" s="34" customFormat="1">
      <c r="C1744" s="28"/>
    </row>
    <row r="1745" spans="3:3" s="34" customFormat="1">
      <c r="C1745" s="28"/>
    </row>
    <row r="1746" spans="3:3" s="34" customFormat="1">
      <c r="C1746" s="28"/>
    </row>
    <row r="1747" spans="3:3" s="34" customFormat="1">
      <c r="C1747" s="28"/>
    </row>
    <row r="1748" spans="3:3" s="34" customFormat="1">
      <c r="C1748" s="28"/>
    </row>
    <row r="1749" spans="3:3" s="34" customFormat="1">
      <c r="C1749" s="28"/>
    </row>
    <row r="1750" spans="3:3" s="34" customFormat="1">
      <c r="C1750" s="28"/>
    </row>
    <row r="1751" spans="3:3" s="34" customFormat="1">
      <c r="C1751" s="28"/>
    </row>
    <row r="1752" spans="3:3" s="34" customFormat="1">
      <c r="C1752" s="28"/>
    </row>
    <row r="1753" spans="3:3" s="34" customFormat="1">
      <c r="C1753" s="28"/>
    </row>
    <row r="1754" spans="3:3" s="34" customFormat="1">
      <c r="C1754" s="28"/>
    </row>
    <row r="1755" spans="3:3" s="34" customFormat="1">
      <c r="C1755" s="28"/>
    </row>
    <row r="1756" spans="3:3" s="34" customFormat="1">
      <c r="C1756" s="28"/>
    </row>
    <row r="1757" spans="3:3" s="34" customFormat="1">
      <c r="C1757" s="28"/>
    </row>
    <row r="1758" spans="3:3" s="34" customFormat="1">
      <c r="C1758" s="28"/>
    </row>
    <row r="1759" spans="3:3" s="34" customFormat="1">
      <c r="C1759" s="28"/>
    </row>
    <row r="1760" spans="3:3" s="34" customFormat="1">
      <c r="C1760" s="28"/>
    </row>
    <row r="1761" spans="3:3" s="34" customFormat="1">
      <c r="C1761" s="28"/>
    </row>
    <row r="1762" spans="3:3" s="34" customFormat="1">
      <c r="C1762" s="28"/>
    </row>
    <row r="1763" spans="3:3" s="34" customFormat="1">
      <c r="C1763" s="28"/>
    </row>
    <row r="1764" spans="3:3" s="34" customFormat="1">
      <c r="C1764" s="28"/>
    </row>
    <row r="1765" spans="3:3" s="34" customFormat="1">
      <c r="C1765" s="28"/>
    </row>
    <row r="1766" spans="3:3" s="34" customFormat="1">
      <c r="C1766" s="28"/>
    </row>
    <row r="1767" spans="3:3" s="34" customFormat="1">
      <c r="C1767" s="28"/>
    </row>
    <row r="1768" spans="3:3" s="34" customFormat="1">
      <c r="C1768" s="28"/>
    </row>
    <row r="1769" spans="3:3" s="34" customFormat="1">
      <c r="C1769" s="28"/>
    </row>
    <row r="1770" spans="3:3" s="34" customFormat="1">
      <c r="C1770" s="28"/>
    </row>
    <row r="1771" spans="3:3" s="34" customFormat="1">
      <c r="C1771" s="28"/>
    </row>
    <row r="1772" spans="3:3" s="34" customFormat="1">
      <c r="C1772" s="28"/>
    </row>
    <row r="1773" spans="3:3" s="34" customFormat="1">
      <c r="C1773" s="28"/>
    </row>
    <row r="1774" spans="3:3" s="34" customFormat="1">
      <c r="C1774" s="28"/>
    </row>
    <row r="1775" spans="3:3" s="34" customFormat="1">
      <c r="C1775" s="28"/>
    </row>
    <row r="1776" spans="3:3" s="34" customFormat="1">
      <c r="C1776" s="28"/>
    </row>
    <row r="1777" spans="3:3" s="34" customFormat="1">
      <c r="C1777" s="28"/>
    </row>
    <row r="1778" spans="3:3" s="34" customFormat="1">
      <c r="C1778" s="28"/>
    </row>
    <row r="1779" spans="3:3" s="34" customFormat="1">
      <c r="C1779" s="28"/>
    </row>
    <row r="1780" spans="3:3" s="34" customFormat="1">
      <c r="C1780" s="28"/>
    </row>
    <row r="1781" spans="3:3" s="34" customFormat="1">
      <c r="C1781" s="28"/>
    </row>
    <row r="1782" spans="3:3" s="34" customFormat="1">
      <c r="C1782" s="28"/>
    </row>
    <row r="1783" spans="3:3" s="34" customFormat="1">
      <c r="C1783" s="28"/>
    </row>
    <row r="1784" spans="3:3" s="34" customFormat="1">
      <c r="C1784" s="28"/>
    </row>
    <row r="1785" spans="3:3" s="34" customFormat="1">
      <c r="C1785" s="28"/>
    </row>
    <row r="1786" spans="3:3" s="34" customFormat="1">
      <c r="C1786" s="28"/>
    </row>
    <row r="1787" spans="3:3" s="34" customFormat="1">
      <c r="C1787" s="28"/>
    </row>
    <row r="1788" spans="3:3" s="34" customFormat="1">
      <c r="C1788" s="28"/>
    </row>
    <row r="1789" spans="3:3" s="34" customFormat="1">
      <c r="C1789" s="28"/>
    </row>
    <row r="1790" spans="3:3" s="34" customFormat="1">
      <c r="C1790" s="28"/>
    </row>
    <row r="1791" spans="3:3" s="34" customFormat="1">
      <c r="C1791" s="28"/>
    </row>
    <row r="1792" spans="3:3" s="34" customFormat="1">
      <c r="C1792" s="28"/>
    </row>
    <row r="1793" spans="3:3" s="34" customFormat="1">
      <c r="C1793" s="28"/>
    </row>
    <row r="1794" spans="3:3" s="34" customFormat="1">
      <c r="C1794" s="28"/>
    </row>
    <row r="1795" spans="3:3" s="34" customFormat="1">
      <c r="C1795" s="28"/>
    </row>
    <row r="1796" spans="3:3" s="34" customFormat="1">
      <c r="C1796" s="28"/>
    </row>
    <row r="1797" spans="3:3" s="34" customFormat="1">
      <c r="C1797" s="28"/>
    </row>
    <row r="1798" spans="3:3" s="34" customFormat="1">
      <c r="C1798" s="28"/>
    </row>
    <row r="1799" spans="3:3" s="34" customFormat="1">
      <c r="C1799" s="28"/>
    </row>
    <row r="1800" spans="3:3" s="34" customFormat="1">
      <c r="C1800" s="28"/>
    </row>
    <row r="1801" spans="3:3" s="34" customFormat="1">
      <c r="C1801" s="28"/>
    </row>
    <row r="1802" spans="3:3" s="34" customFormat="1">
      <c r="C1802" s="28"/>
    </row>
    <row r="1803" spans="3:3" s="34" customFormat="1">
      <c r="C1803" s="28"/>
    </row>
    <row r="1804" spans="3:3" s="34" customFormat="1">
      <c r="C1804" s="28"/>
    </row>
    <row r="1805" spans="3:3" s="34" customFormat="1">
      <c r="C1805" s="28"/>
    </row>
    <row r="1806" spans="3:3" s="34" customFormat="1">
      <c r="C1806" s="28"/>
    </row>
    <row r="1807" spans="3:3" s="34" customFormat="1">
      <c r="C1807" s="28"/>
    </row>
    <row r="1808" spans="3:3" s="34" customFormat="1">
      <c r="C1808" s="28"/>
    </row>
    <row r="1809" spans="3:3" s="34" customFormat="1">
      <c r="C1809" s="28"/>
    </row>
    <row r="1810" spans="3:3" s="34" customFormat="1">
      <c r="C1810" s="28"/>
    </row>
    <row r="1811" spans="3:3" s="34" customFormat="1">
      <c r="C1811" s="28"/>
    </row>
    <row r="1812" spans="3:3" s="34" customFormat="1">
      <c r="C1812" s="28"/>
    </row>
    <row r="1813" spans="3:3" s="34" customFormat="1">
      <c r="C1813" s="28"/>
    </row>
    <row r="1814" spans="3:3" s="34" customFormat="1">
      <c r="C1814" s="28"/>
    </row>
    <row r="1815" spans="3:3" s="34" customFormat="1">
      <c r="C1815" s="28"/>
    </row>
    <row r="1816" spans="3:3" s="34" customFormat="1">
      <c r="C1816" s="28"/>
    </row>
    <row r="1817" spans="3:3" s="34" customFormat="1">
      <c r="C1817" s="28"/>
    </row>
    <row r="1818" spans="3:3" s="34" customFormat="1">
      <c r="C1818" s="28"/>
    </row>
    <row r="1819" spans="3:3" s="34" customFormat="1">
      <c r="C1819" s="28"/>
    </row>
    <row r="1820" spans="3:3" s="34" customFormat="1">
      <c r="C1820" s="28"/>
    </row>
    <row r="1821" spans="3:3" s="34" customFormat="1">
      <c r="C1821" s="28"/>
    </row>
    <row r="1822" spans="3:3" s="34" customFormat="1">
      <c r="C1822" s="28"/>
    </row>
    <row r="1823" spans="3:3" s="34" customFormat="1">
      <c r="C1823" s="28"/>
    </row>
    <row r="1824" spans="3:3" s="34" customFormat="1">
      <c r="C1824" s="28"/>
    </row>
    <row r="1825" spans="3:3" s="34" customFormat="1">
      <c r="C1825" s="28"/>
    </row>
    <row r="1826" spans="3:3" s="34" customFormat="1">
      <c r="C1826" s="28"/>
    </row>
    <row r="1827" spans="3:3" s="34" customFormat="1">
      <c r="C1827" s="28"/>
    </row>
    <row r="1828" spans="3:3" s="34" customFormat="1">
      <c r="C1828" s="28"/>
    </row>
    <row r="1829" spans="3:3" s="34" customFormat="1">
      <c r="C1829" s="28"/>
    </row>
    <row r="1830" spans="3:3" s="34" customFormat="1">
      <c r="C1830" s="28"/>
    </row>
    <row r="1831" spans="3:3" s="34" customFormat="1">
      <c r="C1831" s="28"/>
    </row>
    <row r="1832" spans="3:3" s="34" customFormat="1">
      <c r="C1832" s="28"/>
    </row>
    <row r="1833" spans="3:3" s="34" customFormat="1">
      <c r="C1833" s="28"/>
    </row>
    <row r="1834" spans="3:3" s="34" customFormat="1">
      <c r="C1834" s="28"/>
    </row>
    <row r="1835" spans="3:3" s="34" customFormat="1">
      <c r="C1835" s="28"/>
    </row>
    <row r="1836" spans="3:3" s="34" customFormat="1">
      <c r="C1836" s="28"/>
    </row>
    <row r="1837" spans="3:3" s="34" customFormat="1">
      <c r="C1837" s="28"/>
    </row>
    <row r="1838" spans="3:3" s="34" customFormat="1">
      <c r="C1838" s="28"/>
    </row>
    <row r="1839" spans="3:3" s="34" customFormat="1">
      <c r="C1839" s="28"/>
    </row>
    <row r="1840" spans="3:3" s="34" customFormat="1">
      <c r="C1840" s="28"/>
    </row>
    <row r="1841" spans="3:3" s="34" customFormat="1">
      <c r="C1841" s="28"/>
    </row>
    <row r="1842" spans="3:3" s="34" customFormat="1">
      <c r="C1842" s="28"/>
    </row>
    <row r="1843" spans="3:3" s="34" customFormat="1">
      <c r="C1843" s="28"/>
    </row>
    <row r="1844" spans="3:3" s="34" customFormat="1">
      <c r="C1844" s="28"/>
    </row>
    <row r="1845" spans="3:3" s="34" customFormat="1">
      <c r="C1845" s="28"/>
    </row>
    <row r="1846" spans="3:3" s="34" customFormat="1">
      <c r="C1846" s="28"/>
    </row>
    <row r="1847" spans="3:3" s="34" customFormat="1">
      <c r="C1847" s="28"/>
    </row>
    <row r="1848" spans="3:3" s="34" customFormat="1">
      <c r="C1848" s="28"/>
    </row>
    <row r="1849" spans="3:3" s="34" customFormat="1">
      <c r="C1849" s="28"/>
    </row>
    <row r="1850" spans="3:3" s="34" customFormat="1">
      <c r="C1850" s="28"/>
    </row>
    <row r="1851" spans="3:3" s="34" customFormat="1">
      <c r="C1851" s="28"/>
    </row>
    <row r="1852" spans="3:3" s="34" customFormat="1">
      <c r="C1852" s="28"/>
    </row>
    <row r="1853" spans="3:3" s="34" customFormat="1">
      <c r="C1853" s="28"/>
    </row>
    <row r="1854" spans="3:3" s="34" customFormat="1">
      <c r="C1854" s="28"/>
    </row>
    <row r="1855" spans="3:3" s="34" customFormat="1">
      <c r="C1855" s="28"/>
    </row>
    <row r="1856" spans="3:3" s="34" customFormat="1">
      <c r="C1856" s="28"/>
    </row>
    <row r="1857" spans="3:3" s="34" customFormat="1">
      <c r="C1857" s="28"/>
    </row>
    <row r="1858" spans="3:3" s="34" customFormat="1">
      <c r="C1858" s="28"/>
    </row>
    <row r="1859" spans="3:3" s="34" customFormat="1">
      <c r="C1859" s="28"/>
    </row>
    <row r="1860" spans="3:3" s="34" customFormat="1">
      <c r="C1860" s="28"/>
    </row>
    <row r="1861" spans="3:3" s="34" customFormat="1">
      <c r="C1861" s="28"/>
    </row>
    <row r="1862" spans="3:3" s="34" customFormat="1">
      <c r="C1862" s="28"/>
    </row>
    <row r="1863" spans="3:3" s="34" customFormat="1">
      <c r="C1863" s="28"/>
    </row>
    <row r="1864" spans="3:3" s="34" customFormat="1">
      <c r="C1864" s="28"/>
    </row>
    <row r="1865" spans="3:3" s="34" customFormat="1">
      <c r="C1865" s="28"/>
    </row>
    <row r="1866" spans="3:3" s="34" customFormat="1">
      <c r="C1866" s="28"/>
    </row>
    <row r="1867" spans="3:3" s="34" customFormat="1">
      <c r="C1867" s="28"/>
    </row>
    <row r="1868" spans="3:3" s="34" customFormat="1">
      <c r="C1868" s="28"/>
    </row>
    <row r="1869" spans="3:3" s="34" customFormat="1">
      <c r="C1869" s="28"/>
    </row>
    <row r="1870" spans="3:3" s="34" customFormat="1">
      <c r="C1870" s="28"/>
    </row>
    <row r="1871" spans="3:3" s="34" customFormat="1">
      <c r="C1871" s="28"/>
    </row>
    <row r="1872" spans="3:3" s="34" customFormat="1">
      <c r="C1872" s="28"/>
    </row>
    <row r="1873" spans="3:3" s="34" customFormat="1">
      <c r="C1873" s="28"/>
    </row>
    <row r="1874" spans="3:3" s="34" customFormat="1">
      <c r="C1874" s="28"/>
    </row>
    <row r="1875" spans="3:3" s="34" customFormat="1">
      <c r="C1875" s="28"/>
    </row>
    <row r="1876" spans="3:3" s="34" customFormat="1">
      <c r="C1876" s="28"/>
    </row>
    <row r="1877" spans="3:3" s="34" customFormat="1">
      <c r="C1877" s="28"/>
    </row>
    <row r="1878" spans="3:3" s="34" customFormat="1">
      <c r="C1878" s="28"/>
    </row>
    <row r="1879" spans="3:3" s="34" customFormat="1">
      <c r="C1879" s="28"/>
    </row>
    <row r="1880" spans="3:3" s="34" customFormat="1">
      <c r="C1880" s="28"/>
    </row>
    <row r="1881" spans="3:3" s="34" customFormat="1">
      <c r="C1881" s="28"/>
    </row>
    <row r="1882" spans="3:3" s="34" customFormat="1">
      <c r="C1882" s="28"/>
    </row>
    <row r="1883" spans="3:3" s="34" customFormat="1">
      <c r="C1883" s="28"/>
    </row>
    <row r="1884" spans="3:3" s="34" customFormat="1">
      <c r="C1884" s="28"/>
    </row>
    <row r="1885" spans="3:3" s="34" customFormat="1">
      <c r="C1885" s="28"/>
    </row>
    <row r="1886" spans="3:3" s="34" customFormat="1">
      <c r="C1886" s="28"/>
    </row>
    <row r="1887" spans="3:3" s="34" customFormat="1">
      <c r="C1887" s="28"/>
    </row>
    <row r="1888" spans="3:3" s="34" customFormat="1">
      <c r="C1888" s="28"/>
    </row>
    <row r="1889" spans="3:3" s="34" customFormat="1">
      <c r="C1889" s="28"/>
    </row>
    <row r="1890" spans="3:3" s="34" customFormat="1">
      <c r="C1890" s="28"/>
    </row>
    <row r="1891" spans="3:3" s="34" customFormat="1">
      <c r="C1891" s="28"/>
    </row>
    <row r="1892" spans="3:3" s="34" customFormat="1">
      <c r="C1892" s="28"/>
    </row>
    <row r="1893" spans="3:3" s="34" customFormat="1">
      <c r="C1893" s="28"/>
    </row>
    <row r="1894" spans="3:3" s="34" customFormat="1">
      <c r="C1894" s="28"/>
    </row>
    <row r="1895" spans="3:3" s="34" customFormat="1">
      <c r="C1895" s="28"/>
    </row>
    <row r="1896" spans="3:3" s="34" customFormat="1">
      <c r="C1896" s="28"/>
    </row>
    <row r="1897" spans="3:3" s="34" customFormat="1">
      <c r="C1897" s="28"/>
    </row>
    <row r="1898" spans="3:3" s="34" customFormat="1">
      <c r="C1898" s="28"/>
    </row>
    <row r="1899" spans="3:3" s="34" customFormat="1">
      <c r="C1899" s="28"/>
    </row>
    <row r="1900" spans="3:3" s="34" customFormat="1">
      <c r="C1900" s="28"/>
    </row>
    <row r="1901" spans="3:3" s="34" customFormat="1">
      <c r="C1901" s="28"/>
    </row>
    <row r="1902" spans="3:3" s="34" customFormat="1">
      <c r="C1902" s="28"/>
    </row>
    <row r="1903" spans="3:3" s="34" customFormat="1">
      <c r="C1903" s="28"/>
    </row>
    <row r="1904" spans="3:3" s="34" customFormat="1">
      <c r="C1904" s="28"/>
    </row>
    <row r="1905" spans="3:3" s="34" customFormat="1">
      <c r="C1905" s="28"/>
    </row>
    <row r="1906" spans="3:3" s="34" customFormat="1">
      <c r="C1906" s="28"/>
    </row>
    <row r="1907" spans="3:3" s="34" customFormat="1">
      <c r="C1907" s="28"/>
    </row>
    <row r="1908" spans="3:3" s="34" customFormat="1">
      <c r="C1908" s="28"/>
    </row>
    <row r="1909" spans="3:3" s="34" customFormat="1">
      <c r="C1909" s="28"/>
    </row>
    <row r="1910" spans="3:3" s="34" customFormat="1">
      <c r="C1910" s="28"/>
    </row>
    <row r="1911" spans="3:3" s="34" customFormat="1">
      <c r="C1911" s="28"/>
    </row>
    <row r="1912" spans="3:3" s="34" customFormat="1">
      <c r="C1912" s="28"/>
    </row>
    <row r="1913" spans="3:3" s="34" customFormat="1">
      <c r="C1913" s="28"/>
    </row>
    <row r="1914" spans="3:3" s="34" customFormat="1">
      <c r="C1914" s="28"/>
    </row>
    <row r="1915" spans="3:3" s="34" customFormat="1">
      <c r="C1915" s="28"/>
    </row>
    <row r="1916" spans="3:3" s="34" customFormat="1">
      <c r="C1916" s="28"/>
    </row>
    <row r="1917" spans="3:3" s="34" customFormat="1">
      <c r="C1917" s="28"/>
    </row>
    <row r="1918" spans="3:3" s="34" customFormat="1">
      <c r="C1918" s="28"/>
    </row>
    <row r="1919" spans="3:3" s="34" customFormat="1">
      <c r="C1919" s="28"/>
    </row>
    <row r="1920" spans="3:3" s="34" customFormat="1">
      <c r="C1920" s="28"/>
    </row>
    <row r="1921" spans="3:3" s="34" customFormat="1">
      <c r="C1921" s="28"/>
    </row>
    <row r="1922" spans="3:3" s="34" customFormat="1">
      <c r="C1922" s="28"/>
    </row>
    <row r="1923" spans="3:3" s="34" customFormat="1">
      <c r="C1923" s="28"/>
    </row>
    <row r="1924" spans="3:3" s="34" customFormat="1">
      <c r="C1924" s="28"/>
    </row>
    <row r="1925" spans="3:3" s="34" customFormat="1">
      <c r="C1925" s="28"/>
    </row>
    <row r="1926" spans="3:3" s="34" customFormat="1">
      <c r="C1926" s="28"/>
    </row>
    <row r="1927" spans="3:3" s="34" customFormat="1">
      <c r="C1927" s="28"/>
    </row>
    <row r="1928" spans="3:3" s="34" customFormat="1">
      <c r="C1928" s="28"/>
    </row>
    <row r="1929" spans="3:3" s="34" customFormat="1">
      <c r="C1929" s="28"/>
    </row>
    <row r="1930" spans="3:3" s="34" customFormat="1">
      <c r="C1930" s="28"/>
    </row>
    <row r="1931" spans="3:3" s="34" customFormat="1">
      <c r="C1931" s="28"/>
    </row>
    <row r="1932" spans="3:3" s="34" customFormat="1">
      <c r="C1932" s="28"/>
    </row>
    <row r="1933" spans="3:3" s="34" customFormat="1">
      <c r="C1933" s="28"/>
    </row>
    <row r="1934" spans="3:3" s="34" customFormat="1">
      <c r="C1934" s="28"/>
    </row>
    <row r="1935" spans="3:3" s="34" customFormat="1">
      <c r="C1935" s="28"/>
    </row>
    <row r="1936" spans="3:3" s="34" customFormat="1">
      <c r="C1936" s="28"/>
    </row>
    <row r="1937" spans="3:3" s="34" customFormat="1">
      <c r="C1937" s="28"/>
    </row>
    <row r="1938" spans="3:3" s="34" customFormat="1">
      <c r="C1938" s="28"/>
    </row>
    <row r="1939" spans="3:3" s="34" customFormat="1">
      <c r="C1939" s="28"/>
    </row>
    <row r="1940" spans="3:3" s="34" customFormat="1">
      <c r="C1940" s="28"/>
    </row>
    <row r="1941" spans="3:3" s="34" customFormat="1">
      <c r="C1941" s="28"/>
    </row>
    <row r="1942" spans="3:3" s="34" customFormat="1">
      <c r="C1942" s="28"/>
    </row>
    <row r="1943" spans="3:3" s="34" customFormat="1">
      <c r="C1943" s="28"/>
    </row>
    <row r="1944" spans="3:3" s="34" customFormat="1">
      <c r="C1944" s="28"/>
    </row>
    <row r="1945" spans="3:3" s="34" customFormat="1">
      <c r="C1945" s="28"/>
    </row>
    <row r="1946" spans="3:3" s="34" customFormat="1">
      <c r="C1946" s="28"/>
    </row>
    <row r="1947" spans="3:3" s="34" customFormat="1">
      <c r="C1947" s="28"/>
    </row>
    <row r="1948" spans="3:3" s="34" customFormat="1">
      <c r="C1948" s="28"/>
    </row>
    <row r="1949" spans="3:3" s="34" customFormat="1">
      <c r="C1949" s="28"/>
    </row>
    <row r="1950" spans="3:3" s="34" customFormat="1">
      <c r="C1950" s="28"/>
    </row>
    <row r="1951" spans="3:3" s="34" customFormat="1">
      <c r="C1951" s="28"/>
    </row>
    <row r="1952" spans="3:3" s="34" customFormat="1">
      <c r="C1952" s="28"/>
    </row>
    <row r="1953" spans="3:3" s="34" customFormat="1">
      <c r="C1953" s="28"/>
    </row>
    <row r="1954" spans="3:3" s="34" customFormat="1">
      <c r="C1954" s="28"/>
    </row>
    <row r="1955" spans="3:3" s="34" customFormat="1">
      <c r="C1955" s="28"/>
    </row>
    <row r="1956" spans="3:3" s="34" customFormat="1">
      <c r="C1956" s="28"/>
    </row>
    <row r="1957" spans="3:3" s="34" customFormat="1">
      <c r="C1957" s="28"/>
    </row>
    <row r="1958" spans="3:3" s="34" customFormat="1">
      <c r="C1958" s="28"/>
    </row>
    <row r="1959" spans="3:3" s="34" customFormat="1">
      <c r="C1959" s="28"/>
    </row>
    <row r="1960" spans="3:3" s="34" customFormat="1">
      <c r="C1960" s="28"/>
    </row>
    <row r="1961" spans="3:3" s="34" customFormat="1">
      <c r="C1961" s="28"/>
    </row>
    <row r="1962" spans="3:3" s="34" customFormat="1">
      <c r="C1962" s="28"/>
    </row>
    <row r="1963" spans="3:3" s="34" customFormat="1">
      <c r="C1963" s="28"/>
    </row>
    <row r="1964" spans="3:3" s="34" customFormat="1">
      <c r="C1964" s="28"/>
    </row>
    <row r="1965" spans="3:3" s="34" customFormat="1">
      <c r="C1965" s="28"/>
    </row>
    <row r="1966" spans="3:3" s="34" customFormat="1">
      <c r="C1966" s="28"/>
    </row>
    <row r="1967" spans="3:3" s="34" customFormat="1">
      <c r="C1967" s="28"/>
    </row>
    <row r="1968" spans="3:3" s="34" customFormat="1">
      <c r="C1968" s="28"/>
    </row>
    <row r="1969" spans="3:3" s="34" customFormat="1">
      <c r="C1969" s="28"/>
    </row>
    <row r="1970" spans="3:3" s="34" customFormat="1">
      <c r="C1970" s="28"/>
    </row>
    <row r="1971" spans="3:3" s="34" customFormat="1">
      <c r="C1971" s="28"/>
    </row>
    <row r="1972" spans="3:3" s="34" customFormat="1">
      <c r="C1972" s="28"/>
    </row>
    <row r="1973" spans="3:3" s="34" customFormat="1">
      <c r="C1973" s="28"/>
    </row>
    <row r="1974" spans="3:3" s="34" customFormat="1">
      <c r="C1974" s="28"/>
    </row>
    <row r="1975" spans="3:3" s="34" customFormat="1">
      <c r="C1975" s="28"/>
    </row>
    <row r="1976" spans="3:3" s="34" customFormat="1">
      <c r="C1976" s="28"/>
    </row>
    <row r="1977" spans="3:3" s="34" customFormat="1">
      <c r="C1977" s="28"/>
    </row>
    <row r="1978" spans="3:3" s="34" customFormat="1">
      <c r="C1978" s="28"/>
    </row>
    <row r="1979" spans="3:3" s="34" customFormat="1">
      <c r="C1979" s="28"/>
    </row>
    <row r="1980" spans="3:3" s="34" customFormat="1">
      <c r="C1980" s="28"/>
    </row>
    <row r="1981" spans="3:3" s="34" customFormat="1">
      <c r="C1981" s="28"/>
    </row>
    <row r="1982" spans="3:3" s="34" customFormat="1">
      <c r="C1982" s="28"/>
    </row>
    <row r="1983" spans="3:3" s="34" customFormat="1">
      <c r="C1983" s="28"/>
    </row>
    <row r="1984" spans="3:3" s="34" customFormat="1">
      <c r="C1984" s="28"/>
    </row>
    <row r="1985" spans="3:3" s="34" customFormat="1">
      <c r="C1985" s="28"/>
    </row>
    <row r="1986" spans="3:3" s="34" customFormat="1">
      <c r="C1986" s="28"/>
    </row>
    <row r="1987" spans="3:3" s="34" customFormat="1">
      <c r="C1987" s="28"/>
    </row>
    <row r="1988" spans="3:3" s="34" customFormat="1">
      <c r="C1988" s="28"/>
    </row>
    <row r="1989" spans="3:3" s="34" customFormat="1">
      <c r="C1989" s="28"/>
    </row>
    <row r="1990" spans="3:3" s="34" customFormat="1">
      <c r="C1990" s="28"/>
    </row>
    <row r="1991" spans="3:3" s="34" customFormat="1">
      <c r="C1991" s="28"/>
    </row>
    <row r="1992" spans="3:3" s="34" customFormat="1">
      <c r="C1992" s="28"/>
    </row>
    <row r="1993" spans="3:3" s="34" customFormat="1">
      <c r="C1993" s="28"/>
    </row>
    <row r="1994" spans="3:3" s="34" customFormat="1">
      <c r="C1994" s="28"/>
    </row>
    <row r="1995" spans="3:3" s="34" customFormat="1">
      <c r="C1995" s="28"/>
    </row>
    <row r="1996" spans="3:3" s="34" customFormat="1">
      <c r="C1996" s="28"/>
    </row>
    <row r="1997" spans="3:3" s="34" customFormat="1">
      <c r="C1997" s="28"/>
    </row>
    <row r="1998" spans="3:3" s="34" customFormat="1">
      <c r="C1998" s="28"/>
    </row>
    <row r="1999" spans="3:3" s="34" customFormat="1">
      <c r="C1999" s="28"/>
    </row>
    <row r="2000" spans="3:3" s="34" customFormat="1">
      <c r="C2000" s="28"/>
    </row>
    <row r="2001" spans="3:3" s="34" customFormat="1">
      <c r="C2001" s="28"/>
    </row>
    <row r="2002" spans="3:3" s="34" customFormat="1">
      <c r="C2002" s="28"/>
    </row>
    <row r="2003" spans="3:3" s="34" customFormat="1">
      <c r="C2003" s="28"/>
    </row>
    <row r="2004" spans="3:3" s="34" customFormat="1">
      <c r="C2004" s="28"/>
    </row>
    <row r="2005" spans="3:3" s="34" customFormat="1">
      <c r="C2005" s="28"/>
    </row>
    <row r="2006" spans="3:3" s="34" customFormat="1">
      <c r="C2006" s="28"/>
    </row>
    <row r="2007" spans="3:3" s="34" customFormat="1">
      <c r="C2007" s="28"/>
    </row>
    <row r="2008" spans="3:3" s="34" customFormat="1">
      <c r="C2008" s="28"/>
    </row>
    <row r="2009" spans="3:3" s="34" customFormat="1">
      <c r="C2009" s="28"/>
    </row>
    <row r="2010" spans="3:3" s="34" customFormat="1">
      <c r="C2010" s="28"/>
    </row>
    <row r="2011" spans="3:3" s="34" customFormat="1">
      <c r="C2011" s="28"/>
    </row>
    <row r="2012" spans="3:3" s="34" customFormat="1">
      <c r="C2012" s="28"/>
    </row>
    <row r="2013" spans="3:3" s="34" customFormat="1">
      <c r="C2013" s="28"/>
    </row>
    <row r="2014" spans="3:3" s="34" customFormat="1">
      <c r="C2014" s="28"/>
    </row>
    <row r="2015" spans="3:3" s="34" customFormat="1">
      <c r="C2015" s="28"/>
    </row>
    <row r="2016" spans="3:3" s="34" customFormat="1">
      <c r="C2016" s="28"/>
    </row>
    <row r="2017" spans="3:3" s="34" customFormat="1">
      <c r="C2017" s="28"/>
    </row>
    <row r="2018" spans="3:3" s="34" customFormat="1">
      <c r="C2018" s="28"/>
    </row>
    <row r="2019" spans="3:3" s="34" customFormat="1">
      <c r="C2019" s="28"/>
    </row>
    <row r="2020" spans="3:3" s="34" customFormat="1">
      <c r="C2020" s="28"/>
    </row>
    <row r="2021" spans="3:3" s="34" customFormat="1">
      <c r="C2021" s="28"/>
    </row>
    <row r="2022" spans="3:3" s="34" customFormat="1">
      <c r="C2022" s="28"/>
    </row>
    <row r="2023" spans="3:3" s="34" customFormat="1">
      <c r="C2023" s="28"/>
    </row>
    <row r="2024" spans="3:3" s="34" customFormat="1">
      <c r="C2024" s="28"/>
    </row>
    <row r="2025" spans="3:3" s="34" customFormat="1">
      <c r="C2025" s="28"/>
    </row>
    <row r="2026" spans="3:3" s="34" customFormat="1">
      <c r="C2026" s="28"/>
    </row>
    <row r="2027" spans="3:3" s="34" customFormat="1">
      <c r="C2027" s="28"/>
    </row>
    <row r="2028" spans="3:3" s="34" customFormat="1">
      <c r="C2028" s="28"/>
    </row>
    <row r="2029" spans="3:3" s="34" customFormat="1">
      <c r="C2029" s="28"/>
    </row>
    <row r="2030" spans="3:3" s="34" customFormat="1">
      <c r="C2030" s="28"/>
    </row>
    <row r="2031" spans="3:3" s="34" customFormat="1">
      <c r="C2031" s="28"/>
    </row>
    <row r="2032" spans="3:3" s="34" customFormat="1">
      <c r="C2032" s="28"/>
    </row>
    <row r="2033" spans="3:3" s="34" customFormat="1">
      <c r="C2033" s="28"/>
    </row>
    <row r="2034" spans="3:3" s="34" customFormat="1">
      <c r="C2034" s="28"/>
    </row>
    <row r="2035" spans="3:3" s="34" customFormat="1">
      <c r="C2035" s="28"/>
    </row>
    <row r="2036" spans="3:3" s="34" customFormat="1">
      <c r="C2036" s="28"/>
    </row>
    <row r="2037" spans="3:3" s="34" customFormat="1">
      <c r="C2037" s="28"/>
    </row>
    <row r="2038" spans="3:3" s="34" customFormat="1">
      <c r="C2038" s="28"/>
    </row>
    <row r="2039" spans="3:3" s="34" customFormat="1">
      <c r="C2039" s="28"/>
    </row>
    <row r="2040" spans="3:3" s="34" customFormat="1">
      <c r="C2040" s="28"/>
    </row>
    <row r="2041" spans="3:3" s="34" customFormat="1">
      <c r="C2041" s="28"/>
    </row>
    <row r="2042" spans="3:3" s="34" customFormat="1">
      <c r="C2042" s="28"/>
    </row>
    <row r="2043" spans="3:3" s="34" customFormat="1">
      <c r="C2043" s="28"/>
    </row>
    <row r="2044" spans="3:3" s="34" customFormat="1">
      <c r="C2044" s="28"/>
    </row>
    <row r="2045" spans="3:3" s="34" customFormat="1">
      <c r="C2045" s="28"/>
    </row>
    <row r="2046" spans="3:3" s="34" customFormat="1">
      <c r="C2046" s="28"/>
    </row>
    <row r="2047" spans="3:3" s="34" customFormat="1">
      <c r="C2047" s="28"/>
    </row>
    <row r="2048" spans="3:3" s="34" customFormat="1">
      <c r="C2048" s="28"/>
    </row>
    <row r="2049" spans="3:3" s="34" customFormat="1">
      <c r="C2049" s="28"/>
    </row>
    <row r="2050" spans="3:3" s="34" customFormat="1">
      <c r="C2050" s="28"/>
    </row>
    <row r="2051" spans="3:3" s="34" customFormat="1">
      <c r="C2051" s="28"/>
    </row>
    <row r="2052" spans="3:3" s="34" customFormat="1">
      <c r="C2052" s="28"/>
    </row>
    <row r="2053" spans="3:3" s="34" customFormat="1">
      <c r="C2053" s="28"/>
    </row>
    <row r="2054" spans="3:3" s="34" customFormat="1">
      <c r="C2054" s="28"/>
    </row>
    <row r="2055" spans="3:3" s="34" customFormat="1">
      <c r="C2055" s="28"/>
    </row>
    <row r="2056" spans="3:3" s="34" customFormat="1">
      <c r="C2056" s="28"/>
    </row>
    <row r="2057" spans="3:3" s="34" customFormat="1">
      <c r="C2057" s="28"/>
    </row>
    <row r="2058" spans="3:3" s="34" customFormat="1">
      <c r="C2058" s="28"/>
    </row>
    <row r="2059" spans="3:3" s="34" customFormat="1">
      <c r="C2059" s="28"/>
    </row>
    <row r="2060" spans="3:3" s="34" customFormat="1">
      <c r="C2060" s="28"/>
    </row>
    <row r="2061" spans="3:3" s="34" customFormat="1">
      <c r="C2061" s="28"/>
    </row>
    <row r="2062" spans="3:3" s="34" customFormat="1">
      <c r="C2062" s="28"/>
    </row>
    <row r="2063" spans="3:3" s="34" customFormat="1">
      <c r="C2063" s="28"/>
    </row>
    <row r="2064" spans="3:3" s="34" customFormat="1">
      <c r="C2064" s="28"/>
    </row>
    <row r="2065" spans="3:3" s="34" customFormat="1">
      <c r="C2065" s="28"/>
    </row>
    <row r="2066" spans="3:3" s="34" customFormat="1">
      <c r="C2066" s="28"/>
    </row>
    <row r="2067" spans="3:3" s="34" customFormat="1">
      <c r="C2067" s="28"/>
    </row>
    <row r="2068" spans="3:3" s="34" customFormat="1">
      <c r="C2068" s="28"/>
    </row>
    <row r="2069" spans="3:3" s="34" customFormat="1">
      <c r="C2069" s="28"/>
    </row>
    <row r="2070" spans="3:3" s="34" customFormat="1">
      <c r="C2070" s="28"/>
    </row>
    <row r="2071" spans="3:3" s="34" customFormat="1">
      <c r="C2071" s="28"/>
    </row>
    <row r="2072" spans="3:3" s="34" customFormat="1">
      <c r="C2072" s="28"/>
    </row>
    <row r="2073" spans="3:3" s="34" customFormat="1">
      <c r="C2073" s="28"/>
    </row>
    <row r="2074" spans="3:3" s="34" customFormat="1">
      <c r="C2074" s="28"/>
    </row>
    <row r="2075" spans="3:3" s="34" customFormat="1">
      <c r="C2075" s="28"/>
    </row>
    <row r="2076" spans="3:3" s="34" customFormat="1">
      <c r="C2076" s="28"/>
    </row>
    <row r="2077" spans="3:3" s="34" customFormat="1">
      <c r="C2077" s="28"/>
    </row>
    <row r="2078" spans="3:3" s="34" customFormat="1">
      <c r="C2078" s="28"/>
    </row>
    <row r="2079" spans="3:3" s="34" customFormat="1">
      <c r="C2079" s="28"/>
    </row>
    <row r="2080" spans="3:3" s="34" customFormat="1">
      <c r="C2080" s="28"/>
    </row>
    <row r="2081" spans="3:3" s="34" customFormat="1">
      <c r="C2081" s="28"/>
    </row>
    <row r="2082" spans="3:3" s="34" customFormat="1">
      <c r="C2082" s="28"/>
    </row>
    <row r="2083" spans="3:3" s="34" customFormat="1">
      <c r="C2083" s="28"/>
    </row>
    <row r="2084" spans="3:3" s="34" customFormat="1">
      <c r="C2084" s="28"/>
    </row>
    <row r="2085" spans="3:3" s="34" customFormat="1">
      <c r="C2085" s="28"/>
    </row>
    <row r="2086" spans="3:3" s="34" customFormat="1">
      <c r="C2086" s="28"/>
    </row>
    <row r="2087" spans="3:3" s="34" customFormat="1">
      <c r="C2087" s="28"/>
    </row>
    <row r="2088" spans="3:3" s="34" customFormat="1">
      <c r="C2088" s="28"/>
    </row>
    <row r="2089" spans="3:3" s="34" customFormat="1">
      <c r="C2089" s="28"/>
    </row>
    <row r="2090" spans="3:3" s="34" customFormat="1">
      <c r="C2090" s="28"/>
    </row>
    <row r="2091" spans="3:3" s="34" customFormat="1">
      <c r="C2091" s="28"/>
    </row>
    <row r="2092" spans="3:3" s="34" customFormat="1">
      <c r="C2092" s="28"/>
    </row>
    <row r="2093" spans="3:3" s="34" customFormat="1">
      <c r="C2093" s="28"/>
    </row>
    <row r="2094" spans="3:3" s="34" customFormat="1">
      <c r="C2094" s="28"/>
    </row>
    <row r="2095" spans="3:3" s="34" customFormat="1">
      <c r="C2095" s="28"/>
    </row>
    <row r="2096" spans="3:3" s="34" customFormat="1">
      <c r="C2096" s="28"/>
    </row>
    <row r="2097" spans="3:3" s="34" customFormat="1">
      <c r="C2097" s="28"/>
    </row>
    <row r="2098" spans="3:3" s="34" customFormat="1">
      <c r="C2098" s="28"/>
    </row>
    <row r="2099" spans="3:3" s="34" customFormat="1">
      <c r="C2099" s="28"/>
    </row>
    <row r="2100" spans="3:3" s="34" customFormat="1">
      <c r="C2100" s="28"/>
    </row>
    <row r="2101" spans="3:3" s="34" customFormat="1">
      <c r="C2101" s="28"/>
    </row>
    <row r="2102" spans="3:3" s="34" customFormat="1">
      <c r="C2102" s="28"/>
    </row>
    <row r="2103" spans="3:3" s="34" customFormat="1">
      <c r="C2103" s="28"/>
    </row>
    <row r="2104" spans="3:3" s="34" customFormat="1">
      <c r="C2104" s="28"/>
    </row>
    <row r="2105" spans="3:3" s="34" customFormat="1">
      <c r="C2105" s="28"/>
    </row>
    <row r="2106" spans="3:3" s="34" customFormat="1">
      <c r="C2106" s="28"/>
    </row>
    <row r="2107" spans="3:3" s="34" customFormat="1">
      <c r="C2107" s="28"/>
    </row>
    <row r="2108" spans="3:3" s="34" customFormat="1">
      <c r="C2108" s="28"/>
    </row>
    <row r="2109" spans="3:3" s="34" customFormat="1">
      <c r="C2109" s="28"/>
    </row>
    <row r="2110" spans="3:3" s="34" customFormat="1">
      <c r="C2110" s="28"/>
    </row>
    <row r="2111" spans="3:3" s="34" customFormat="1">
      <c r="C2111" s="28"/>
    </row>
    <row r="2112" spans="3:3" s="34" customFormat="1">
      <c r="C2112" s="28"/>
    </row>
    <row r="2113" spans="3:3" s="34" customFormat="1">
      <c r="C2113" s="28"/>
    </row>
    <row r="2114" spans="3:3" s="34" customFormat="1">
      <c r="C2114" s="28"/>
    </row>
    <row r="2115" spans="3:3" s="34" customFormat="1">
      <c r="C2115" s="28"/>
    </row>
    <row r="2116" spans="3:3" s="34" customFormat="1">
      <c r="C2116" s="28"/>
    </row>
    <row r="2117" spans="3:3" s="34" customFormat="1">
      <c r="C2117" s="28"/>
    </row>
    <row r="2118" spans="3:3" s="34" customFormat="1">
      <c r="C2118" s="28"/>
    </row>
    <row r="2119" spans="3:3" s="34" customFormat="1">
      <c r="C2119" s="28"/>
    </row>
    <row r="2120" spans="3:3" s="34" customFormat="1">
      <c r="C2120" s="28"/>
    </row>
    <row r="2121" spans="3:3" s="34" customFormat="1">
      <c r="C2121" s="28"/>
    </row>
    <row r="2122" spans="3:3" s="34" customFormat="1">
      <c r="C2122" s="28"/>
    </row>
    <row r="2123" spans="3:3" s="34" customFormat="1">
      <c r="C2123" s="28"/>
    </row>
    <row r="2124" spans="3:3" s="34" customFormat="1">
      <c r="C2124" s="28"/>
    </row>
    <row r="2125" spans="3:3" s="34" customFormat="1">
      <c r="C2125" s="28"/>
    </row>
    <row r="2126" spans="3:3" s="34" customFormat="1">
      <c r="C2126" s="28"/>
    </row>
    <row r="2127" spans="3:3" s="34" customFormat="1">
      <c r="C2127" s="28"/>
    </row>
    <row r="2128" spans="3:3" s="34" customFormat="1">
      <c r="C2128" s="28"/>
    </row>
    <row r="2129" spans="3:3" s="34" customFormat="1">
      <c r="C2129" s="28"/>
    </row>
    <row r="2130" spans="3:3" s="34" customFormat="1">
      <c r="C2130" s="28"/>
    </row>
    <row r="2131" spans="3:3" s="34" customFormat="1">
      <c r="C2131" s="28"/>
    </row>
    <row r="2132" spans="3:3" s="34" customFormat="1">
      <c r="C2132" s="28"/>
    </row>
    <row r="2133" spans="3:3" s="34" customFormat="1">
      <c r="C2133" s="28"/>
    </row>
    <row r="2134" spans="3:3" s="34" customFormat="1">
      <c r="C2134" s="28"/>
    </row>
    <row r="2135" spans="3:3" s="34" customFormat="1">
      <c r="C2135" s="28"/>
    </row>
    <row r="2136" spans="3:3" s="34" customFormat="1">
      <c r="C2136" s="28"/>
    </row>
    <row r="2137" spans="3:3" s="34" customFormat="1">
      <c r="C2137" s="28"/>
    </row>
    <row r="2138" spans="3:3" s="34" customFormat="1">
      <c r="C2138" s="28"/>
    </row>
    <row r="2139" spans="3:3" s="34" customFormat="1">
      <c r="C2139" s="28"/>
    </row>
    <row r="2140" spans="3:3" s="34" customFormat="1">
      <c r="C2140" s="28"/>
    </row>
    <row r="2141" spans="3:3" s="34" customFormat="1">
      <c r="C2141" s="28"/>
    </row>
    <row r="2142" spans="3:3" s="34" customFormat="1">
      <c r="C2142" s="28"/>
    </row>
    <row r="2143" spans="3:3" s="34" customFormat="1">
      <c r="C2143" s="28"/>
    </row>
    <row r="2144" spans="3:3" s="34" customFormat="1">
      <c r="C2144" s="28"/>
    </row>
    <row r="2145" spans="3:3" s="34" customFormat="1">
      <c r="C2145" s="28"/>
    </row>
    <row r="2146" spans="3:3" s="34" customFormat="1">
      <c r="C2146" s="28"/>
    </row>
    <row r="2147" spans="3:3" s="34" customFormat="1">
      <c r="C2147" s="28"/>
    </row>
    <row r="2148" spans="3:3" s="34" customFormat="1">
      <c r="C2148" s="28"/>
    </row>
    <row r="2149" spans="3:3" s="34" customFormat="1">
      <c r="C2149" s="28"/>
    </row>
    <row r="2150" spans="3:3" s="34" customFormat="1">
      <c r="C2150" s="28"/>
    </row>
    <row r="2151" spans="3:3" s="34" customFormat="1">
      <c r="C2151" s="28"/>
    </row>
    <row r="2152" spans="3:3" s="34" customFormat="1">
      <c r="C2152" s="28"/>
    </row>
    <row r="2153" spans="3:3" s="34" customFormat="1">
      <c r="C2153" s="28"/>
    </row>
    <row r="2154" spans="3:3" s="34" customFormat="1">
      <c r="C2154" s="28"/>
    </row>
    <row r="2155" spans="3:3" s="34" customFormat="1">
      <c r="C2155" s="28"/>
    </row>
    <row r="2156" spans="3:3" s="34" customFormat="1">
      <c r="C2156" s="28"/>
    </row>
    <row r="2157" spans="3:3" s="34" customFormat="1">
      <c r="C2157" s="28"/>
    </row>
    <row r="2158" spans="3:3" s="34" customFormat="1">
      <c r="C2158" s="28"/>
    </row>
    <row r="2159" spans="3:3" s="34" customFormat="1">
      <c r="C2159" s="28"/>
    </row>
    <row r="2160" spans="3:3" s="34" customFormat="1">
      <c r="C2160" s="28"/>
    </row>
    <row r="2161" spans="3:3" s="34" customFormat="1">
      <c r="C2161" s="28"/>
    </row>
    <row r="2162" spans="3:3" s="34" customFormat="1">
      <c r="C2162" s="28"/>
    </row>
    <row r="2163" spans="3:3" s="34" customFormat="1">
      <c r="C2163" s="28"/>
    </row>
    <row r="2164" spans="3:3" s="34" customFormat="1">
      <c r="C2164" s="28"/>
    </row>
    <row r="2165" spans="3:3" s="34" customFormat="1">
      <c r="C2165" s="28"/>
    </row>
    <row r="2166" spans="3:3" s="34" customFormat="1">
      <c r="C2166" s="28"/>
    </row>
    <row r="2167" spans="3:3" s="34" customFormat="1">
      <c r="C2167" s="28"/>
    </row>
    <row r="2168" spans="3:3" s="34" customFormat="1">
      <c r="C2168" s="28"/>
    </row>
    <row r="2169" spans="3:3" s="34" customFormat="1">
      <c r="C2169" s="28"/>
    </row>
    <row r="2170" spans="3:3" s="34" customFormat="1">
      <c r="C2170" s="28"/>
    </row>
    <row r="2171" spans="3:3" s="34" customFormat="1">
      <c r="C2171" s="28"/>
    </row>
    <row r="2172" spans="3:3" s="34" customFormat="1">
      <c r="C2172" s="28"/>
    </row>
    <row r="2173" spans="3:3" s="34" customFormat="1">
      <c r="C2173" s="28"/>
    </row>
    <row r="2174" spans="3:3" s="34" customFormat="1">
      <c r="C2174" s="28"/>
    </row>
    <row r="2175" spans="3:3" s="34" customFormat="1">
      <c r="C2175" s="28"/>
    </row>
    <row r="2176" spans="3:3" s="34" customFormat="1">
      <c r="C2176" s="28"/>
    </row>
    <row r="2177" spans="3:3" s="34" customFormat="1">
      <c r="C2177" s="28"/>
    </row>
    <row r="2178" spans="3:3" s="34" customFormat="1">
      <c r="C2178" s="28"/>
    </row>
    <row r="2179" spans="3:3" s="34" customFormat="1">
      <c r="C2179" s="28"/>
    </row>
    <row r="2180" spans="3:3" s="34" customFormat="1">
      <c r="C2180" s="28"/>
    </row>
    <row r="2181" spans="3:3" s="34" customFormat="1">
      <c r="C2181" s="28"/>
    </row>
    <row r="2182" spans="3:3" s="34" customFormat="1">
      <c r="C2182" s="28"/>
    </row>
    <row r="2183" spans="3:3" s="34" customFormat="1">
      <c r="C2183" s="28"/>
    </row>
    <row r="2184" spans="3:3" s="34" customFormat="1">
      <c r="C2184" s="28"/>
    </row>
    <row r="2185" spans="3:3" s="34" customFormat="1">
      <c r="C2185" s="28"/>
    </row>
    <row r="2186" spans="3:3" s="34" customFormat="1">
      <c r="C2186" s="28"/>
    </row>
    <row r="2187" spans="3:3" s="34" customFormat="1">
      <c r="C2187" s="28"/>
    </row>
    <row r="2188" spans="3:3" s="34" customFormat="1">
      <c r="C2188" s="28"/>
    </row>
    <row r="2189" spans="3:3" s="34" customFormat="1">
      <c r="C2189" s="28"/>
    </row>
    <row r="2190" spans="3:3" s="34" customFormat="1">
      <c r="C2190" s="28"/>
    </row>
    <row r="2191" spans="3:3" s="34" customFormat="1">
      <c r="C2191" s="28"/>
    </row>
    <row r="2192" spans="3:3" s="34" customFormat="1">
      <c r="C2192" s="28"/>
    </row>
    <row r="2193" spans="3:3" s="34" customFormat="1">
      <c r="C2193" s="28"/>
    </row>
    <row r="2194" spans="3:3" s="34" customFormat="1">
      <c r="C2194" s="28"/>
    </row>
    <row r="2195" spans="3:3" s="34" customFormat="1">
      <c r="C2195" s="28"/>
    </row>
    <row r="2196" spans="3:3" s="34" customFormat="1">
      <c r="C2196" s="28"/>
    </row>
    <row r="2197" spans="3:3" s="34" customFormat="1">
      <c r="C2197" s="28"/>
    </row>
    <row r="2198" spans="3:3" s="34" customFormat="1">
      <c r="C2198" s="28"/>
    </row>
    <row r="2199" spans="3:3" s="34" customFormat="1">
      <c r="C2199" s="28"/>
    </row>
    <row r="2200" spans="3:3" s="34" customFormat="1">
      <c r="C2200" s="28"/>
    </row>
    <row r="2201" spans="3:3" s="34" customFormat="1">
      <c r="C2201" s="28"/>
    </row>
    <row r="2202" spans="3:3" s="34" customFormat="1">
      <c r="C2202" s="28"/>
    </row>
    <row r="2203" spans="3:3" s="34" customFormat="1">
      <c r="C2203" s="28"/>
    </row>
    <row r="2204" spans="3:3" s="34" customFormat="1">
      <c r="C2204" s="28"/>
    </row>
    <row r="2205" spans="3:3" s="34" customFormat="1">
      <c r="C2205" s="28"/>
    </row>
    <row r="2206" spans="3:3" s="34" customFormat="1">
      <c r="C2206" s="28"/>
    </row>
    <row r="2207" spans="3:3" s="34" customFormat="1">
      <c r="C2207" s="28"/>
    </row>
    <row r="2208" spans="3:3" s="34" customFormat="1">
      <c r="C2208" s="28"/>
    </row>
    <row r="2209" spans="3:3" s="34" customFormat="1">
      <c r="C2209" s="28"/>
    </row>
    <row r="2210" spans="3:3" s="34" customFormat="1">
      <c r="C2210" s="28"/>
    </row>
    <row r="2211" spans="3:3" s="34" customFormat="1">
      <c r="C2211" s="28"/>
    </row>
    <row r="2212" spans="3:3" s="34" customFormat="1">
      <c r="C2212" s="28"/>
    </row>
    <row r="2213" spans="3:3" s="34" customFormat="1">
      <c r="C2213" s="28"/>
    </row>
    <row r="2214" spans="3:3" s="34" customFormat="1">
      <c r="C2214" s="28"/>
    </row>
    <row r="2215" spans="3:3" s="34" customFormat="1">
      <c r="C2215" s="28"/>
    </row>
    <row r="2216" spans="3:3" s="34" customFormat="1">
      <c r="C2216" s="28"/>
    </row>
    <row r="2217" spans="3:3" s="34" customFormat="1">
      <c r="C2217" s="28"/>
    </row>
    <row r="2218" spans="3:3" s="34" customFormat="1">
      <c r="C2218" s="28"/>
    </row>
    <row r="2219" spans="3:3" s="34" customFormat="1">
      <c r="C2219" s="28"/>
    </row>
    <row r="2220" spans="3:3" s="34" customFormat="1">
      <c r="C2220" s="28"/>
    </row>
    <row r="2221" spans="3:3" s="34" customFormat="1">
      <c r="C2221" s="28"/>
    </row>
    <row r="2222" spans="3:3" s="34" customFormat="1">
      <c r="C2222" s="28"/>
    </row>
    <row r="2223" spans="3:3" s="34" customFormat="1">
      <c r="C2223" s="28"/>
    </row>
    <row r="2224" spans="3:3" s="34" customFormat="1">
      <c r="C2224" s="28"/>
    </row>
    <row r="2225" spans="3:3" s="34" customFormat="1">
      <c r="C2225" s="28"/>
    </row>
    <row r="2226" spans="3:3" s="34" customFormat="1">
      <c r="C2226" s="28"/>
    </row>
    <row r="2227" spans="3:3" s="34" customFormat="1">
      <c r="C2227" s="28"/>
    </row>
    <row r="2228" spans="3:3" s="34" customFormat="1">
      <c r="C2228" s="28"/>
    </row>
    <row r="2229" spans="3:3" s="34" customFormat="1">
      <c r="C2229" s="28"/>
    </row>
    <row r="2230" spans="3:3" s="34" customFormat="1">
      <c r="C2230" s="28"/>
    </row>
    <row r="2231" spans="3:3" s="34" customFormat="1">
      <c r="C2231" s="28"/>
    </row>
    <row r="2232" spans="3:3" s="34" customFormat="1">
      <c r="C2232" s="28"/>
    </row>
    <row r="2233" spans="3:3" s="34" customFormat="1">
      <c r="C2233" s="28"/>
    </row>
    <row r="2234" spans="3:3" s="34" customFormat="1">
      <c r="C2234" s="28"/>
    </row>
    <row r="2235" spans="3:3" s="34" customFormat="1">
      <c r="C2235" s="28"/>
    </row>
    <row r="2236" spans="3:3" s="34" customFormat="1">
      <c r="C2236" s="28"/>
    </row>
    <row r="2237" spans="3:3" s="34" customFormat="1">
      <c r="C2237" s="28"/>
    </row>
    <row r="2238" spans="3:3" s="34" customFormat="1">
      <c r="C2238" s="28"/>
    </row>
    <row r="2239" spans="3:3" s="34" customFormat="1">
      <c r="C2239" s="28"/>
    </row>
    <row r="2240" spans="3:3" s="34" customFormat="1">
      <c r="C2240" s="28"/>
    </row>
    <row r="2241" spans="3:3" s="34" customFormat="1">
      <c r="C2241" s="28"/>
    </row>
    <row r="2242" spans="3:3" s="34" customFormat="1">
      <c r="C2242" s="28"/>
    </row>
    <row r="2243" spans="3:3" s="34" customFormat="1">
      <c r="C2243" s="28"/>
    </row>
    <row r="2244" spans="3:3" s="34" customFormat="1">
      <c r="C2244" s="28"/>
    </row>
    <row r="2245" spans="3:3" s="34" customFormat="1">
      <c r="C2245" s="28"/>
    </row>
    <row r="2246" spans="3:3" s="34" customFormat="1">
      <c r="C2246" s="28"/>
    </row>
    <row r="2247" spans="3:3" s="34" customFormat="1">
      <c r="C2247" s="28"/>
    </row>
    <row r="2248" spans="3:3" s="34" customFormat="1">
      <c r="C2248" s="28"/>
    </row>
    <row r="2249" spans="3:3" s="34" customFormat="1">
      <c r="C2249" s="28"/>
    </row>
  </sheetData>
  <sheetProtection password="8B10" sheet="1" objects="1" scenarios="1"/>
  <phoneticPr fontId="2" type="noConversion"/>
  <pageMargins left="0.70866141732283472" right="0.70866141732283472" top="1.0236220472440944" bottom="1.0236220472440944" header="0.39370078740157483" footer="0.39370078740157483"/>
  <pageSetup paperSize="9" scale="70" orientation="landscape" r:id="rId1"/>
  <headerFooter alignWithMargins="0">
    <oddFooter>&amp;L&amp;"Frutiger 57Cn,Standard"&amp;8
Santander Consumer Bank AG
Santander-Platz 1
41061 Mönchengladbach
Tel.: +49 180 / 5556 - 499
Fax.: +49 180 / 5556 - 498</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N2242"/>
  <sheetViews>
    <sheetView view="pageBreakPreview" zoomScale="75" zoomScaleNormal="85" zoomScaleSheetLayoutView="75" workbookViewId="0">
      <selection activeCell="B3" sqref="B3"/>
    </sheetView>
  </sheetViews>
  <sheetFormatPr defaultRowHeight="12.75"/>
  <cols>
    <col min="1" max="1" width="1.28515625" style="31" customWidth="1"/>
    <col min="2" max="2" width="37.85546875" style="31" customWidth="1"/>
    <col min="3" max="3" width="22.5703125" style="31" customWidth="1"/>
    <col min="4" max="4" width="15" style="31" customWidth="1"/>
    <col min="5" max="12" width="10.7109375" style="31" customWidth="1"/>
    <col min="13" max="13" width="9.7109375" style="31" customWidth="1"/>
    <col min="14" max="256" width="11.42578125" style="31" customWidth="1"/>
    <col min="257" max="16384" width="9.140625" style="31"/>
  </cols>
  <sheetData>
    <row r="1" spans="1:14" ht="6" customHeight="1">
      <c r="A1" s="35"/>
      <c r="B1" s="36"/>
      <c r="C1" s="36"/>
      <c r="D1" s="36"/>
      <c r="E1" s="36"/>
      <c r="F1" s="36"/>
      <c r="G1" s="36"/>
      <c r="H1" s="36"/>
      <c r="I1" s="36"/>
      <c r="J1" s="36"/>
      <c r="K1" s="36"/>
      <c r="L1" s="36"/>
      <c r="M1" s="36"/>
      <c r="N1" s="37"/>
    </row>
    <row r="2" spans="1:14" s="27" customFormat="1" ht="18">
      <c r="A2" s="5"/>
      <c r="B2" s="7" t="str">
        <f>'Cover Sheet'!B2</f>
        <v>SC Germany Auto 10-1</v>
      </c>
      <c r="C2" s="7"/>
      <c r="D2" s="108" t="s">
        <v>54</v>
      </c>
      <c r="E2" s="109"/>
      <c r="F2" s="109"/>
      <c r="G2" s="110">
        <f>'Cover Sheet'!F2</f>
        <v>41191</v>
      </c>
      <c r="H2" s="109"/>
      <c r="I2" s="109"/>
      <c r="J2" s="109"/>
      <c r="K2" s="111"/>
      <c r="L2" s="9"/>
      <c r="M2" s="4"/>
      <c r="N2" s="8"/>
    </row>
    <row r="3" spans="1:14" s="27" customFormat="1" ht="18">
      <c r="A3" s="5"/>
      <c r="B3" s="7" t="str">
        <f>'Cover Sheet'!B3</f>
        <v>Monthly Investor Report</v>
      </c>
      <c r="C3" s="7"/>
      <c r="D3" s="112" t="s">
        <v>4</v>
      </c>
      <c r="E3" s="113"/>
      <c r="F3" s="113"/>
      <c r="G3" s="114">
        <f>'Cover Sheet'!F3</f>
        <v>41197</v>
      </c>
      <c r="H3" s="113"/>
      <c r="I3" s="113"/>
      <c r="J3" s="113"/>
      <c r="K3" s="115"/>
      <c r="L3" s="10"/>
      <c r="M3" s="4"/>
      <c r="N3" s="8"/>
    </row>
    <row r="4" spans="1:14" s="27" customFormat="1">
      <c r="A4" s="5"/>
      <c r="B4" s="42"/>
      <c r="C4" s="42"/>
      <c r="D4" s="112" t="s">
        <v>5</v>
      </c>
      <c r="E4" s="113"/>
      <c r="F4" s="113"/>
      <c r="G4" s="122">
        <f>'Cover Sheet'!F4</f>
        <v>27</v>
      </c>
      <c r="H4" s="113"/>
      <c r="I4" s="117"/>
      <c r="J4" s="113"/>
      <c r="K4" s="118"/>
      <c r="L4" s="9"/>
      <c r="M4" s="4"/>
      <c r="N4" s="8"/>
    </row>
    <row r="5" spans="1:14" s="27" customFormat="1" ht="18">
      <c r="A5" s="5"/>
      <c r="B5" s="105" t="s">
        <v>405</v>
      </c>
      <c r="C5" s="105"/>
      <c r="D5" s="112" t="s">
        <v>3</v>
      </c>
      <c r="E5" s="113"/>
      <c r="F5" s="113"/>
      <c r="G5" s="123">
        <f>'Cover Sheet'!F5</f>
        <v>41197</v>
      </c>
      <c r="H5" s="113"/>
      <c r="I5" s="117"/>
      <c r="J5" s="113"/>
      <c r="K5" s="118"/>
      <c r="L5" s="10"/>
      <c r="M5" s="4"/>
      <c r="N5" s="8"/>
    </row>
    <row r="6" spans="1:14" s="27" customFormat="1" ht="15" customHeight="1">
      <c r="A6" s="5"/>
      <c r="B6" s="43"/>
      <c r="C6" s="43"/>
      <c r="D6" s="552" t="str">
        <f>'Cover Sheet'!D6</f>
        <v>Interest Period</v>
      </c>
      <c r="E6" s="113"/>
      <c r="F6" s="114" t="s">
        <v>38</v>
      </c>
      <c r="G6" s="114">
        <f>'Cover Sheet'!F6</f>
        <v>41164</v>
      </c>
      <c r="H6" s="116" t="s">
        <v>6</v>
      </c>
      <c r="I6" s="114">
        <f>'Cover Sheet'!H6</f>
        <v>41197</v>
      </c>
      <c r="J6" s="116" t="s">
        <v>18</v>
      </c>
      <c r="K6" s="542" t="str">
        <f>'Cover Sheet'!J6</f>
        <v>33 days</v>
      </c>
      <c r="L6" s="10"/>
      <c r="M6" s="4"/>
      <c r="N6" s="215"/>
    </row>
    <row r="7" spans="1:14" s="27" customFormat="1">
      <c r="A7" s="5"/>
      <c r="B7" s="4"/>
      <c r="C7" s="4"/>
      <c r="D7" s="553" t="str">
        <f>'Cover Sheet'!D7</f>
        <v>Collection Period</v>
      </c>
      <c r="E7" s="543"/>
      <c r="F7" s="121" t="s">
        <v>38</v>
      </c>
      <c r="G7" s="121" t="str">
        <f>'Cover Sheet'!F7</f>
        <v>01.09.2012</v>
      </c>
      <c r="H7" s="120" t="s">
        <v>6</v>
      </c>
      <c r="I7" s="121">
        <f>'Cover Sheet'!H7</f>
        <v>41182</v>
      </c>
      <c r="J7" s="543"/>
      <c r="K7" s="544"/>
      <c r="L7" s="10"/>
      <c r="M7" s="4"/>
      <c r="N7" s="8"/>
    </row>
    <row r="8" spans="1:14" s="27" customFormat="1">
      <c r="A8" s="5"/>
      <c r="B8" s="4"/>
      <c r="C8" s="4"/>
      <c r="D8" s="4"/>
      <c r="E8" s="4"/>
      <c r="F8" s="9"/>
      <c r="G8" s="15"/>
      <c r="H8" s="9"/>
      <c r="I8" s="4"/>
      <c r="J8" s="16"/>
      <c r="K8" s="4"/>
      <c r="L8" s="10"/>
      <c r="M8" s="4"/>
      <c r="N8" s="8"/>
    </row>
    <row r="9" spans="1:14" s="27" customFormat="1">
      <c r="A9" s="5"/>
      <c r="B9" s="4"/>
      <c r="C9" s="4"/>
      <c r="D9" s="4"/>
      <c r="E9" s="4"/>
      <c r="F9" s="4"/>
      <c r="G9" s="4"/>
      <c r="H9" s="4"/>
      <c r="I9" s="4"/>
      <c r="J9" s="4"/>
      <c r="K9" s="4"/>
      <c r="L9" s="4"/>
      <c r="M9" s="4"/>
      <c r="N9" s="216"/>
    </row>
    <row r="10" spans="1:14" s="27" customFormat="1">
      <c r="A10" s="5"/>
      <c r="B10" s="4"/>
      <c r="C10" s="4"/>
      <c r="D10" s="4"/>
      <c r="E10" s="34"/>
      <c r="F10" s="4"/>
      <c r="G10" s="18"/>
      <c r="H10" s="4"/>
      <c r="I10" s="4"/>
      <c r="J10" s="34"/>
      <c r="K10" s="34"/>
      <c r="L10" s="4"/>
      <c r="M10" s="4"/>
      <c r="N10" s="8"/>
    </row>
    <row r="11" spans="1:14" s="27" customFormat="1" ht="18">
      <c r="A11" s="5"/>
      <c r="B11" s="125"/>
      <c r="C11" s="125"/>
      <c r="D11" s="4"/>
      <c r="E11" s="34"/>
      <c r="F11" s="4"/>
      <c r="G11" s="34"/>
      <c r="H11" s="100"/>
      <c r="I11" s="100"/>
      <c r="J11" s="34"/>
      <c r="K11" s="4"/>
      <c r="L11" s="4"/>
      <c r="M11" s="4"/>
      <c r="N11" s="103"/>
    </row>
    <row r="12" spans="1:14" s="27" customFormat="1">
      <c r="A12" s="5"/>
      <c r="B12" s="4"/>
      <c r="C12" s="4"/>
      <c r="D12" s="34"/>
      <c r="E12" s="34"/>
      <c r="F12" s="34"/>
      <c r="G12" s="34"/>
      <c r="H12" s="137"/>
      <c r="I12" s="137"/>
      <c r="J12" s="34"/>
      <c r="K12" s="34"/>
      <c r="L12" s="4"/>
      <c r="M12" s="4"/>
      <c r="N12" s="103"/>
    </row>
    <row r="13" spans="1:14" s="27" customFormat="1" ht="18">
      <c r="A13" s="5"/>
      <c r="B13" s="47" t="s">
        <v>340</v>
      </c>
      <c r="C13" s="47"/>
      <c r="D13" s="34"/>
      <c r="E13" s="253"/>
      <c r="F13" s="253"/>
      <c r="G13" s="155"/>
      <c r="H13" s="138"/>
      <c r="I13" s="138"/>
      <c r="J13" s="102"/>
      <c r="K13" s="34"/>
      <c r="L13" s="4"/>
      <c r="M13" s="4"/>
      <c r="N13" s="103"/>
    </row>
    <row r="14" spans="1:14" s="27" customFormat="1" ht="12.75" customHeight="1">
      <c r="A14" s="5"/>
      <c r="B14" s="34" t="s">
        <v>341</v>
      </c>
      <c r="C14" s="567" t="s">
        <v>225</v>
      </c>
      <c r="E14" s="317"/>
      <c r="F14" s="327"/>
      <c r="G14" s="328"/>
      <c r="H14" s="328"/>
      <c r="I14" s="329"/>
      <c r="J14" s="138"/>
      <c r="K14" s="34"/>
      <c r="L14" s="4"/>
      <c r="M14" s="4"/>
      <c r="N14" s="103"/>
    </row>
    <row r="15" spans="1:14">
      <c r="A15" s="40"/>
      <c r="B15" s="337" t="s">
        <v>183</v>
      </c>
      <c r="C15" s="140" t="s">
        <v>47</v>
      </c>
      <c r="E15" s="148"/>
      <c r="F15" s="322"/>
      <c r="G15" s="316"/>
      <c r="H15" s="323"/>
      <c r="I15" s="316"/>
      <c r="J15" s="316"/>
      <c r="K15" s="34"/>
      <c r="L15" s="34"/>
      <c r="M15" s="34"/>
      <c r="N15" s="103"/>
    </row>
    <row r="16" spans="1:14" ht="13.5" thickBot="1">
      <c r="A16" s="40"/>
      <c r="B16" s="139"/>
      <c r="C16" s="139"/>
      <c r="D16" s="140"/>
      <c r="E16" s="173"/>
      <c r="F16" s="322"/>
      <c r="G16" s="316"/>
      <c r="H16" s="323"/>
      <c r="I16" s="316"/>
      <c r="J16" s="316"/>
      <c r="K16" s="34"/>
      <c r="L16" s="34"/>
      <c r="M16" s="34"/>
      <c r="N16" s="103"/>
    </row>
    <row r="17" spans="1:14" ht="13.5" thickBot="1">
      <c r="A17" s="40"/>
      <c r="D17" s="822" t="s">
        <v>219</v>
      </c>
      <c r="E17" s="823"/>
      <c r="F17" s="823"/>
      <c r="G17" s="824" t="s">
        <v>220</v>
      </c>
      <c r="H17" s="825"/>
      <c r="I17" s="826"/>
      <c r="J17" s="825" t="s">
        <v>221</v>
      </c>
      <c r="K17" s="825"/>
      <c r="L17" s="826"/>
      <c r="M17" s="34"/>
      <c r="N17" s="103"/>
    </row>
    <row r="18" spans="1:14" ht="26.25" thickBot="1">
      <c r="A18" s="40"/>
      <c r="B18" s="701" t="s">
        <v>342</v>
      </c>
      <c r="C18" s="791" t="s">
        <v>343</v>
      </c>
      <c r="D18" s="702" t="s">
        <v>222</v>
      </c>
      <c r="E18" s="702" t="s">
        <v>223</v>
      </c>
      <c r="F18" s="702"/>
      <c r="G18" s="703" t="s">
        <v>222</v>
      </c>
      <c r="H18" s="703" t="s">
        <v>223</v>
      </c>
      <c r="I18" s="703"/>
      <c r="J18" s="703" t="s">
        <v>222</v>
      </c>
      <c r="K18" s="703" t="s">
        <v>223</v>
      </c>
      <c r="L18" s="703"/>
      <c r="M18" s="704" t="s">
        <v>344</v>
      </c>
      <c r="N18" s="103"/>
    </row>
    <row r="19" spans="1:14" ht="8.25" customHeight="1">
      <c r="A19" s="40"/>
      <c r="B19" s="756"/>
      <c r="C19" s="719"/>
      <c r="D19" s="45"/>
      <c r="E19" s="45"/>
      <c r="F19" s="45"/>
      <c r="G19" s="757"/>
      <c r="H19" s="758"/>
      <c r="I19" s="759"/>
      <c r="J19" s="757"/>
      <c r="K19" s="758"/>
      <c r="L19" s="759"/>
      <c r="M19" s="760"/>
      <c r="N19" s="103"/>
    </row>
    <row r="20" spans="1:14" ht="25.5">
      <c r="A20" s="40"/>
      <c r="B20" s="756" t="s">
        <v>345</v>
      </c>
      <c r="C20" s="761" t="s">
        <v>346</v>
      </c>
      <c r="D20" s="45" t="s">
        <v>256</v>
      </c>
      <c r="E20" s="45" t="s">
        <v>276</v>
      </c>
      <c r="F20" s="45"/>
      <c r="G20" s="762" t="s">
        <v>303</v>
      </c>
      <c r="H20" s="45" t="s">
        <v>258</v>
      </c>
      <c r="I20" s="763"/>
      <c r="J20" s="764" t="s">
        <v>347</v>
      </c>
      <c r="K20" s="45" t="s">
        <v>239</v>
      </c>
      <c r="L20" s="763"/>
      <c r="M20" s="760" t="s">
        <v>47</v>
      </c>
      <c r="N20" s="103"/>
    </row>
    <row r="21" spans="1:14" ht="7.5" customHeight="1">
      <c r="A21" s="40"/>
      <c r="B21" s="756"/>
      <c r="C21" s="719"/>
      <c r="D21" s="45"/>
      <c r="E21" s="45"/>
      <c r="F21" s="45"/>
      <c r="G21" s="762"/>
      <c r="H21" s="45"/>
      <c r="I21" s="763"/>
      <c r="J21" s="764"/>
      <c r="K21" s="45"/>
      <c r="L21" s="763"/>
      <c r="M21" s="760"/>
      <c r="N21" s="103"/>
    </row>
    <row r="22" spans="1:14" ht="25.5">
      <c r="A22" s="40"/>
      <c r="B22" s="756" t="s">
        <v>348</v>
      </c>
      <c r="C22" s="761" t="s">
        <v>349</v>
      </c>
      <c r="D22" s="45" t="s">
        <v>233</v>
      </c>
      <c r="E22" s="45" t="s">
        <v>278</v>
      </c>
      <c r="F22" s="45"/>
      <c r="G22" s="762" t="s">
        <v>350</v>
      </c>
      <c r="H22" s="45" t="s">
        <v>351</v>
      </c>
      <c r="I22" s="763"/>
      <c r="J22" s="764" t="s">
        <v>347</v>
      </c>
      <c r="K22" s="45" t="s">
        <v>256</v>
      </c>
      <c r="L22" s="763"/>
      <c r="M22" s="760" t="s">
        <v>47</v>
      </c>
      <c r="N22" s="103"/>
    </row>
    <row r="23" spans="1:14" ht="9" customHeight="1">
      <c r="A23" s="40"/>
      <c r="B23" s="765"/>
      <c r="C23" s="766"/>
      <c r="D23" s="767"/>
      <c r="E23" s="768"/>
      <c r="F23" s="769"/>
      <c r="G23" s="770"/>
      <c r="H23" s="771"/>
      <c r="I23" s="772"/>
      <c r="J23" s="770"/>
      <c r="K23" s="45"/>
      <c r="L23" s="763"/>
      <c r="M23" s="760"/>
      <c r="N23" s="103"/>
    </row>
    <row r="24" spans="1:14" ht="25.5">
      <c r="A24" s="40"/>
      <c r="B24" s="756" t="s">
        <v>352</v>
      </c>
      <c r="C24" s="761" t="s">
        <v>349</v>
      </c>
      <c r="D24" s="773" t="s">
        <v>347</v>
      </c>
      <c r="E24" s="773" t="s">
        <v>347</v>
      </c>
      <c r="F24" s="769"/>
      <c r="G24" s="770" t="s">
        <v>353</v>
      </c>
      <c r="H24" s="771" t="s">
        <v>354</v>
      </c>
      <c r="I24" s="772"/>
      <c r="J24" s="764" t="s">
        <v>347</v>
      </c>
      <c r="K24" s="773" t="s">
        <v>347</v>
      </c>
      <c r="L24" s="763"/>
      <c r="M24" s="760" t="s">
        <v>47</v>
      </c>
      <c r="N24" s="103"/>
    </row>
    <row r="25" spans="1:14" ht="7.5" customHeight="1">
      <c r="A25" s="40"/>
      <c r="B25" s="756"/>
      <c r="C25" s="774"/>
      <c r="D25" s="45"/>
      <c r="E25" s="768"/>
      <c r="F25" s="769"/>
      <c r="G25" s="775"/>
      <c r="H25" s="776"/>
      <c r="I25" s="777"/>
      <c r="J25" s="775"/>
      <c r="K25" s="778"/>
      <c r="L25" s="779"/>
      <c r="M25" s="760"/>
      <c r="N25" s="103"/>
    </row>
    <row r="26" spans="1:14">
      <c r="A26" s="40"/>
      <c r="B26" s="780" t="s">
        <v>355</v>
      </c>
      <c r="C26" s="781"/>
      <c r="D26" s="796" t="s">
        <v>256</v>
      </c>
      <c r="E26" s="783" t="s">
        <v>276</v>
      </c>
      <c r="F26" s="784" t="s">
        <v>236</v>
      </c>
      <c r="G26" s="782" t="s">
        <v>237</v>
      </c>
      <c r="H26" s="783" t="s">
        <v>238</v>
      </c>
      <c r="I26" s="785" t="s">
        <v>254</v>
      </c>
      <c r="J26" s="786" t="s">
        <v>303</v>
      </c>
      <c r="K26" s="787" t="s">
        <v>295</v>
      </c>
      <c r="L26" s="785" t="s">
        <v>236</v>
      </c>
      <c r="M26" s="788"/>
      <c r="N26" s="103"/>
    </row>
    <row r="27" spans="1:14" ht="13.5" thickBot="1">
      <c r="A27" s="40"/>
      <c r="B27" s="705"/>
      <c r="C27" s="706"/>
      <c r="D27" s="707"/>
      <c r="E27" s="707"/>
      <c r="F27" s="707"/>
      <c r="G27" s="707"/>
      <c r="H27" s="707"/>
      <c r="I27" s="708"/>
      <c r="J27" s="708"/>
      <c r="K27" s="708"/>
      <c r="L27" s="708"/>
      <c r="M27" s="709"/>
      <c r="N27" s="103"/>
    </row>
    <row r="28" spans="1:14">
      <c r="A28" s="40"/>
      <c r="D28" s="710"/>
      <c r="E28" s="710"/>
      <c r="F28" s="710"/>
      <c r="G28" s="710"/>
      <c r="H28" s="710"/>
      <c r="I28" s="711"/>
      <c r="J28" s="711"/>
      <c r="K28" s="711"/>
      <c r="L28" s="711"/>
      <c r="M28" s="34"/>
      <c r="N28" s="103"/>
    </row>
    <row r="29" spans="1:14" ht="18">
      <c r="A29" s="40"/>
      <c r="B29" s="7" t="s">
        <v>356</v>
      </c>
      <c r="C29" s="7"/>
      <c r="D29" s="140"/>
      <c r="E29" s="47" t="s">
        <v>357</v>
      </c>
      <c r="G29" s="316"/>
      <c r="H29" s="323"/>
      <c r="I29" s="47" t="s">
        <v>358</v>
      </c>
      <c r="J29" s="139"/>
      <c r="K29" s="34"/>
      <c r="L29" s="34"/>
      <c r="M29" s="34"/>
      <c r="N29" s="103"/>
    </row>
    <row r="30" spans="1:14">
      <c r="A30" s="40"/>
      <c r="B30" s="34" t="s">
        <v>100</v>
      </c>
      <c r="C30" s="712" t="s">
        <v>171</v>
      </c>
      <c r="E30" s="712" t="s">
        <v>460</v>
      </c>
      <c r="G30" s="316"/>
      <c r="H30" s="323"/>
      <c r="I30" s="712" t="s">
        <v>359</v>
      </c>
      <c r="K30" s="34"/>
      <c r="L30" s="140" t="str">
        <f>C14</f>
        <v>Natixis</v>
      </c>
      <c r="M30" s="34"/>
      <c r="N30" s="103"/>
    </row>
    <row r="31" spans="1:14">
      <c r="A31" s="40"/>
      <c r="B31" s="337" t="s">
        <v>99</v>
      </c>
      <c r="C31" s="140">
        <v>228844181.39999989</v>
      </c>
      <c r="E31" s="712" t="s">
        <v>461</v>
      </c>
      <c r="G31" s="325"/>
      <c r="H31" s="326"/>
      <c r="I31" s="712" t="s">
        <v>360</v>
      </c>
      <c r="K31" s="34"/>
      <c r="L31" s="140" t="str">
        <f>C14</f>
        <v>Natixis</v>
      </c>
      <c r="M31" s="34"/>
      <c r="N31" s="103"/>
    </row>
    <row r="32" spans="1:14">
      <c r="A32" s="40"/>
      <c r="B32" s="337" t="s">
        <v>101</v>
      </c>
      <c r="C32" s="487">
        <v>1.0999999999999999E-2</v>
      </c>
      <c r="E32" s="712" t="s">
        <v>462</v>
      </c>
      <c r="G32" s="173"/>
      <c r="H32" s="173"/>
      <c r="I32" s="173"/>
      <c r="J32" s="177"/>
      <c r="K32" s="34"/>
      <c r="L32" s="34"/>
      <c r="M32" s="34"/>
      <c r="N32" s="103"/>
    </row>
    <row r="33" spans="1:14">
      <c r="A33" s="40"/>
      <c r="B33" s="337" t="s">
        <v>172</v>
      </c>
      <c r="C33" s="487">
        <v>1.1999999999999999E-3</v>
      </c>
      <c r="E33" s="712" t="s">
        <v>361</v>
      </c>
      <c r="G33" s="217"/>
      <c r="H33" s="217"/>
      <c r="I33" s="173"/>
      <c r="J33" s="148"/>
      <c r="K33" s="34"/>
      <c r="L33" s="34"/>
      <c r="M33" s="34"/>
      <c r="N33" s="103"/>
    </row>
    <row r="34" spans="1:14">
      <c r="A34" s="40"/>
      <c r="B34" s="337" t="s">
        <v>102</v>
      </c>
      <c r="C34" s="140">
        <v>-205578.36</v>
      </c>
      <c r="E34" s="712" t="s">
        <v>463</v>
      </c>
      <c r="G34" s="173"/>
      <c r="H34" s="173"/>
      <c r="I34" s="173"/>
      <c r="J34" s="148"/>
      <c r="K34" s="34"/>
      <c r="L34" s="34"/>
      <c r="M34" s="34"/>
      <c r="N34" s="103"/>
    </row>
    <row r="35" spans="1:14">
      <c r="A35" s="40"/>
      <c r="B35" s="139"/>
      <c r="C35" s="139"/>
      <c r="D35" s="34"/>
      <c r="E35" s="712" t="s">
        <v>464</v>
      </c>
      <c r="G35" s="177"/>
      <c r="H35" s="177"/>
      <c r="I35" s="177"/>
      <c r="J35" s="177"/>
      <c r="K35" s="34"/>
      <c r="L35" s="34"/>
      <c r="M35" s="34"/>
      <c r="N35" s="103"/>
    </row>
    <row r="36" spans="1:14">
      <c r="A36" s="40"/>
      <c r="E36" s="177"/>
      <c r="F36" s="177"/>
      <c r="G36" s="177"/>
      <c r="H36" s="177"/>
      <c r="I36" s="177"/>
      <c r="J36" s="177"/>
      <c r="K36" s="34"/>
      <c r="L36" s="34"/>
      <c r="M36" s="34"/>
      <c r="N36" s="103"/>
    </row>
    <row r="37" spans="1:14">
      <c r="A37" s="40"/>
      <c r="E37" s="177"/>
      <c r="F37" s="177"/>
      <c r="G37" s="177"/>
      <c r="H37" s="177"/>
      <c r="I37" s="177"/>
      <c r="J37" s="177"/>
      <c r="K37" s="34"/>
      <c r="L37" s="34"/>
      <c r="M37" s="34"/>
      <c r="N37" s="103"/>
    </row>
    <row r="38" spans="1:14">
      <c r="A38" s="60"/>
      <c r="B38" s="61" t="s">
        <v>585</v>
      </c>
      <c r="C38" s="167"/>
      <c r="D38" s="168"/>
      <c r="E38" s="169"/>
      <c r="F38" s="170"/>
      <c r="G38" s="171"/>
      <c r="H38" s="172"/>
      <c r="I38" s="171"/>
      <c r="J38" s="126"/>
      <c r="K38" s="61"/>
      <c r="L38" s="61"/>
      <c r="M38" s="61"/>
      <c r="N38" s="79"/>
    </row>
    <row r="39" spans="1:14">
      <c r="A39" s="34"/>
      <c r="B39" s="337"/>
      <c r="C39" s="139"/>
      <c r="D39" s="140"/>
      <c r="E39" s="156"/>
      <c r="F39" s="157"/>
      <c r="G39" s="141"/>
      <c r="H39" s="158"/>
      <c r="I39" s="141"/>
      <c r="J39" s="102"/>
      <c r="K39" s="34"/>
      <c r="L39" s="34"/>
      <c r="M39" s="34"/>
      <c r="N39" s="34"/>
    </row>
    <row r="40" spans="1:14">
      <c r="A40" s="34"/>
      <c r="B40" s="139"/>
      <c r="C40" s="139"/>
      <c r="D40" s="140"/>
      <c r="E40" s="156"/>
      <c r="F40" s="157"/>
      <c r="G40" s="141"/>
      <c r="H40" s="158"/>
      <c r="I40" s="141"/>
      <c r="J40" s="102"/>
      <c r="K40" s="34"/>
      <c r="L40" s="34"/>
      <c r="M40" s="34"/>
    </row>
    <row r="41" spans="1:14" s="34" customFormat="1">
      <c r="B41" s="139"/>
      <c r="C41" s="139"/>
      <c r="D41" s="140"/>
      <c r="E41" s="156"/>
      <c r="F41" s="157"/>
      <c r="G41" s="141"/>
      <c r="H41" s="158"/>
      <c r="I41" s="141"/>
      <c r="J41" s="102"/>
    </row>
    <row r="42" spans="1:14" s="34" customFormat="1">
      <c r="B42" s="139"/>
      <c r="C42" s="139"/>
      <c r="D42" s="140"/>
      <c r="E42" s="156"/>
      <c r="F42" s="157"/>
      <c r="G42" s="141"/>
      <c r="H42" s="158"/>
      <c r="I42" s="141"/>
      <c r="J42" s="102"/>
    </row>
    <row r="43" spans="1:14" s="4" customFormat="1" ht="15" customHeight="1">
      <c r="B43" s="139"/>
      <c r="C43" s="139"/>
      <c r="D43" s="140"/>
      <c r="E43" s="156"/>
      <c r="F43" s="157"/>
      <c r="G43" s="141"/>
      <c r="H43" s="158"/>
      <c r="I43" s="141"/>
      <c r="J43" s="18"/>
    </row>
    <row r="44" spans="1:14" s="4" customFormat="1">
      <c r="B44" s="139"/>
      <c r="C44" s="139"/>
      <c r="D44" s="140"/>
      <c r="E44" s="156"/>
      <c r="F44" s="157"/>
      <c r="G44" s="141"/>
      <c r="H44" s="158"/>
      <c r="I44" s="141"/>
      <c r="J44" s="18"/>
    </row>
    <row r="45" spans="1:14" s="34" customFormat="1">
      <c r="B45" s="139"/>
      <c r="C45" s="139"/>
      <c r="D45" s="140"/>
      <c r="E45" s="156"/>
      <c r="F45" s="157"/>
      <c r="G45" s="141"/>
      <c r="H45" s="158"/>
      <c r="I45" s="141"/>
      <c r="J45" s="102"/>
    </row>
    <row r="46" spans="1:14" s="34" customFormat="1">
      <c r="B46" s="139"/>
      <c r="C46" s="139"/>
      <c r="D46" s="140"/>
      <c r="E46" s="156"/>
      <c r="F46" s="157"/>
      <c r="G46" s="141"/>
      <c r="H46" s="158"/>
      <c r="I46" s="141"/>
      <c r="J46" s="102"/>
    </row>
    <row r="47" spans="1:14" s="34" customFormat="1">
      <c r="B47" s="139"/>
      <c r="C47" s="139"/>
      <c r="D47" s="140"/>
      <c r="E47" s="156"/>
      <c r="F47" s="157"/>
      <c r="G47" s="141"/>
      <c r="H47" s="158"/>
      <c r="I47" s="141"/>
      <c r="J47" s="102"/>
    </row>
    <row r="48" spans="1:14" s="34" customFormat="1">
      <c r="B48" s="139"/>
      <c r="C48" s="139"/>
      <c r="D48" s="140"/>
      <c r="E48" s="156"/>
      <c r="F48" s="157"/>
      <c r="G48" s="141"/>
      <c r="H48" s="158"/>
      <c r="I48" s="141"/>
      <c r="J48" s="102"/>
    </row>
    <row r="49" spans="2:10" s="34" customFormat="1">
      <c r="B49" s="139"/>
      <c r="C49" s="139"/>
      <c r="D49" s="140"/>
      <c r="E49" s="156"/>
      <c r="F49" s="157"/>
      <c r="G49" s="141"/>
      <c r="H49" s="158"/>
      <c r="I49" s="141"/>
      <c r="J49" s="102"/>
    </row>
    <row r="50" spans="2:10" s="34" customFormat="1">
      <c r="B50" s="139"/>
      <c r="C50" s="139"/>
      <c r="D50" s="140"/>
      <c r="E50" s="156"/>
      <c r="F50" s="157"/>
      <c r="G50" s="141"/>
      <c r="H50" s="158"/>
      <c r="I50" s="141"/>
      <c r="J50" s="102"/>
    </row>
    <row r="51" spans="2:10" s="34" customFormat="1">
      <c r="B51" s="139"/>
      <c r="C51" s="139"/>
      <c r="D51" s="140"/>
      <c r="E51" s="156"/>
      <c r="F51" s="157"/>
      <c r="G51" s="141"/>
      <c r="H51" s="158"/>
      <c r="I51" s="141"/>
      <c r="J51" s="102"/>
    </row>
    <row r="52" spans="2:10" s="34" customFormat="1">
      <c r="B52" s="139"/>
      <c r="C52" s="139"/>
      <c r="D52" s="140"/>
      <c r="E52" s="156"/>
      <c r="F52" s="157"/>
      <c r="G52" s="141"/>
      <c r="H52" s="158"/>
      <c r="I52" s="141"/>
      <c r="J52" s="102"/>
    </row>
    <row r="53" spans="2:10" s="34" customFormat="1" ht="18">
      <c r="B53" s="139"/>
      <c r="C53" s="139"/>
      <c r="D53" s="140"/>
      <c r="E53" s="7"/>
      <c r="F53" s="157"/>
      <c r="G53" s="141"/>
      <c r="H53" s="158"/>
      <c r="I53" s="141"/>
      <c r="J53" s="102"/>
    </row>
    <row r="54" spans="2:10" s="34" customFormat="1">
      <c r="B54" s="139"/>
      <c r="C54" s="139"/>
      <c r="D54" s="140"/>
      <c r="E54" s="156"/>
      <c r="F54" s="157"/>
      <c r="G54" s="141"/>
      <c r="H54" s="158"/>
      <c r="I54" s="141"/>
      <c r="J54" s="102"/>
    </row>
    <row r="55" spans="2:10" s="34" customFormat="1">
      <c r="B55" s="139"/>
      <c r="C55" s="139"/>
      <c r="D55" s="140"/>
      <c r="E55" s="156"/>
      <c r="F55" s="157"/>
      <c r="G55" s="141"/>
      <c r="H55" s="158"/>
      <c r="I55" s="141"/>
      <c r="J55" s="102"/>
    </row>
    <row r="56" spans="2:10" s="34" customFormat="1">
      <c r="B56" s="139"/>
      <c r="C56" s="139"/>
      <c r="D56" s="140"/>
      <c r="E56" s="156"/>
      <c r="F56" s="157"/>
      <c r="G56" s="141"/>
      <c r="H56" s="158"/>
      <c r="I56" s="141"/>
      <c r="J56" s="102"/>
    </row>
    <row r="57" spans="2:10" s="34" customFormat="1">
      <c r="B57" s="139"/>
      <c r="C57" s="139"/>
      <c r="D57" s="140"/>
      <c r="E57" s="156"/>
      <c r="F57" s="157"/>
      <c r="G57" s="141"/>
      <c r="H57" s="158"/>
      <c r="I57" s="141"/>
      <c r="J57" s="102"/>
    </row>
    <row r="58" spans="2:10" s="34" customFormat="1">
      <c r="B58" s="139"/>
      <c r="C58" s="139"/>
      <c r="D58" s="140"/>
      <c r="E58" s="156"/>
      <c r="F58" s="157"/>
      <c r="G58" s="141"/>
      <c r="H58" s="158"/>
      <c r="I58" s="141"/>
      <c r="J58" s="102"/>
    </row>
    <row r="59" spans="2:10" s="34" customFormat="1">
      <c r="B59" s="139"/>
      <c r="C59" s="139"/>
      <c r="D59" s="140"/>
      <c r="E59" s="156"/>
      <c r="F59" s="157"/>
      <c r="G59" s="141"/>
      <c r="H59" s="158"/>
      <c r="I59" s="141"/>
      <c r="J59" s="102"/>
    </row>
    <row r="60" spans="2:10" s="34" customFormat="1">
      <c r="B60" s="139"/>
      <c r="C60" s="139"/>
      <c r="D60" s="140"/>
      <c r="E60" s="156"/>
      <c r="F60" s="157"/>
      <c r="G60" s="141"/>
      <c r="H60" s="158"/>
      <c r="I60" s="141"/>
      <c r="J60" s="102"/>
    </row>
    <row r="61" spans="2:10" s="34" customFormat="1">
      <c r="B61" s="139"/>
      <c r="C61" s="139"/>
      <c r="D61" s="140"/>
      <c r="E61" s="156"/>
      <c r="F61" s="157"/>
      <c r="G61" s="141"/>
      <c r="H61" s="158"/>
      <c r="I61" s="141"/>
      <c r="J61" s="102"/>
    </row>
    <row r="62" spans="2:10" s="34" customFormat="1">
      <c r="B62" s="139"/>
      <c r="C62" s="139"/>
      <c r="D62" s="140"/>
      <c r="E62" s="156"/>
      <c r="F62" s="157"/>
      <c r="G62" s="141"/>
      <c r="H62" s="158"/>
      <c r="I62" s="141"/>
      <c r="J62" s="102"/>
    </row>
    <row r="63" spans="2:10" s="34" customFormat="1">
      <c r="B63" s="139"/>
      <c r="C63" s="139"/>
      <c r="D63" s="140"/>
      <c r="E63" s="156"/>
      <c r="F63" s="157"/>
      <c r="G63" s="141"/>
      <c r="H63" s="158"/>
      <c r="I63" s="141"/>
      <c r="J63" s="102"/>
    </row>
    <row r="64" spans="2:10" s="34" customFormat="1">
      <c r="B64" s="139"/>
      <c r="C64" s="139"/>
      <c r="D64" s="140"/>
      <c r="E64" s="156"/>
      <c r="F64" s="157"/>
      <c r="G64" s="141"/>
      <c r="H64" s="158"/>
      <c r="I64" s="141"/>
      <c r="J64" s="102"/>
    </row>
    <row r="65" spans="2:10" s="34" customFormat="1">
      <c r="B65" s="139"/>
      <c r="C65" s="139"/>
      <c r="D65" s="140"/>
      <c r="E65" s="156"/>
      <c r="F65" s="157"/>
      <c r="G65" s="141"/>
      <c r="H65" s="158"/>
      <c r="I65" s="141"/>
      <c r="J65" s="102"/>
    </row>
    <row r="66" spans="2:10" s="34" customFormat="1">
      <c r="B66" s="139"/>
      <c r="C66" s="139"/>
      <c r="D66" s="140"/>
      <c r="E66" s="156"/>
      <c r="F66" s="157"/>
      <c r="G66" s="141"/>
      <c r="H66" s="158"/>
      <c r="I66" s="141"/>
      <c r="J66" s="102"/>
    </row>
    <row r="67" spans="2:10" s="34" customFormat="1">
      <c r="B67" s="139"/>
      <c r="C67" s="139"/>
      <c r="D67" s="140"/>
      <c r="E67" s="156"/>
      <c r="F67" s="157"/>
      <c r="G67" s="141"/>
      <c r="H67" s="158"/>
      <c r="I67" s="141"/>
      <c r="J67" s="102"/>
    </row>
    <row r="68" spans="2:10" s="34" customFormat="1">
      <c r="B68" s="139"/>
      <c r="C68" s="139"/>
      <c r="D68" s="140"/>
      <c r="E68" s="156"/>
      <c r="F68" s="157"/>
      <c r="G68" s="141"/>
      <c r="H68" s="158"/>
      <c r="I68" s="141"/>
      <c r="J68" s="102"/>
    </row>
    <row r="69" spans="2:10" s="34" customFormat="1">
      <c r="B69" s="139"/>
      <c r="C69" s="139"/>
      <c r="D69" s="140"/>
      <c r="E69" s="156"/>
      <c r="F69" s="157"/>
      <c r="G69" s="141"/>
      <c r="H69" s="158"/>
      <c r="I69" s="141"/>
      <c r="J69" s="102"/>
    </row>
    <row r="70" spans="2:10" s="34" customFormat="1">
      <c r="B70" s="139"/>
      <c r="C70" s="139"/>
      <c r="D70" s="140"/>
      <c r="E70" s="156"/>
      <c r="F70" s="157"/>
      <c r="G70" s="141"/>
      <c r="H70" s="158"/>
      <c r="I70" s="141"/>
      <c r="J70" s="102"/>
    </row>
    <row r="71" spans="2:10" s="34" customFormat="1">
      <c r="B71" s="139"/>
      <c r="C71" s="139"/>
      <c r="D71" s="140"/>
      <c r="E71" s="156"/>
      <c r="F71" s="157"/>
      <c r="G71" s="141"/>
      <c r="H71" s="158"/>
      <c r="I71" s="141"/>
      <c r="J71" s="102"/>
    </row>
    <row r="72" spans="2:10" s="34" customFormat="1">
      <c r="B72" s="139"/>
      <c r="C72" s="139"/>
      <c r="D72" s="140"/>
      <c r="E72" s="156"/>
      <c r="F72" s="157"/>
      <c r="G72" s="141"/>
      <c r="H72" s="158"/>
      <c r="I72" s="141"/>
      <c r="J72" s="102"/>
    </row>
    <row r="73" spans="2:10" s="34" customFormat="1">
      <c r="B73" s="139"/>
      <c r="C73" s="139"/>
      <c r="D73" s="140"/>
      <c r="E73" s="142"/>
      <c r="F73" s="134"/>
      <c r="G73" s="143"/>
      <c r="H73" s="144"/>
      <c r="I73" s="143"/>
      <c r="J73" s="102"/>
    </row>
    <row r="74" spans="2:10" s="34" customFormat="1">
      <c r="B74" s="139"/>
      <c r="C74" s="139"/>
      <c r="D74" s="140"/>
      <c r="E74" s="142"/>
      <c r="F74" s="142"/>
      <c r="G74" s="142"/>
      <c r="H74" s="142"/>
      <c r="I74" s="142"/>
      <c r="J74" s="102"/>
    </row>
    <row r="75" spans="2:10" s="34" customFormat="1">
      <c r="B75" s="139"/>
      <c r="C75" s="139"/>
      <c r="D75" s="140"/>
      <c r="E75" s="142"/>
      <c r="F75" s="142"/>
      <c r="G75" s="142"/>
      <c r="H75" s="142"/>
      <c r="I75" s="142"/>
      <c r="J75" s="102"/>
    </row>
    <row r="76" spans="2:10" s="34" customFormat="1">
      <c r="B76" s="139"/>
      <c r="C76" s="139"/>
      <c r="D76" s="140"/>
      <c r="E76" s="145"/>
      <c r="F76" s="146"/>
      <c r="G76" s="142"/>
      <c r="H76" s="142"/>
      <c r="I76" s="142"/>
      <c r="J76" s="102"/>
    </row>
    <row r="77" spans="2:10" s="34" customFormat="1">
      <c r="B77" s="139"/>
      <c r="C77" s="139"/>
      <c r="D77" s="140"/>
      <c r="E77" s="134"/>
      <c r="F77" s="146"/>
      <c r="G77" s="142"/>
      <c r="H77" s="142"/>
      <c r="I77" s="142"/>
      <c r="J77" s="102"/>
    </row>
    <row r="78" spans="2:10" s="34" customFormat="1">
      <c r="B78" s="139"/>
      <c r="C78" s="139"/>
      <c r="D78" s="140"/>
      <c r="E78" s="142"/>
      <c r="F78" s="146"/>
      <c r="G78" s="142"/>
      <c r="H78" s="142"/>
      <c r="I78" s="142"/>
      <c r="J78" s="102"/>
    </row>
    <row r="79" spans="2:10" s="34" customFormat="1" ht="14.25">
      <c r="B79" s="142"/>
      <c r="C79" s="142"/>
      <c r="D79" s="134"/>
      <c r="E79" s="150"/>
      <c r="F79" s="150"/>
      <c r="G79" s="150"/>
      <c r="H79" s="150"/>
      <c r="I79" s="150"/>
      <c r="J79" s="102"/>
    </row>
    <row r="80" spans="2:10" s="34" customFormat="1" ht="14.25">
      <c r="B80" s="173"/>
      <c r="C80" s="173"/>
      <c r="D80" s="173"/>
      <c r="E80" s="150"/>
      <c r="F80" s="150"/>
      <c r="G80" s="150"/>
      <c r="H80" s="150"/>
      <c r="I80" s="150"/>
      <c r="J80" s="102"/>
    </row>
    <row r="81" spans="2:10" s="34" customFormat="1" ht="14.25">
      <c r="B81" s="173"/>
      <c r="C81" s="173"/>
      <c r="D81" s="173"/>
      <c r="E81" s="151"/>
      <c r="F81" s="152"/>
      <c r="G81" s="150"/>
      <c r="H81" s="150"/>
      <c r="I81" s="150"/>
      <c r="J81" s="102"/>
    </row>
    <row r="82" spans="2:10" s="34" customFormat="1" ht="14.25">
      <c r="B82" s="145"/>
      <c r="C82" s="145"/>
      <c r="D82" s="146"/>
      <c r="E82" s="153"/>
      <c r="F82" s="152"/>
      <c r="G82" s="150"/>
      <c r="H82" s="150"/>
      <c r="I82" s="150"/>
      <c r="J82" s="102"/>
    </row>
    <row r="83" spans="2:10" s="34" customFormat="1" ht="14.25">
      <c r="B83" s="147"/>
      <c r="C83" s="147"/>
      <c r="D83" s="146"/>
      <c r="E83" s="150"/>
      <c r="F83" s="152"/>
      <c r="G83" s="150"/>
      <c r="H83" s="150"/>
      <c r="I83" s="150"/>
      <c r="J83" s="102"/>
    </row>
    <row r="84" spans="2:10" s="34" customFormat="1">
      <c r="B84" s="148"/>
      <c r="C84" s="148"/>
      <c r="D84" s="146"/>
      <c r="E84" s="148"/>
      <c r="F84" s="148"/>
      <c r="G84" s="148"/>
      <c r="J84" s="102"/>
    </row>
    <row r="85" spans="2:10" s="34" customFormat="1">
      <c r="J85" s="102"/>
    </row>
    <row r="86" spans="2:10" s="34" customFormat="1">
      <c r="J86" s="102"/>
    </row>
    <row r="87" spans="2:10" s="34" customFormat="1">
      <c r="J87" s="102"/>
    </row>
    <row r="88" spans="2:10" s="34" customFormat="1">
      <c r="J88" s="102"/>
    </row>
    <row r="89" spans="2:10" s="34" customFormat="1">
      <c r="J89" s="102"/>
    </row>
    <row r="90" spans="2:10" s="34" customFormat="1">
      <c r="J90" s="102"/>
    </row>
    <row r="91" spans="2:10" s="34" customFormat="1">
      <c r="J91" s="102"/>
    </row>
    <row r="92" spans="2:10" s="34" customFormat="1">
      <c r="J92" s="102"/>
    </row>
    <row r="93" spans="2:10" s="34" customFormat="1">
      <c r="J93" s="102"/>
    </row>
    <row r="94" spans="2:10" s="34" customFormat="1">
      <c r="J94" s="102"/>
    </row>
    <row r="95" spans="2:10" s="34" customFormat="1">
      <c r="J95" s="102"/>
    </row>
    <row r="96" spans="2:10" s="34" customFormat="1">
      <c r="J96" s="102"/>
    </row>
    <row r="97" spans="10:10" s="34" customFormat="1">
      <c r="J97" s="102"/>
    </row>
    <row r="98" spans="10:10" s="34" customFormat="1">
      <c r="J98" s="102"/>
    </row>
    <row r="99" spans="10:10" s="34" customFormat="1">
      <c r="J99" s="102"/>
    </row>
    <row r="100" spans="10:10" s="34" customFormat="1">
      <c r="J100" s="102"/>
    </row>
    <row r="101" spans="10:10" s="34" customFormat="1">
      <c r="J101" s="102"/>
    </row>
    <row r="102" spans="10:10" s="34" customFormat="1">
      <c r="J102" s="102"/>
    </row>
    <row r="103" spans="10:10" s="34" customFormat="1">
      <c r="J103" s="102"/>
    </row>
    <row r="104" spans="10:10" s="34" customFormat="1">
      <c r="J104" s="102"/>
    </row>
    <row r="105" spans="10:10" s="34" customFormat="1">
      <c r="J105" s="102"/>
    </row>
    <row r="106" spans="10:10" s="34" customFormat="1">
      <c r="J106" s="102"/>
    </row>
    <row r="107" spans="10:10" s="34" customFormat="1">
      <c r="J107" s="102"/>
    </row>
    <row r="108" spans="10:10" s="34" customFormat="1">
      <c r="J108" s="102"/>
    </row>
    <row r="109" spans="10:10" s="34" customFormat="1">
      <c r="J109" s="102"/>
    </row>
    <row r="110" spans="10:10" s="34" customFormat="1">
      <c r="J110" s="102"/>
    </row>
    <row r="111" spans="10:10" s="34" customFormat="1">
      <c r="J111" s="102"/>
    </row>
    <row r="112" spans="10:10" s="34" customFormat="1">
      <c r="J112" s="102"/>
    </row>
    <row r="113" spans="10:10" s="34" customFormat="1">
      <c r="J113" s="102"/>
    </row>
    <row r="114" spans="10:10" s="34" customFormat="1">
      <c r="J114" s="102"/>
    </row>
    <row r="115" spans="10:10" s="34" customFormat="1">
      <c r="J115" s="102"/>
    </row>
    <row r="116" spans="10:10" s="34" customFormat="1">
      <c r="J116" s="102"/>
    </row>
    <row r="117" spans="10:10" s="34" customFormat="1">
      <c r="J117" s="102"/>
    </row>
    <row r="118" spans="10:10" s="34" customFormat="1">
      <c r="J118" s="102"/>
    </row>
    <row r="119" spans="10:10" s="34" customFormat="1">
      <c r="J119" s="102"/>
    </row>
    <row r="120" spans="10:10" s="34" customFormat="1">
      <c r="J120" s="102"/>
    </row>
    <row r="121" spans="10:10" s="34" customFormat="1">
      <c r="J121" s="102"/>
    </row>
    <row r="122" spans="10:10" s="34" customFormat="1">
      <c r="J122" s="102"/>
    </row>
    <row r="123" spans="10:10" s="34" customFormat="1">
      <c r="J123" s="102"/>
    </row>
    <row r="124" spans="10:10" s="34" customFormat="1">
      <c r="J124" s="102"/>
    </row>
    <row r="125" spans="10:10" s="34" customFormat="1">
      <c r="J125" s="102"/>
    </row>
    <row r="126" spans="10:10" s="34" customFormat="1">
      <c r="J126" s="102"/>
    </row>
    <row r="127" spans="10:10" s="34" customFormat="1">
      <c r="J127" s="102"/>
    </row>
    <row r="128" spans="10:10" s="34" customFormat="1">
      <c r="J128" s="102"/>
    </row>
    <row r="129" spans="10:10" s="34" customFormat="1">
      <c r="J129" s="102"/>
    </row>
    <row r="130" spans="10:10" s="34" customFormat="1">
      <c r="J130" s="102"/>
    </row>
    <row r="131" spans="10:10" s="34" customFormat="1">
      <c r="J131" s="102"/>
    </row>
    <row r="132" spans="10:10" s="34" customFormat="1">
      <c r="J132" s="102"/>
    </row>
    <row r="133" spans="10:10" s="34" customFormat="1">
      <c r="J133" s="102"/>
    </row>
    <row r="134" spans="10:10" s="34" customFormat="1">
      <c r="J134" s="102"/>
    </row>
    <row r="135" spans="10:10" s="34" customFormat="1">
      <c r="J135" s="102"/>
    </row>
    <row r="136" spans="10:10" s="34" customFormat="1">
      <c r="J136" s="102"/>
    </row>
    <row r="137" spans="10:10" s="34" customFormat="1">
      <c r="J137" s="102"/>
    </row>
    <row r="138" spans="10:10" s="34" customFormat="1">
      <c r="J138" s="102"/>
    </row>
    <row r="139" spans="10:10" s="34" customFormat="1">
      <c r="J139" s="102"/>
    </row>
    <row r="140" spans="10:10" s="34" customFormat="1">
      <c r="J140" s="102"/>
    </row>
    <row r="141" spans="10:10" s="34" customFormat="1">
      <c r="J141" s="102"/>
    </row>
    <row r="142" spans="10:10" s="34" customFormat="1">
      <c r="J142" s="102"/>
    </row>
    <row r="143" spans="10:10" s="34" customFormat="1">
      <c r="J143" s="102"/>
    </row>
    <row r="144" spans="10:10" s="34" customFormat="1">
      <c r="J144" s="102"/>
    </row>
    <row r="145" spans="10:10" s="34" customFormat="1">
      <c r="J145" s="102"/>
    </row>
    <row r="146" spans="10:10" s="34" customFormat="1">
      <c r="J146" s="102"/>
    </row>
    <row r="147" spans="10:10" s="34" customFormat="1">
      <c r="J147" s="102"/>
    </row>
    <row r="148" spans="10:10" s="34" customFormat="1">
      <c r="J148" s="102"/>
    </row>
    <row r="149" spans="10:10" s="34" customFormat="1">
      <c r="J149" s="102"/>
    </row>
    <row r="150" spans="10:10" s="34" customFormat="1">
      <c r="J150" s="102"/>
    </row>
    <row r="151" spans="10:10" s="34" customFormat="1">
      <c r="J151" s="102"/>
    </row>
    <row r="152" spans="10:10" s="34" customFormat="1">
      <c r="J152" s="102"/>
    </row>
    <row r="153" spans="10:10" s="34" customFormat="1">
      <c r="J153" s="102"/>
    </row>
    <row r="154" spans="10:10" s="34" customFormat="1">
      <c r="J154" s="102"/>
    </row>
    <row r="155" spans="10:10" s="34" customFormat="1">
      <c r="J155" s="102"/>
    </row>
    <row r="156" spans="10:10" s="34" customFormat="1">
      <c r="J156" s="102"/>
    </row>
    <row r="157" spans="10:10" s="34" customFormat="1">
      <c r="J157" s="102"/>
    </row>
    <row r="158" spans="10:10" s="34" customFormat="1">
      <c r="J158" s="102"/>
    </row>
    <row r="159" spans="10:10" s="34" customFormat="1">
      <c r="J159" s="102"/>
    </row>
    <row r="160" spans="10:10" s="34" customFormat="1">
      <c r="J160" s="102"/>
    </row>
    <row r="161" spans="10:10" s="34" customFormat="1">
      <c r="J161" s="102"/>
    </row>
    <row r="162" spans="10:10" s="34" customFormat="1">
      <c r="J162" s="102"/>
    </row>
    <row r="163" spans="10:10" s="34" customFormat="1">
      <c r="J163" s="102"/>
    </row>
    <row r="164" spans="10:10" s="34" customFormat="1">
      <c r="J164" s="102"/>
    </row>
    <row r="165" spans="10:10" s="34" customFormat="1">
      <c r="J165" s="102"/>
    </row>
    <row r="166" spans="10:10" s="34" customFormat="1">
      <c r="J166" s="102"/>
    </row>
    <row r="167" spans="10:10" s="34" customFormat="1">
      <c r="J167" s="102"/>
    </row>
    <row r="168" spans="10:10" s="34" customFormat="1">
      <c r="J168" s="102"/>
    </row>
    <row r="169" spans="10:10" s="34" customFormat="1">
      <c r="J169" s="102"/>
    </row>
    <row r="170" spans="10:10" s="34" customFormat="1">
      <c r="J170" s="102"/>
    </row>
    <row r="171" spans="10:10" s="34" customFormat="1">
      <c r="J171" s="102"/>
    </row>
    <row r="172" spans="10:10" s="34" customFormat="1">
      <c r="J172" s="102"/>
    </row>
    <row r="173" spans="10:10" s="34" customFormat="1">
      <c r="J173" s="102"/>
    </row>
    <row r="174" spans="10:10" s="34" customFormat="1">
      <c r="J174" s="102"/>
    </row>
    <row r="175" spans="10:10" s="34" customFormat="1">
      <c r="J175" s="102"/>
    </row>
    <row r="176" spans="10:10" s="34" customFormat="1">
      <c r="J176" s="102"/>
    </row>
    <row r="177" spans="10:10" s="34" customFormat="1">
      <c r="J177" s="102"/>
    </row>
    <row r="178" spans="10:10" s="34" customFormat="1">
      <c r="J178" s="102"/>
    </row>
    <row r="179" spans="10:10" s="34" customFormat="1">
      <c r="J179" s="102"/>
    </row>
    <row r="180" spans="10:10" s="34" customFormat="1">
      <c r="J180" s="102"/>
    </row>
    <row r="181" spans="10:10" s="34" customFormat="1">
      <c r="J181" s="102"/>
    </row>
    <row r="182" spans="10:10" s="34" customFormat="1">
      <c r="J182" s="102"/>
    </row>
    <row r="183" spans="10:10" s="34" customFormat="1">
      <c r="J183" s="102"/>
    </row>
    <row r="184" spans="10:10" s="34" customFormat="1">
      <c r="J184" s="102"/>
    </row>
    <row r="185" spans="10:10" s="34" customFormat="1">
      <c r="J185" s="102"/>
    </row>
    <row r="186" spans="10:10" s="34" customFormat="1">
      <c r="J186" s="102"/>
    </row>
    <row r="187" spans="10:10" s="34" customFormat="1">
      <c r="J187" s="102"/>
    </row>
    <row r="188" spans="10:10" s="34" customFormat="1">
      <c r="J188" s="102"/>
    </row>
    <row r="189" spans="10:10" s="34" customFormat="1">
      <c r="J189" s="102"/>
    </row>
    <row r="190" spans="10:10" s="34" customFormat="1">
      <c r="J190" s="102"/>
    </row>
    <row r="191" spans="10:10" s="34" customFormat="1">
      <c r="J191" s="102"/>
    </row>
    <row r="192" spans="10:10" s="34" customFormat="1">
      <c r="J192" s="102"/>
    </row>
    <row r="193" spans="10:10" s="34" customFormat="1">
      <c r="J193" s="102"/>
    </row>
    <row r="194" spans="10:10" s="34" customFormat="1">
      <c r="J194" s="102"/>
    </row>
    <row r="195" spans="10:10" s="34" customFormat="1">
      <c r="J195" s="102"/>
    </row>
    <row r="196" spans="10:10" s="34" customFormat="1">
      <c r="J196" s="102"/>
    </row>
    <row r="197" spans="10:10" s="34" customFormat="1">
      <c r="J197" s="102"/>
    </row>
    <row r="198" spans="10:10" s="34" customFormat="1">
      <c r="J198" s="102"/>
    </row>
    <row r="199" spans="10:10" s="34" customFormat="1">
      <c r="J199" s="102"/>
    </row>
    <row r="200" spans="10:10" s="34" customFormat="1">
      <c r="J200" s="102"/>
    </row>
    <row r="201" spans="10:10" s="34" customFormat="1">
      <c r="J201" s="102"/>
    </row>
    <row r="202" spans="10:10" s="34" customFormat="1">
      <c r="J202" s="102"/>
    </row>
    <row r="203" spans="10:10" s="34" customFormat="1">
      <c r="J203" s="102"/>
    </row>
    <row r="204" spans="10:10" s="34" customFormat="1">
      <c r="J204" s="102"/>
    </row>
    <row r="205" spans="10:10" s="34" customFormat="1">
      <c r="J205" s="102"/>
    </row>
    <row r="206" spans="10:10" s="34" customFormat="1">
      <c r="J206" s="102"/>
    </row>
    <row r="207" spans="10:10" s="34" customFormat="1">
      <c r="J207" s="102"/>
    </row>
    <row r="208" spans="10:10" s="34" customFormat="1">
      <c r="J208" s="102"/>
    </row>
    <row r="209" spans="10:10" s="34" customFormat="1">
      <c r="J209" s="102"/>
    </row>
    <row r="210" spans="10:10" s="34" customFormat="1">
      <c r="J210" s="102"/>
    </row>
    <row r="211" spans="10:10" s="34" customFormat="1">
      <c r="J211" s="102"/>
    </row>
    <row r="212" spans="10:10" s="34" customFormat="1">
      <c r="J212" s="102"/>
    </row>
    <row r="213" spans="10:10" s="34" customFormat="1">
      <c r="J213" s="102"/>
    </row>
    <row r="214" spans="10:10" s="34" customFormat="1">
      <c r="J214" s="102"/>
    </row>
    <row r="215" spans="10:10" s="34" customFormat="1">
      <c r="J215" s="102"/>
    </row>
    <row r="216" spans="10:10" s="34" customFormat="1">
      <c r="J216" s="102"/>
    </row>
    <row r="217" spans="10:10" s="34" customFormat="1">
      <c r="J217" s="102"/>
    </row>
    <row r="218" spans="10:10" s="34" customFormat="1">
      <c r="J218" s="102"/>
    </row>
    <row r="219" spans="10:10" s="34" customFormat="1">
      <c r="J219" s="102"/>
    </row>
    <row r="220" spans="10:10" s="34" customFormat="1">
      <c r="J220" s="102"/>
    </row>
    <row r="221" spans="10:10" s="34" customFormat="1">
      <c r="J221" s="102"/>
    </row>
    <row r="222" spans="10:10" s="34" customFormat="1">
      <c r="J222" s="102"/>
    </row>
    <row r="223" spans="10:10" s="34" customFormat="1">
      <c r="J223" s="102"/>
    </row>
    <row r="224" spans="10:10" s="34" customFormat="1">
      <c r="J224" s="102"/>
    </row>
    <row r="225" spans="10:10" s="34" customFormat="1">
      <c r="J225" s="102"/>
    </row>
    <row r="226" spans="10:10" s="34" customFormat="1">
      <c r="J226" s="102"/>
    </row>
    <row r="227" spans="10:10" s="34" customFormat="1">
      <c r="J227" s="102"/>
    </row>
    <row r="228" spans="10:10" s="34" customFormat="1">
      <c r="J228" s="102"/>
    </row>
    <row r="229" spans="10:10" s="34" customFormat="1">
      <c r="J229" s="102"/>
    </row>
    <row r="230" spans="10:10" s="34" customFormat="1">
      <c r="J230" s="102"/>
    </row>
    <row r="231" spans="10:10" s="34" customFormat="1">
      <c r="J231" s="102"/>
    </row>
    <row r="232" spans="10:10" s="34" customFormat="1">
      <c r="J232" s="102"/>
    </row>
    <row r="233" spans="10:10" s="34" customFormat="1">
      <c r="J233" s="102"/>
    </row>
    <row r="234" spans="10:10" s="34" customFormat="1">
      <c r="J234" s="102"/>
    </row>
    <row r="235" spans="10:10" s="34" customFormat="1">
      <c r="J235" s="102"/>
    </row>
    <row r="236" spans="10:10" s="34" customFormat="1">
      <c r="J236" s="102"/>
    </row>
    <row r="237" spans="10:10" s="34" customFormat="1">
      <c r="J237" s="102"/>
    </row>
    <row r="238" spans="10:10" s="34" customFormat="1">
      <c r="J238" s="102"/>
    </row>
    <row r="239" spans="10:10" s="34" customFormat="1">
      <c r="J239" s="102"/>
    </row>
    <row r="240" spans="10:10" s="34" customFormat="1">
      <c r="J240" s="102"/>
    </row>
    <row r="241" spans="10:10" s="34" customFormat="1">
      <c r="J241" s="102"/>
    </row>
    <row r="242" spans="10:10" s="34" customFormat="1">
      <c r="J242" s="102"/>
    </row>
    <row r="243" spans="10:10" s="34" customFormat="1">
      <c r="J243" s="102"/>
    </row>
    <row r="244" spans="10:10" s="34" customFormat="1">
      <c r="J244" s="102"/>
    </row>
    <row r="245" spans="10:10" s="34" customFormat="1">
      <c r="J245" s="102"/>
    </row>
    <row r="246" spans="10:10" s="34" customFormat="1">
      <c r="J246" s="102"/>
    </row>
    <row r="247" spans="10:10" s="34" customFormat="1">
      <c r="J247" s="102"/>
    </row>
    <row r="248" spans="10:10" s="34" customFormat="1">
      <c r="J248" s="102"/>
    </row>
    <row r="249" spans="10:10" s="34" customFormat="1">
      <c r="J249" s="102"/>
    </row>
    <row r="250" spans="10:10" s="34" customFormat="1">
      <c r="J250" s="102"/>
    </row>
    <row r="251" spans="10:10" s="34" customFormat="1">
      <c r="J251" s="102"/>
    </row>
    <row r="252" spans="10:10" s="34" customFormat="1">
      <c r="J252" s="102"/>
    </row>
    <row r="253" spans="10:10" s="34" customFormat="1">
      <c r="J253" s="102"/>
    </row>
    <row r="254" spans="10:10" s="34" customFormat="1">
      <c r="J254" s="102"/>
    </row>
    <row r="255" spans="10:10" s="34" customFormat="1">
      <c r="J255" s="102"/>
    </row>
    <row r="256" spans="10:10" s="34" customFormat="1">
      <c r="J256" s="102"/>
    </row>
    <row r="257" spans="10:10" s="34" customFormat="1">
      <c r="J257" s="102"/>
    </row>
    <row r="258" spans="10:10" s="34" customFormat="1">
      <c r="J258" s="102"/>
    </row>
    <row r="259" spans="10:10" s="34" customFormat="1">
      <c r="J259" s="102"/>
    </row>
    <row r="260" spans="10:10" s="34" customFormat="1">
      <c r="J260" s="102"/>
    </row>
    <row r="261" spans="10:10" s="34" customFormat="1">
      <c r="J261" s="102"/>
    </row>
    <row r="262" spans="10:10" s="34" customFormat="1">
      <c r="J262" s="102"/>
    </row>
    <row r="263" spans="10:10" s="34" customFormat="1">
      <c r="J263" s="102"/>
    </row>
    <row r="264" spans="10:10" s="34" customFormat="1">
      <c r="J264" s="102"/>
    </row>
    <row r="265" spans="10:10" s="34" customFormat="1">
      <c r="J265" s="102"/>
    </row>
    <row r="266" spans="10:10" s="34" customFormat="1">
      <c r="J266" s="102"/>
    </row>
    <row r="267" spans="10:10" s="34" customFormat="1">
      <c r="J267" s="102"/>
    </row>
    <row r="268" spans="10:10" s="34" customFormat="1">
      <c r="J268" s="102"/>
    </row>
    <row r="269" spans="10:10" s="34" customFormat="1">
      <c r="J269" s="102"/>
    </row>
    <row r="270" spans="10:10" s="34" customFormat="1">
      <c r="J270" s="102"/>
    </row>
    <row r="271" spans="10:10" s="34" customFormat="1">
      <c r="J271" s="102"/>
    </row>
    <row r="272" spans="10:10" s="34" customFormat="1">
      <c r="J272" s="102"/>
    </row>
    <row r="273" spans="10:10" s="34" customFormat="1">
      <c r="J273" s="102"/>
    </row>
    <row r="274" spans="10:10" s="34" customFormat="1">
      <c r="J274" s="102"/>
    </row>
    <row r="275" spans="10:10" s="34" customFormat="1">
      <c r="J275" s="102"/>
    </row>
    <row r="276" spans="10:10" s="34" customFormat="1">
      <c r="J276" s="102"/>
    </row>
    <row r="277" spans="10:10" s="34" customFormat="1">
      <c r="J277" s="102"/>
    </row>
    <row r="278" spans="10:10" s="34" customFormat="1">
      <c r="J278" s="102"/>
    </row>
    <row r="279" spans="10:10" s="34" customFormat="1">
      <c r="J279" s="102"/>
    </row>
    <row r="280" spans="10:10" s="34" customFormat="1">
      <c r="J280" s="102"/>
    </row>
    <row r="281" spans="10:10" s="34" customFormat="1">
      <c r="J281" s="102"/>
    </row>
    <row r="282" spans="10:10" s="34" customFormat="1">
      <c r="J282" s="102"/>
    </row>
    <row r="283" spans="10:10" s="34" customFormat="1">
      <c r="J283" s="102"/>
    </row>
    <row r="284" spans="10:10" s="34" customFormat="1">
      <c r="J284" s="102"/>
    </row>
    <row r="285" spans="10:10" s="34" customFormat="1">
      <c r="J285" s="102"/>
    </row>
    <row r="286" spans="10:10" s="34" customFormat="1">
      <c r="J286" s="102"/>
    </row>
    <row r="287" spans="10:10" s="34" customFormat="1">
      <c r="J287" s="102"/>
    </row>
    <row r="288" spans="10:10" s="34" customFormat="1">
      <c r="J288" s="102"/>
    </row>
    <row r="289" spans="10:10" s="34" customFormat="1">
      <c r="J289" s="102"/>
    </row>
    <row r="290" spans="10:10" s="34" customFormat="1">
      <c r="J290" s="102"/>
    </row>
    <row r="291" spans="10:10" s="34" customFormat="1">
      <c r="J291" s="102"/>
    </row>
    <row r="292" spans="10:10" s="34" customFormat="1">
      <c r="J292" s="102"/>
    </row>
    <row r="293" spans="10:10" s="34" customFormat="1">
      <c r="J293" s="102"/>
    </row>
    <row r="294" spans="10:10" s="34" customFormat="1">
      <c r="J294" s="102"/>
    </row>
    <row r="295" spans="10:10" s="34" customFormat="1">
      <c r="J295" s="102"/>
    </row>
    <row r="296" spans="10:10" s="34" customFormat="1">
      <c r="J296" s="102"/>
    </row>
    <row r="297" spans="10:10" s="34" customFormat="1">
      <c r="J297" s="102"/>
    </row>
    <row r="298" spans="10:10" s="34" customFormat="1">
      <c r="J298" s="102"/>
    </row>
    <row r="299" spans="10:10" s="34" customFormat="1">
      <c r="J299" s="102"/>
    </row>
    <row r="300" spans="10:10" s="34" customFormat="1">
      <c r="J300" s="102"/>
    </row>
    <row r="301" spans="10:10" s="34" customFormat="1">
      <c r="J301" s="102"/>
    </row>
    <row r="302" spans="10:10" s="34" customFormat="1">
      <c r="J302" s="102"/>
    </row>
    <row r="303" spans="10:10" s="34" customFormat="1"/>
    <row r="304" spans="10:10" s="34" customFormat="1"/>
    <row r="305" s="34" customFormat="1"/>
    <row r="306" s="34" customFormat="1"/>
    <row r="307" s="34" customFormat="1"/>
    <row r="308" s="34" customFormat="1"/>
    <row r="309" s="34" customFormat="1"/>
    <row r="310" s="34" customFormat="1"/>
    <row r="311" s="34" customFormat="1"/>
    <row r="312" s="34" customFormat="1"/>
    <row r="313" s="34" customFormat="1"/>
    <row r="314" s="34" customFormat="1"/>
    <row r="315" s="34" customFormat="1"/>
    <row r="316" s="34" customFormat="1"/>
    <row r="317" s="34" customFormat="1"/>
    <row r="318" s="34" customFormat="1"/>
    <row r="319" s="34" customFormat="1"/>
    <row r="320" s="34" customFormat="1"/>
    <row r="321" s="34" customFormat="1"/>
    <row r="322" s="34" customFormat="1"/>
    <row r="323" s="34" customFormat="1"/>
    <row r="324" s="34" customFormat="1"/>
    <row r="325" s="34" customFormat="1"/>
    <row r="326" s="34" customFormat="1"/>
    <row r="327" s="34" customFormat="1"/>
    <row r="328" s="34" customFormat="1"/>
    <row r="329" s="34" customFormat="1"/>
    <row r="330" s="34" customFormat="1"/>
    <row r="331" s="34" customFormat="1"/>
    <row r="332" s="34" customFormat="1"/>
    <row r="333" s="34" customFormat="1"/>
    <row r="334" s="34" customFormat="1"/>
    <row r="335" s="34" customFormat="1"/>
    <row r="336" s="34" customFormat="1"/>
    <row r="337" s="34" customFormat="1"/>
    <row r="338" s="34" customFormat="1"/>
    <row r="339" s="34" customFormat="1"/>
    <row r="340" s="34" customFormat="1"/>
    <row r="341" s="34" customFormat="1"/>
    <row r="342" s="34" customFormat="1"/>
    <row r="343" s="34" customFormat="1"/>
    <row r="344" s="34" customFormat="1"/>
    <row r="345" s="34" customFormat="1"/>
    <row r="346" s="34" customFormat="1"/>
    <row r="347" s="34" customFormat="1"/>
    <row r="348" s="34" customFormat="1"/>
    <row r="349" s="34" customFormat="1"/>
    <row r="350" s="34" customFormat="1"/>
    <row r="351" s="34" customFormat="1"/>
    <row r="352" s="34" customFormat="1"/>
    <row r="353" s="34" customFormat="1"/>
    <row r="354" s="34" customFormat="1"/>
    <row r="355" s="34" customFormat="1"/>
    <row r="356" s="34" customFormat="1"/>
    <row r="357" s="34" customFormat="1"/>
    <row r="358" s="34" customFormat="1"/>
    <row r="359" s="34" customFormat="1"/>
    <row r="360" s="34" customFormat="1"/>
    <row r="361" s="34" customFormat="1"/>
    <row r="362" s="34" customFormat="1"/>
    <row r="363" s="34" customFormat="1"/>
    <row r="364" s="34" customFormat="1"/>
    <row r="365" s="34" customFormat="1"/>
    <row r="366" s="34" customFormat="1"/>
    <row r="367" s="34" customFormat="1"/>
    <row r="368" s="34" customFormat="1"/>
    <row r="369" s="34" customFormat="1"/>
    <row r="370" s="34" customFormat="1"/>
    <row r="371" s="34" customFormat="1"/>
    <row r="372" s="34" customFormat="1"/>
    <row r="373" s="34" customFormat="1"/>
    <row r="374" s="34" customFormat="1"/>
    <row r="375" s="34" customFormat="1"/>
    <row r="376" s="34" customFormat="1"/>
    <row r="377" s="34" customFormat="1"/>
    <row r="378" s="34" customFormat="1"/>
    <row r="379" s="34" customFormat="1"/>
    <row r="380" s="34" customFormat="1"/>
    <row r="381" s="34" customFormat="1"/>
    <row r="382" s="34" customFormat="1"/>
    <row r="383" s="34" customFormat="1"/>
    <row r="384" s="34" customFormat="1"/>
    <row r="385" s="34" customFormat="1"/>
    <row r="386" s="34" customFormat="1"/>
    <row r="387" s="34" customFormat="1"/>
    <row r="388" s="34" customFormat="1"/>
    <row r="389" s="34" customFormat="1"/>
    <row r="390" s="34" customFormat="1"/>
    <row r="391" s="34" customFormat="1"/>
    <row r="392" s="34" customFormat="1"/>
    <row r="393" s="34" customFormat="1"/>
    <row r="394" s="34" customFormat="1"/>
    <row r="395" s="34" customFormat="1"/>
    <row r="396" s="34" customFormat="1"/>
    <row r="397" s="34" customFormat="1"/>
    <row r="398" s="34" customFormat="1"/>
    <row r="399" s="34" customFormat="1"/>
    <row r="400" s="34" customFormat="1"/>
    <row r="401" s="34" customFormat="1"/>
    <row r="402" s="34" customFormat="1"/>
    <row r="403" s="34" customFormat="1"/>
    <row r="404" s="34" customFormat="1"/>
    <row r="405" s="34" customFormat="1"/>
    <row r="406" s="34" customFormat="1"/>
    <row r="407" s="34" customFormat="1"/>
    <row r="408" s="34" customFormat="1"/>
    <row r="409" s="34" customFormat="1"/>
    <row r="410" s="34" customFormat="1"/>
    <row r="411" s="34" customFormat="1"/>
    <row r="412" s="34" customFormat="1"/>
    <row r="413" s="34" customFormat="1"/>
    <row r="414" s="34" customFormat="1"/>
    <row r="415" s="34" customFormat="1"/>
    <row r="416" s="34" customFormat="1"/>
    <row r="417" s="34" customFormat="1"/>
    <row r="418" s="34" customFormat="1"/>
    <row r="419" s="34" customFormat="1"/>
    <row r="420" s="34" customFormat="1"/>
    <row r="421" s="34" customFormat="1"/>
    <row r="422" s="34" customFormat="1"/>
    <row r="423" s="34" customFormat="1"/>
    <row r="424" s="34" customFormat="1"/>
    <row r="425" s="34" customFormat="1"/>
    <row r="426" s="34" customFormat="1"/>
    <row r="427" s="34" customFormat="1"/>
    <row r="428" s="34" customFormat="1"/>
    <row r="429" s="34" customFormat="1"/>
    <row r="430" s="34" customFormat="1"/>
    <row r="431" s="34" customFormat="1"/>
    <row r="432" s="34" customFormat="1"/>
    <row r="433" s="34" customFormat="1"/>
    <row r="434" s="34" customFormat="1"/>
    <row r="435" s="34" customFormat="1"/>
    <row r="436" s="34" customFormat="1"/>
    <row r="437" s="34" customFormat="1"/>
    <row r="438" s="34" customFormat="1"/>
    <row r="439" s="34" customFormat="1"/>
    <row r="440" s="34" customFormat="1"/>
    <row r="441" s="34" customFormat="1"/>
    <row r="442" s="34" customFormat="1"/>
    <row r="443" s="34" customFormat="1"/>
    <row r="444" s="34" customFormat="1"/>
    <row r="445" s="34" customFormat="1"/>
    <row r="446" s="34" customFormat="1"/>
    <row r="447" s="34" customFormat="1"/>
    <row r="448" s="34" customFormat="1"/>
    <row r="449" s="34" customFormat="1"/>
    <row r="450" s="34" customFormat="1"/>
    <row r="451" s="34" customFormat="1"/>
    <row r="452" s="34" customFormat="1"/>
    <row r="453" s="34" customFormat="1"/>
    <row r="454" s="34" customFormat="1"/>
    <row r="455" s="34" customFormat="1"/>
    <row r="456" s="34" customFormat="1"/>
    <row r="457" s="34" customFormat="1"/>
    <row r="458" s="34" customFormat="1"/>
    <row r="459" s="34" customFormat="1"/>
    <row r="460" s="34" customFormat="1"/>
    <row r="461" s="34" customFormat="1"/>
    <row r="462" s="34" customFormat="1"/>
    <row r="463" s="34" customFormat="1"/>
    <row r="464" s="34" customFormat="1"/>
    <row r="465" s="34" customFormat="1"/>
    <row r="466" s="34" customFormat="1"/>
    <row r="467" s="34" customFormat="1"/>
    <row r="468" s="34" customFormat="1"/>
    <row r="469" s="34" customFormat="1"/>
    <row r="470" s="34" customFormat="1"/>
    <row r="471" s="34" customFormat="1"/>
    <row r="472" s="34" customFormat="1"/>
    <row r="473" s="34" customFormat="1"/>
    <row r="474" s="34" customFormat="1"/>
    <row r="475" s="34" customFormat="1"/>
    <row r="476" s="34" customFormat="1"/>
    <row r="477" s="34" customFormat="1"/>
    <row r="478" s="34" customFormat="1"/>
    <row r="479" s="34" customFormat="1"/>
    <row r="480" s="34" customFormat="1"/>
    <row r="481" s="34" customFormat="1"/>
    <row r="482" s="34" customFormat="1"/>
    <row r="483" s="34" customFormat="1"/>
    <row r="484" s="34" customFormat="1"/>
    <row r="485" s="34" customFormat="1"/>
    <row r="486" s="34" customFormat="1"/>
    <row r="487" s="34" customFormat="1"/>
    <row r="488" s="34" customFormat="1"/>
    <row r="489" s="34" customFormat="1"/>
    <row r="490" s="34" customFormat="1"/>
    <row r="491" s="34" customFormat="1"/>
    <row r="492" s="34" customFormat="1"/>
    <row r="493" s="34" customFormat="1"/>
    <row r="494" s="34" customFormat="1"/>
    <row r="495" s="34" customFormat="1"/>
    <row r="496" s="34" customFormat="1"/>
    <row r="497" s="34" customFormat="1"/>
    <row r="498" s="34" customFormat="1"/>
    <row r="499" s="34" customFormat="1"/>
    <row r="500" s="34" customFormat="1"/>
    <row r="501" s="34" customFormat="1"/>
    <row r="502" s="34" customFormat="1"/>
    <row r="503" s="34" customFormat="1"/>
    <row r="504" s="34" customFormat="1"/>
    <row r="505" s="34" customFormat="1"/>
    <row r="506" s="34" customFormat="1"/>
    <row r="507" s="34" customFormat="1"/>
    <row r="508" s="34" customFormat="1"/>
    <row r="509" s="34" customFormat="1"/>
    <row r="510" s="34" customFormat="1"/>
    <row r="511" s="34" customFormat="1"/>
    <row r="512" s="34" customFormat="1"/>
    <row r="513" s="34" customFormat="1"/>
    <row r="514" s="34" customFormat="1"/>
    <row r="515" s="34" customFormat="1"/>
    <row r="516" s="34" customFormat="1"/>
    <row r="517" s="34" customFormat="1"/>
    <row r="518" s="34" customFormat="1"/>
    <row r="519" s="34" customFormat="1"/>
    <row r="520" s="34" customFormat="1"/>
    <row r="521" s="34" customFormat="1"/>
    <row r="522" s="34" customFormat="1"/>
    <row r="523" s="34" customFormat="1"/>
    <row r="524" s="34" customFormat="1"/>
    <row r="525" s="34" customFormat="1"/>
    <row r="526" s="34" customFormat="1"/>
    <row r="527" s="34" customFormat="1"/>
    <row r="528" s="34" customFormat="1"/>
    <row r="529" s="34" customFormat="1"/>
    <row r="530" s="34" customFormat="1"/>
    <row r="531" s="34" customFormat="1"/>
    <row r="532" s="34" customFormat="1"/>
    <row r="533" s="34" customFormat="1"/>
    <row r="534" s="34" customFormat="1"/>
    <row r="535" s="34" customFormat="1"/>
    <row r="536" s="34" customFormat="1"/>
    <row r="537" s="34" customFormat="1"/>
    <row r="538" s="34" customFormat="1"/>
    <row r="539" s="34" customFormat="1"/>
    <row r="540" s="34" customFormat="1"/>
    <row r="541" s="34" customFormat="1"/>
    <row r="542" s="34" customFormat="1"/>
    <row r="543" s="34" customFormat="1"/>
    <row r="544" s="34" customFormat="1"/>
    <row r="545" s="34" customFormat="1"/>
    <row r="546" s="34" customFormat="1"/>
    <row r="547" s="34" customFormat="1"/>
    <row r="548" s="34" customFormat="1"/>
    <row r="549" s="34" customFormat="1"/>
    <row r="550" s="34" customFormat="1"/>
    <row r="551" s="34" customFormat="1"/>
    <row r="552" s="34" customFormat="1"/>
    <row r="553" s="34" customFormat="1"/>
    <row r="554" s="34" customFormat="1"/>
    <row r="555" s="34" customFormat="1"/>
    <row r="556" s="34" customFormat="1"/>
    <row r="557" s="34" customFormat="1"/>
    <row r="558" s="34" customFormat="1"/>
    <row r="559" s="34" customFormat="1"/>
    <row r="560" s="34" customFormat="1"/>
    <row r="561" s="34" customFormat="1"/>
    <row r="562" s="34" customFormat="1"/>
    <row r="563" s="34" customFormat="1"/>
    <row r="564" s="34" customFormat="1"/>
    <row r="565" s="34" customFormat="1"/>
    <row r="566" s="34" customFormat="1"/>
    <row r="567" s="34" customFormat="1"/>
    <row r="568" s="34" customFormat="1"/>
    <row r="569" s="34" customFormat="1"/>
    <row r="570" s="34" customFormat="1"/>
    <row r="571" s="34" customFormat="1"/>
    <row r="572" s="34" customFormat="1"/>
    <row r="573" s="34" customFormat="1"/>
    <row r="574" s="34" customFormat="1"/>
    <row r="575" s="34" customFormat="1"/>
    <row r="576" s="34" customFormat="1"/>
    <row r="577" s="34" customFormat="1"/>
    <row r="578" s="34" customFormat="1"/>
    <row r="579" s="34" customFormat="1"/>
    <row r="580" s="34" customFormat="1"/>
    <row r="581" s="34" customFormat="1"/>
    <row r="582" s="34" customFormat="1"/>
    <row r="583" s="34" customFormat="1"/>
    <row r="584" s="34" customFormat="1"/>
    <row r="585" s="34" customFormat="1"/>
    <row r="586" s="34" customFormat="1"/>
    <row r="587" s="34" customFormat="1"/>
    <row r="588" s="34" customFormat="1"/>
    <row r="589" s="34" customFormat="1"/>
    <row r="590" s="34" customFormat="1"/>
    <row r="591" s="34" customFormat="1"/>
    <row r="592" s="34" customFormat="1"/>
    <row r="593" s="34" customFormat="1"/>
    <row r="594" s="34" customFormat="1"/>
    <row r="595" s="34" customFormat="1"/>
    <row r="596" s="34" customFormat="1"/>
    <row r="597" s="34" customFormat="1"/>
    <row r="598" s="34" customFormat="1"/>
    <row r="599" s="34" customFormat="1"/>
    <row r="600" s="34" customFormat="1"/>
    <row r="601" s="34" customFormat="1"/>
    <row r="602" s="34" customFormat="1"/>
    <row r="603" s="34" customFormat="1"/>
    <row r="604" s="34" customFormat="1"/>
    <row r="605" s="34" customFormat="1"/>
    <row r="606" s="34" customFormat="1"/>
    <row r="607" s="34" customFormat="1"/>
    <row r="608" s="34" customFormat="1"/>
    <row r="609" s="34" customFormat="1"/>
    <row r="610" s="34" customFormat="1"/>
    <row r="611" s="34" customFormat="1"/>
    <row r="612" s="34" customFormat="1"/>
    <row r="613" s="34" customFormat="1"/>
    <row r="614" s="34" customFormat="1"/>
    <row r="615" s="34" customFormat="1"/>
    <row r="616" s="34" customFormat="1"/>
    <row r="617" s="34" customFormat="1"/>
    <row r="618" s="34" customFormat="1"/>
    <row r="619" s="34" customFormat="1"/>
    <row r="620" s="34" customFormat="1"/>
    <row r="621" s="34" customFormat="1"/>
    <row r="622" s="34" customFormat="1"/>
    <row r="623" s="34" customFormat="1"/>
    <row r="624" s="34" customFormat="1"/>
    <row r="625" s="34" customFormat="1"/>
    <row r="626" s="34" customFormat="1"/>
    <row r="627" s="34" customFormat="1"/>
    <row r="628" s="34" customFormat="1"/>
    <row r="629" s="34" customFormat="1"/>
    <row r="630" s="34" customFormat="1"/>
    <row r="631" s="34" customFormat="1"/>
    <row r="632" s="34" customFormat="1"/>
    <row r="633" s="34" customFormat="1"/>
    <row r="634" s="34" customFormat="1"/>
    <row r="635" s="34" customFormat="1"/>
    <row r="636" s="34" customFormat="1"/>
    <row r="637" s="34" customFormat="1"/>
    <row r="638" s="34" customFormat="1"/>
    <row r="639" s="34" customFormat="1"/>
    <row r="640" s="34" customFormat="1"/>
    <row r="641" s="34" customFormat="1"/>
    <row r="642" s="34" customFormat="1"/>
    <row r="643" s="34" customFormat="1"/>
    <row r="644" s="34" customFormat="1"/>
    <row r="645" s="34" customFormat="1"/>
    <row r="646" s="34" customFormat="1"/>
    <row r="647" s="34" customFormat="1"/>
    <row r="648" s="34" customFormat="1"/>
    <row r="649" s="34" customFormat="1"/>
    <row r="650" s="34" customFormat="1"/>
    <row r="651" s="34" customFormat="1"/>
    <row r="652" s="34" customFormat="1"/>
    <row r="653" s="34" customFormat="1"/>
    <row r="654" s="34" customFormat="1"/>
    <row r="655" s="34" customFormat="1"/>
    <row r="656" s="34" customFormat="1"/>
    <row r="657" s="34" customFormat="1"/>
    <row r="658" s="34" customFormat="1"/>
    <row r="659" s="34" customFormat="1"/>
    <row r="660" s="34" customFormat="1"/>
    <row r="661" s="34" customFormat="1"/>
    <row r="662" s="34" customFormat="1"/>
    <row r="663" s="34" customFormat="1"/>
    <row r="664" s="34" customFormat="1"/>
    <row r="665" s="34" customFormat="1"/>
    <row r="666" s="34" customFormat="1"/>
    <row r="667" s="34" customFormat="1"/>
    <row r="668" s="34" customFormat="1"/>
    <row r="669" s="34" customFormat="1"/>
    <row r="670" s="34" customFormat="1"/>
    <row r="671" s="34" customFormat="1"/>
    <row r="672" s="34" customFormat="1"/>
    <row r="673" s="34" customFormat="1"/>
    <row r="674" s="34" customFormat="1"/>
    <row r="675" s="34" customFormat="1"/>
    <row r="676" s="34" customFormat="1"/>
    <row r="677" s="34" customFormat="1"/>
    <row r="678" s="34" customFormat="1"/>
    <row r="679" s="34" customFormat="1"/>
    <row r="680" s="34" customFormat="1"/>
    <row r="681" s="34" customFormat="1"/>
    <row r="682" s="34" customFormat="1"/>
    <row r="683" s="34" customFormat="1"/>
    <row r="684" s="34" customFormat="1"/>
    <row r="685" s="34" customFormat="1"/>
    <row r="686" s="34" customFormat="1"/>
    <row r="687" s="34" customFormat="1"/>
    <row r="688" s="34" customFormat="1"/>
    <row r="689" s="34" customFormat="1"/>
    <row r="690" s="34" customFormat="1"/>
    <row r="691" s="34" customFormat="1"/>
    <row r="692" s="34" customFormat="1"/>
    <row r="693" s="34" customFormat="1"/>
    <row r="694" s="34" customFormat="1"/>
    <row r="695" s="34" customFormat="1"/>
    <row r="696" s="34" customFormat="1"/>
    <row r="697" s="34" customFormat="1"/>
    <row r="698" s="34" customFormat="1"/>
    <row r="699" s="34" customFormat="1"/>
    <row r="700" s="34" customFormat="1"/>
    <row r="701" s="34" customFormat="1"/>
    <row r="702" s="34" customFormat="1"/>
    <row r="703" s="34" customFormat="1"/>
    <row r="704" s="34" customFormat="1"/>
    <row r="705" s="34" customFormat="1"/>
    <row r="706" s="34" customFormat="1"/>
    <row r="707" s="34" customFormat="1"/>
    <row r="708" s="34" customFormat="1"/>
    <row r="709" s="34" customFormat="1"/>
    <row r="710" s="34" customFormat="1"/>
    <row r="711" s="34" customFormat="1"/>
    <row r="712" s="34" customFormat="1"/>
    <row r="713" s="34" customFormat="1"/>
    <row r="714" s="34" customFormat="1"/>
    <row r="715" s="34" customFormat="1"/>
    <row r="716" s="34" customFormat="1"/>
    <row r="717" s="34" customFormat="1"/>
    <row r="718" s="34" customFormat="1"/>
    <row r="719" s="34" customFormat="1"/>
    <row r="720" s="34" customFormat="1"/>
    <row r="721" s="34" customFormat="1"/>
    <row r="722" s="34" customFormat="1"/>
    <row r="723" s="34" customFormat="1"/>
    <row r="724" s="34" customFormat="1"/>
    <row r="725" s="34" customFormat="1"/>
    <row r="726" s="34" customFormat="1"/>
    <row r="727" s="34" customFormat="1"/>
    <row r="728" s="34" customFormat="1"/>
    <row r="729" s="34" customFormat="1"/>
    <row r="730" s="34" customFormat="1"/>
    <row r="731" s="34" customFormat="1"/>
    <row r="732" s="34" customFormat="1"/>
    <row r="733" s="34" customFormat="1"/>
    <row r="734" s="34" customFormat="1"/>
    <row r="735" s="34" customFormat="1"/>
    <row r="736" s="34" customFormat="1"/>
    <row r="737" s="34" customFormat="1"/>
    <row r="738" s="34" customFormat="1"/>
    <row r="739" s="34" customFormat="1"/>
    <row r="740" s="34" customFormat="1"/>
    <row r="741" s="34" customFormat="1"/>
    <row r="742" s="34" customFormat="1"/>
    <row r="743" s="34" customFormat="1"/>
    <row r="744" s="34" customFormat="1"/>
    <row r="745" s="34" customFormat="1"/>
    <row r="746" s="34" customFormat="1"/>
    <row r="747" s="34" customFormat="1"/>
    <row r="748" s="34" customFormat="1"/>
    <row r="749" s="34" customFormat="1"/>
    <row r="750" s="34" customFormat="1"/>
    <row r="751" s="34" customFormat="1"/>
    <row r="752" s="34" customFormat="1"/>
    <row r="753" s="34" customFormat="1"/>
    <row r="754" s="34" customFormat="1"/>
    <row r="755" s="34" customFormat="1"/>
    <row r="756" s="34" customFormat="1"/>
    <row r="757" s="34" customFormat="1"/>
    <row r="758" s="34" customFormat="1"/>
    <row r="759" s="34" customFormat="1"/>
    <row r="760" s="34" customFormat="1"/>
    <row r="761" s="34" customFormat="1"/>
    <row r="762" s="34" customFormat="1"/>
    <row r="763" s="34" customFormat="1"/>
    <row r="764" s="34" customFormat="1"/>
    <row r="765" s="34" customFormat="1"/>
    <row r="766" s="34" customFormat="1"/>
    <row r="767" s="34" customFormat="1"/>
    <row r="768" s="34" customFormat="1"/>
    <row r="769" s="34" customFormat="1"/>
    <row r="770" s="34" customFormat="1"/>
    <row r="771" s="34" customFormat="1"/>
    <row r="772" s="34" customFormat="1"/>
    <row r="773" s="34" customFormat="1"/>
    <row r="774" s="34" customFormat="1"/>
    <row r="775" s="34" customFormat="1"/>
    <row r="776" s="34" customFormat="1"/>
    <row r="777" s="34" customFormat="1"/>
    <row r="778" s="34" customFormat="1"/>
    <row r="779" s="34" customFormat="1"/>
    <row r="780" s="34" customFormat="1"/>
    <row r="781" s="34" customFormat="1"/>
    <row r="782" s="34" customFormat="1"/>
    <row r="783" s="34" customFormat="1"/>
    <row r="784" s="34" customFormat="1"/>
    <row r="785" s="34" customFormat="1"/>
    <row r="786" s="34" customFormat="1"/>
    <row r="787" s="34" customFormat="1"/>
    <row r="788" s="34" customFormat="1"/>
    <row r="789" s="34" customFormat="1"/>
    <row r="790" s="34" customFormat="1"/>
    <row r="791" s="34" customFormat="1"/>
    <row r="792" s="34" customFormat="1"/>
    <row r="793" s="34" customFormat="1"/>
    <row r="794" s="34" customFormat="1"/>
    <row r="795" s="34" customFormat="1"/>
    <row r="796" s="34" customFormat="1"/>
    <row r="797" s="34" customFormat="1"/>
    <row r="798" s="34" customFormat="1"/>
    <row r="799" s="34" customFormat="1"/>
    <row r="800" s="34" customFormat="1"/>
    <row r="801" s="34" customFormat="1"/>
    <row r="802" s="34" customFormat="1"/>
    <row r="803" s="34" customFormat="1"/>
    <row r="804" s="34" customFormat="1"/>
    <row r="805" s="34" customFormat="1"/>
    <row r="806" s="34" customFormat="1"/>
    <row r="807" s="34" customFormat="1"/>
    <row r="808" s="34" customFormat="1"/>
    <row r="809" s="34" customFormat="1"/>
    <row r="810" s="34" customFormat="1"/>
    <row r="811" s="34" customFormat="1"/>
    <row r="812" s="34" customFormat="1"/>
    <row r="813" s="34" customFormat="1"/>
    <row r="814" s="34" customFormat="1"/>
    <row r="815" s="34" customFormat="1"/>
    <row r="816" s="34" customFormat="1"/>
    <row r="817" s="34" customFormat="1"/>
    <row r="818" s="34" customFormat="1"/>
    <row r="819" s="34" customFormat="1"/>
    <row r="820" s="34" customFormat="1"/>
    <row r="821" s="34" customFormat="1"/>
    <row r="822" s="34" customFormat="1"/>
    <row r="823" s="34" customFormat="1"/>
    <row r="824" s="34" customFormat="1"/>
    <row r="825" s="34" customFormat="1"/>
    <row r="826" s="34" customFormat="1"/>
    <row r="827" s="34" customFormat="1"/>
    <row r="828" s="34" customFormat="1"/>
    <row r="829" s="34" customFormat="1"/>
    <row r="830" s="34" customFormat="1"/>
    <row r="831" s="34" customFormat="1"/>
    <row r="832" s="34" customFormat="1"/>
    <row r="833" s="34" customFormat="1"/>
    <row r="834" s="34" customFormat="1"/>
    <row r="835" s="34" customFormat="1"/>
    <row r="836" s="34" customFormat="1"/>
    <row r="837" s="34" customFormat="1"/>
    <row r="838" s="34" customFormat="1"/>
    <row r="839" s="34" customFormat="1"/>
    <row r="840" s="34" customFormat="1"/>
    <row r="841" s="34" customFormat="1"/>
    <row r="842" s="34" customFormat="1"/>
    <row r="843" s="34" customFormat="1"/>
    <row r="844" s="34" customFormat="1"/>
    <row r="845" s="34" customFormat="1"/>
    <row r="846" s="34" customFormat="1"/>
    <row r="847" s="34" customFormat="1"/>
    <row r="848" s="34" customFormat="1"/>
    <row r="849" s="34" customFormat="1"/>
    <row r="850" s="34" customFormat="1"/>
    <row r="851" s="34" customFormat="1"/>
    <row r="852" s="34" customFormat="1"/>
    <row r="853" s="34" customFormat="1"/>
    <row r="854" s="34" customFormat="1"/>
    <row r="855" s="34" customFormat="1"/>
    <row r="856" s="34" customFormat="1"/>
    <row r="857" s="34" customFormat="1"/>
    <row r="858" s="34" customFormat="1"/>
    <row r="859" s="34" customFormat="1"/>
    <row r="860" s="34" customFormat="1"/>
    <row r="861" s="34" customFormat="1"/>
    <row r="862" s="34" customFormat="1"/>
    <row r="863" s="34" customFormat="1"/>
    <row r="864" s="34" customFormat="1"/>
    <row r="865" s="34" customFormat="1"/>
    <row r="866" s="34" customFormat="1"/>
    <row r="867" s="34" customFormat="1"/>
    <row r="868" s="34" customFormat="1"/>
    <row r="869" s="34" customFormat="1"/>
    <row r="870" s="34" customFormat="1"/>
    <row r="871" s="34" customFormat="1"/>
    <row r="872" s="34" customFormat="1"/>
    <row r="873" s="34" customFormat="1"/>
    <row r="874" s="34" customFormat="1"/>
    <row r="875" s="34" customFormat="1"/>
    <row r="876" s="34" customFormat="1"/>
    <row r="877" s="34" customFormat="1"/>
    <row r="878" s="34" customFormat="1"/>
    <row r="879" s="34" customFormat="1"/>
    <row r="880" s="34" customFormat="1"/>
    <row r="881" s="34" customFormat="1"/>
    <row r="882" s="34" customFormat="1"/>
    <row r="883" s="34" customFormat="1"/>
    <row r="884" s="34" customFormat="1"/>
    <row r="885" s="34" customFormat="1"/>
    <row r="886" s="34" customFormat="1"/>
    <row r="887" s="34" customFormat="1"/>
    <row r="888" s="34" customFormat="1"/>
    <row r="889" s="34" customFormat="1"/>
    <row r="890" s="34" customFormat="1"/>
    <row r="891" s="34" customFormat="1"/>
    <row r="892" s="34" customFormat="1"/>
    <row r="893" s="34" customFormat="1"/>
    <row r="894" s="34" customFormat="1"/>
    <row r="895" s="34" customFormat="1"/>
    <row r="896" s="34" customFormat="1"/>
    <row r="897" s="34" customFormat="1"/>
    <row r="898" s="34" customFormat="1"/>
    <row r="899" s="34" customFormat="1"/>
    <row r="900" s="34" customFormat="1"/>
    <row r="901" s="34" customFormat="1"/>
    <row r="902" s="34" customFormat="1"/>
    <row r="903" s="34" customFormat="1"/>
    <row r="904" s="34" customFormat="1"/>
    <row r="905" s="34" customFormat="1"/>
    <row r="906" s="34" customFormat="1"/>
    <row r="907" s="34" customFormat="1"/>
    <row r="908" s="34" customFormat="1"/>
    <row r="909" s="34" customFormat="1"/>
    <row r="910" s="34" customFormat="1"/>
    <row r="911" s="34" customFormat="1"/>
    <row r="912" s="34" customFormat="1"/>
    <row r="913" s="34" customFormat="1"/>
    <row r="914" s="34" customFormat="1"/>
    <row r="915" s="34" customFormat="1"/>
    <row r="916" s="34" customFormat="1"/>
    <row r="917" s="34" customFormat="1"/>
    <row r="918" s="34" customFormat="1"/>
    <row r="919" s="34" customFormat="1"/>
    <row r="920" s="34" customFormat="1"/>
    <row r="921" s="34" customFormat="1"/>
    <row r="922" s="34" customFormat="1"/>
    <row r="923" s="34" customFormat="1"/>
    <row r="924" s="34" customFormat="1"/>
    <row r="925" s="34" customFormat="1"/>
    <row r="926" s="34" customFormat="1"/>
    <row r="927" s="34" customFormat="1"/>
    <row r="928" s="34" customFormat="1"/>
    <row r="929" s="34" customFormat="1"/>
    <row r="930" s="34" customFormat="1"/>
    <row r="931" s="34" customFormat="1"/>
    <row r="932" s="34" customFormat="1"/>
    <row r="933" s="34" customFormat="1"/>
    <row r="934" s="34" customFormat="1"/>
    <row r="935" s="34" customFormat="1"/>
    <row r="936" s="34" customFormat="1"/>
    <row r="937" s="34" customFormat="1"/>
    <row r="938" s="34" customFormat="1"/>
    <row r="939" s="34" customFormat="1"/>
    <row r="940" s="34" customFormat="1"/>
    <row r="941" s="34" customFormat="1"/>
    <row r="942" s="34" customFormat="1"/>
    <row r="943" s="34" customFormat="1"/>
    <row r="944" s="34" customFormat="1"/>
    <row r="945" s="34" customFormat="1"/>
    <row r="946" s="34" customFormat="1"/>
    <row r="947" s="34" customFormat="1"/>
    <row r="948" s="34" customFormat="1"/>
    <row r="949" s="34" customFormat="1"/>
    <row r="950" s="34" customFormat="1"/>
    <row r="951" s="34" customFormat="1"/>
    <row r="952" s="34" customFormat="1"/>
    <row r="953" s="34" customFormat="1"/>
    <row r="954" s="34" customFormat="1"/>
    <row r="955" s="34" customFormat="1"/>
    <row r="956" s="34" customFormat="1"/>
    <row r="957" s="34" customFormat="1"/>
    <row r="958" s="34" customFormat="1"/>
    <row r="959" s="34" customFormat="1"/>
    <row r="960" s="34" customFormat="1"/>
    <row r="961" s="34" customFormat="1"/>
    <row r="962" s="34" customFormat="1"/>
    <row r="963" s="34" customFormat="1"/>
    <row r="964" s="34" customFormat="1"/>
    <row r="965" s="34" customFormat="1"/>
    <row r="966" s="34" customFormat="1"/>
    <row r="967" s="34" customFormat="1"/>
    <row r="968" s="34" customFormat="1"/>
    <row r="969" s="34" customFormat="1"/>
    <row r="970" s="34" customFormat="1"/>
    <row r="971" s="34" customFormat="1"/>
    <row r="972" s="34" customFormat="1"/>
    <row r="973" s="34" customFormat="1"/>
    <row r="974" s="34" customFormat="1"/>
    <row r="975" s="34" customFormat="1"/>
    <row r="976" s="34" customFormat="1"/>
    <row r="977" s="34" customFormat="1"/>
    <row r="978" s="34" customFormat="1"/>
    <row r="979" s="34" customFormat="1"/>
    <row r="980" s="34" customFormat="1"/>
    <row r="981" s="34" customFormat="1"/>
    <row r="982" s="34" customFormat="1"/>
    <row r="983" s="34" customFormat="1"/>
    <row r="984" s="34" customFormat="1"/>
    <row r="985" s="34" customFormat="1"/>
    <row r="986" s="34" customFormat="1"/>
    <row r="987" s="34" customFormat="1"/>
    <row r="988" s="34" customFormat="1"/>
    <row r="989" s="34" customFormat="1"/>
    <row r="990" s="34" customFormat="1"/>
    <row r="991" s="34" customFormat="1"/>
    <row r="992" s="34" customFormat="1"/>
    <row r="993" s="34" customFormat="1"/>
    <row r="994" s="34" customFormat="1"/>
    <row r="995" s="34" customFormat="1"/>
    <row r="996" s="34" customFormat="1"/>
    <row r="997" s="34" customFormat="1"/>
    <row r="998" s="34" customFormat="1"/>
    <row r="999" s="34" customFormat="1"/>
    <row r="1000" s="34" customFormat="1"/>
    <row r="1001" s="34" customFormat="1"/>
    <row r="1002" s="34" customFormat="1"/>
    <row r="1003" s="34" customFormat="1"/>
    <row r="1004" s="34" customFormat="1"/>
    <row r="1005" s="34" customFormat="1"/>
    <row r="1006" s="34" customFormat="1"/>
    <row r="1007" s="34" customFormat="1"/>
    <row r="1008" s="34" customFormat="1"/>
    <row r="1009" s="34" customFormat="1"/>
    <row r="1010" s="34" customFormat="1"/>
    <row r="1011" s="34" customFormat="1"/>
    <row r="1012" s="34" customFormat="1"/>
    <row r="1013" s="34" customFormat="1"/>
    <row r="1014" s="34" customFormat="1"/>
    <row r="1015" s="34" customFormat="1"/>
    <row r="1016" s="34" customFormat="1"/>
    <row r="1017" s="34" customFormat="1"/>
    <row r="1018" s="34" customFormat="1"/>
    <row r="1019" s="34" customFormat="1"/>
    <row r="1020" s="34" customFormat="1"/>
    <row r="1021" s="34" customFormat="1"/>
    <row r="1022" s="34" customFormat="1"/>
    <row r="1023" s="34" customFormat="1"/>
    <row r="1024" s="34" customFormat="1"/>
    <row r="1025" s="34" customFormat="1"/>
    <row r="1026" s="34" customFormat="1"/>
    <row r="1027" s="34" customFormat="1"/>
    <row r="1028" s="34" customFormat="1"/>
    <row r="1029" s="34" customFormat="1"/>
    <row r="1030" s="34" customFormat="1"/>
    <row r="1031" s="34" customFormat="1"/>
    <row r="1032" s="34" customFormat="1"/>
    <row r="1033" s="34" customFormat="1"/>
    <row r="1034" s="34" customFormat="1"/>
    <row r="1035" s="34" customFormat="1"/>
    <row r="1036" s="34" customFormat="1"/>
    <row r="1037" s="34" customFormat="1"/>
    <row r="1038" s="34" customFormat="1"/>
    <row r="1039" s="34" customFormat="1"/>
    <row r="1040" s="34" customFormat="1"/>
    <row r="1041" s="34" customFormat="1"/>
    <row r="1042" s="34" customFormat="1"/>
    <row r="1043" s="34" customFormat="1"/>
    <row r="1044" s="34" customFormat="1"/>
    <row r="1045" s="34" customFormat="1"/>
    <row r="1046" s="34" customFormat="1"/>
    <row r="1047" s="34" customFormat="1"/>
    <row r="1048" s="34" customFormat="1"/>
    <row r="1049" s="34" customFormat="1"/>
    <row r="1050" s="34" customFormat="1"/>
    <row r="1051" s="34" customFormat="1"/>
    <row r="1052" s="34" customFormat="1"/>
    <row r="1053" s="34" customFormat="1"/>
    <row r="1054" s="34" customFormat="1"/>
    <row r="1055" s="34" customFormat="1"/>
    <row r="1056" s="34" customFormat="1"/>
    <row r="1057" s="34" customFormat="1"/>
    <row r="1058" s="34" customFormat="1"/>
    <row r="1059" s="34" customFormat="1"/>
    <row r="1060" s="34" customFormat="1"/>
    <row r="1061" s="34" customFormat="1"/>
    <row r="1062" s="34" customFormat="1"/>
    <row r="1063" s="34" customFormat="1"/>
    <row r="1064" s="34" customFormat="1"/>
    <row r="1065" s="34" customFormat="1"/>
    <row r="1066" s="34" customFormat="1"/>
    <row r="1067" s="34" customFormat="1"/>
    <row r="1068" s="34" customFormat="1"/>
    <row r="1069" s="34" customFormat="1"/>
    <row r="1070" s="34" customFormat="1"/>
    <row r="1071" s="34" customFormat="1"/>
    <row r="1072" s="34" customFormat="1"/>
    <row r="1073" s="34" customFormat="1"/>
    <row r="1074" s="34" customFormat="1"/>
    <row r="1075" s="34" customFormat="1"/>
    <row r="1076" s="34" customFormat="1"/>
    <row r="1077" s="34" customFormat="1"/>
    <row r="1078" s="34" customFormat="1"/>
    <row r="1079" s="34" customFormat="1"/>
    <row r="1080" s="34" customFormat="1"/>
    <row r="1081" s="34" customFormat="1"/>
    <row r="1082" s="34" customFormat="1"/>
    <row r="1083" s="34" customFormat="1"/>
    <row r="1084" s="34" customFormat="1"/>
    <row r="1085" s="34" customFormat="1"/>
    <row r="1086" s="34" customFormat="1"/>
    <row r="1087" s="34" customFormat="1"/>
    <row r="1088" s="34" customFormat="1"/>
    <row r="1089" s="34" customFormat="1"/>
    <row r="1090" s="34" customFormat="1"/>
    <row r="1091" s="34" customFormat="1"/>
    <row r="1092" s="34" customFormat="1"/>
    <row r="1093" s="34" customFormat="1"/>
    <row r="1094" s="34" customFormat="1"/>
    <row r="1095" s="34" customFormat="1"/>
    <row r="1096" s="34" customFormat="1"/>
    <row r="1097" s="34" customFormat="1"/>
    <row r="1098" s="34" customFormat="1"/>
    <row r="1099" s="34" customFormat="1"/>
    <row r="1100" s="34" customFormat="1"/>
    <row r="1101" s="34" customFormat="1"/>
    <row r="1102" s="34" customFormat="1"/>
    <row r="1103" s="34" customFormat="1"/>
    <row r="1104" s="34" customFormat="1"/>
    <row r="1105" s="34" customFormat="1"/>
    <row r="1106" s="34" customFormat="1"/>
    <row r="1107" s="34" customFormat="1"/>
    <row r="1108" s="34" customFormat="1"/>
    <row r="1109" s="34" customFormat="1"/>
    <row r="1110" s="34" customFormat="1"/>
    <row r="1111" s="34" customFormat="1"/>
    <row r="1112" s="34" customFormat="1"/>
    <row r="1113" s="34" customFormat="1"/>
    <row r="1114" s="34" customFormat="1"/>
    <row r="1115" s="34" customFormat="1"/>
    <row r="1116" s="34" customFormat="1"/>
    <row r="1117" s="34" customFormat="1"/>
    <row r="1118" s="34" customFormat="1"/>
    <row r="1119" s="34" customFormat="1"/>
    <row r="1120" s="34" customFormat="1"/>
    <row r="1121" s="34" customFormat="1"/>
    <row r="1122" s="34" customFormat="1"/>
    <row r="1123" s="34" customFormat="1"/>
    <row r="1124" s="34" customFormat="1"/>
    <row r="1125" s="34" customFormat="1"/>
    <row r="1126" s="34" customFormat="1"/>
    <row r="1127" s="34" customFormat="1"/>
    <row r="1128" s="34" customFormat="1"/>
    <row r="1129" s="34" customFormat="1"/>
    <row r="1130" s="34" customFormat="1"/>
    <row r="1131" s="34" customFormat="1"/>
    <row r="1132" s="34" customFormat="1"/>
    <row r="1133" s="34" customFormat="1"/>
    <row r="1134" s="34" customFormat="1"/>
    <row r="1135" s="34" customFormat="1"/>
    <row r="1136" s="34" customFormat="1"/>
    <row r="1137" s="34" customFormat="1"/>
    <row r="1138" s="34" customFormat="1"/>
    <row r="1139" s="34" customFormat="1"/>
    <row r="1140" s="34" customFormat="1"/>
    <row r="1141" s="34" customFormat="1"/>
    <row r="1142" s="34" customFormat="1"/>
    <row r="1143" s="34" customFormat="1"/>
    <row r="1144" s="34" customFormat="1"/>
    <row r="1145" s="34" customFormat="1"/>
    <row r="1146" s="34" customFormat="1"/>
    <row r="1147" s="34" customFormat="1"/>
    <row r="1148" s="34" customFormat="1"/>
    <row r="1149" s="34" customFormat="1"/>
    <row r="1150" s="34" customFormat="1"/>
    <row r="1151" s="34" customFormat="1"/>
    <row r="1152" s="34" customFormat="1"/>
    <row r="1153" s="34" customFormat="1"/>
    <row r="1154" s="34" customFormat="1"/>
    <row r="1155" s="34" customFormat="1"/>
    <row r="1156" s="34" customFormat="1"/>
    <row r="1157" s="34" customFormat="1"/>
    <row r="1158" s="34" customFormat="1"/>
    <row r="1159" s="34" customFormat="1"/>
    <row r="1160" s="34" customFormat="1"/>
    <row r="1161" s="34" customFormat="1"/>
    <row r="1162" s="34" customFormat="1"/>
    <row r="1163" s="34" customFormat="1"/>
    <row r="1164" s="34" customFormat="1"/>
    <row r="1165" s="34" customFormat="1"/>
    <row r="1166" s="34" customFormat="1"/>
    <row r="1167" s="34" customFormat="1"/>
    <row r="1168" s="34" customFormat="1"/>
    <row r="1169" s="34" customFormat="1"/>
    <row r="1170" s="34" customFormat="1"/>
    <row r="1171" s="34" customFormat="1"/>
    <row r="1172" s="34" customFormat="1"/>
    <row r="1173" s="34" customFormat="1"/>
    <row r="1174" s="34" customFormat="1"/>
    <row r="1175" s="34" customFormat="1"/>
    <row r="1176" s="34" customFormat="1"/>
    <row r="1177" s="34" customFormat="1"/>
    <row r="1178" s="34" customFormat="1"/>
    <row r="1179" s="34" customFormat="1"/>
    <row r="1180" s="34" customFormat="1"/>
    <row r="1181" s="34" customFormat="1"/>
    <row r="1182" s="34" customFormat="1"/>
    <row r="1183" s="34" customFormat="1"/>
    <row r="1184" s="34" customFormat="1"/>
    <row r="1185" s="34" customFormat="1"/>
    <row r="1186" s="34" customFormat="1"/>
    <row r="1187" s="34" customFormat="1"/>
    <row r="1188" s="34" customFormat="1"/>
    <row r="1189" s="34" customFormat="1"/>
    <row r="1190" s="34" customFormat="1"/>
    <row r="1191" s="34" customFormat="1"/>
    <row r="1192" s="34" customFormat="1"/>
    <row r="1193" s="34" customFormat="1"/>
    <row r="1194" s="34" customFormat="1"/>
    <row r="1195" s="34" customFormat="1"/>
    <row r="1196" s="34" customFormat="1"/>
    <row r="1197" s="34" customFormat="1"/>
    <row r="1198" s="34" customFormat="1"/>
    <row r="1199" s="34" customFormat="1"/>
    <row r="1200" s="34" customFormat="1"/>
    <row r="1201" s="34" customFormat="1"/>
    <row r="1202" s="34" customFormat="1"/>
    <row r="1203" s="34" customFormat="1"/>
    <row r="1204" s="34" customFormat="1"/>
    <row r="1205" s="34" customFormat="1"/>
    <row r="1206" s="34" customFormat="1"/>
    <row r="1207" s="34" customFormat="1"/>
    <row r="1208" s="34" customFormat="1"/>
    <row r="1209" s="34" customFormat="1"/>
    <row r="1210" s="34" customFormat="1"/>
    <row r="1211" s="34" customFormat="1"/>
    <row r="1212" s="34" customFormat="1"/>
    <row r="1213" s="34" customFormat="1"/>
    <row r="1214" s="34" customFormat="1"/>
    <row r="1215" s="34" customFormat="1"/>
    <row r="1216" s="34" customFormat="1"/>
    <row r="1217" s="34" customFormat="1"/>
    <row r="1218" s="34" customFormat="1"/>
    <row r="1219" s="34" customFormat="1"/>
    <row r="1220" s="34" customFormat="1"/>
    <row r="1221" s="34" customFormat="1"/>
    <row r="1222" s="34" customFormat="1"/>
    <row r="1223" s="34" customFormat="1"/>
    <row r="1224" s="34" customFormat="1"/>
    <row r="1225" s="34" customFormat="1"/>
    <row r="1226" s="34" customFormat="1"/>
    <row r="1227" s="34" customFormat="1"/>
    <row r="1228" s="34" customFormat="1"/>
    <row r="1229" s="34" customFormat="1"/>
    <row r="1230" s="34" customFormat="1"/>
    <row r="1231" s="34" customFormat="1"/>
    <row r="1232" s="34" customFormat="1"/>
    <row r="1233" s="34" customFormat="1"/>
    <row r="1234" s="34" customFormat="1"/>
    <row r="1235" s="34" customFormat="1"/>
    <row r="1236" s="34" customFormat="1"/>
    <row r="1237" s="34" customFormat="1"/>
    <row r="1238" s="34" customFormat="1"/>
    <row r="1239" s="34" customFormat="1"/>
    <row r="1240" s="34" customFormat="1"/>
    <row r="1241" s="34" customFormat="1"/>
    <row r="1242" s="34" customFormat="1"/>
    <row r="1243" s="34" customFormat="1"/>
    <row r="1244" s="34" customFormat="1"/>
    <row r="1245" s="34" customFormat="1"/>
    <row r="1246" s="34" customFormat="1"/>
    <row r="1247" s="34" customFormat="1"/>
    <row r="1248" s="34" customFormat="1"/>
    <row r="1249" s="34" customFormat="1"/>
    <row r="1250" s="34" customFormat="1"/>
    <row r="1251" s="34" customFormat="1"/>
    <row r="1252" s="34" customFormat="1"/>
    <row r="1253" s="34" customFormat="1"/>
    <row r="1254" s="34" customFormat="1"/>
    <row r="1255" s="34" customFormat="1"/>
    <row r="1256" s="34" customFormat="1"/>
    <row r="1257" s="34" customFormat="1"/>
    <row r="1258" s="34" customFormat="1"/>
    <row r="1259" s="34" customFormat="1"/>
    <row r="1260" s="34" customFormat="1"/>
    <row r="1261" s="34" customFormat="1"/>
    <row r="1262" s="34" customFormat="1"/>
    <row r="1263" s="34" customFormat="1"/>
    <row r="1264" s="34" customFormat="1"/>
    <row r="1265" s="34" customFormat="1"/>
    <row r="1266" s="34" customFormat="1"/>
    <row r="1267" s="34" customFormat="1"/>
    <row r="1268" s="34" customFormat="1"/>
    <row r="1269" s="34" customFormat="1"/>
    <row r="1270" s="34" customFormat="1"/>
    <row r="1271" s="34" customFormat="1"/>
    <row r="1272" s="34" customFormat="1"/>
    <row r="1273" s="34" customFormat="1"/>
    <row r="1274" s="34" customFormat="1"/>
    <row r="1275" s="34" customFormat="1"/>
    <row r="1276" s="34" customFormat="1"/>
    <row r="1277" s="34" customFormat="1"/>
    <row r="1278" s="34" customFormat="1"/>
    <row r="1279" s="34" customFormat="1"/>
    <row r="1280" s="34" customFormat="1"/>
    <row r="1281" s="34" customFormat="1"/>
    <row r="1282" s="34" customFormat="1"/>
    <row r="1283" s="34" customFormat="1"/>
    <row r="1284" s="34" customFormat="1"/>
    <row r="1285" s="34" customFormat="1"/>
    <row r="1286" s="34" customFormat="1"/>
    <row r="1287" s="34" customFormat="1"/>
    <row r="1288" s="34" customFormat="1"/>
    <row r="1289" s="34" customFormat="1"/>
    <row r="1290" s="34" customFormat="1"/>
    <row r="1291" s="34" customFormat="1"/>
    <row r="1292" s="34" customFormat="1"/>
    <row r="1293" s="34" customFormat="1"/>
    <row r="1294" s="34" customFormat="1"/>
    <row r="1295" s="34" customFormat="1"/>
    <row r="1296" s="34" customFormat="1"/>
    <row r="1297" s="34" customFormat="1"/>
    <row r="1298" s="34" customFormat="1"/>
    <row r="1299" s="34" customFormat="1"/>
    <row r="1300" s="34" customFormat="1"/>
    <row r="1301" s="34" customFormat="1"/>
    <row r="1302" s="34" customFormat="1"/>
    <row r="1303" s="34" customFormat="1"/>
    <row r="1304" s="34" customFormat="1"/>
    <row r="1305" s="34" customFormat="1"/>
    <row r="1306" s="34" customFormat="1"/>
    <row r="1307" s="34" customFormat="1"/>
    <row r="1308" s="34" customFormat="1"/>
    <row r="1309" s="34" customFormat="1"/>
    <row r="1310" s="34" customFormat="1"/>
    <row r="1311" s="34" customFormat="1"/>
    <row r="1312" s="34" customFormat="1"/>
    <row r="1313" s="34" customFormat="1"/>
    <row r="1314" s="34" customFormat="1"/>
    <row r="1315" s="34" customFormat="1"/>
    <row r="1316" s="34" customFormat="1"/>
    <row r="1317" s="34" customFormat="1"/>
    <row r="1318" s="34" customFormat="1"/>
    <row r="1319" s="34" customFormat="1"/>
    <row r="1320" s="34" customFormat="1"/>
    <row r="1321" s="34" customFormat="1"/>
    <row r="1322" s="34" customFormat="1"/>
    <row r="1323" s="34" customFormat="1"/>
    <row r="1324" s="34" customFormat="1"/>
    <row r="1325" s="34" customFormat="1"/>
    <row r="1326" s="34" customFormat="1"/>
    <row r="1327" s="34" customFormat="1"/>
    <row r="1328" s="34" customFormat="1"/>
    <row r="1329" s="34" customFormat="1"/>
    <row r="1330" s="34" customFormat="1"/>
    <row r="1331" s="34" customFormat="1"/>
    <row r="1332" s="34" customFormat="1"/>
    <row r="1333" s="34" customFormat="1"/>
    <row r="1334" s="34" customFormat="1"/>
    <row r="1335" s="34" customFormat="1"/>
    <row r="1336" s="34" customFormat="1"/>
    <row r="1337" s="34" customFormat="1"/>
    <row r="1338" s="34" customFormat="1"/>
    <row r="1339" s="34" customFormat="1"/>
    <row r="1340" s="34" customFormat="1"/>
    <row r="1341" s="34" customFormat="1"/>
    <row r="1342" s="34" customFormat="1"/>
    <row r="1343" s="34" customFormat="1"/>
    <row r="1344" s="34" customFormat="1"/>
    <row r="1345" s="34" customFormat="1"/>
    <row r="1346" s="34" customFormat="1"/>
    <row r="1347" s="34" customFormat="1"/>
    <row r="1348" s="34" customFormat="1"/>
    <row r="1349" s="34" customFormat="1"/>
    <row r="1350" s="34" customFormat="1"/>
    <row r="1351" s="34" customFormat="1"/>
    <row r="1352" s="34" customFormat="1"/>
    <row r="1353" s="34" customFormat="1"/>
    <row r="1354" s="34" customFormat="1"/>
    <row r="1355" s="34" customFormat="1"/>
    <row r="1356" s="34" customFormat="1"/>
    <row r="1357" s="34" customFormat="1"/>
    <row r="1358" s="34" customFormat="1"/>
    <row r="1359" s="34" customFormat="1"/>
    <row r="1360" s="34" customFormat="1"/>
    <row r="1361" s="34" customFormat="1"/>
    <row r="1362" s="34" customFormat="1"/>
    <row r="1363" s="34" customFormat="1"/>
    <row r="1364" s="34" customFormat="1"/>
    <row r="1365" s="34" customFormat="1"/>
    <row r="1366" s="34" customFormat="1"/>
    <row r="1367" s="34" customFormat="1"/>
    <row r="1368" s="34" customFormat="1"/>
    <row r="1369" s="34" customFormat="1"/>
    <row r="1370" s="34" customFormat="1"/>
    <row r="1371" s="34" customFormat="1"/>
    <row r="1372" s="34" customFormat="1"/>
    <row r="1373" s="34" customFormat="1"/>
    <row r="1374" s="34" customFormat="1"/>
    <row r="1375" s="34" customFormat="1"/>
    <row r="1376" s="34" customFormat="1"/>
    <row r="1377" s="34" customFormat="1"/>
    <row r="1378" s="34" customFormat="1"/>
    <row r="1379" s="34" customFormat="1"/>
    <row r="1380" s="34" customFormat="1"/>
    <row r="1381" s="34" customFormat="1"/>
    <row r="1382" s="34" customFormat="1"/>
    <row r="1383" s="34" customFormat="1"/>
    <row r="1384" s="34" customFormat="1"/>
    <row r="1385" s="34" customFormat="1"/>
    <row r="1386" s="34" customFormat="1"/>
    <row r="1387" s="34" customFormat="1"/>
    <row r="1388" s="34" customFormat="1"/>
    <row r="1389" s="34" customFormat="1"/>
    <row r="1390" s="34" customFormat="1"/>
    <row r="1391" s="34" customFormat="1"/>
    <row r="1392" s="34" customFormat="1"/>
    <row r="1393" s="34" customFormat="1"/>
    <row r="1394" s="34" customFormat="1"/>
    <row r="1395" s="34" customFormat="1"/>
    <row r="1396" s="34" customFormat="1"/>
    <row r="1397" s="34" customFormat="1"/>
    <row r="1398" s="34" customFormat="1"/>
    <row r="1399" s="34" customFormat="1"/>
    <row r="1400" s="34" customFormat="1"/>
    <row r="1401" s="34" customFormat="1"/>
    <row r="1402" s="34" customFormat="1"/>
    <row r="1403" s="34" customFormat="1"/>
    <row r="1404" s="34" customFormat="1"/>
    <row r="1405" s="34" customFormat="1"/>
    <row r="1406" s="34" customFormat="1"/>
    <row r="1407" s="34" customFormat="1"/>
    <row r="1408" s="34" customFormat="1"/>
    <row r="1409" s="34" customFormat="1"/>
    <row r="1410" s="34" customFormat="1"/>
    <row r="1411" s="34" customFormat="1"/>
    <row r="1412" s="34" customFormat="1"/>
    <row r="1413" s="34" customFormat="1"/>
    <row r="1414" s="34" customFormat="1"/>
    <row r="1415" s="34" customFormat="1"/>
    <row r="1416" s="34" customFormat="1"/>
    <row r="1417" s="34" customFormat="1"/>
    <row r="1418" s="34" customFormat="1"/>
    <row r="1419" s="34" customFormat="1"/>
    <row r="1420" s="34" customFormat="1"/>
    <row r="1421" s="34" customFormat="1"/>
    <row r="1422" s="34" customFormat="1"/>
    <row r="1423" s="34" customFormat="1"/>
    <row r="1424" s="34" customFormat="1"/>
    <row r="1425" s="34" customFormat="1"/>
    <row r="1426" s="34" customFormat="1"/>
    <row r="1427" s="34" customFormat="1"/>
    <row r="1428" s="34" customFormat="1"/>
    <row r="1429" s="34" customFormat="1"/>
    <row r="1430" s="34" customFormat="1"/>
    <row r="1431" s="34" customFormat="1"/>
    <row r="1432" s="34" customFormat="1"/>
    <row r="1433" s="34" customFormat="1"/>
    <row r="1434" s="34" customFormat="1"/>
    <row r="1435" s="34" customFormat="1"/>
    <row r="1436" s="34" customFormat="1"/>
    <row r="1437" s="34" customFormat="1"/>
    <row r="1438" s="34" customFormat="1"/>
    <row r="1439" s="34" customFormat="1"/>
    <row r="1440" s="34" customFormat="1"/>
    <row r="1441" s="34" customFormat="1"/>
    <row r="1442" s="34" customFormat="1"/>
    <row r="1443" s="34" customFormat="1"/>
    <row r="1444" s="34" customFormat="1"/>
    <row r="1445" s="34" customFormat="1"/>
    <row r="1446" s="34" customFormat="1"/>
    <row r="1447" s="34" customFormat="1"/>
    <row r="1448" s="34" customFormat="1"/>
    <row r="1449" s="34" customFormat="1"/>
    <row r="1450" s="34" customFormat="1"/>
    <row r="1451" s="34" customFormat="1"/>
    <row r="1452" s="34" customFormat="1"/>
    <row r="1453" s="34" customFormat="1"/>
    <row r="1454" s="34" customFormat="1"/>
    <row r="1455" s="34" customFormat="1"/>
    <row r="1456" s="34" customFormat="1"/>
    <row r="1457" s="34" customFormat="1"/>
    <row r="1458" s="34" customFormat="1"/>
    <row r="1459" s="34" customFormat="1"/>
    <row r="1460" s="34" customFormat="1"/>
    <row r="1461" s="34" customFormat="1"/>
    <row r="1462" s="34" customFormat="1"/>
    <row r="1463" s="34" customFormat="1"/>
    <row r="1464" s="34" customFormat="1"/>
    <row r="1465" s="34" customFormat="1"/>
    <row r="1466" s="34" customFormat="1"/>
    <row r="1467" s="34" customFormat="1"/>
    <row r="1468" s="34" customFormat="1"/>
    <row r="1469" s="34" customFormat="1"/>
    <row r="1470" s="34" customFormat="1"/>
    <row r="1471" s="34" customFormat="1"/>
    <row r="1472" s="34" customFormat="1"/>
    <row r="1473" s="34" customFormat="1"/>
    <row r="1474" s="34" customFormat="1"/>
    <row r="1475" s="34" customFormat="1"/>
    <row r="1476" s="34" customFormat="1"/>
    <row r="1477" s="34" customFormat="1"/>
    <row r="1478" s="34" customFormat="1"/>
    <row r="1479" s="34" customFormat="1"/>
    <row r="1480" s="34" customFormat="1"/>
    <row r="1481" s="34" customFormat="1"/>
    <row r="1482" s="34" customFormat="1"/>
    <row r="1483" s="34" customFormat="1"/>
    <row r="1484" s="34" customFormat="1"/>
    <row r="1485" s="34" customFormat="1"/>
    <row r="1486" s="34" customFormat="1"/>
    <row r="1487" s="34" customFormat="1"/>
    <row r="1488" s="34" customFormat="1"/>
    <row r="1489" s="34" customFormat="1"/>
    <row r="1490" s="34" customFormat="1"/>
    <row r="1491" s="34" customFormat="1"/>
    <row r="1492" s="34" customFormat="1"/>
    <row r="1493" s="34" customFormat="1"/>
    <row r="1494" s="34" customFormat="1"/>
    <row r="1495" s="34" customFormat="1"/>
    <row r="1496" s="34" customFormat="1"/>
    <row r="1497" s="34" customFormat="1"/>
    <row r="1498" s="34" customFormat="1"/>
    <row r="1499" s="34" customFormat="1"/>
    <row r="1500" s="34" customFormat="1"/>
    <row r="1501" s="34" customFormat="1"/>
    <row r="1502" s="34" customFormat="1"/>
    <row r="1503" s="34" customFormat="1"/>
    <row r="1504" s="34" customFormat="1"/>
    <row r="1505" s="34" customFormat="1"/>
    <row r="1506" s="34" customFormat="1"/>
    <row r="1507" s="34" customFormat="1"/>
    <row r="1508" s="34" customFormat="1"/>
    <row r="1509" s="34" customFormat="1"/>
    <row r="1510" s="34" customFormat="1"/>
    <row r="1511" s="34" customFormat="1"/>
    <row r="1512" s="34" customFormat="1"/>
    <row r="1513" s="34" customFormat="1"/>
    <row r="1514" s="34" customFormat="1"/>
    <row r="1515" s="34" customFormat="1"/>
    <row r="1516" s="34" customFormat="1"/>
    <row r="1517" s="34" customFormat="1"/>
    <row r="1518" s="34" customFormat="1"/>
    <row r="1519" s="34" customFormat="1"/>
    <row r="1520" s="34" customFormat="1"/>
    <row r="1521" s="34" customFormat="1"/>
    <row r="1522" s="34" customFormat="1"/>
    <row r="1523" s="34" customFormat="1"/>
    <row r="1524" s="34" customFormat="1"/>
    <row r="1525" s="34" customFormat="1"/>
    <row r="1526" s="34" customFormat="1"/>
    <row r="1527" s="34" customFormat="1"/>
    <row r="1528" s="34" customFormat="1"/>
    <row r="1529" s="34" customFormat="1"/>
    <row r="1530" s="34" customFormat="1"/>
    <row r="1531" s="34" customFormat="1"/>
    <row r="1532" s="34" customFormat="1"/>
    <row r="1533" s="34" customFormat="1"/>
    <row r="1534" s="34" customFormat="1"/>
    <row r="1535" s="34" customFormat="1"/>
    <row r="1536" s="34" customFormat="1"/>
    <row r="1537" s="34" customFormat="1"/>
    <row r="1538" s="34" customFormat="1"/>
    <row r="1539" s="34" customFormat="1"/>
    <row r="1540" s="34" customFormat="1"/>
    <row r="1541" s="34" customFormat="1"/>
    <row r="1542" s="34" customFormat="1"/>
    <row r="1543" s="34" customFormat="1"/>
    <row r="1544" s="34" customFormat="1"/>
    <row r="1545" s="34" customFormat="1"/>
    <row r="1546" s="34" customFormat="1"/>
    <row r="1547" s="34" customFormat="1"/>
    <row r="1548" s="34" customFormat="1"/>
    <row r="1549" s="34" customFormat="1"/>
    <row r="1550" s="34" customFormat="1"/>
    <row r="1551" s="34" customFormat="1"/>
    <row r="1552" s="34" customFormat="1"/>
    <row r="1553" s="34" customFormat="1"/>
    <row r="1554" s="34" customFormat="1"/>
    <row r="1555" s="34" customFormat="1"/>
    <row r="1556" s="34" customFormat="1"/>
    <row r="1557" s="34" customFormat="1"/>
    <row r="1558" s="34" customFormat="1"/>
    <row r="1559" s="34" customFormat="1"/>
    <row r="1560" s="34" customFormat="1"/>
    <row r="1561" s="34" customFormat="1"/>
    <row r="1562" s="34" customFormat="1"/>
    <row r="1563" s="34" customFormat="1"/>
    <row r="1564" s="34" customFormat="1"/>
    <row r="1565" s="34" customFormat="1"/>
    <row r="1566" s="34" customFormat="1"/>
    <row r="1567" s="34" customFormat="1"/>
    <row r="1568" s="34" customFormat="1"/>
    <row r="1569" s="34" customFormat="1"/>
    <row r="1570" s="34" customFormat="1"/>
    <row r="1571" s="34" customFormat="1"/>
    <row r="1572" s="34" customFormat="1"/>
    <row r="1573" s="34" customFormat="1"/>
    <row r="1574" s="34" customFormat="1"/>
    <row r="1575" s="34" customFormat="1"/>
    <row r="1576" s="34" customFormat="1"/>
    <row r="1577" s="34" customFormat="1"/>
    <row r="1578" s="34" customFormat="1"/>
    <row r="1579" s="34" customFormat="1"/>
    <row r="1580" s="34" customFormat="1"/>
    <row r="1581" s="34" customFormat="1"/>
    <row r="1582" s="34" customFormat="1"/>
    <row r="1583" s="34" customFormat="1"/>
    <row r="1584" s="34" customFormat="1"/>
    <row r="1585" s="34" customFormat="1"/>
    <row r="1586" s="34" customFormat="1"/>
    <row r="1587" s="34" customFormat="1"/>
    <row r="1588" s="34" customFormat="1"/>
    <row r="1589" s="34" customFormat="1"/>
    <row r="1590" s="34" customFormat="1"/>
    <row r="1591" s="34" customFormat="1"/>
    <row r="1592" s="34" customFormat="1"/>
    <row r="1593" s="34" customFormat="1"/>
    <row r="1594" s="34" customFormat="1"/>
    <row r="1595" s="34" customFormat="1"/>
    <row r="1596" s="34" customFormat="1"/>
    <row r="1597" s="34" customFormat="1"/>
    <row r="1598" s="34" customFormat="1"/>
    <row r="1599" s="34" customFormat="1"/>
    <row r="1600" s="34" customFormat="1"/>
    <row r="1601" s="34" customFormat="1"/>
    <row r="1602" s="34" customFormat="1"/>
    <row r="1603" s="34" customFormat="1"/>
    <row r="1604" s="34" customFormat="1"/>
    <row r="1605" s="34" customFormat="1"/>
    <row r="1606" s="34" customFormat="1"/>
    <row r="1607" s="34" customFormat="1"/>
    <row r="1608" s="34" customFormat="1"/>
    <row r="1609" s="34" customFormat="1"/>
    <row r="1610" s="34" customFormat="1"/>
    <row r="1611" s="34" customFormat="1"/>
    <row r="1612" s="34" customFormat="1"/>
    <row r="1613" s="34" customFormat="1"/>
    <row r="1614" s="34" customFormat="1"/>
    <row r="1615" s="34" customFormat="1"/>
    <row r="1616" s="34" customFormat="1"/>
    <row r="1617" s="34" customFormat="1"/>
    <row r="1618" s="34" customFormat="1"/>
    <row r="1619" s="34" customFormat="1"/>
    <row r="1620" s="34" customFormat="1"/>
    <row r="1621" s="34" customFormat="1"/>
    <row r="1622" s="34" customFormat="1"/>
    <row r="1623" s="34" customFormat="1"/>
    <row r="1624" s="34" customFormat="1"/>
    <row r="1625" s="34" customFormat="1"/>
    <row r="1626" s="34" customFormat="1"/>
    <row r="1627" s="34" customFormat="1"/>
    <row r="1628" s="34" customFormat="1"/>
    <row r="1629" s="34" customFormat="1"/>
    <row r="1630" s="34" customFormat="1"/>
    <row r="1631" s="34" customFormat="1"/>
    <row r="1632" s="34" customFormat="1"/>
    <row r="1633" s="34" customFormat="1"/>
    <row r="1634" s="34" customFormat="1"/>
    <row r="1635" s="34" customFormat="1"/>
    <row r="1636" s="34" customFormat="1"/>
    <row r="1637" s="34" customFormat="1"/>
    <row r="1638" s="34" customFormat="1"/>
    <row r="1639" s="34" customFormat="1"/>
    <row r="1640" s="34" customFormat="1"/>
    <row r="1641" s="34" customFormat="1"/>
    <row r="1642" s="34" customFormat="1"/>
    <row r="1643" s="34" customFormat="1"/>
    <row r="1644" s="34" customFormat="1"/>
    <row r="1645" s="34" customFormat="1"/>
    <row r="1646" s="34" customFormat="1"/>
    <row r="1647" s="34" customFormat="1"/>
    <row r="1648" s="34" customFormat="1"/>
    <row r="1649" s="34" customFormat="1"/>
    <row r="1650" s="34" customFormat="1"/>
    <row r="1651" s="34" customFormat="1"/>
    <row r="1652" s="34" customFormat="1"/>
    <row r="1653" s="34" customFormat="1"/>
    <row r="1654" s="34" customFormat="1"/>
    <row r="1655" s="34" customFormat="1"/>
    <row r="1656" s="34" customFormat="1"/>
    <row r="1657" s="34" customFormat="1"/>
    <row r="1658" s="34" customFormat="1"/>
    <row r="1659" s="34" customFormat="1"/>
    <row r="1660" s="34" customFormat="1"/>
    <row r="1661" s="34" customFormat="1"/>
    <row r="1662" s="34" customFormat="1"/>
    <row r="1663" s="34" customFormat="1"/>
    <row r="1664" s="34" customFormat="1"/>
    <row r="1665" s="34" customFormat="1"/>
    <row r="1666" s="34" customFormat="1"/>
    <row r="1667" s="34" customFormat="1"/>
    <row r="1668" s="34" customFormat="1"/>
    <row r="1669" s="34" customFormat="1"/>
    <row r="1670" s="34" customFormat="1"/>
    <row r="1671" s="34" customFormat="1"/>
    <row r="1672" s="34" customFormat="1"/>
    <row r="1673" s="34" customFormat="1"/>
    <row r="1674" s="34" customFormat="1"/>
    <row r="1675" s="34" customFormat="1"/>
    <row r="1676" s="34" customFormat="1"/>
    <row r="1677" s="34" customFormat="1"/>
    <row r="1678" s="34" customFormat="1"/>
    <row r="1679" s="34" customFormat="1"/>
    <row r="1680" s="34" customFormat="1"/>
    <row r="1681" s="34" customFormat="1"/>
    <row r="1682" s="34" customFormat="1"/>
    <row r="1683" s="34" customFormat="1"/>
    <row r="1684" s="34" customFormat="1"/>
    <row r="1685" s="34" customFormat="1"/>
    <row r="1686" s="34" customFormat="1"/>
    <row r="1687" s="34" customFormat="1"/>
    <row r="1688" s="34" customFormat="1"/>
    <row r="1689" s="34" customFormat="1"/>
    <row r="1690" s="34" customFormat="1"/>
    <row r="1691" s="34" customFormat="1"/>
    <row r="1692" s="34" customFormat="1"/>
    <row r="1693" s="34" customFormat="1"/>
    <row r="1694" s="34" customFormat="1"/>
    <row r="1695" s="34" customFormat="1"/>
    <row r="1696" s="34" customFormat="1"/>
    <row r="1697" s="34" customFormat="1"/>
    <row r="1698" s="34" customFormat="1"/>
    <row r="1699" s="34" customFormat="1"/>
    <row r="1700" s="34" customFormat="1"/>
    <row r="1701" s="34" customFormat="1"/>
    <row r="1702" s="34" customFormat="1"/>
    <row r="1703" s="34" customFormat="1"/>
    <row r="1704" s="34" customFormat="1"/>
    <row r="1705" s="34" customFormat="1"/>
    <row r="1706" s="34" customFormat="1"/>
    <row r="1707" s="34" customFormat="1"/>
    <row r="1708" s="34" customFormat="1"/>
    <row r="1709" s="34" customFormat="1"/>
    <row r="1710" s="34" customFormat="1"/>
    <row r="1711" s="34" customFormat="1"/>
    <row r="1712" s="34" customFormat="1"/>
    <row r="1713" s="34" customFormat="1"/>
    <row r="1714" s="34" customFormat="1"/>
    <row r="1715" s="34" customFormat="1"/>
    <row r="1716" s="34" customFormat="1"/>
    <row r="1717" s="34" customFormat="1"/>
    <row r="1718" s="34" customFormat="1"/>
    <row r="1719" s="34" customFormat="1"/>
    <row r="1720" s="34" customFormat="1"/>
    <row r="1721" s="34" customFormat="1"/>
    <row r="1722" s="34" customFormat="1"/>
    <row r="1723" s="34" customFormat="1"/>
    <row r="1724" s="34" customFormat="1"/>
    <row r="1725" s="34" customFormat="1"/>
    <row r="1726" s="34" customFormat="1"/>
    <row r="1727" s="34" customFormat="1"/>
    <row r="1728" s="34" customFormat="1"/>
    <row r="1729" s="34" customFormat="1"/>
    <row r="1730" s="34" customFormat="1"/>
    <row r="1731" s="34" customFormat="1"/>
    <row r="1732" s="34" customFormat="1"/>
    <row r="1733" s="34" customFormat="1"/>
    <row r="1734" s="34" customFormat="1"/>
    <row r="1735" s="34" customFormat="1"/>
    <row r="1736" s="34" customFormat="1"/>
    <row r="1737" s="34" customFormat="1"/>
    <row r="1738" s="34" customFormat="1"/>
    <row r="1739" s="34" customFormat="1"/>
    <row r="1740" s="34" customFormat="1"/>
    <row r="1741" s="34" customFormat="1"/>
    <row r="1742" s="34" customFormat="1"/>
    <row r="1743" s="34" customFormat="1"/>
    <row r="1744" s="34" customFormat="1"/>
    <row r="1745" s="34" customFormat="1"/>
    <row r="1746" s="34" customFormat="1"/>
    <row r="1747" s="34" customFormat="1"/>
    <row r="1748" s="34" customFormat="1"/>
    <row r="1749" s="34" customFormat="1"/>
    <row r="1750" s="34" customFormat="1"/>
    <row r="1751" s="34" customFormat="1"/>
    <row r="1752" s="34" customFormat="1"/>
    <row r="1753" s="34" customFormat="1"/>
    <row r="1754" s="34" customFormat="1"/>
    <row r="1755" s="34" customFormat="1"/>
    <row r="1756" s="34" customFormat="1"/>
    <row r="1757" s="34" customFormat="1"/>
    <row r="1758" s="34" customFormat="1"/>
    <row r="1759" s="34" customFormat="1"/>
    <row r="1760" s="34" customFormat="1"/>
    <row r="1761" s="34" customFormat="1"/>
    <row r="1762" s="34" customFormat="1"/>
    <row r="1763" s="34" customFormat="1"/>
    <row r="1764" s="34" customFormat="1"/>
    <row r="1765" s="34" customFormat="1"/>
    <row r="1766" s="34" customFormat="1"/>
    <row r="1767" s="34" customFormat="1"/>
    <row r="1768" s="34" customFormat="1"/>
    <row r="1769" s="34" customFormat="1"/>
    <row r="1770" s="34" customFormat="1"/>
    <row r="1771" s="34" customFormat="1"/>
    <row r="1772" s="34" customFormat="1"/>
    <row r="1773" s="34" customFormat="1"/>
    <row r="1774" s="34" customFormat="1"/>
    <row r="1775" s="34" customFormat="1"/>
    <row r="1776" s="34" customFormat="1"/>
    <row r="1777" s="34" customFormat="1"/>
    <row r="1778" s="34" customFormat="1"/>
    <row r="1779" s="34" customFormat="1"/>
    <row r="1780" s="34" customFormat="1"/>
    <row r="1781" s="34" customFormat="1"/>
    <row r="1782" s="34" customFormat="1"/>
    <row r="1783" s="34" customFormat="1"/>
    <row r="1784" s="34" customFormat="1"/>
    <row r="1785" s="34" customFormat="1"/>
    <row r="1786" s="34" customFormat="1"/>
    <row r="1787" s="34" customFormat="1"/>
    <row r="1788" s="34" customFormat="1"/>
    <row r="1789" s="34" customFormat="1"/>
    <row r="1790" s="34" customFormat="1"/>
    <row r="1791" s="34" customFormat="1"/>
    <row r="1792" s="34" customFormat="1"/>
    <row r="1793" s="34" customFormat="1"/>
    <row r="1794" s="34" customFormat="1"/>
    <row r="1795" s="34" customFormat="1"/>
    <row r="1796" s="34" customFormat="1"/>
    <row r="1797" s="34" customFormat="1"/>
    <row r="1798" s="34" customFormat="1"/>
    <row r="1799" s="34" customFormat="1"/>
    <row r="1800" s="34" customFormat="1"/>
    <row r="1801" s="34" customFormat="1"/>
    <row r="1802" s="34" customFormat="1"/>
    <row r="1803" s="34" customFormat="1"/>
    <row r="1804" s="34" customFormat="1"/>
    <row r="1805" s="34" customFormat="1"/>
    <row r="1806" s="34" customFormat="1"/>
    <row r="1807" s="34" customFormat="1"/>
    <row r="1808" s="34" customFormat="1"/>
    <row r="1809" s="34" customFormat="1"/>
    <row r="1810" s="34" customFormat="1"/>
    <row r="1811" s="34" customFormat="1"/>
    <row r="1812" s="34" customFormat="1"/>
    <row r="1813" s="34" customFormat="1"/>
    <row r="1814" s="34" customFormat="1"/>
    <row r="1815" s="34" customFormat="1"/>
    <row r="1816" s="34" customFormat="1"/>
    <row r="1817" s="34" customFormat="1"/>
    <row r="1818" s="34" customFormat="1"/>
    <row r="1819" s="34" customFormat="1"/>
    <row r="1820" s="34" customFormat="1"/>
    <row r="1821" s="34" customFormat="1"/>
    <row r="1822" s="34" customFormat="1"/>
    <row r="1823" s="34" customFormat="1"/>
    <row r="1824" s="34" customFormat="1"/>
    <row r="1825" s="34" customFormat="1"/>
    <row r="1826" s="34" customFormat="1"/>
    <row r="1827" s="34" customFormat="1"/>
    <row r="1828" s="34" customFormat="1"/>
    <row r="1829" s="34" customFormat="1"/>
    <row r="1830" s="34" customFormat="1"/>
    <row r="1831" s="34" customFormat="1"/>
    <row r="1832" s="34" customFormat="1"/>
    <row r="1833" s="34" customFormat="1"/>
    <row r="1834" s="34" customFormat="1"/>
    <row r="1835" s="34" customFormat="1"/>
    <row r="1836" s="34" customFormat="1"/>
    <row r="1837" s="34" customFormat="1"/>
    <row r="1838" s="34" customFormat="1"/>
    <row r="1839" s="34" customFormat="1"/>
    <row r="1840" s="34" customFormat="1"/>
    <row r="1841" s="34" customFormat="1"/>
    <row r="1842" s="34" customFormat="1"/>
    <row r="1843" s="34" customFormat="1"/>
    <row r="1844" s="34" customFormat="1"/>
    <row r="1845" s="34" customFormat="1"/>
    <row r="1846" s="34" customFormat="1"/>
    <row r="1847" s="34" customFormat="1"/>
    <row r="1848" s="34" customFormat="1"/>
    <row r="1849" s="34" customFormat="1"/>
    <row r="1850" s="34" customFormat="1"/>
    <row r="1851" s="34" customFormat="1"/>
    <row r="1852" s="34" customFormat="1"/>
    <row r="1853" s="34" customFormat="1"/>
    <row r="1854" s="34" customFormat="1"/>
    <row r="1855" s="34" customFormat="1"/>
    <row r="1856" s="34" customFormat="1"/>
    <row r="1857" s="34" customFormat="1"/>
    <row r="1858" s="34" customFormat="1"/>
    <row r="1859" s="34" customFormat="1"/>
    <row r="1860" s="34" customFormat="1"/>
    <row r="1861" s="34" customFormat="1"/>
    <row r="1862" s="34" customFormat="1"/>
    <row r="1863" s="34" customFormat="1"/>
    <row r="1864" s="34" customFormat="1"/>
    <row r="1865" s="34" customFormat="1"/>
    <row r="1866" s="34" customFormat="1"/>
    <row r="1867" s="34" customFormat="1"/>
    <row r="1868" s="34" customFormat="1"/>
    <row r="1869" s="34" customFormat="1"/>
    <row r="1870" s="34" customFormat="1"/>
    <row r="1871" s="34" customFormat="1"/>
    <row r="1872" s="34" customFormat="1"/>
    <row r="1873" s="34" customFormat="1"/>
    <row r="1874" s="34" customFormat="1"/>
    <row r="1875" s="34" customFormat="1"/>
    <row r="1876" s="34" customFormat="1"/>
    <row r="1877" s="34" customFormat="1"/>
    <row r="1878" s="34" customFormat="1"/>
    <row r="1879" s="34" customFormat="1"/>
    <row r="1880" s="34" customFormat="1"/>
    <row r="1881" s="34" customFormat="1"/>
    <row r="1882" s="34" customFormat="1"/>
    <row r="1883" s="34" customFormat="1"/>
    <row r="1884" s="34" customFormat="1"/>
    <row r="1885" s="34" customFormat="1"/>
    <row r="1886" s="34" customFormat="1"/>
    <row r="1887" s="34" customFormat="1"/>
    <row r="1888" s="34" customFormat="1"/>
    <row r="1889" s="34" customFormat="1"/>
    <row r="1890" s="34" customFormat="1"/>
    <row r="1891" s="34" customFormat="1"/>
    <row r="1892" s="34" customFormat="1"/>
    <row r="1893" s="34" customFormat="1"/>
    <row r="1894" s="34" customFormat="1"/>
    <row r="1895" s="34" customFormat="1"/>
    <row r="1896" s="34" customFormat="1"/>
    <row r="1897" s="34" customFormat="1"/>
    <row r="1898" s="34" customFormat="1"/>
    <row r="1899" s="34" customFormat="1"/>
    <row r="1900" s="34" customFormat="1"/>
    <row r="1901" s="34" customFormat="1"/>
    <row r="1902" s="34" customFormat="1"/>
    <row r="1903" s="34" customFormat="1"/>
    <row r="1904" s="34" customFormat="1"/>
    <row r="1905" s="34" customFormat="1"/>
    <row r="1906" s="34" customFormat="1"/>
    <row r="1907" s="34" customFormat="1"/>
    <row r="1908" s="34" customFormat="1"/>
    <row r="1909" s="34" customFormat="1"/>
    <row r="1910" s="34" customFormat="1"/>
    <row r="1911" s="34" customFormat="1"/>
    <row r="1912" s="34" customFormat="1"/>
    <row r="1913" s="34" customFormat="1"/>
    <row r="1914" s="34" customFormat="1"/>
    <row r="1915" s="34" customFormat="1"/>
    <row r="1916" s="34" customFormat="1"/>
    <row r="1917" s="34" customFormat="1"/>
    <row r="1918" s="34" customFormat="1"/>
    <row r="1919" s="34" customFormat="1"/>
    <row r="1920" s="34" customFormat="1"/>
    <row r="1921" s="34" customFormat="1"/>
    <row r="1922" s="34" customFormat="1"/>
    <row r="1923" s="34" customFormat="1"/>
    <row r="1924" s="34" customFormat="1"/>
    <row r="1925" s="34" customFormat="1"/>
    <row r="1926" s="34" customFormat="1"/>
    <row r="1927" s="34" customFormat="1"/>
    <row r="1928" s="34" customFormat="1"/>
    <row r="1929" s="34" customFormat="1"/>
    <row r="1930" s="34" customFormat="1"/>
    <row r="1931" s="34" customFormat="1"/>
    <row r="1932" s="34" customFormat="1"/>
    <row r="1933" s="34" customFormat="1"/>
    <row r="1934" s="34" customFormat="1"/>
    <row r="1935" s="34" customFormat="1"/>
    <row r="1936" s="34" customFormat="1"/>
    <row r="1937" s="34" customFormat="1"/>
    <row r="1938" s="34" customFormat="1"/>
    <row r="1939" s="34" customFormat="1"/>
    <row r="1940" s="34" customFormat="1"/>
    <row r="1941" s="34" customFormat="1"/>
    <row r="1942" s="34" customFormat="1"/>
    <row r="1943" s="34" customFormat="1"/>
    <row r="1944" s="34" customFormat="1"/>
    <row r="1945" s="34" customFormat="1"/>
    <row r="1946" s="34" customFormat="1"/>
    <row r="1947" s="34" customFormat="1"/>
    <row r="1948" s="34" customFormat="1"/>
    <row r="1949" s="34" customFormat="1"/>
    <row r="1950" s="34" customFormat="1"/>
    <row r="1951" s="34" customFormat="1"/>
    <row r="1952" s="34" customFormat="1"/>
    <row r="1953" s="34" customFormat="1"/>
    <row r="1954" s="34" customFormat="1"/>
    <row r="1955" s="34" customFormat="1"/>
    <row r="1956" s="34" customFormat="1"/>
    <row r="1957" s="34" customFormat="1"/>
    <row r="1958" s="34" customFormat="1"/>
    <row r="1959" s="34" customFormat="1"/>
    <row r="1960" s="34" customFormat="1"/>
    <row r="1961" s="34" customFormat="1"/>
    <row r="1962" s="34" customFormat="1"/>
    <row r="1963" s="34" customFormat="1"/>
    <row r="1964" s="34" customFormat="1"/>
    <row r="1965" s="34" customFormat="1"/>
    <row r="1966" s="34" customFormat="1"/>
    <row r="1967" s="34" customFormat="1"/>
    <row r="1968" s="34" customFormat="1"/>
    <row r="1969" s="34" customFormat="1"/>
    <row r="1970" s="34" customFormat="1"/>
    <row r="1971" s="34" customFormat="1"/>
    <row r="1972" s="34" customFormat="1"/>
    <row r="1973" s="34" customFormat="1"/>
    <row r="1974" s="34" customFormat="1"/>
    <row r="1975" s="34" customFormat="1"/>
    <row r="1976" s="34" customFormat="1"/>
    <row r="1977" s="34" customFormat="1"/>
    <row r="1978" s="34" customFormat="1"/>
    <row r="1979" s="34" customFormat="1"/>
    <row r="1980" s="34" customFormat="1"/>
    <row r="1981" s="34" customFormat="1"/>
    <row r="1982" s="34" customFormat="1"/>
    <row r="1983" s="34" customFormat="1"/>
    <row r="1984" s="34" customFormat="1"/>
    <row r="1985" s="34" customFormat="1"/>
    <row r="1986" s="34" customFormat="1"/>
    <row r="1987" s="34" customFormat="1"/>
    <row r="1988" s="34" customFormat="1"/>
    <row r="1989" s="34" customFormat="1"/>
    <row r="1990" s="34" customFormat="1"/>
    <row r="1991" s="34" customFormat="1"/>
    <row r="1992" s="34" customFormat="1"/>
    <row r="1993" s="34" customFormat="1"/>
    <row r="1994" s="34" customFormat="1"/>
    <row r="1995" s="34" customFormat="1"/>
    <row r="1996" s="34" customFormat="1"/>
    <row r="1997" s="34" customFormat="1"/>
    <row r="1998" s="34" customFormat="1"/>
    <row r="1999" s="34" customFormat="1"/>
    <row r="2000" s="34" customFormat="1"/>
    <row r="2001" s="34" customFormat="1"/>
    <row r="2002" s="34" customFormat="1"/>
    <row r="2003" s="34" customFormat="1"/>
    <row r="2004" s="34" customFormat="1"/>
    <row r="2005" s="34" customFormat="1"/>
    <row r="2006" s="34" customFormat="1"/>
    <row r="2007" s="34" customFormat="1"/>
    <row r="2008" s="34" customFormat="1"/>
    <row r="2009" s="34" customFormat="1"/>
    <row r="2010" s="34" customFormat="1"/>
    <row r="2011" s="34" customFormat="1"/>
    <row r="2012" s="34" customFormat="1"/>
    <row r="2013" s="34" customFormat="1"/>
    <row r="2014" s="34" customFormat="1"/>
    <row r="2015" s="34" customFormat="1"/>
    <row r="2016" s="34" customFormat="1"/>
    <row r="2017" s="34" customFormat="1"/>
    <row r="2018" s="34" customFormat="1"/>
    <row r="2019" s="34" customFormat="1"/>
    <row r="2020" s="34" customFormat="1"/>
    <row r="2021" s="34" customFormat="1"/>
    <row r="2022" s="34" customFormat="1"/>
    <row r="2023" s="34" customFormat="1"/>
    <row r="2024" s="34" customFormat="1"/>
    <row r="2025" s="34" customFormat="1"/>
    <row r="2026" s="34" customFormat="1"/>
    <row r="2027" s="34" customFormat="1"/>
    <row r="2028" s="34" customFormat="1"/>
    <row r="2029" s="34" customFormat="1"/>
    <row r="2030" s="34" customFormat="1"/>
    <row r="2031" s="34" customFormat="1"/>
    <row r="2032" s="34" customFormat="1"/>
    <row r="2033" s="34" customFormat="1"/>
    <row r="2034" s="34" customFormat="1"/>
    <row r="2035" s="34" customFormat="1"/>
    <row r="2036" s="34" customFormat="1"/>
    <row r="2037" s="34" customFormat="1"/>
    <row r="2038" s="34" customFormat="1"/>
    <row r="2039" s="34" customFormat="1"/>
    <row r="2040" s="34" customFormat="1"/>
    <row r="2041" s="34" customFormat="1"/>
    <row r="2042" s="34" customFormat="1"/>
    <row r="2043" s="34" customFormat="1"/>
    <row r="2044" s="34" customFormat="1"/>
    <row r="2045" s="34" customFormat="1"/>
    <row r="2046" s="34" customFormat="1"/>
    <row r="2047" s="34" customFormat="1"/>
    <row r="2048" s="34" customFormat="1"/>
    <row r="2049" s="34" customFormat="1"/>
    <row r="2050" s="34" customFormat="1"/>
    <row r="2051" s="34" customFormat="1"/>
    <row r="2052" s="34" customFormat="1"/>
    <row r="2053" s="34" customFormat="1"/>
    <row r="2054" s="34" customFormat="1"/>
    <row r="2055" s="34" customFormat="1"/>
    <row r="2056" s="34" customFormat="1"/>
    <row r="2057" s="34" customFormat="1"/>
    <row r="2058" s="34" customFormat="1"/>
    <row r="2059" s="34" customFormat="1"/>
    <row r="2060" s="34" customFormat="1"/>
    <row r="2061" s="34" customFormat="1"/>
    <row r="2062" s="34" customFormat="1"/>
    <row r="2063" s="34" customFormat="1"/>
    <row r="2064" s="34" customFormat="1"/>
    <row r="2065" s="34" customFormat="1"/>
    <row r="2066" s="34" customFormat="1"/>
    <row r="2067" s="34" customFormat="1"/>
    <row r="2068" s="34" customFormat="1"/>
    <row r="2069" s="34" customFormat="1"/>
    <row r="2070" s="34" customFormat="1"/>
    <row r="2071" s="34" customFormat="1"/>
    <row r="2072" s="34" customFormat="1"/>
    <row r="2073" s="34" customFormat="1"/>
    <row r="2074" s="34" customFormat="1"/>
    <row r="2075" s="34" customFormat="1"/>
    <row r="2076" s="34" customFormat="1"/>
    <row r="2077" s="34" customFormat="1"/>
    <row r="2078" s="34" customFormat="1"/>
    <row r="2079" s="34" customFormat="1"/>
    <row r="2080" s="34" customFormat="1"/>
    <row r="2081" s="34" customFormat="1"/>
    <row r="2082" s="34" customFormat="1"/>
    <row r="2083" s="34" customFormat="1"/>
    <row r="2084" s="34" customFormat="1"/>
    <row r="2085" s="34" customFormat="1"/>
    <row r="2086" s="34" customFormat="1"/>
    <row r="2087" s="34" customFormat="1"/>
    <row r="2088" s="34" customFormat="1"/>
    <row r="2089" s="34" customFormat="1"/>
    <row r="2090" s="34" customFormat="1"/>
    <row r="2091" s="34" customFormat="1"/>
    <row r="2092" s="34" customFormat="1"/>
    <row r="2093" s="34" customFormat="1"/>
    <row r="2094" s="34" customFormat="1"/>
    <row r="2095" s="34" customFormat="1"/>
    <row r="2096" s="34" customFormat="1"/>
    <row r="2097" s="34" customFormat="1"/>
    <row r="2098" s="34" customFormat="1"/>
    <row r="2099" s="34" customFormat="1"/>
    <row r="2100" s="34" customFormat="1"/>
    <row r="2101" s="34" customFormat="1"/>
    <row r="2102" s="34" customFormat="1"/>
    <row r="2103" s="34" customFormat="1"/>
    <row r="2104" s="34" customFormat="1"/>
    <row r="2105" s="34" customFormat="1"/>
    <row r="2106" s="34" customFormat="1"/>
    <row r="2107" s="34" customFormat="1"/>
    <row r="2108" s="34" customFormat="1"/>
    <row r="2109" s="34" customFormat="1"/>
    <row r="2110" s="34" customFormat="1"/>
    <row r="2111" s="34" customFormat="1"/>
    <row r="2112" s="34" customFormat="1"/>
    <row r="2113" s="34" customFormat="1"/>
    <row r="2114" s="34" customFormat="1"/>
    <row r="2115" s="34" customFormat="1"/>
    <row r="2116" s="34" customFormat="1"/>
    <row r="2117" s="34" customFormat="1"/>
    <row r="2118" s="34" customFormat="1"/>
    <row r="2119" s="34" customFormat="1"/>
    <row r="2120" s="34" customFormat="1"/>
    <row r="2121" s="34" customFormat="1"/>
    <row r="2122" s="34" customFormat="1"/>
    <row r="2123" s="34" customFormat="1"/>
    <row r="2124" s="34" customFormat="1"/>
    <row r="2125" s="34" customFormat="1"/>
    <row r="2126" s="34" customFormat="1"/>
    <row r="2127" s="34" customFormat="1"/>
    <row r="2128" s="34" customFormat="1"/>
    <row r="2129" s="34" customFormat="1"/>
    <row r="2130" s="34" customFormat="1"/>
    <row r="2131" s="34" customFormat="1"/>
    <row r="2132" s="34" customFormat="1"/>
    <row r="2133" s="34" customFormat="1"/>
    <row r="2134" s="34" customFormat="1"/>
    <row r="2135" s="34" customFormat="1"/>
    <row r="2136" s="34" customFormat="1"/>
    <row r="2137" s="34" customFormat="1"/>
    <row r="2138" s="34" customFormat="1"/>
    <row r="2139" s="34" customFormat="1"/>
    <row r="2140" s="34" customFormat="1"/>
    <row r="2141" s="34" customFormat="1"/>
    <row r="2142" s="34" customFormat="1"/>
    <row r="2143" s="34" customFormat="1"/>
    <row r="2144" s="34" customFormat="1"/>
    <row r="2145" s="34" customFormat="1"/>
    <row r="2146" s="34" customFormat="1"/>
    <row r="2147" s="34" customFormat="1"/>
    <row r="2148" s="34" customFormat="1"/>
    <row r="2149" s="34" customFormat="1"/>
    <row r="2150" s="34" customFormat="1"/>
    <row r="2151" s="34" customFormat="1"/>
    <row r="2152" s="34" customFormat="1"/>
    <row r="2153" s="34" customFormat="1"/>
    <row r="2154" s="34" customFormat="1"/>
    <row r="2155" s="34" customFormat="1"/>
    <row r="2156" s="34" customFormat="1"/>
    <row r="2157" s="34" customFormat="1"/>
    <row r="2158" s="34" customFormat="1"/>
    <row r="2159" s="34" customFormat="1"/>
    <row r="2160" s="34" customFormat="1"/>
    <row r="2161" s="34" customFormat="1"/>
    <row r="2162" s="34" customFormat="1"/>
    <row r="2163" s="34" customFormat="1"/>
    <row r="2164" s="34" customFormat="1"/>
    <row r="2165" s="34" customFormat="1"/>
    <row r="2166" s="34" customFormat="1"/>
    <row r="2167" s="34" customFormat="1"/>
    <row r="2168" s="34" customFormat="1"/>
    <row r="2169" s="34" customFormat="1"/>
    <row r="2170" s="34" customFormat="1"/>
    <row r="2171" s="34" customFormat="1"/>
    <row r="2172" s="34" customFormat="1"/>
    <row r="2173" s="34" customFormat="1"/>
    <row r="2174" s="34" customFormat="1"/>
    <row r="2175" s="34" customFormat="1"/>
    <row r="2176" s="34" customFormat="1"/>
    <row r="2177" s="34" customFormat="1"/>
    <row r="2178" s="34" customFormat="1"/>
    <row r="2179" s="34" customFormat="1"/>
    <row r="2180" s="34" customFormat="1"/>
    <row r="2181" s="34" customFormat="1"/>
    <row r="2182" s="34" customFormat="1"/>
    <row r="2183" s="34" customFormat="1"/>
    <row r="2184" s="34" customFormat="1"/>
    <row r="2185" s="34" customFormat="1"/>
    <row r="2186" s="34" customFormat="1"/>
    <row r="2187" s="34" customFormat="1"/>
    <row r="2188" s="34" customFormat="1"/>
    <row r="2189" s="34" customFormat="1"/>
    <row r="2190" s="34" customFormat="1"/>
    <row r="2191" s="34" customFormat="1"/>
    <row r="2192" s="34" customFormat="1"/>
    <row r="2193" s="34" customFormat="1"/>
    <row r="2194" s="34" customFormat="1"/>
    <row r="2195" s="34" customFormat="1"/>
    <row r="2196" s="34" customFormat="1"/>
    <row r="2197" s="34" customFormat="1"/>
    <row r="2198" s="34" customFormat="1"/>
    <row r="2199" s="34" customFormat="1"/>
    <row r="2200" s="34" customFormat="1"/>
    <row r="2201" s="34" customFormat="1"/>
    <row r="2202" s="34" customFormat="1"/>
    <row r="2203" s="34" customFormat="1"/>
    <row r="2204" s="34" customFormat="1"/>
    <row r="2205" s="34" customFormat="1"/>
    <row r="2206" s="34" customFormat="1"/>
    <row r="2207" s="34" customFormat="1"/>
    <row r="2208" s="34" customFormat="1"/>
    <row r="2209" s="34" customFormat="1"/>
    <row r="2210" s="34" customFormat="1"/>
    <row r="2211" s="34" customFormat="1"/>
    <row r="2212" s="34" customFormat="1"/>
    <row r="2213" s="34" customFormat="1"/>
    <row r="2214" s="34" customFormat="1"/>
    <row r="2215" s="34" customFormat="1"/>
    <row r="2216" s="34" customFormat="1"/>
    <row r="2217" s="34" customFormat="1"/>
    <row r="2218" s="34" customFormat="1"/>
    <row r="2219" s="34" customFormat="1"/>
    <row r="2220" s="34" customFormat="1"/>
    <row r="2221" s="34" customFormat="1"/>
    <row r="2222" s="34" customFormat="1"/>
    <row r="2223" s="34" customFormat="1"/>
    <row r="2224" s="34" customFormat="1"/>
    <row r="2225" s="34" customFormat="1"/>
    <row r="2226" s="34" customFormat="1"/>
    <row r="2227" s="34" customFormat="1"/>
    <row r="2228" s="34" customFormat="1"/>
    <row r="2229" s="34" customFormat="1"/>
    <row r="2230" s="34" customFormat="1"/>
    <row r="2231" s="34" customFormat="1"/>
    <row r="2232" s="34" customFormat="1"/>
    <row r="2233" s="34" customFormat="1"/>
    <row r="2234" s="34" customFormat="1"/>
    <row r="2235" s="34" customFormat="1"/>
    <row r="2236" s="34" customFormat="1"/>
    <row r="2237" s="34" customFormat="1"/>
    <row r="2238" s="34" customFormat="1"/>
    <row r="2239" s="34" customFormat="1"/>
    <row r="2240" s="34" customFormat="1"/>
    <row r="2241" s="34" customFormat="1"/>
    <row r="2242" s="34" customFormat="1"/>
  </sheetData>
  <sheetProtection password="8B10" sheet="1" objects="1" scenarios="1"/>
  <mergeCells count="3">
    <mergeCell ref="D17:F17"/>
    <mergeCell ref="G17:I17"/>
    <mergeCell ref="J17:L17"/>
  </mergeCells>
  <phoneticPr fontId="2" type="noConversion"/>
  <pageMargins left="0.70866141732283472" right="0.70866141732283472" top="1.0236220472440944" bottom="1.0236220472440944" header="0.39370078740157483" footer="0.39370078740157483"/>
  <pageSetup paperSize="9" scale="72" orientation="landscape" r:id="rId1"/>
  <headerFooter alignWithMargins="0">
    <oddFooter>&amp;L&amp;"Frutiger 57Cn,Standard"&amp;8
Santander Consumer Bank AG
Santander-Platz 1
41061 Mönchengladbach
Tel.: +49 180 / 5556 - 499
Fax.: +49 180 / 5556 - 498</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tabColor theme="0" tint="-0.14999847407452621"/>
    <pageSetUpPr fitToPage="1"/>
  </sheetPr>
  <dimension ref="A1:O2236"/>
  <sheetViews>
    <sheetView view="pageBreakPreview" zoomScale="70" zoomScaleNormal="70" zoomScaleSheetLayoutView="75" workbookViewId="0">
      <selection activeCell="B3" sqref="B3"/>
    </sheetView>
  </sheetViews>
  <sheetFormatPr defaultRowHeight="12.75"/>
  <cols>
    <col min="1" max="1" width="1.28515625" style="31" customWidth="1"/>
    <col min="2" max="2" width="51.5703125" style="31" customWidth="1"/>
    <col min="3" max="3" width="32.42578125" style="31" customWidth="1"/>
    <col min="4" max="4" width="10.7109375" style="31" customWidth="1"/>
    <col min="5" max="5" width="12.140625" style="31" customWidth="1"/>
    <col min="6" max="6" width="10.28515625" style="31" customWidth="1"/>
    <col min="7" max="12" width="10.7109375" style="31" customWidth="1"/>
    <col min="13" max="13" width="4.42578125" customWidth="1"/>
    <col min="14" max="14" width="13.42578125" style="31" customWidth="1"/>
    <col min="15" max="15" width="1.28515625" style="31" customWidth="1"/>
    <col min="16" max="256" width="11.42578125" style="31" customWidth="1"/>
    <col min="257" max="16384" width="9.140625" style="31"/>
  </cols>
  <sheetData>
    <row r="1" spans="1:15" ht="6" customHeight="1">
      <c r="A1" s="35"/>
      <c r="B1" s="36"/>
      <c r="C1" s="36"/>
      <c r="D1" s="36"/>
      <c r="E1" s="36"/>
      <c r="F1" s="36"/>
      <c r="G1" s="36"/>
      <c r="H1" s="36"/>
      <c r="I1" s="36"/>
      <c r="J1" s="36"/>
      <c r="K1" s="36"/>
      <c r="L1" s="36"/>
      <c r="M1" s="726"/>
      <c r="N1" s="36"/>
      <c r="O1" s="37"/>
    </row>
    <row r="2" spans="1:15" s="27" customFormat="1" ht="18">
      <c r="A2" s="5"/>
      <c r="B2" s="7" t="s">
        <v>198</v>
      </c>
      <c r="C2" s="7"/>
      <c r="D2" s="4"/>
      <c r="E2" s="833" t="s">
        <v>54</v>
      </c>
      <c r="F2" s="834"/>
      <c r="G2" s="109"/>
      <c r="H2" s="110">
        <f>'Cover Sheet'!F2</f>
        <v>41191</v>
      </c>
      <c r="I2" s="547"/>
      <c r="J2" s="109"/>
      <c r="K2" s="109"/>
      <c r="L2" s="111"/>
      <c r="M2" s="4"/>
      <c r="N2" s="4"/>
      <c r="O2" s="8"/>
    </row>
    <row r="3" spans="1:15" s="27" customFormat="1" ht="18">
      <c r="A3" s="5"/>
      <c r="B3" s="7" t="str">
        <f>'Cover Sheet'!B3</f>
        <v>Monthly Investor Report</v>
      </c>
      <c r="C3" s="7"/>
      <c r="D3" s="4"/>
      <c r="E3" s="835" t="s">
        <v>4</v>
      </c>
      <c r="F3" s="836"/>
      <c r="G3" s="114"/>
      <c r="H3" s="114">
        <f>'Cover Sheet'!F3</f>
        <v>41197</v>
      </c>
      <c r="I3" s="548"/>
      <c r="J3" s="113"/>
      <c r="K3" s="113"/>
      <c r="L3" s="115"/>
      <c r="M3" s="4"/>
      <c r="N3" s="4"/>
      <c r="O3" s="8"/>
    </row>
    <row r="4" spans="1:15" s="27" customFormat="1">
      <c r="A4" s="5"/>
      <c r="B4" s="42"/>
      <c r="C4" s="12"/>
      <c r="D4" s="4"/>
      <c r="E4" s="835" t="s">
        <v>5</v>
      </c>
      <c r="F4" s="836"/>
      <c r="G4" s="122"/>
      <c r="H4" s="122">
        <f>'Cover Sheet'!F4</f>
        <v>27</v>
      </c>
      <c r="I4" s="549"/>
      <c r="J4" s="117"/>
      <c r="K4" s="113"/>
      <c r="L4" s="118"/>
      <c r="M4" s="4"/>
      <c r="N4" s="4"/>
      <c r="O4" s="8"/>
    </row>
    <row r="5" spans="1:15" s="27" customFormat="1" ht="18">
      <c r="A5" s="5"/>
      <c r="B5" s="105" t="s">
        <v>406</v>
      </c>
      <c r="C5" s="14"/>
      <c r="D5" s="4"/>
      <c r="E5" s="835" t="s">
        <v>3</v>
      </c>
      <c r="F5" s="836"/>
      <c r="G5" s="123"/>
      <c r="H5" s="123">
        <f>'Cover Sheet'!F5</f>
        <v>41197</v>
      </c>
      <c r="I5" s="113"/>
      <c r="J5" s="117"/>
      <c r="K5" s="113"/>
      <c r="L5" s="118"/>
      <c r="M5" s="4"/>
      <c r="N5" s="4"/>
      <c r="O5" s="8"/>
    </row>
    <row r="6" spans="1:15" s="27" customFormat="1" ht="15" customHeight="1">
      <c r="A6" s="5"/>
      <c r="B6" s="43"/>
      <c r="C6" s="89"/>
      <c r="D6" s="4"/>
      <c r="E6" s="837" t="str">
        <f>'Cover Sheet'!D6</f>
        <v>Interest Period</v>
      </c>
      <c r="F6" s="838"/>
      <c r="G6" s="114" t="s">
        <v>38</v>
      </c>
      <c r="H6" s="114">
        <f>'Cover Sheet'!F6</f>
        <v>41164</v>
      </c>
      <c r="I6" s="114" t="s">
        <v>6</v>
      </c>
      <c r="J6" s="114">
        <f>'Cover Sheet'!H6</f>
        <v>41197</v>
      </c>
      <c r="K6" s="114" t="s">
        <v>18</v>
      </c>
      <c r="L6" s="586" t="str">
        <f>'Cover Sheet'!$J$6</f>
        <v>33 days</v>
      </c>
      <c r="M6" s="4"/>
      <c r="N6" s="4"/>
      <c r="O6" s="215"/>
    </row>
    <row r="7" spans="1:15" s="27" customFormat="1">
      <c r="A7" s="5"/>
      <c r="B7" s="4"/>
      <c r="C7" s="4"/>
      <c r="D7" s="28"/>
      <c r="E7" s="839" t="str">
        <f>'Cover Sheet'!D7</f>
        <v>Collection Period</v>
      </c>
      <c r="F7" s="840"/>
      <c r="G7" s="121" t="s">
        <v>38</v>
      </c>
      <c r="H7" s="121" t="str">
        <f>'Cover Sheet'!F7</f>
        <v>01.09.2012</v>
      </c>
      <c r="I7" s="121" t="s">
        <v>6</v>
      </c>
      <c r="J7" s="121">
        <f>'Cover Sheet'!H7</f>
        <v>41182</v>
      </c>
      <c r="K7" s="550"/>
      <c r="L7" s="544"/>
      <c r="M7" s="4"/>
      <c r="N7" s="4"/>
      <c r="O7" s="8"/>
    </row>
    <row r="8" spans="1:15" s="27" customFormat="1">
      <c r="A8" s="5"/>
      <c r="B8" s="4"/>
      <c r="C8" s="4"/>
      <c r="D8" s="34"/>
      <c r="E8" s="9"/>
      <c r="F8" s="15"/>
      <c r="G8" s="9"/>
      <c r="H8" s="4"/>
      <c r="I8" s="16"/>
      <c r="J8" s="4"/>
      <c r="K8" s="10"/>
      <c r="L8" s="4"/>
      <c r="M8" s="4"/>
      <c r="N8" s="4"/>
      <c r="O8" s="8"/>
    </row>
    <row r="9" spans="1:15" s="27" customFormat="1">
      <c r="A9" s="5"/>
      <c r="B9" s="4"/>
      <c r="C9" s="4"/>
      <c r="D9" s="34"/>
      <c r="E9" s="4"/>
      <c r="F9" s="4"/>
      <c r="G9" s="4"/>
      <c r="H9" s="4"/>
      <c r="I9" s="4"/>
      <c r="J9" s="4"/>
      <c r="K9" s="4"/>
      <c r="L9" s="4"/>
      <c r="M9" s="4"/>
      <c r="N9" s="4"/>
      <c r="O9" s="216"/>
    </row>
    <row r="10" spans="1:15" s="27" customFormat="1">
      <c r="A10" s="5"/>
      <c r="B10" s="4"/>
      <c r="C10" s="4"/>
      <c r="D10" s="34"/>
      <c r="E10" s="4"/>
      <c r="F10" s="18"/>
      <c r="G10" s="4"/>
      <c r="H10" s="4"/>
      <c r="I10" s="34"/>
      <c r="J10" s="34"/>
      <c r="K10" s="4"/>
      <c r="L10" s="4"/>
      <c r="M10" s="4"/>
      <c r="N10" s="4"/>
      <c r="O10" s="8"/>
    </row>
    <row r="11" spans="1:15" s="27" customFormat="1" ht="12.75" customHeight="1">
      <c r="A11" s="5"/>
      <c r="B11" s="125"/>
      <c r="C11" s="4"/>
      <c r="D11" s="551"/>
      <c r="E11" s="551"/>
      <c r="F11" s="551"/>
      <c r="G11" s="551"/>
      <c r="H11" s="551"/>
      <c r="I11" s="551"/>
      <c r="J11" s="551"/>
      <c r="K11" s="551"/>
      <c r="L11" s="551"/>
      <c r="M11" s="4"/>
      <c r="N11" s="4"/>
      <c r="O11" s="103"/>
    </row>
    <row r="12" spans="1:15" s="27" customFormat="1" ht="15" customHeight="1">
      <c r="A12" s="5"/>
      <c r="B12" s="570"/>
      <c r="C12" s="511"/>
      <c r="D12" s="827" t="s">
        <v>219</v>
      </c>
      <c r="E12" s="828"/>
      <c r="F12" s="829"/>
      <c r="G12" s="830" t="s">
        <v>220</v>
      </c>
      <c r="H12" s="831"/>
      <c r="I12" s="832"/>
      <c r="J12" s="830" t="s">
        <v>221</v>
      </c>
      <c r="K12" s="831"/>
      <c r="L12" s="832"/>
      <c r="M12" s="4"/>
      <c r="N12" s="4"/>
      <c r="O12" s="103"/>
    </row>
    <row r="13" spans="1:15" s="27" customFormat="1" ht="33" customHeight="1">
      <c r="A13" s="5"/>
      <c r="B13" s="4"/>
      <c r="C13" s="571"/>
      <c r="D13" s="713" t="s">
        <v>222</v>
      </c>
      <c r="E13" s="572" t="s">
        <v>223</v>
      </c>
      <c r="F13" s="572" t="s">
        <v>224</v>
      </c>
      <c r="G13" s="572" t="s">
        <v>222</v>
      </c>
      <c r="H13" s="572" t="s">
        <v>223</v>
      </c>
      <c r="I13" s="572" t="s">
        <v>224</v>
      </c>
      <c r="J13" s="572" t="s">
        <v>222</v>
      </c>
      <c r="K13" s="572" t="s">
        <v>223</v>
      </c>
      <c r="L13" s="572" t="s">
        <v>224</v>
      </c>
      <c r="M13" s="4"/>
      <c r="N13" s="714" t="s">
        <v>362</v>
      </c>
      <c r="O13" s="103"/>
    </row>
    <row r="14" spans="1:15" ht="12.75" customHeight="1">
      <c r="A14" s="40"/>
      <c r="B14" s="574" t="s">
        <v>231</v>
      </c>
      <c r="C14" s="571" t="s">
        <v>472</v>
      </c>
      <c r="D14" s="573"/>
      <c r="E14" s="432"/>
      <c r="F14" s="573"/>
      <c r="G14" s="511"/>
      <c r="H14" s="573"/>
      <c r="I14" s="511"/>
      <c r="J14" s="573"/>
      <c r="K14" s="511"/>
      <c r="L14" s="573"/>
      <c r="M14" s="217"/>
      <c r="N14" s="789"/>
      <c r="O14" s="103"/>
    </row>
    <row r="15" spans="1:15" ht="12.75" customHeight="1">
      <c r="A15" s="40"/>
      <c r="B15" s="34"/>
      <c r="C15" s="34" t="s">
        <v>363</v>
      </c>
      <c r="D15" s="575" t="s">
        <v>579</v>
      </c>
      <c r="E15" s="715" t="s">
        <v>579</v>
      </c>
      <c r="F15" s="581"/>
      <c r="G15" s="716" t="s">
        <v>237</v>
      </c>
      <c r="H15" s="575" t="s">
        <v>238</v>
      </c>
      <c r="I15" s="716" t="s">
        <v>236</v>
      </c>
      <c r="J15" s="575" t="s">
        <v>579</v>
      </c>
      <c r="K15" s="716" t="s">
        <v>579</v>
      </c>
      <c r="L15" s="575"/>
      <c r="M15" s="217"/>
      <c r="N15" s="789" t="s">
        <v>365</v>
      </c>
      <c r="O15" s="103"/>
    </row>
    <row r="16" spans="1:15" ht="12.75" customHeight="1">
      <c r="A16" s="40"/>
      <c r="B16" s="34"/>
      <c r="C16" s="511" t="s">
        <v>234</v>
      </c>
      <c r="D16" s="576"/>
      <c r="E16" s="432"/>
      <c r="F16" s="576"/>
      <c r="G16" s="511"/>
      <c r="H16" s="576"/>
      <c r="I16" s="511"/>
      <c r="J16" s="576"/>
      <c r="K16" s="511"/>
      <c r="L16" s="576"/>
      <c r="M16" s="217"/>
      <c r="N16" s="789"/>
      <c r="O16" s="103"/>
    </row>
    <row r="17" spans="1:15" ht="12.75" customHeight="1">
      <c r="A17" s="40"/>
      <c r="B17" s="34" t="s">
        <v>471</v>
      </c>
      <c r="C17" s="511" t="s">
        <v>235</v>
      </c>
      <c r="D17" s="576"/>
      <c r="E17" s="432"/>
      <c r="F17" s="576"/>
      <c r="G17" s="511"/>
      <c r="H17" s="576"/>
      <c r="I17" s="511"/>
      <c r="J17" s="576"/>
      <c r="K17" s="511"/>
      <c r="L17" s="576"/>
      <c r="M17" s="217"/>
      <c r="N17" s="789"/>
      <c r="O17" s="103"/>
    </row>
    <row r="18" spans="1:15" ht="12.75" customHeight="1">
      <c r="A18" s="40"/>
      <c r="B18" s="34" t="s">
        <v>366</v>
      </c>
      <c r="C18" s="511" t="s">
        <v>209</v>
      </c>
      <c r="D18" s="576"/>
      <c r="E18" s="432"/>
      <c r="F18" s="576"/>
      <c r="G18" s="511"/>
      <c r="H18" s="576"/>
      <c r="I18" s="511"/>
      <c r="J18" s="576"/>
      <c r="K18" s="511"/>
      <c r="L18" s="576"/>
      <c r="M18" s="217"/>
      <c r="N18" s="789"/>
      <c r="O18" s="103"/>
    </row>
    <row r="19" spans="1:15" ht="12.75" customHeight="1">
      <c r="A19" s="40"/>
      <c r="B19" s="34"/>
      <c r="C19" s="34"/>
      <c r="D19" s="576"/>
      <c r="E19" s="432"/>
      <c r="F19" s="576"/>
      <c r="G19" s="511"/>
      <c r="H19" s="576"/>
      <c r="I19" s="511"/>
      <c r="J19" s="576"/>
      <c r="K19" s="511"/>
      <c r="L19" s="576"/>
      <c r="M19" s="34"/>
      <c r="N19" s="789"/>
      <c r="O19" s="103"/>
    </row>
    <row r="20" spans="1:15" ht="12.75" customHeight="1">
      <c r="A20" s="40"/>
      <c r="B20" s="34"/>
      <c r="C20" s="571" t="s">
        <v>225</v>
      </c>
      <c r="D20" s="575" t="s">
        <v>256</v>
      </c>
      <c r="E20" s="715" t="s">
        <v>276</v>
      </c>
      <c r="F20" s="575" t="s">
        <v>236</v>
      </c>
      <c r="G20" s="716" t="s">
        <v>237</v>
      </c>
      <c r="H20" s="575" t="s">
        <v>238</v>
      </c>
      <c r="I20" s="717" t="s">
        <v>254</v>
      </c>
      <c r="J20" s="575" t="s">
        <v>303</v>
      </c>
      <c r="K20" s="716" t="s">
        <v>295</v>
      </c>
      <c r="L20" s="575" t="s">
        <v>236</v>
      </c>
      <c r="M20" s="34"/>
      <c r="N20" s="789" t="s">
        <v>365</v>
      </c>
      <c r="O20" s="103"/>
    </row>
    <row r="21" spans="1:15" ht="12.75" customHeight="1">
      <c r="A21" s="40"/>
      <c r="B21" s="34"/>
      <c r="C21" s="34" t="s">
        <v>465</v>
      </c>
      <c r="D21" s="576"/>
      <c r="E21" s="432"/>
      <c r="F21" s="576"/>
      <c r="G21" s="511"/>
      <c r="H21" s="576"/>
      <c r="I21" s="511"/>
      <c r="J21" s="576"/>
      <c r="K21" s="511"/>
      <c r="L21" s="576"/>
      <c r="M21" s="34"/>
      <c r="N21" s="789"/>
      <c r="O21" s="103"/>
    </row>
    <row r="22" spans="1:15" ht="12.75" customHeight="1">
      <c r="A22" s="40"/>
      <c r="B22" s="34" t="s">
        <v>466</v>
      </c>
      <c r="C22" s="511" t="s">
        <v>467</v>
      </c>
      <c r="D22" s="576"/>
      <c r="E22" s="432"/>
      <c r="F22" s="576"/>
      <c r="G22" s="511"/>
      <c r="H22" s="576"/>
      <c r="I22" s="511"/>
      <c r="J22" s="576"/>
      <c r="K22" s="511"/>
      <c r="L22" s="576"/>
      <c r="M22" s="34"/>
      <c r="N22" s="789"/>
      <c r="O22" s="103"/>
    </row>
    <row r="23" spans="1:15" ht="12.75" customHeight="1">
      <c r="A23" s="40"/>
      <c r="B23" s="34" t="s">
        <v>468</v>
      </c>
      <c r="C23" s="511" t="s">
        <v>240</v>
      </c>
      <c r="D23" s="576"/>
      <c r="E23" s="432"/>
      <c r="F23" s="576"/>
      <c r="G23" s="511"/>
      <c r="H23" s="576"/>
      <c r="I23" s="511"/>
      <c r="J23" s="576"/>
      <c r="K23" s="511"/>
      <c r="L23" s="576"/>
      <c r="M23" s="34"/>
      <c r="N23" s="789"/>
      <c r="O23" s="103"/>
    </row>
    <row r="24" spans="1:15" ht="12.75" customHeight="1">
      <c r="A24" s="40"/>
      <c r="B24" s="511"/>
      <c r="C24" s="718"/>
      <c r="D24" s="576"/>
      <c r="E24" s="432"/>
      <c r="F24" s="576"/>
      <c r="G24" s="511"/>
      <c r="H24" s="576"/>
      <c r="I24" s="511"/>
      <c r="J24" s="576"/>
      <c r="K24" s="511"/>
      <c r="L24" s="576"/>
      <c r="M24" s="34"/>
      <c r="N24" s="789"/>
      <c r="O24" s="103"/>
    </row>
    <row r="25" spans="1:15" ht="12.75" customHeight="1">
      <c r="A25" s="40"/>
      <c r="B25" s="574" t="s">
        <v>232</v>
      </c>
      <c r="C25" s="578" t="s">
        <v>241</v>
      </c>
      <c r="D25" s="575" t="s">
        <v>469</v>
      </c>
      <c r="E25" s="715" t="s">
        <v>276</v>
      </c>
      <c r="F25" s="575" t="s">
        <v>236</v>
      </c>
      <c r="G25" s="716" t="s">
        <v>284</v>
      </c>
      <c r="H25" s="575" t="s">
        <v>238</v>
      </c>
      <c r="I25" s="716" t="s">
        <v>236</v>
      </c>
      <c r="J25" s="575" t="s">
        <v>284</v>
      </c>
      <c r="K25" s="716" t="s">
        <v>277</v>
      </c>
      <c r="L25" s="575" t="s">
        <v>254</v>
      </c>
      <c r="M25" s="34"/>
      <c r="N25" s="789" t="s">
        <v>365</v>
      </c>
      <c r="O25" s="103"/>
    </row>
    <row r="26" spans="1:15" ht="12.75" customHeight="1">
      <c r="A26" s="40"/>
      <c r="B26" s="34"/>
      <c r="C26" s="511" t="s">
        <v>367</v>
      </c>
      <c r="D26" s="576"/>
      <c r="E26" s="432"/>
      <c r="F26" s="576"/>
      <c r="G26" s="511"/>
      <c r="H26" s="576"/>
      <c r="I26" s="511"/>
      <c r="J26" s="576"/>
      <c r="K26" s="511"/>
      <c r="L26" s="576"/>
      <c r="M26" s="34"/>
      <c r="N26" s="789"/>
      <c r="O26" s="103"/>
    </row>
    <row r="27" spans="1:15" ht="12.75" customHeight="1">
      <c r="A27" s="40"/>
      <c r="B27" s="34"/>
      <c r="C27" s="511" t="s">
        <v>242</v>
      </c>
      <c r="D27" s="576"/>
      <c r="E27" s="432"/>
      <c r="F27" s="576"/>
      <c r="G27" s="511"/>
      <c r="H27" s="576"/>
      <c r="I27" s="511"/>
      <c r="J27" s="576"/>
      <c r="K27" s="511"/>
      <c r="L27" s="576"/>
      <c r="M27" s="34"/>
      <c r="N27" s="789"/>
      <c r="O27" s="103"/>
    </row>
    <row r="28" spans="1:15" ht="12.75" customHeight="1">
      <c r="A28" s="40"/>
      <c r="B28" s="34" t="s">
        <v>368</v>
      </c>
      <c r="C28" s="511" t="s">
        <v>243</v>
      </c>
      <c r="D28" s="576"/>
      <c r="E28" s="432"/>
      <c r="F28" s="576"/>
      <c r="G28" s="511"/>
      <c r="H28" s="576"/>
      <c r="I28" s="511"/>
      <c r="J28" s="576"/>
      <c r="K28" s="511"/>
      <c r="L28" s="576"/>
      <c r="M28" s="34"/>
      <c r="N28" s="789"/>
      <c r="O28" s="103"/>
    </row>
    <row r="29" spans="1:15" ht="12.75" customHeight="1">
      <c r="A29" s="40"/>
      <c r="B29" s="34" t="s">
        <v>369</v>
      </c>
      <c r="C29" s="511" t="s">
        <v>244</v>
      </c>
      <c r="D29" s="576"/>
      <c r="E29" s="432"/>
      <c r="F29" s="576"/>
      <c r="G29" s="511"/>
      <c r="H29" s="576"/>
      <c r="I29" s="511"/>
      <c r="J29" s="576"/>
      <c r="K29" s="511"/>
      <c r="L29" s="576"/>
      <c r="M29" s="34"/>
      <c r="N29" s="789"/>
      <c r="O29" s="103"/>
    </row>
    <row r="30" spans="1:15" ht="12.75" customHeight="1">
      <c r="A30" s="40"/>
      <c r="B30" s="34"/>
      <c r="C30" s="34"/>
      <c r="D30" s="576"/>
      <c r="E30" s="432"/>
      <c r="F30" s="576"/>
      <c r="G30" s="511"/>
      <c r="H30" s="576"/>
      <c r="I30" s="511"/>
      <c r="J30" s="576"/>
      <c r="K30" s="511"/>
      <c r="L30" s="576"/>
      <c r="M30" s="34"/>
      <c r="N30" s="789"/>
      <c r="O30" s="103"/>
    </row>
    <row r="31" spans="1:15" ht="12.75" customHeight="1">
      <c r="A31" s="40"/>
      <c r="B31" s="577" t="s">
        <v>259</v>
      </c>
      <c r="C31" s="578" t="s">
        <v>241</v>
      </c>
      <c r="D31" s="575" t="s">
        <v>469</v>
      </c>
      <c r="E31" s="715" t="s">
        <v>276</v>
      </c>
      <c r="F31" s="575" t="s">
        <v>236</v>
      </c>
      <c r="G31" s="716" t="s">
        <v>284</v>
      </c>
      <c r="H31" s="575" t="s">
        <v>238</v>
      </c>
      <c r="I31" s="716" t="s">
        <v>236</v>
      </c>
      <c r="J31" s="575" t="s">
        <v>284</v>
      </c>
      <c r="K31" s="716" t="s">
        <v>277</v>
      </c>
      <c r="L31" s="575" t="s">
        <v>254</v>
      </c>
      <c r="M31" s="34"/>
      <c r="N31" s="789" t="s">
        <v>365</v>
      </c>
      <c r="O31" s="103"/>
    </row>
    <row r="32" spans="1:15" ht="12.75" customHeight="1">
      <c r="A32" s="40"/>
      <c r="B32" s="511"/>
      <c r="C32" s="511" t="s">
        <v>367</v>
      </c>
      <c r="D32" s="576"/>
      <c r="E32" s="432"/>
      <c r="F32" s="576"/>
      <c r="G32" s="511"/>
      <c r="H32" s="576"/>
      <c r="I32" s="511"/>
      <c r="J32" s="576"/>
      <c r="K32" s="511"/>
      <c r="L32" s="576"/>
      <c r="M32" s="34"/>
      <c r="N32" s="789"/>
      <c r="O32" s="103"/>
    </row>
    <row r="33" spans="1:15" ht="12.75" customHeight="1">
      <c r="A33" s="40"/>
      <c r="B33" s="511"/>
      <c r="C33" s="511" t="s">
        <v>370</v>
      </c>
      <c r="D33" s="576"/>
      <c r="E33" s="432"/>
      <c r="F33" s="576"/>
      <c r="G33" s="511"/>
      <c r="H33" s="576"/>
      <c r="I33" s="511"/>
      <c r="J33" s="576"/>
      <c r="K33" s="511"/>
      <c r="L33" s="576"/>
      <c r="M33" s="34"/>
      <c r="N33" s="789"/>
      <c r="O33" s="103"/>
    </row>
    <row r="34" spans="1:15" ht="12.75" customHeight="1">
      <c r="A34" s="40"/>
      <c r="B34" s="34"/>
      <c r="C34" s="511" t="s">
        <v>371</v>
      </c>
      <c r="D34" s="719"/>
      <c r="E34" s="40"/>
      <c r="F34" s="719"/>
      <c r="G34" s="34"/>
      <c r="H34" s="719"/>
      <c r="I34" s="34"/>
      <c r="J34" s="719"/>
      <c r="K34" s="34"/>
      <c r="L34" s="719"/>
      <c r="M34" s="34"/>
      <c r="N34" s="789"/>
      <c r="O34" s="103"/>
    </row>
    <row r="35" spans="1:15" ht="12.75" customHeight="1">
      <c r="A35" s="40"/>
      <c r="B35" s="34" t="s">
        <v>372</v>
      </c>
      <c r="C35" s="511" t="s">
        <v>373</v>
      </c>
      <c r="D35" s="576"/>
      <c r="E35" s="432"/>
      <c r="F35" s="576"/>
      <c r="G35" s="511"/>
      <c r="H35" s="576"/>
      <c r="I35" s="511"/>
      <c r="J35" s="576"/>
      <c r="K35" s="511"/>
      <c r="L35" s="576"/>
      <c r="M35" s="34"/>
      <c r="N35" s="789"/>
      <c r="O35" s="103"/>
    </row>
    <row r="36" spans="1:15" ht="12.75" customHeight="1">
      <c r="A36" s="40"/>
      <c r="B36" s="34" t="s">
        <v>374</v>
      </c>
      <c r="C36" s="511" t="s">
        <v>375</v>
      </c>
      <c r="D36" s="576"/>
      <c r="E36" s="432"/>
      <c r="F36" s="576"/>
      <c r="G36" s="511"/>
      <c r="H36" s="576"/>
      <c r="I36" s="511"/>
      <c r="J36" s="576"/>
      <c r="K36" s="511"/>
      <c r="L36" s="576"/>
      <c r="M36" s="34"/>
      <c r="N36" s="789"/>
      <c r="O36" s="103"/>
    </row>
    <row r="37" spans="1:15" ht="12.75" customHeight="1">
      <c r="A37" s="40"/>
      <c r="B37" s="34"/>
      <c r="C37" s="34"/>
      <c r="D37" s="576"/>
      <c r="E37" s="432"/>
      <c r="F37" s="576"/>
      <c r="G37" s="511"/>
      <c r="H37" s="576"/>
      <c r="I37" s="511"/>
      <c r="J37" s="576"/>
      <c r="K37" s="511"/>
      <c r="L37" s="576"/>
      <c r="M37" s="34"/>
      <c r="N37" s="789"/>
      <c r="O37" s="41"/>
    </row>
    <row r="38" spans="1:15" ht="12.75" customHeight="1">
      <c r="A38" s="40"/>
      <c r="B38" s="574" t="s">
        <v>245</v>
      </c>
      <c r="C38" s="578" t="s">
        <v>241</v>
      </c>
      <c r="D38" s="575" t="s">
        <v>469</v>
      </c>
      <c r="E38" s="715" t="s">
        <v>276</v>
      </c>
      <c r="F38" s="575" t="s">
        <v>236</v>
      </c>
      <c r="G38" s="716" t="s">
        <v>284</v>
      </c>
      <c r="H38" s="575" t="s">
        <v>238</v>
      </c>
      <c r="I38" s="716" t="s">
        <v>236</v>
      </c>
      <c r="J38" s="575" t="s">
        <v>284</v>
      </c>
      <c r="K38" s="716" t="s">
        <v>277</v>
      </c>
      <c r="L38" s="575" t="s">
        <v>254</v>
      </c>
      <c r="M38" s="34"/>
      <c r="N38" s="789" t="s">
        <v>365</v>
      </c>
      <c r="O38" s="41"/>
    </row>
    <row r="39" spans="1:15" ht="12.75" customHeight="1">
      <c r="A39" s="40"/>
      <c r="B39" s="511"/>
      <c r="C39" s="511" t="s">
        <v>367</v>
      </c>
      <c r="D39" s="576"/>
      <c r="E39" s="432"/>
      <c r="F39" s="576"/>
      <c r="G39" s="511"/>
      <c r="H39" s="576"/>
      <c r="I39" s="511"/>
      <c r="J39" s="576"/>
      <c r="K39" s="511"/>
      <c r="L39" s="576"/>
      <c r="M39" s="34"/>
      <c r="N39" s="789"/>
      <c r="O39" s="41"/>
    </row>
    <row r="40" spans="1:15" ht="12.75" customHeight="1">
      <c r="A40" s="40"/>
      <c r="B40" s="511"/>
      <c r="C40" s="511" t="s">
        <v>242</v>
      </c>
      <c r="D40" s="576"/>
      <c r="E40" s="432"/>
      <c r="F40" s="576"/>
      <c r="G40" s="511"/>
      <c r="H40" s="576"/>
      <c r="I40" s="511"/>
      <c r="J40" s="576"/>
      <c r="K40" s="511"/>
      <c r="L40" s="576"/>
      <c r="M40" s="34"/>
      <c r="N40" s="789"/>
      <c r="O40" s="41"/>
    </row>
    <row r="41" spans="1:15" ht="12.75" customHeight="1">
      <c r="A41" s="40"/>
      <c r="B41" s="34" t="s">
        <v>368</v>
      </c>
      <c r="C41" s="511" t="s">
        <v>243</v>
      </c>
      <c r="D41" s="719"/>
      <c r="E41" s="40"/>
      <c r="F41" s="719"/>
      <c r="G41" s="34"/>
      <c r="H41" s="719"/>
      <c r="I41" s="34"/>
      <c r="J41" s="719"/>
      <c r="K41" s="34"/>
      <c r="L41" s="719"/>
      <c r="M41" s="34"/>
      <c r="N41" s="789"/>
      <c r="O41" s="41"/>
    </row>
    <row r="42" spans="1:15" s="34" customFormat="1" ht="12.75" customHeight="1">
      <c r="A42" s="40"/>
      <c r="B42" s="34" t="s">
        <v>369</v>
      </c>
      <c r="C42" s="511" t="s">
        <v>244</v>
      </c>
      <c r="D42" s="576"/>
      <c r="E42" s="432"/>
      <c r="F42" s="576"/>
      <c r="G42" s="511"/>
      <c r="H42" s="576"/>
      <c r="I42" s="511"/>
      <c r="J42" s="576"/>
      <c r="K42" s="511"/>
      <c r="L42" s="576"/>
      <c r="N42" s="789"/>
      <c r="O42" s="41"/>
    </row>
    <row r="43" spans="1:15" s="4" customFormat="1" ht="12.75" customHeight="1">
      <c r="A43" s="5"/>
      <c r="D43" s="720"/>
      <c r="E43" s="5"/>
      <c r="F43" s="720"/>
      <c r="H43" s="720"/>
      <c r="J43" s="720"/>
      <c r="L43" s="720"/>
      <c r="N43" s="789"/>
      <c r="O43" s="8"/>
    </row>
    <row r="44" spans="1:15" s="4" customFormat="1" ht="12.75" customHeight="1">
      <c r="A44" s="5"/>
      <c r="B44" s="574" t="s">
        <v>247</v>
      </c>
      <c r="C44" s="571" t="s">
        <v>472</v>
      </c>
      <c r="D44" s="576"/>
      <c r="E44" s="432"/>
      <c r="F44" s="576"/>
      <c r="G44" s="511"/>
      <c r="H44" s="576"/>
      <c r="I44" s="511"/>
      <c r="J44" s="576"/>
      <c r="K44" s="511"/>
      <c r="L44" s="576"/>
      <c r="N44" s="789" t="s">
        <v>365</v>
      </c>
      <c r="O44" s="8"/>
    </row>
    <row r="45" spans="1:15" s="4" customFormat="1" ht="12.75" customHeight="1">
      <c r="A45" s="5"/>
      <c r="B45" s="34"/>
      <c r="C45" s="34" t="s">
        <v>363</v>
      </c>
      <c r="D45" s="575" t="s">
        <v>579</v>
      </c>
      <c r="E45" s="715" t="s">
        <v>579</v>
      </c>
      <c r="F45" s="581"/>
      <c r="G45" s="716" t="s">
        <v>237</v>
      </c>
      <c r="H45" s="575" t="s">
        <v>238</v>
      </c>
      <c r="I45" s="716" t="s">
        <v>236</v>
      </c>
      <c r="J45" s="575" t="s">
        <v>579</v>
      </c>
      <c r="K45" s="716" t="s">
        <v>579</v>
      </c>
      <c r="L45" s="575"/>
      <c r="N45" s="789"/>
      <c r="O45" s="8"/>
    </row>
    <row r="46" spans="1:15" s="4" customFormat="1" ht="12.75" customHeight="1">
      <c r="A46" s="5"/>
      <c r="B46" s="34"/>
      <c r="C46" s="511" t="s">
        <v>234</v>
      </c>
      <c r="D46" s="576"/>
      <c r="E46" s="432"/>
      <c r="F46" s="576"/>
      <c r="G46" s="511"/>
      <c r="H46" s="576"/>
      <c r="I46" s="511"/>
      <c r="J46" s="576"/>
      <c r="K46" s="511"/>
      <c r="L46" s="576"/>
      <c r="N46" s="789"/>
      <c r="O46" s="8"/>
    </row>
    <row r="47" spans="1:15" s="4" customFormat="1" ht="12.75" customHeight="1">
      <c r="A47" s="5"/>
      <c r="B47" s="34" t="s">
        <v>471</v>
      </c>
      <c r="C47" s="511" t="s">
        <v>235</v>
      </c>
      <c r="D47" s="576"/>
      <c r="E47" s="432"/>
      <c r="F47" s="576"/>
      <c r="G47" s="511"/>
      <c r="H47" s="576"/>
      <c r="I47" s="511"/>
      <c r="J47" s="576"/>
      <c r="K47" s="511"/>
      <c r="L47" s="576"/>
      <c r="N47" s="789"/>
      <c r="O47" s="8"/>
    </row>
    <row r="48" spans="1:15" s="4" customFormat="1" ht="12.75" customHeight="1">
      <c r="A48" s="5"/>
      <c r="B48" s="34" t="s">
        <v>366</v>
      </c>
      <c r="C48" s="511" t="s">
        <v>209</v>
      </c>
      <c r="D48" s="576"/>
      <c r="E48" s="432"/>
      <c r="F48" s="576"/>
      <c r="G48" s="511"/>
      <c r="H48" s="576"/>
      <c r="I48" s="511"/>
      <c r="J48" s="576"/>
      <c r="K48" s="511"/>
      <c r="L48" s="576"/>
      <c r="N48" s="789"/>
      <c r="O48" s="8"/>
    </row>
    <row r="49" spans="1:15" s="4" customFormat="1" ht="12.75" customHeight="1">
      <c r="A49" s="5"/>
      <c r="D49" s="721"/>
      <c r="E49" s="24"/>
      <c r="F49" s="721"/>
      <c r="G49" s="25"/>
      <c r="H49" s="721"/>
      <c r="I49" s="25"/>
      <c r="J49" s="721"/>
      <c r="K49" s="25"/>
      <c r="L49" s="721"/>
      <c r="N49" s="790"/>
      <c r="O49" s="8"/>
    </row>
    <row r="50" spans="1:15" s="4" customFormat="1" ht="12.75" customHeight="1">
      <c r="A50" s="5"/>
      <c r="N50" s="15"/>
      <c r="O50" s="8"/>
    </row>
    <row r="51" spans="1:15" s="4" customFormat="1" ht="12.75" customHeight="1">
      <c r="A51" s="5"/>
      <c r="O51" s="8"/>
    </row>
    <row r="52" spans="1:15" s="4" customFormat="1" ht="12.75" customHeight="1">
      <c r="A52" s="5"/>
      <c r="B52" s="574" t="s">
        <v>226</v>
      </c>
      <c r="C52" s="354" t="s">
        <v>227</v>
      </c>
      <c r="E52" s="354" t="s">
        <v>228</v>
      </c>
      <c r="I52" s="354" t="s">
        <v>229</v>
      </c>
      <c r="O52" s="8"/>
    </row>
    <row r="53" spans="1:15" s="4" customFormat="1" ht="12.75" customHeight="1">
      <c r="A53" s="5"/>
      <c r="C53" s="580" t="s">
        <v>248</v>
      </c>
      <c r="E53" s="580" t="s">
        <v>248</v>
      </c>
      <c r="I53" s="580" t="s">
        <v>270</v>
      </c>
      <c r="O53" s="8"/>
    </row>
    <row r="54" spans="1:15" s="4" customFormat="1" ht="12.75" customHeight="1">
      <c r="A54" s="5"/>
      <c r="C54" s="580" t="s">
        <v>249</v>
      </c>
      <c r="E54" s="580" t="s">
        <v>456</v>
      </c>
      <c r="I54" s="580" t="s">
        <v>251</v>
      </c>
      <c r="O54" s="8"/>
    </row>
    <row r="55" spans="1:15" s="4" customFormat="1" ht="12.75" customHeight="1">
      <c r="A55" s="5"/>
      <c r="C55" s="580" t="s">
        <v>250</v>
      </c>
      <c r="E55" s="580" t="s">
        <v>457</v>
      </c>
      <c r="I55" s="580" t="s">
        <v>252</v>
      </c>
      <c r="O55" s="8"/>
    </row>
    <row r="56" spans="1:15" s="34" customFormat="1" ht="12.75" customHeight="1">
      <c r="A56" s="40"/>
      <c r="C56" s="580" t="s">
        <v>209</v>
      </c>
      <c r="E56" s="580" t="s">
        <v>246</v>
      </c>
      <c r="I56" s="580" t="s">
        <v>246</v>
      </c>
      <c r="O56" s="41"/>
    </row>
    <row r="57" spans="1:15" s="34" customFormat="1" ht="12.75" customHeight="1">
      <c r="A57" s="60"/>
      <c r="B57" s="61" t="s">
        <v>585</v>
      </c>
      <c r="C57" s="168"/>
      <c r="D57" s="533"/>
      <c r="E57" s="533"/>
      <c r="F57" s="533"/>
      <c r="G57" s="533"/>
      <c r="H57" s="533"/>
      <c r="I57" s="533"/>
      <c r="J57" s="533"/>
      <c r="K57" s="533"/>
      <c r="L57" s="533"/>
      <c r="M57" s="61"/>
      <c r="N57" s="61"/>
      <c r="O57" s="79"/>
    </row>
    <row r="58" spans="1:15" s="34" customFormat="1" ht="15">
      <c r="C58" s="140"/>
      <c r="D58" s="515"/>
      <c r="E58" s="515"/>
      <c r="F58" s="515"/>
      <c r="G58" s="515"/>
      <c r="H58" s="515"/>
      <c r="I58" s="515"/>
      <c r="J58" s="515"/>
      <c r="K58" s="515"/>
      <c r="L58" s="515"/>
    </row>
    <row r="59" spans="1:15" s="34" customFormat="1" ht="15">
      <c r="C59" s="140"/>
      <c r="D59" s="515"/>
      <c r="E59" s="515"/>
      <c r="F59" s="515"/>
      <c r="G59" s="515"/>
      <c r="H59" s="515"/>
      <c r="I59" s="515"/>
      <c r="J59" s="515"/>
      <c r="K59" s="515"/>
      <c r="L59" s="515"/>
    </row>
    <row r="60" spans="1:15" s="34" customFormat="1" ht="15">
      <c r="C60" s="140"/>
      <c r="D60" s="515"/>
      <c r="E60" s="515"/>
      <c r="F60" s="515"/>
      <c r="G60" s="515"/>
      <c r="H60" s="515"/>
      <c r="I60" s="515"/>
      <c r="J60" s="515"/>
      <c r="K60" s="515"/>
      <c r="L60" s="515"/>
    </row>
    <row r="61" spans="1:15" s="34" customFormat="1" ht="15">
      <c r="C61" s="579"/>
      <c r="D61" s="579"/>
      <c r="E61" s="579"/>
      <c r="F61" s="579"/>
      <c r="G61" s="534"/>
      <c r="H61" s="534"/>
      <c r="I61" s="534"/>
      <c r="J61" s="534"/>
      <c r="K61" s="18"/>
    </row>
    <row r="62" spans="1:15" s="34" customFormat="1" ht="15">
      <c r="C62" s="579"/>
      <c r="D62" s="579"/>
      <c r="E62" s="579"/>
      <c r="F62" s="579"/>
      <c r="G62" s="534"/>
      <c r="H62" s="534"/>
      <c r="I62" s="534"/>
      <c r="J62" s="534"/>
    </row>
    <row r="63" spans="1:15" s="34" customFormat="1" ht="15">
      <c r="D63" s="583"/>
      <c r="H63" s="354"/>
      <c r="J63" s="535"/>
    </row>
    <row r="64" spans="1:15" s="34" customFormat="1" ht="15">
      <c r="D64" s="580"/>
      <c r="H64" s="580"/>
      <c r="J64" s="534"/>
    </row>
    <row r="65" spans="2:11" s="34" customFormat="1" ht="15">
      <c r="B65" s="4"/>
      <c r="D65" s="580"/>
      <c r="E65" s="4"/>
      <c r="G65" s="4"/>
      <c r="H65" s="580"/>
      <c r="J65" s="534"/>
      <c r="K65" s="4"/>
    </row>
    <row r="66" spans="2:11" s="34" customFormat="1" ht="15">
      <c r="B66" s="4"/>
      <c r="D66" s="580"/>
      <c r="E66" s="4"/>
      <c r="G66" s="4"/>
      <c r="H66" s="580"/>
      <c r="J66" s="534"/>
      <c r="K66" s="4"/>
    </row>
    <row r="67" spans="2:11" s="34" customFormat="1" ht="15">
      <c r="D67" s="580"/>
      <c r="H67" s="580"/>
      <c r="J67" s="534"/>
    </row>
    <row r="68" spans="2:11" s="34" customFormat="1" ht="15">
      <c r="C68" s="579"/>
      <c r="D68" s="579"/>
      <c r="E68" s="579"/>
      <c r="F68" s="579"/>
      <c r="G68" s="534"/>
      <c r="H68" s="534"/>
      <c r="I68" s="534"/>
      <c r="J68" s="534"/>
    </row>
    <row r="69" spans="2:11" s="34" customFormat="1" ht="14.25">
      <c r="B69" s="173"/>
      <c r="C69" s="173"/>
      <c r="D69" s="151"/>
      <c r="E69" s="152"/>
      <c r="F69" s="150"/>
      <c r="G69" s="150"/>
      <c r="H69" s="150"/>
      <c r="I69" s="102"/>
    </row>
    <row r="70" spans="2:11" s="34" customFormat="1" ht="14.25">
      <c r="B70" s="145"/>
      <c r="C70" s="146"/>
      <c r="D70" s="153"/>
      <c r="E70" s="152"/>
      <c r="F70" s="150"/>
      <c r="G70" s="150"/>
      <c r="H70" s="150"/>
      <c r="I70" s="102"/>
    </row>
    <row r="71" spans="2:11" s="34" customFormat="1" ht="14.25">
      <c r="B71" s="147"/>
      <c r="C71" s="146"/>
      <c r="D71" s="150"/>
      <c r="E71" s="152"/>
      <c r="F71" s="150"/>
      <c r="G71" s="150"/>
      <c r="H71" s="150"/>
      <c r="I71" s="102"/>
    </row>
    <row r="72" spans="2:11" s="34" customFormat="1">
      <c r="B72" s="148"/>
      <c r="C72" s="146"/>
      <c r="D72" s="148"/>
      <c r="E72" s="148"/>
      <c r="F72" s="148"/>
      <c r="I72" s="102"/>
    </row>
    <row r="73" spans="2:11" s="34" customFormat="1">
      <c r="I73" s="102"/>
    </row>
    <row r="74" spans="2:11" s="34" customFormat="1">
      <c r="I74" s="102"/>
    </row>
    <row r="75" spans="2:11" s="34" customFormat="1">
      <c r="I75" s="102"/>
    </row>
    <row r="76" spans="2:11" s="34" customFormat="1">
      <c r="I76" s="102"/>
    </row>
    <row r="77" spans="2:11" s="34" customFormat="1">
      <c r="I77" s="102"/>
    </row>
    <row r="78" spans="2:11" s="34" customFormat="1">
      <c r="I78" s="102"/>
    </row>
    <row r="79" spans="2:11" s="34" customFormat="1">
      <c r="I79" s="102"/>
    </row>
    <row r="80" spans="2:11" s="34" customFormat="1">
      <c r="I80" s="102"/>
    </row>
    <row r="81" spans="9:9" s="34" customFormat="1">
      <c r="I81" s="102"/>
    </row>
    <row r="82" spans="9:9" s="34" customFormat="1">
      <c r="I82" s="102"/>
    </row>
    <row r="83" spans="9:9" s="34" customFormat="1">
      <c r="I83" s="102"/>
    </row>
    <row r="84" spans="9:9" s="34" customFormat="1">
      <c r="I84" s="102"/>
    </row>
    <row r="85" spans="9:9" s="34" customFormat="1">
      <c r="I85" s="102"/>
    </row>
    <row r="86" spans="9:9" s="34" customFormat="1">
      <c r="I86" s="102"/>
    </row>
    <row r="87" spans="9:9" s="34" customFormat="1">
      <c r="I87" s="102"/>
    </row>
    <row r="88" spans="9:9" s="34" customFormat="1">
      <c r="I88" s="102"/>
    </row>
    <row r="89" spans="9:9" s="34" customFormat="1">
      <c r="I89" s="102"/>
    </row>
    <row r="90" spans="9:9" s="34" customFormat="1">
      <c r="I90" s="102"/>
    </row>
    <row r="91" spans="9:9" s="34" customFormat="1">
      <c r="I91" s="102"/>
    </row>
    <row r="92" spans="9:9" s="34" customFormat="1">
      <c r="I92" s="102"/>
    </row>
    <row r="93" spans="9:9" s="34" customFormat="1">
      <c r="I93" s="102"/>
    </row>
    <row r="94" spans="9:9" s="34" customFormat="1">
      <c r="I94" s="102"/>
    </row>
    <row r="95" spans="9:9" s="34" customFormat="1">
      <c r="I95" s="102"/>
    </row>
    <row r="96" spans="9:9" s="34" customFormat="1">
      <c r="I96" s="102"/>
    </row>
    <row r="97" spans="9:9" s="34" customFormat="1">
      <c r="I97" s="102"/>
    </row>
    <row r="98" spans="9:9" s="34" customFormat="1">
      <c r="I98" s="102"/>
    </row>
    <row r="99" spans="9:9" s="34" customFormat="1">
      <c r="I99" s="102"/>
    </row>
    <row r="100" spans="9:9" s="34" customFormat="1">
      <c r="I100" s="102"/>
    </row>
    <row r="101" spans="9:9" s="34" customFormat="1">
      <c r="I101" s="102"/>
    </row>
    <row r="102" spans="9:9" s="34" customFormat="1">
      <c r="I102" s="102"/>
    </row>
    <row r="103" spans="9:9" s="34" customFormat="1">
      <c r="I103" s="102"/>
    </row>
    <row r="104" spans="9:9" s="34" customFormat="1">
      <c r="I104" s="102"/>
    </row>
    <row r="105" spans="9:9" s="34" customFormat="1">
      <c r="I105" s="102"/>
    </row>
    <row r="106" spans="9:9" s="34" customFormat="1">
      <c r="I106" s="102"/>
    </row>
    <row r="107" spans="9:9" s="34" customFormat="1">
      <c r="I107" s="102"/>
    </row>
    <row r="108" spans="9:9" s="34" customFormat="1">
      <c r="I108" s="102"/>
    </row>
    <row r="109" spans="9:9" s="34" customFormat="1">
      <c r="I109" s="102"/>
    </row>
    <row r="110" spans="9:9" s="34" customFormat="1">
      <c r="I110" s="102"/>
    </row>
    <row r="111" spans="9:9" s="34" customFormat="1">
      <c r="I111" s="102"/>
    </row>
    <row r="112" spans="9:9" s="34" customFormat="1">
      <c r="I112" s="102"/>
    </row>
    <row r="113" spans="9:9" s="34" customFormat="1">
      <c r="I113" s="102"/>
    </row>
    <row r="114" spans="9:9" s="34" customFormat="1">
      <c r="I114" s="102"/>
    </row>
    <row r="115" spans="9:9" s="34" customFormat="1">
      <c r="I115" s="102"/>
    </row>
    <row r="116" spans="9:9" s="34" customFormat="1">
      <c r="I116" s="102"/>
    </row>
    <row r="117" spans="9:9" s="34" customFormat="1">
      <c r="I117" s="102"/>
    </row>
    <row r="118" spans="9:9" s="34" customFormat="1">
      <c r="I118" s="102"/>
    </row>
    <row r="119" spans="9:9" s="34" customFormat="1">
      <c r="I119" s="102"/>
    </row>
    <row r="120" spans="9:9" s="34" customFormat="1">
      <c r="I120" s="102"/>
    </row>
    <row r="121" spans="9:9" s="34" customFormat="1">
      <c r="I121" s="102"/>
    </row>
    <row r="122" spans="9:9" s="34" customFormat="1">
      <c r="I122" s="102"/>
    </row>
    <row r="123" spans="9:9" s="34" customFormat="1">
      <c r="I123" s="102"/>
    </row>
    <row r="124" spans="9:9" s="34" customFormat="1">
      <c r="I124" s="102"/>
    </row>
    <row r="125" spans="9:9" s="34" customFormat="1">
      <c r="I125" s="102"/>
    </row>
    <row r="126" spans="9:9" s="34" customFormat="1">
      <c r="I126" s="102"/>
    </row>
    <row r="127" spans="9:9" s="34" customFormat="1">
      <c r="I127" s="102"/>
    </row>
    <row r="128" spans="9:9" s="34" customFormat="1">
      <c r="I128" s="102"/>
    </row>
    <row r="129" spans="9:9" s="34" customFormat="1">
      <c r="I129" s="102"/>
    </row>
    <row r="130" spans="9:9" s="34" customFormat="1">
      <c r="I130" s="102"/>
    </row>
    <row r="131" spans="9:9" s="34" customFormat="1">
      <c r="I131" s="102"/>
    </row>
    <row r="132" spans="9:9" s="34" customFormat="1">
      <c r="I132" s="102"/>
    </row>
    <row r="133" spans="9:9" s="34" customFormat="1">
      <c r="I133" s="102"/>
    </row>
    <row r="134" spans="9:9" s="34" customFormat="1">
      <c r="I134" s="102"/>
    </row>
    <row r="135" spans="9:9" s="34" customFormat="1">
      <c r="I135" s="102"/>
    </row>
    <row r="136" spans="9:9" s="34" customFormat="1">
      <c r="I136" s="102"/>
    </row>
    <row r="137" spans="9:9" s="34" customFormat="1">
      <c r="I137" s="102"/>
    </row>
    <row r="138" spans="9:9" s="34" customFormat="1">
      <c r="I138" s="102"/>
    </row>
    <row r="139" spans="9:9" s="34" customFormat="1">
      <c r="I139" s="102"/>
    </row>
    <row r="140" spans="9:9" s="34" customFormat="1">
      <c r="I140" s="102"/>
    </row>
    <row r="141" spans="9:9" s="34" customFormat="1">
      <c r="I141" s="102"/>
    </row>
    <row r="142" spans="9:9" s="34" customFormat="1">
      <c r="I142" s="102"/>
    </row>
    <row r="143" spans="9:9" s="34" customFormat="1">
      <c r="I143" s="102"/>
    </row>
    <row r="144" spans="9:9" s="34" customFormat="1">
      <c r="I144" s="102"/>
    </row>
    <row r="145" spans="9:9" s="34" customFormat="1">
      <c r="I145" s="102"/>
    </row>
    <row r="146" spans="9:9" s="34" customFormat="1">
      <c r="I146" s="102"/>
    </row>
    <row r="147" spans="9:9" s="34" customFormat="1">
      <c r="I147" s="102"/>
    </row>
    <row r="148" spans="9:9" s="34" customFormat="1">
      <c r="I148" s="102"/>
    </row>
    <row r="149" spans="9:9" s="34" customFormat="1">
      <c r="I149" s="102"/>
    </row>
    <row r="150" spans="9:9" s="34" customFormat="1">
      <c r="I150" s="102"/>
    </row>
    <row r="151" spans="9:9" s="34" customFormat="1">
      <c r="I151" s="102"/>
    </row>
    <row r="152" spans="9:9" s="34" customFormat="1">
      <c r="I152" s="102"/>
    </row>
    <row r="153" spans="9:9" s="34" customFormat="1">
      <c r="I153" s="102"/>
    </row>
    <row r="154" spans="9:9" s="34" customFormat="1">
      <c r="I154" s="102"/>
    </row>
    <row r="155" spans="9:9" s="34" customFormat="1">
      <c r="I155" s="102"/>
    </row>
    <row r="156" spans="9:9" s="34" customFormat="1">
      <c r="I156" s="102"/>
    </row>
    <row r="157" spans="9:9" s="34" customFormat="1">
      <c r="I157" s="102"/>
    </row>
    <row r="158" spans="9:9" s="34" customFormat="1">
      <c r="I158" s="102"/>
    </row>
    <row r="159" spans="9:9" s="34" customFormat="1">
      <c r="I159" s="102"/>
    </row>
    <row r="160" spans="9:9" s="34" customFormat="1">
      <c r="I160" s="102"/>
    </row>
    <row r="161" spans="9:9" s="34" customFormat="1">
      <c r="I161" s="102"/>
    </row>
    <row r="162" spans="9:9" s="34" customFormat="1">
      <c r="I162" s="102"/>
    </row>
    <row r="163" spans="9:9" s="34" customFormat="1">
      <c r="I163" s="102"/>
    </row>
    <row r="164" spans="9:9" s="34" customFormat="1">
      <c r="I164" s="102"/>
    </row>
    <row r="165" spans="9:9" s="34" customFormat="1">
      <c r="I165" s="102"/>
    </row>
    <row r="166" spans="9:9" s="34" customFormat="1">
      <c r="I166" s="102"/>
    </row>
    <row r="167" spans="9:9" s="34" customFormat="1">
      <c r="I167" s="102"/>
    </row>
    <row r="168" spans="9:9" s="34" customFormat="1">
      <c r="I168" s="102"/>
    </row>
    <row r="169" spans="9:9" s="34" customFormat="1">
      <c r="I169" s="102"/>
    </row>
    <row r="170" spans="9:9" s="34" customFormat="1">
      <c r="I170" s="102"/>
    </row>
    <row r="171" spans="9:9" s="34" customFormat="1">
      <c r="I171" s="102"/>
    </row>
    <row r="172" spans="9:9" s="34" customFormat="1">
      <c r="I172" s="102"/>
    </row>
    <row r="173" spans="9:9" s="34" customFormat="1">
      <c r="I173" s="102"/>
    </row>
    <row r="174" spans="9:9" s="34" customFormat="1">
      <c r="I174" s="102"/>
    </row>
    <row r="175" spans="9:9" s="34" customFormat="1">
      <c r="I175" s="102"/>
    </row>
    <row r="176" spans="9:9" s="34" customFormat="1">
      <c r="I176" s="102"/>
    </row>
    <row r="177" spans="9:9" s="34" customFormat="1">
      <c r="I177" s="102"/>
    </row>
    <row r="178" spans="9:9" s="34" customFormat="1">
      <c r="I178" s="102"/>
    </row>
    <row r="179" spans="9:9" s="34" customFormat="1">
      <c r="I179" s="102"/>
    </row>
    <row r="180" spans="9:9" s="34" customFormat="1">
      <c r="I180" s="102"/>
    </row>
    <row r="181" spans="9:9" s="34" customFormat="1">
      <c r="I181" s="102"/>
    </row>
    <row r="182" spans="9:9" s="34" customFormat="1">
      <c r="I182" s="102"/>
    </row>
    <row r="183" spans="9:9" s="34" customFormat="1">
      <c r="I183" s="102"/>
    </row>
    <row r="184" spans="9:9" s="34" customFormat="1">
      <c r="I184" s="102"/>
    </row>
    <row r="185" spans="9:9" s="34" customFormat="1">
      <c r="I185" s="102"/>
    </row>
    <row r="186" spans="9:9" s="34" customFormat="1">
      <c r="I186" s="102"/>
    </row>
    <row r="187" spans="9:9" s="34" customFormat="1">
      <c r="I187" s="102"/>
    </row>
    <row r="188" spans="9:9" s="34" customFormat="1">
      <c r="I188" s="102"/>
    </row>
    <row r="189" spans="9:9" s="34" customFormat="1">
      <c r="I189" s="102"/>
    </row>
    <row r="190" spans="9:9" s="34" customFormat="1">
      <c r="I190" s="102"/>
    </row>
    <row r="191" spans="9:9" s="34" customFormat="1">
      <c r="I191" s="102"/>
    </row>
    <row r="192" spans="9:9" s="34" customFormat="1">
      <c r="I192" s="102"/>
    </row>
    <row r="193" spans="9:9" s="34" customFormat="1">
      <c r="I193" s="102"/>
    </row>
    <row r="194" spans="9:9" s="34" customFormat="1">
      <c r="I194" s="102"/>
    </row>
    <row r="195" spans="9:9" s="34" customFormat="1">
      <c r="I195" s="102"/>
    </row>
    <row r="196" spans="9:9" s="34" customFormat="1">
      <c r="I196" s="102"/>
    </row>
    <row r="197" spans="9:9" s="34" customFormat="1">
      <c r="I197" s="102"/>
    </row>
    <row r="198" spans="9:9" s="34" customFormat="1">
      <c r="I198" s="102"/>
    </row>
    <row r="199" spans="9:9" s="34" customFormat="1">
      <c r="I199" s="102"/>
    </row>
    <row r="200" spans="9:9" s="34" customFormat="1">
      <c r="I200" s="102"/>
    </row>
    <row r="201" spans="9:9" s="34" customFormat="1">
      <c r="I201" s="102"/>
    </row>
    <row r="202" spans="9:9" s="34" customFormat="1">
      <c r="I202" s="102"/>
    </row>
    <row r="203" spans="9:9" s="34" customFormat="1">
      <c r="I203" s="102"/>
    </row>
    <row r="204" spans="9:9" s="34" customFormat="1">
      <c r="I204" s="102"/>
    </row>
    <row r="205" spans="9:9" s="34" customFormat="1">
      <c r="I205" s="102"/>
    </row>
    <row r="206" spans="9:9" s="34" customFormat="1">
      <c r="I206" s="102"/>
    </row>
    <row r="207" spans="9:9" s="34" customFormat="1">
      <c r="I207" s="102"/>
    </row>
    <row r="208" spans="9:9" s="34" customFormat="1">
      <c r="I208" s="102"/>
    </row>
    <row r="209" spans="9:9" s="34" customFormat="1">
      <c r="I209" s="102"/>
    </row>
    <row r="210" spans="9:9" s="34" customFormat="1">
      <c r="I210" s="102"/>
    </row>
    <row r="211" spans="9:9" s="34" customFormat="1">
      <c r="I211" s="102"/>
    </row>
    <row r="212" spans="9:9" s="34" customFormat="1">
      <c r="I212" s="102"/>
    </row>
    <row r="213" spans="9:9" s="34" customFormat="1">
      <c r="I213" s="102"/>
    </row>
    <row r="214" spans="9:9" s="34" customFormat="1">
      <c r="I214" s="102"/>
    </row>
    <row r="215" spans="9:9" s="34" customFormat="1">
      <c r="I215" s="102"/>
    </row>
    <row r="216" spans="9:9" s="34" customFormat="1">
      <c r="I216" s="102"/>
    </row>
    <row r="217" spans="9:9" s="34" customFormat="1">
      <c r="I217" s="102"/>
    </row>
    <row r="218" spans="9:9" s="34" customFormat="1">
      <c r="I218" s="102"/>
    </row>
    <row r="219" spans="9:9" s="34" customFormat="1">
      <c r="I219" s="102"/>
    </row>
    <row r="220" spans="9:9" s="34" customFormat="1">
      <c r="I220" s="102"/>
    </row>
    <row r="221" spans="9:9" s="34" customFormat="1">
      <c r="I221" s="102"/>
    </row>
    <row r="222" spans="9:9" s="34" customFormat="1">
      <c r="I222" s="102"/>
    </row>
    <row r="223" spans="9:9" s="34" customFormat="1">
      <c r="I223" s="102"/>
    </row>
    <row r="224" spans="9:9" s="34" customFormat="1">
      <c r="I224" s="102"/>
    </row>
    <row r="225" spans="9:9" s="34" customFormat="1">
      <c r="I225" s="102"/>
    </row>
    <row r="226" spans="9:9" s="34" customFormat="1">
      <c r="I226" s="102"/>
    </row>
    <row r="227" spans="9:9" s="34" customFormat="1">
      <c r="I227" s="102"/>
    </row>
    <row r="228" spans="9:9" s="34" customFormat="1">
      <c r="I228" s="102"/>
    </row>
    <row r="229" spans="9:9" s="34" customFormat="1">
      <c r="I229" s="102"/>
    </row>
    <row r="230" spans="9:9" s="34" customFormat="1">
      <c r="I230" s="102"/>
    </row>
    <row r="231" spans="9:9" s="34" customFormat="1">
      <c r="I231" s="102"/>
    </row>
    <row r="232" spans="9:9" s="34" customFormat="1">
      <c r="I232" s="102"/>
    </row>
    <row r="233" spans="9:9" s="34" customFormat="1">
      <c r="I233" s="102"/>
    </row>
    <row r="234" spans="9:9" s="34" customFormat="1">
      <c r="I234" s="102"/>
    </row>
    <row r="235" spans="9:9" s="34" customFormat="1">
      <c r="I235" s="102"/>
    </row>
    <row r="236" spans="9:9" s="34" customFormat="1">
      <c r="I236" s="102"/>
    </row>
    <row r="237" spans="9:9" s="34" customFormat="1">
      <c r="I237" s="102"/>
    </row>
    <row r="238" spans="9:9" s="34" customFormat="1">
      <c r="I238" s="102"/>
    </row>
    <row r="239" spans="9:9" s="34" customFormat="1">
      <c r="I239" s="102"/>
    </row>
    <row r="240" spans="9:9" s="34" customFormat="1">
      <c r="I240" s="102"/>
    </row>
    <row r="241" spans="9:9" s="34" customFormat="1">
      <c r="I241" s="102"/>
    </row>
    <row r="242" spans="9:9" s="34" customFormat="1">
      <c r="I242" s="102"/>
    </row>
    <row r="243" spans="9:9" s="34" customFormat="1">
      <c r="I243" s="102"/>
    </row>
    <row r="244" spans="9:9" s="34" customFormat="1">
      <c r="I244" s="102"/>
    </row>
    <row r="245" spans="9:9" s="34" customFormat="1">
      <c r="I245" s="102"/>
    </row>
    <row r="246" spans="9:9" s="34" customFormat="1">
      <c r="I246" s="102"/>
    </row>
    <row r="247" spans="9:9" s="34" customFormat="1">
      <c r="I247" s="102"/>
    </row>
    <row r="248" spans="9:9" s="34" customFormat="1">
      <c r="I248" s="102"/>
    </row>
    <row r="249" spans="9:9" s="34" customFormat="1">
      <c r="I249" s="102"/>
    </row>
    <row r="250" spans="9:9" s="34" customFormat="1">
      <c r="I250" s="102"/>
    </row>
    <row r="251" spans="9:9" s="34" customFormat="1">
      <c r="I251" s="102"/>
    </row>
    <row r="252" spans="9:9" s="34" customFormat="1">
      <c r="I252" s="102"/>
    </row>
    <row r="253" spans="9:9" s="34" customFormat="1">
      <c r="I253" s="102"/>
    </row>
    <row r="254" spans="9:9" s="34" customFormat="1">
      <c r="I254" s="102"/>
    </row>
    <row r="255" spans="9:9" s="34" customFormat="1">
      <c r="I255" s="102"/>
    </row>
    <row r="256" spans="9:9" s="34" customFormat="1">
      <c r="I256" s="102"/>
    </row>
    <row r="257" spans="9:9" s="34" customFormat="1">
      <c r="I257" s="102"/>
    </row>
    <row r="258" spans="9:9" s="34" customFormat="1">
      <c r="I258" s="102"/>
    </row>
    <row r="259" spans="9:9" s="34" customFormat="1">
      <c r="I259" s="102"/>
    </row>
    <row r="260" spans="9:9" s="34" customFormat="1">
      <c r="I260" s="102"/>
    </row>
    <row r="261" spans="9:9" s="34" customFormat="1">
      <c r="I261" s="102"/>
    </row>
    <row r="262" spans="9:9" s="34" customFormat="1">
      <c r="I262" s="102"/>
    </row>
    <row r="263" spans="9:9" s="34" customFormat="1">
      <c r="I263" s="102"/>
    </row>
    <row r="264" spans="9:9" s="34" customFormat="1">
      <c r="I264" s="102"/>
    </row>
    <row r="265" spans="9:9" s="34" customFormat="1">
      <c r="I265" s="102"/>
    </row>
    <row r="266" spans="9:9" s="34" customFormat="1">
      <c r="I266" s="102"/>
    </row>
    <row r="267" spans="9:9" s="34" customFormat="1">
      <c r="I267" s="102"/>
    </row>
    <row r="268" spans="9:9" s="34" customFormat="1">
      <c r="I268" s="102"/>
    </row>
    <row r="269" spans="9:9" s="34" customFormat="1">
      <c r="I269" s="102"/>
    </row>
    <row r="270" spans="9:9" s="34" customFormat="1">
      <c r="I270" s="102"/>
    </row>
    <row r="271" spans="9:9" s="34" customFormat="1">
      <c r="I271" s="102"/>
    </row>
    <row r="272" spans="9:9" s="34" customFormat="1">
      <c r="I272" s="102"/>
    </row>
    <row r="273" spans="9:9" s="34" customFormat="1">
      <c r="I273" s="102"/>
    </row>
    <row r="274" spans="9:9" s="34" customFormat="1">
      <c r="I274" s="102"/>
    </row>
    <row r="275" spans="9:9" s="34" customFormat="1">
      <c r="I275" s="102"/>
    </row>
    <row r="276" spans="9:9" s="34" customFormat="1">
      <c r="I276" s="102"/>
    </row>
    <row r="277" spans="9:9" s="34" customFormat="1">
      <c r="I277" s="102"/>
    </row>
    <row r="278" spans="9:9" s="34" customFormat="1">
      <c r="I278" s="102"/>
    </row>
    <row r="279" spans="9:9" s="34" customFormat="1">
      <c r="I279" s="102"/>
    </row>
    <row r="280" spans="9:9" s="34" customFormat="1">
      <c r="I280" s="102"/>
    </row>
    <row r="281" spans="9:9" s="34" customFormat="1">
      <c r="I281" s="102"/>
    </row>
    <row r="282" spans="9:9" s="34" customFormat="1">
      <c r="I282" s="102"/>
    </row>
    <row r="283" spans="9:9" s="34" customFormat="1">
      <c r="I283" s="102"/>
    </row>
    <row r="284" spans="9:9" s="34" customFormat="1">
      <c r="I284" s="102"/>
    </row>
    <row r="285" spans="9:9" s="34" customFormat="1">
      <c r="I285" s="102"/>
    </row>
    <row r="286" spans="9:9" s="34" customFormat="1">
      <c r="I286" s="102"/>
    </row>
    <row r="287" spans="9:9" s="34" customFormat="1">
      <c r="I287" s="102"/>
    </row>
    <row r="288" spans="9:9" s="34" customFormat="1">
      <c r="I288" s="102"/>
    </row>
    <row r="289" spans="9:9" s="34" customFormat="1">
      <c r="I289" s="102"/>
    </row>
    <row r="290" spans="9:9" s="34" customFormat="1">
      <c r="I290" s="102"/>
    </row>
    <row r="291" spans="9:9" s="34" customFormat="1"/>
    <row r="292" spans="9:9" s="34" customFormat="1"/>
    <row r="293" spans="9:9" s="34" customFormat="1"/>
    <row r="294" spans="9:9" s="34" customFormat="1"/>
    <row r="295" spans="9:9" s="34" customFormat="1"/>
    <row r="296" spans="9:9" s="34" customFormat="1"/>
    <row r="297" spans="9:9" s="34" customFormat="1"/>
    <row r="298" spans="9:9" s="34" customFormat="1"/>
    <row r="299" spans="9:9" s="34" customFormat="1"/>
    <row r="300" spans="9:9" s="34" customFormat="1"/>
    <row r="301" spans="9:9" s="34" customFormat="1"/>
    <row r="302" spans="9:9" s="34" customFormat="1"/>
    <row r="303" spans="9:9" s="34" customFormat="1"/>
    <row r="304" spans="9:9" s="34" customFormat="1"/>
    <row r="305" s="34" customFormat="1"/>
    <row r="306" s="34" customFormat="1"/>
    <row r="307" s="34" customFormat="1"/>
    <row r="308" s="34" customFormat="1"/>
    <row r="309" s="34" customFormat="1"/>
    <row r="310" s="34" customFormat="1"/>
    <row r="311" s="34" customFormat="1"/>
    <row r="312" s="34" customFormat="1"/>
    <row r="313" s="34" customFormat="1"/>
    <row r="314" s="34" customFormat="1"/>
    <row r="315" s="34" customFormat="1"/>
    <row r="316" s="34" customFormat="1"/>
    <row r="317" s="34" customFormat="1"/>
    <row r="318" s="34" customFormat="1"/>
    <row r="319" s="34" customFormat="1"/>
    <row r="320" s="34" customFormat="1"/>
    <row r="321" s="34" customFormat="1"/>
    <row r="322" s="34" customFormat="1"/>
    <row r="323" s="34" customFormat="1"/>
    <row r="324" s="34" customFormat="1"/>
    <row r="325" s="34" customFormat="1"/>
    <row r="326" s="34" customFormat="1"/>
    <row r="327" s="34" customFormat="1"/>
    <row r="328" s="34" customFormat="1"/>
    <row r="329" s="34" customFormat="1"/>
    <row r="330" s="34" customFormat="1"/>
    <row r="331" s="34" customFormat="1"/>
    <row r="332" s="34" customFormat="1"/>
    <row r="333" s="34" customFormat="1"/>
    <row r="334" s="34" customFormat="1"/>
    <row r="335" s="34" customFormat="1"/>
    <row r="336" s="34" customFormat="1"/>
    <row r="337" s="34" customFormat="1"/>
    <row r="338" s="34" customFormat="1"/>
    <row r="339" s="34" customFormat="1"/>
    <row r="340" s="34" customFormat="1"/>
    <row r="341" s="34" customFormat="1"/>
    <row r="342" s="34" customFormat="1"/>
    <row r="343" s="34" customFormat="1"/>
    <row r="344" s="34" customFormat="1"/>
    <row r="345" s="34" customFormat="1"/>
    <row r="346" s="34" customFormat="1"/>
    <row r="347" s="34" customFormat="1"/>
    <row r="348" s="34" customFormat="1"/>
    <row r="349" s="34" customFormat="1"/>
    <row r="350" s="34" customFormat="1"/>
    <row r="351" s="34" customFormat="1"/>
    <row r="352" s="34" customFormat="1"/>
    <row r="353" s="34" customFormat="1"/>
    <row r="354" s="34" customFormat="1"/>
    <row r="355" s="34" customFormat="1"/>
    <row r="356" s="34" customFormat="1"/>
    <row r="357" s="34" customFormat="1"/>
    <row r="358" s="34" customFormat="1"/>
    <row r="359" s="34" customFormat="1"/>
    <row r="360" s="34" customFormat="1"/>
    <row r="361" s="34" customFormat="1"/>
    <row r="362" s="34" customFormat="1"/>
    <row r="363" s="34" customFormat="1"/>
    <row r="364" s="34" customFormat="1"/>
    <row r="365" s="34" customFormat="1"/>
    <row r="366" s="34" customFormat="1"/>
    <row r="367" s="34" customFormat="1"/>
    <row r="368" s="34" customFormat="1"/>
    <row r="369" s="34" customFormat="1"/>
    <row r="370" s="34" customFormat="1"/>
    <row r="371" s="34" customFormat="1"/>
    <row r="372" s="34" customFormat="1"/>
    <row r="373" s="34" customFormat="1"/>
    <row r="374" s="34" customFormat="1"/>
    <row r="375" s="34" customFormat="1"/>
    <row r="376" s="34" customFormat="1"/>
    <row r="377" s="34" customFormat="1"/>
    <row r="378" s="34" customFormat="1"/>
    <row r="379" s="34" customFormat="1"/>
    <row r="380" s="34" customFormat="1"/>
    <row r="381" s="34" customFormat="1"/>
    <row r="382" s="34" customFormat="1"/>
    <row r="383" s="34" customFormat="1"/>
    <row r="384" s="34" customFormat="1"/>
    <row r="385" s="34" customFormat="1"/>
    <row r="386" s="34" customFormat="1"/>
    <row r="387" s="34" customFormat="1"/>
    <row r="388" s="34" customFormat="1"/>
    <row r="389" s="34" customFormat="1"/>
    <row r="390" s="34" customFormat="1"/>
    <row r="391" s="34" customFormat="1"/>
    <row r="392" s="34" customFormat="1"/>
    <row r="393" s="34" customFormat="1"/>
    <row r="394" s="34" customFormat="1"/>
    <row r="395" s="34" customFormat="1"/>
    <row r="396" s="34" customFormat="1"/>
    <row r="397" s="34" customFormat="1"/>
    <row r="398" s="34" customFormat="1"/>
    <row r="399" s="34" customFormat="1"/>
    <row r="400" s="34" customFormat="1"/>
    <row r="401" s="34" customFormat="1"/>
    <row r="402" s="34" customFormat="1"/>
    <row r="403" s="34" customFormat="1"/>
    <row r="404" s="34" customFormat="1"/>
    <row r="405" s="34" customFormat="1"/>
    <row r="406" s="34" customFormat="1"/>
    <row r="407" s="34" customFormat="1"/>
    <row r="408" s="34" customFormat="1"/>
    <row r="409" s="34" customFormat="1"/>
    <row r="410" s="34" customFormat="1"/>
    <row r="411" s="34" customFormat="1"/>
    <row r="412" s="34" customFormat="1"/>
    <row r="413" s="34" customFormat="1"/>
    <row r="414" s="34" customFormat="1"/>
    <row r="415" s="34" customFormat="1"/>
    <row r="416" s="34" customFormat="1"/>
    <row r="417" s="34" customFormat="1"/>
    <row r="418" s="34" customFormat="1"/>
    <row r="419" s="34" customFormat="1"/>
    <row r="420" s="34" customFormat="1"/>
    <row r="421" s="34" customFormat="1"/>
    <row r="422" s="34" customFormat="1"/>
    <row r="423" s="34" customFormat="1"/>
    <row r="424" s="34" customFormat="1"/>
    <row r="425" s="34" customFormat="1"/>
    <row r="426" s="34" customFormat="1"/>
    <row r="427" s="34" customFormat="1"/>
    <row r="428" s="34" customFormat="1"/>
    <row r="429" s="34" customFormat="1"/>
    <row r="430" s="34" customFormat="1"/>
    <row r="431" s="34" customFormat="1"/>
    <row r="432" s="34" customFormat="1"/>
    <row r="433" s="34" customFormat="1"/>
    <row r="434" s="34" customFormat="1"/>
    <row r="435" s="34" customFormat="1"/>
    <row r="436" s="34" customFormat="1"/>
    <row r="437" s="34" customFormat="1"/>
    <row r="438" s="34" customFormat="1"/>
    <row r="439" s="34" customFormat="1"/>
    <row r="440" s="34" customFormat="1"/>
    <row r="441" s="34" customFormat="1"/>
    <row r="442" s="34" customFormat="1"/>
    <row r="443" s="34" customFormat="1"/>
    <row r="444" s="34" customFormat="1"/>
    <row r="445" s="34" customFormat="1"/>
    <row r="446" s="34" customFormat="1"/>
    <row r="447" s="34" customFormat="1"/>
    <row r="448" s="34" customFormat="1"/>
    <row r="449" s="34" customFormat="1"/>
    <row r="450" s="34" customFormat="1"/>
    <row r="451" s="34" customFormat="1"/>
    <row r="452" s="34" customFormat="1"/>
    <row r="453" s="34" customFormat="1"/>
    <row r="454" s="34" customFormat="1"/>
    <row r="455" s="34" customFormat="1"/>
    <row r="456" s="34" customFormat="1"/>
    <row r="457" s="34" customFormat="1"/>
    <row r="458" s="34" customFormat="1"/>
    <row r="459" s="34" customFormat="1"/>
    <row r="460" s="34" customFormat="1"/>
    <row r="461" s="34" customFormat="1"/>
    <row r="462" s="34" customFormat="1"/>
    <row r="463" s="34" customFormat="1"/>
    <row r="464" s="34" customFormat="1"/>
    <row r="465" s="34" customFormat="1"/>
    <row r="466" s="34" customFormat="1"/>
    <row r="467" s="34" customFormat="1"/>
    <row r="468" s="34" customFormat="1"/>
    <row r="469" s="34" customFormat="1"/>
    <row r="470" s="34" customFormat="1"/>
    <row r="471" s="34" customFormat="1"/>
    <row r="472" s="34" customFormat="1"/>
    <row r="473" s="34" customFormat="1"/>
    <row r="474" s="34" customFormat="1"/>
    <row r="475" s="34" customFormat="1"/>
    <row r="476" s="34" customFormat="1"/>
    <row r="477" s="34" customFormat="1"/>
    <row r="478" s="34" customFormat="1"/>
    <row r="479" s="34" customFormat="1"/>
    <row r="480" s="34" customFormat="1"/>
    <row r="481" s="34" customFormat="1"/>
    <row r="482" s="34" customFormat="1"/>
    <row r="483" s="34" customFormat="1"/>
    <row r="484" s="34" customFormat="1"/>
    <row r="485" s="34" customFormat="1"/>
    <row r="486" s="34" customFormat="1"/>
    <row r="487" s="34" customFormat="1"/>
    <row r="488" s="34" customFormat="1"/>
    <row r="489" s="34" customFormat="1"/>
    <row r="490" s="34" customFormat="1"/>
    <row r="491" s="34" customFormat="1"/>
    <row r="492" s="34" customFormat="1"/>
    <row r="493" s="34" customFormat="1"/>
    <row r="494" s="34" customFormat="1"/>
    <row r="495" s="34" customFormat="1"/>
    <row r="496" s="34" customFormat="1"/>
    <row r="497" s="34" customFormat="1"/>
    <row r="498" s="34" customFormat="1"/>
    <row r="499" s="34" customFormat="1"/>
    <row r="500" s="34" customFormat="1"/>
    <row r="501" s="34" customFormat="1"/>
    <row r="502" s="34" customFormat="1"/>
    <row r="503" s="34" customFormat="1"/>
    <row r="504" s="34" customFormat="1"/>
    <row r="505" s="34" customFormat="1"/>
    <row r="506" s="34" customFormat="1"/>
    <row r="507" s="34" customFormat="1"/>
    <row r="508" s="34" customFormat="1"/>
    <row r="509" s="34" customFormat="1"/>
    <row r="510" s="34" customFormat="1"/>
    <row r="511" s="34" customFormat="1"/>
    <row r="512" s="34" customFormat="1"/>
    <row r="513" s="34" customFormat="1"/>
    <row r="514" s="34" customFormat="1"/>
    <row r="515" s="34" customFormat="1"/>
    <row r="516" s="34" customFormat="1"/>
    <row r="517" s="34" customFormat="1"/>
    <row r="518" s="34" customFormat="1"/>
    <row r="519" s="34" customFormat="1"/>
    <row r="520" s="34" customFormat="1"/>
    <row r="521" s="34" customFormat="1"/>
    <row r="522" s="34" customFormat="1"/>
    <row r="523" s="34" customFormat="1"/>
    <row r="524" s="34" customFormat="1"/>
    <row r="525" s="34" customFormat="1"/>
    <row r="526" s="34" customFormat="1"/>
    <row r="527" s="34" customFormat="1"/>
    <row r="528" s="34" customFormat="1"/>
    <row r="529" s="34" customFormat="1"/>
    <row r="530" s="34" customFormat="1"/>
    <row r="531" s="34" customFormat="1"/>
    <row r="532" s="34" customFormat="1"/>
    <row r="533" s="34" customFormat="1"/>
    <row r="534" s="34" customFormat="1"/>
    <row r="535" s="34" customFormat="1"/>
    <row r="536" s="34" customFormat="1"/>
    <row r="537" s="34" customFormat="1"/>
    <row r="538" s="34" customFormat="1"/>
    <row r="539" s="34" customFormat="1"/>
    <row r="540" s="34" customFormat="1"/>
    <row r="541" s="34" customFormat="1"/>
    <row r="542" s="34" customFormat="1"/>
    <row r="543" s="34" customFormat="1"/>
    <row r="544" s="34" customFormat="1"/>
    <row r="545" s="34" customFormat="1"/>
    <row r="546" s="34" customFormat="1"/>
    <row r="547" s="34" customFormat="1"/>
    <row r="548" s="34" customFormat="1"/>
    <row r="549" s="34" customFormat="1"/>
    <row r="550" s="34" customFormat="1"/>
    <row r="551" s="34" customFormat="1"/>
    <row r="552" s="34" customFormat="1"/>
    <row r="553" s="34" customFormat="1"/>
    <row r="554" s="34" customFormat="1"/>
    <row r="555" s="34" customFormat="1"/>
    <row r="556" s="34" customFormat="1"/>
    <row r="557" s="34" customFormat="1"/>
    <row r="558" s="34" customFormat="1"/>
    <row r="559" s="34" customFormat="1"/>
    <row r="560" s="34" customFormat="1"/>
    <row r="561" s="34" customFormat="1"/>
    <row r="562" s="34" customFormat="1"/>
    <row r="563" s="34" customFormat="1"/>
    <row r="564" s="34" customFormat="1"/>
    <row r="565" s="34" customFormat="1"/>
    <row r="566" s="34" customFormat="1"/>
    <row r="567" s="34" customFormat="1"/>
    <row r="568" s="34" customFormat="1"/>
    <row r="569" s="34" customFormat="1"/>
    <row r="570" s="34" customFormat="1"/>
    <row r="571" s="34" customFormat="1"/>
    <row r="572" s="34" customFormat="1"/>
    <row r="573" s="34" customFormat="1"/>
    <row r="574" s="34" customFormat="1"/>
    <row r="575" s="34" customFormat="1"/>
    <row r="576" s="34" customFormat="1"/>
    <row r="577" s="34" customFormat="1"/>
    <row r="578" s="34" customFormat="1"/>
    <row r="579" s="34" customFormat="1"/>
    <row r="580" s="34" customFormat="1"/>
    <row r="581" s="34" customFormat="1"/>
    <row r="582" s="34" customFormat="1"/>
    <row r="583" s="34" customFormat="1"/>
    <row r="584" s="34" customFormat="1"/>
    <row r="585" s="34" customFormat="1"/>
    <row r="586" s="34" customFormat="1"/>
    <row r="587" s="34" customFormat="1"/>
    <row r="588" s="34" customFormat="1"/>
    <row r="589" s="34" customFormat="1"/>
    <row r="590" s="34" customFormat="1"/>
    <row r="591" s="34" customFormat="1"/>
    <row r="592" s="34" customFormat="1"/>
    <row r="593" s="34" customFormat="1"/>
    <row r="594" s="34" customFormat="1"/>
    <row r="595" s="34" customFormat="1"/>
    <row r="596" s="34" customFormat="1"/>
    <row r="597" s="34" customFormat="1"/>
    <row r="598" s="34" customFormat="1"/>
    <row r="599" s="34" customFormat="1"/>
    <row r="600" s="34" customFormat="1"/>
    <row r="601" s="34" customFormat="1"/>
    <row r="602" s="34" customFormat="1"/>
    <row r="603" s="34" customFormat="1"/>
    <row r="604" s="34" customFormat="1"/>
    <row r="605" s="34" customFormat="1"/>
    <row r="606" s="34" customFormat="1"/>
    <row r="607" s="34" customFormat="1"/>
    <row r="608" s="34" customFormat="1"/>
    <row r="609" s="34" customFormat="1"/>
    <row r="610" s="34" customFormat="1"/>
    <row r="611" s="34" customFormat="1"/>
    <row r="612" s="34" customFormat="1"/>
    <row r="613" s="34" customFormat="1"/>
    <row r="614" s="34" customFormat="1"/>
    <row r="615" s="34" customFormat="1"/>
    <row r="616" s="34" customFormat="1"/>
    <row r="617" s="34" customFormat="1"/>
    <row r="618" s="34" customFormat="1"/>
    <row r="619" s="34" customFormat="1"/>
    <row r="620" s="34" customFormat="1"/>
    <row r="621" s="34" customFormat="1"/>
    <row r="622" s="34" customFormat="1"/>
    <row r="623" s="34" customFormat="1"/>
    <row r="624" s="34" customFormat="1"/>
    <row r="625" s="34" customFormat="1"/>
    <row r="626" s="34" customFormat="1"/>
    <row r="627" s="34" customFormat="1"/>
    <row r="628" s="34" customFormat="1"/>
    <row r="629" s="34" customFormat="1"/>
    <row r="630" s="34" customFormat="1"/>
    <row r="631" s="34" customFormat="1"/>
    <row r="632" s="34" customFormat="1"/>
    <row r="633" s="34" customFormat="1"/>
    <row r="634" s="34" customFormat="1"/>
    <row r="635" s="34" customFormat="1"/>
    <row r="636" s="34" customFormat="1"/>
    <row r="637" s="34" customFormat="1"/>
    <row r="638" s="34" customFormat="1"/>
    <row r="639" s="34" customFormat="1"/>
    <row r="640" s="34" customFormat="1"/>
    <row r="641" s="34" customFormat="1"/>
    <row r="642" s="34" customFormat="1"/>
    <row r="643" s="34" customFormat="1"/>
    <row r="644" s="34" customFormat="1"/>
    <row r="645" s="34" customFormat="1"/>
    <row r="646" s="34" customFormat="1"/>
    <row r="647" s="34" customFormat="1"/>
    <row r="648" s="34" customFormat="1"/>
    <row r="649" s="34" customFormat="1"/>
    <row r="650" s="34" customFormat="1"/>
    <row r="651" s="34" customFormat="1"/>
    <row r="652" s="34" customFormat="1"/>
    <row r="653" s="34" customFormat="1"/>
    <row r="654" s="34" customFormat="1"/>
    <row r="655" s="34" customFormat="1"/>
    <row r="656" s="34" customFormat="1"/>
    <row r="657" s="34" customFormat="1"/>
    <row r="658" s="34" customFormat="1"/>
    <row r="659" s="34" customFormat="1"/>
    <row r="660" s="34" customFormat="1"/>
    <row r="661" s="34" customFormat="1"/>
    <row r="662" s="34" customFormat="1"/>
    <row r="663" s="34" customFormat="1"/>
    <row r="664" s="34" customFormat="1"/>
    <row r="665" s="34" customFormat="1"/>
    <row r="666" s="34" customFormat="1"/>
    <row r="667" s="34" customFormat="1"/>
    <row r="668" s="34" customFormat="1"/>
    <row r="669" s="34" customFormat="1"/>
    <row r="670" s="34" customFormat="1"/>
    <row r="671" s="34" customFormat="1"/>
    <row r="672" s="34" customFormat="1"/>
    <row r="673" s="34" customFormat="1"/>
    <row r="674" s="34" customFormat="1"/>
    <row r="675" s="34" customFormat="1"/>
    <row r="676" s="34" customFormat="1"/>
    <row r="677" s="34" customFormat="1"/>
    <row r="678" s="34" customFormat="1"/>
    <row r="679" s="34" customFormat="1"/>
    <row r="680" s="34" customFormat="1"/>
    <row r="681" s="34" customFormat="1"/>
    <row r="682" s="34" customFormat="1"/>
    <row r="683" s="34" customFormat="1"/>
    <row r="684" s="34" customFormat="1"/>
    <row r="685" s="34" customFormat="1"/>
    <row r="686" s="34" customFormat="1"/>
    <row r="687" s="34" customFormat="1"/>
    <row r="688" s="34" customFormat="1"/>
    <row r="689" s="34" customFormat="1"/>
    <row r="690" s="34" customFormat="1"/>
    <row r="691" s="34" customFormat="1"/>
    <row r="692" s="34" customFormat="1"/>
    <row r="693" s="34" customFormat="1"/>
    <row r="694" s="34" customFormat="1"/>
    <row r="695" s="34" customFormat="1"/>
    <row r="696" s="34" customFormat="1"/>
    <row r="697" s="34" customFormat="1"/>
    <row r="698" s="34" customFormat="1"/>
    <row r="699" s="34" customFormat="1"/>
    <row r="700" s="34" customFormat="1"/>
    <row r="701" s="34" customFormat="1"/>
    <row r="702" s="34" customFormat="1"/>
    <row r="703" s="34" customFormat="1"/>
    <row r="704" s="34" customFormat="1"/>
    <row r="705" s="34" customFormat="1"/>
    <row r="706" s="34" customFormat="1"/>
    <row r="707" s="34" customFormat="1"/>
    <row r="708" s="34" customFormat="1"/>
    <row r="709" s="34" customFormat="1"/>
    <row r="710" s="34" customFormat="1"/>
    <row r="711" s="34" customFormat="1"/>
    <row r="712" s="34" customFormat="1"/>
    <row r="713" s="34" customFormat="1"/>
    <row r="714" s="34" customFormat="1"/>
    <row r="715" s="34" customFormat="1"/>
    <row r="716" s="34" customFormat="1"/>
    <row r="717" s="34" customFormat="1"/>
    <row r="718" s="34" customFormat="1"/>
    <row r="719" s="34" customFormat="1"/>
    <row r="720" s="34" customFormat="1"/>
    <row r="721" s="34" customFormat="1"/>
    <row r="722" s="34" customFormat="1"/>
    <row r="723" s="34" customFormat="1"/>
    <row r="724" s="34" customFormat="1"/>
    <row r="725" s="34" customFormat="1"/>
    <row r="726" s="34" customFormat="1"/>
    <row r="727" s="34" customFormat="1"/>
    <row r="728" s="34" customFormat="1"/>
    <row r="729" s="34" customFormat="1"/>
    <row r="730" s="34" customFormat="1"/>
    <row r="731" s="34" customFormat="1"/>
    <row r="732" s="34" customFormat="1"/>
    <row r="733" s="34" customFormat="1"/>
    <row r="734" s="34" customFormat="1"/>
    <row r="735" s="34" customFormat="1"/>
    <row r="736" s="34" customFormat="1"/>
    <row r="737" s="34" customFormat="1"/>
    <row r="738" s="34" customFormat="1"/>
    <row r="739" s="34" customFormat="1"/>
    <row r="740" s="34" customFormat="1"/>
    <row r="741" s="34" customFormat="1"/>
    <row r="742" s="34" customFormat="1"/>
    <row r="743" s="34" customFormat="1"/>
    <row r="744" s="34" customFormat="1"/>
    <row r="745" s="34" customFormat="1"/>
    <row r="746" s="34" customFormat="1"/>
    <row r="747" s="34" customFormat="1"/>
    <row r="748" s="34" customFormat="1"/>
    <row r="749" s="34" customFormat="1"/>
    <row r="750" s="34" customFormat="1"/>
    <row r="751" s="34" customFormat="1"/>
    <row r="752" s="34" customFormat="1"/>
    <row r="753" s="34" customFormat="1"/>
    <row r="754" s="34" customFormat="1"/>
    <row r="755" s="34" customFormat="1"/>
    <row r="756" s="34" customFormat="1"/>
    <row r="757" s="34" customFormat="1"/>
    <row r="758" s="34" customFormat="1"/>
    <row r="759" s="34" customFormat="1"/>
    <row r="760" s="34" customFormat="1"/>
    <row r="761" s="34" customFormat="1"/>
    <row r="762" s="34" customFormat="1"/>
    <row r="763" s="34" customFormat="1"/>
    <row r="764" s="34" customFormat="1"/>
    <row r="765" s="34" customFormat="1"/>
    <row r="766" s="34" customFormat="1"/>
    <row r="767" s="34" customFormat="1"/>
    <row r="768" s="34" customFormat="1"/>
    <row r="769" s="34" customFormat="1"/>
    <row r="770" s="34" customFormat="1"/>
    <row r="771" s="34" customFormat="1"/>
    <row r="772" s="34" customFormat="1"/>
    <row r="773" s="34" customFormat="1"/>
    <row r="774" s="34" customFormat="1"/>
    <row r="775" s="34" customFormat="1"/>
    <row r="776" s="34" customFormat="1"/>
    <row r="777" s="34" customFormat="1"/>
    <row r="778" s="34" customFormat="1"/>
    <row r="779" s="34" customFormat="1"/>
    <row r="780" s="34" customFormat="1"/>
    <row r="781" s="34" customFormat="1"/>
    <row r="782" s="34" customFormat="1"/>
    <row r="783" s="34" customFormat="1"/>
    <row r="784" s="34" customFormat="1"/>
    <row r="785" s="34" customFormat="1"/>
    <row r="786" s="34" customFormat="1"/>
    <row r="787" s="34" customFormat="1"/>
    <row r="788" s="34" customFormat="1"/>
    <row r="789" s="34" customFormat="1"/>
    <row r="790" s="34" customFormat="1"/>
    <row r="791" s="34" customFormat="1"/>
    <row r="792" s="34" customFormat="1"/>
    <row r="793" s="34" customFormat="1"/>
    <row r="794" s="34" customFormat="1"/>
    <row r="795" s="34" customFormat="1"/>
    <row r="796" s="34" customFormat="1"/>
    <row r="797" s="34" customFormat="1"/>
    <row r="798" s="34" customFormat="1"/>
    <row r="799" s="34" customFormat="1"/>
    <row r="800" s="34" customFormat="1"/>
    <row r="801" s="34" customFormat="1"/>
    <row r="802" s="34" customFormat="1"/>
    <row r="803" s="34" customFormat="1"/>
    <row r="804" s="34" customFormat="1"/>
    <row r="805" s="34" customFormat="1"/>
    <row r="806" s="34" customFormat="1"/>
    <row r="807" s="34" customFormat="1"/>
    <row r="808" s="34" customFormat="1"/>
    <row r="809" s="34" customFormat="1"/>
    <row r="810" s="34" customFormat="1"/>
    <row r="811" s="34" customFormat="1"/>
    <row r="812" s="34" customFormat="1"/>
    <row r="813" s="34" customFormat="1"/>
    <row r="814" s="34" customFormat="1"/>
    <row r="815" s="34" customFormat="1"/>
    <row r="816" s="34" customFormat="1"/>
    <row r="817" s="34" customFormat="1"/>
    <row r="818" s="34" customFormat="1"/>
    <row r="819" s="34" customFormat="1"/>
    <row r="820" s="34" customFormat="1"/>
    <row r="821" s="34" customFormat="1"/>
    <row r="822" s="34" customFormat="1"/>
    <row r="823" s="34" customFormat="1"/>
    <row r="824" s="34" customFormat="1"/>
    <row r="825" s="34" customFormat="1"/>
    <row r="826" s="34" customFormat="1"/>
    <row r="827" s="34" customFormat="1"/>
    <row r="828" s="34" customFormat="1"/>
    <row r="829" s="34" customFormat="1"/>
    <row r="830" s="34" customFormat="1"/>
    <row r="831" s="34" customFormat="1"/>
    <row r="832" s="34" customFormat="1"/>
    <row r="833" s="34" customFormat="1"/>
    <row r="834" s="34" customFormat="1"/>
    <row r="835" s="34" customFormat="1"/>
    <row r="836" s="34" customFormat="1"/>
    <row r="837" s="34" customFormat="1"/>
    <row r="838" s="34" customFormat="1"/>
    <row r="839" s="34" customFormat="1"/>
    <row r="840" s="34" customFormat="1"/>
    <row r="841" s="34" customFormat="1"/>
    <row r="842" s="34" customFormat="1"/>
    <row r="843" s="34" customFormat="1"/>
    <row r="844" s="34" customFormat="1"/>
    <row r="845" s="34" customFormat="1"/>
    <row r="846" s="34" customFormat="1"/>
    <row r="847" s="34" customFormat="1"/>
    <row r="848" s="34" customFormat="1"/>
    <row r="849" s="34" customFormat="1"/>
    <row r="850" s="34" customFormat="1"/>
    <row r="851" s="34" customFormat="1"/>
    <row r="852" s="34" customFormat="1"/>
    <row r="853" s="34" customFormat="1"/>
    <row r="854" s="34" customFormat="1"/>
    <row r="855" s="34" customFormat="1"/>
    <row r="856" s="34" customFormat="1"/>
    <row r="857" s="34" customFormat="1"/>
    <row r="858" s="34" customFormat="1"/>
    <row r="859" s="34" customFormat="1"/>
    <row r="860" s="34" customFormat="1"/>
    <row r="861" s="34" customFormat="1"/>
    <row r="862" s="34" customFormat="1"/>
    <row r="863" s="34" customFormat="1"/>
    <row r="864" s="34" customFormat="1"/>
    <row r="865" s="34" customFormat="1"/>
    <row r="866" s="34" customFormat="1"/>
    <row r="867" s="34" customFormat="1"/>
    <row r="868" s="34" customFormat="1"/>
    <row r="869" s="34" customFormat="1"/>
    <row r="870" s="34" customFormat="1"/>
    <row r="871" s="34" customFormat="1"/>
    <row r="872" s="34" customFormat="1"/>
    <row r="873" s="34" customFormat="1"/>
    <row r="874" s="34" customFormat="1"/>
    <row r="875" s="34" customFormat="1"/>
    <row r="876" s="34" customFormat="1"/>
    <row r="877" s="34" customFormat="1"/>
    <row r="878" s="34" customFormat="1"/>
    <row r="879" s="34" customFormat="1"/>
    <row r="880" s="34" customFormat="1"/>
    <row r="881" s="34" customFormat="1"/>
    <row r="882" s="34" customFormat="1"/>
    <row r="883" s="34" customFormat="1"/>
    <row r="884" s="34" customFormat="1"/>
    <row r="885" s="34" customFormat="1"/>
    <row r="886" s="34" customFormat="1"/>
    <row r="887" s="34" customFormat="1"/>
    <row r="888" s="34" customFormat="1"/>
    <row r="889" s="34" customFormat="1"/>
    <row r="890" s="34" customFormat="1"/>
    <row r="891" s="34" customFormat="1"/>
    <row r="892" s="34" customFormat="1"/>
    <row r="893" s="34" customFormat="1"/>
    <row r="894" s="34" customFormat="1"/>
    <row r="895" s="34" customFormat="1"/>
    <row r="896" s="34" customFormat="1"/>
    <row r="897" s="34" customFormat="1"/>
    <row r="898" s="34" customFormat="1"/>
    <row r="899" s="34" customFormat="1"/>
    <row r="900" s="34" customFormat="1"/>
    <row r="901" s="34" customFormat="1"/>
    <row r="902" s="34" customFormat="1"/>
    <row r="903" s="34" customFormat="1"/>
    <row r="904" s="34" customFormat="1"/>
    <row r="905" s="34" customFormat="1"/>
    <row r="906" s="34" customFormat="1"/>
    <row r="907" s="34" customFormat="1"/>
    <row r="908" s="34" customFormat="1"/>
    <row r="909" s="34" customFormat="1"/>
    <row r="910" s="34" customFormat="1"/>
    <row r="911" s="34" customFormat="1"/>
    <row r="912" s="34" customFormat="1"/>
    <row r="913" s="34" customFormat="1"/>
    <row r="914" s="34" customFormat="1"/>
    <row r="915" s="34" customFormat="1"/>
    <row r="916" s="34" customFormat="1"/>
    <row r="917" s="34" customFormat="1"/>
    <row r="918" s="34" customFormat="1"/>
    <row r="919" s="34" customFormat="1"/>
    <row r="920" s="34" customFormat="1"/>
    <row r="921" s="34" customFormat="1"/>
    <row r="922" s="34" customFormat="1"/>
    <row r="923" s="34" customFormat="1"/>
    <row r="924" s="34" customFormat="1"/>
    <row r="925" s="34" customFormat="1"/>
    <row r="926" s="34" customFormat="1"/>
    <row r="927" s="34" customFormat="1"/>
    <row r="928" s="34" customFormat="1"/>
    <row r="929" s="34" customFormat="1"/>
    <row r="930" s="34" customFormat="1"/>
    <row r="931" s="34" customFormat="1"/>
    <row r="932" s="34" customFormat="1"/>
    <row r="933" s="34" customFormat="1"/>
    <row r="934" s="34" customFormat="1"/>
    <row r="935" s="34" customFormat="1"/>
    <row r="936" s="34" customFormat="1"/>
    <row r="937" s="34" customFormat="1"/>
    <row r="938" s="34" customFormat="1"/>
    <row r="939" s="34" customFormat="1"/>
    <row r="940" s="34" customFormat="1"/>
    <row r="941" s="34" customFormat="1"/>
    <row r="942" s="34" customFormat="1"/>
    <row r="943" s="34" customFormat="1"/>
    <row r="944" s="34" customFormat="1"/>
    <row r="945" s="34" customFormat="1"/>
    <row r="946" s="34" customFormat="1"/>
    <row r="947" s="34" customFormat="1"/>
    <row r="948" s="34" customFormat="1"/>
    <row r="949" s="34" customFormat="1"/>
    <row r="950" s="34" customFormat="1"/>
    <row r="951" s="34" customFormat="1"/>
    <row r="952" s="34" customFormat="1"/>
    <row r="953" s="34" customFormat="1"/>
    <row r="954" s="34" customFormat="1"/>
    <row r="955" s="34" customFormat="1"/>
    <row r="956" s="34" customFormat="1"/>
    <row r="957" s="34" customFormat="1"/>
    <row r="958" s="34" customFormat="1"/>
    <row r="959" s="34" customFormat="1"/>
    <row r="960" s="34" customFormat="1"/>
    <row r="961" s="34" customFormat="1"/>
    <row r="962" s="34" customFormat="1"/>
    <row r="963" s="34" customFormat="1"/>
    <row r="964" s="34" customFormat="1"/>
    <row r="965" s="34" customFormat="1"/>
    <row r="966" s="34" customFormat="1"/>
    <row r="967" s="34" customFormat="1"/>
    <row r="968" s="34" customFormat="1"/>
    <row r="969" s="34" customFormat="1"/>
    <row r="970" s="34" customFormat="1"/>
    <row r="971" s="34" customFormat="1"/>
    <row r="972" s="34" customFormat="1"/>
    <row r="973" s="34" customFormat="1"/>
    <row r="974" s="34" customFormat="1"/>
    <row r="975" s="34" customFormat="1"/>
    <row r="976" s="34" customFormat="1"/>
    <row r="977" s="34" customFormat="1"/>
    <row r="978" s="34" customFormat="1"/>
    <row r="979" s="34" customFormat="1"/>
    <row r="980" s="34" customFormat="1"/>
    <row r="981" s="34" customFormat="1"/>
    <row r="982" s="34" customFormat="1"/>
    <row r="983" s="34" customFormat="1"/>
    <row r="984" s="34" customFormat="1"/>
    <row r="985" s="34" customFormat="1"/>
    <row r="986" s="34" customFormat="1"/>
    <row r="987" s="34" customFormat="1"/>
    <row r="988" s="34" customFormat="1"/>
    <row r="989" s="34" customFormat="1"/>
    <row r="990" s="34" customFormat="1"/>
    <row r="991" s="34" customFormat="1"/>
    <row r="992" s="34" customFormat="1"/>
    <row r="993" s="34" customFormat="1"/>
    <row r="994" s="34" customFormat="1"/>
    <row r="995" s="34" customFormat="1"/>
    <row r="996" s="34" customFormat="1"/>
    <row r="997" s="34" customFormat="1"/>
    <row r="998" s="34" customFormat="1"/>
    <row r="999" s="34" customFormat="1"/>
    <row r="1000" s="34" customFormat="1"/>
    <row r="1001" s="34" customFormat="1"/>
    <row r="1002" s="34" customFormat="1"/>
    <row r="1003" s="34" customFormat="1"/>
    <row r="1004" s="34" customFormat="1"/>
    <row r="1005" s="34" customFormat="1"/>
    <row r="1006" s="34" customFormat="1"/>
    <row r="1007" s="34" customFormat="1"/>
    <row r="1008" s="34" customFormat="1"/>
    <row r="1009" s="34" customFormat="1"/>
    <row r="1010" s="34" customFormat="1"/>
    <row r="1011" s="34" customFormat="1"/>
    <row r="1012" s="34" customFormat="1"/>
    <row r="1013" s="34" customFormat="1"/>
    <row r="1014" s="34" customFormat="1"/>
    <row r="1015" s="34" customFormat="1"/>
    <row r="1016" s="34" customFormat="1"/>
    <row r="1017" s="34" customFormat="1"/>
    <row r="1018" s="34" customFormat="1"/>
    <row r="1019" s="34" customFormat="1"/>
    <row r="1020" s="34" customFormat="1"/>
    <row r="1021" s="34" customFormat="1"/>
    <row r="1022" s="34" customFormat="1"/>
    <row r="1023" s="34" customFormat="1"/>
    <row r="1024" s="34" customFormat="1"/>
    <row r="1025" s="34" customFormat="1"/>
    <row r="1026" s="34" customFormat="1"/>
    <row r="1027" s="34" customFormat="1"/>
    <row r="1028" s="34" customFormat="1"/>
    <row r="1029" s="34" customFormat="1"/>
    <row r="1030" s="34" customFormat="1"/>
    <row r="1031" s="34" customFormat="1"/>
    <row r="1032" s="34" customFormat="1"/>
    <row r="1033" s="34" customFormat="1"/>
    <row r="1034" s="34" customFormat="1"/>
    <row r="1035" s="34" customFormat="1"/>
    <row r="1036" s="34" customFormat="1"/>
    <row r="1037" s="34" customFormat="1"/>
    <row r="1038" s="34" customFormat="1"/>
    <row r="1039" s="34" customFormat="1"/>
    <row r="1040" s="34" customFormat="1"/>
    <row r="1041" s="34" customFormat="1"/>
    <row r="1042" s="34" customFormat="1"/>
    <row r="1043" s="34" customFormat="1"/>
    <row r="1044" s="34" customFormat="1"/>
    <row r="1045" s="34" customFormat="1"/>
    <row r="1046" s="34" customFormat="1"/>
    <row r="1047" s="34" customFormat="1"/>
    <row r="1048" s="34" customFormat="1"/>
    <row r="1049" s="34" customFormat="1"/>
    <row r="1050" s="34" customFormat="1"/>
    <row r="1051" s="34" customFormat="1"/>
    <row r="1052" s="34" customFormat="1"/>
    <row r="1053" s="34" customFormat="1"/>
    <row r="1054" s="34" customFormat="1"/>
    <row r="1055" s="34" customFormat="1"/>
    <row r="1056" s="34" customFormat="1"/>
    <row r="1057" s="34" customFormat="1"/>
    <row r="1058" s="34" customFormat="1"/>
    <row r="1059" s="34" customFormat="1"/>
    <row r="1060" s="34" customFormat="1"/>
    <row r="1061" s="34" customFormat="1"/>
    <row r="1062" s="34" customFormat="1"/>
    <row r="1063" s="34" customFormat="1"/>
    <row r="1064" s="34" customFormat="1"/>
    <row r="1065" s="34" customFormat="1"/>
    <row r="1066" s="34" customFormat="1"/>
    <row r="1067" s="34" customFormat="1"/>
    <row r="1068" s="34" customFormat="1"/>
    <row r="1069" s="34" customFormat="1"/>
    <row r="1070" s="34" customFormat="1"/>
    <row r="1071" s="34" customFormat="1"/>
    <row r="1072" s="34" customFormat="1"/>
    <row r="1073" s="34" customFormat="1"/>
    <row r="1074" s="34" customFormat="1"/>
    <row r="1075" s="34" customFormat="1"/>
    <row r="1076" s="34" customFormat="1"/>
    <row r="1077" s="34" customFormat="1"/>
    <row r="1078" s="34" customFormat="1"/>
    <row r="1079" s="34" customFormat="1"/>
    <row r="1080" s="34" customFormat="1"/>
    <row r="1081" s="34" customFormat="1"/>
    <row r="1082" s="34" customFormat="1"/>
    <row r="1083" s="34" customFormat="1"/>
    <row r="1084" s="34" customFormat="1"/>
    <row r="1085" s="34" customFormat="1"/>
    <row r="1086" s="34" customFormat="1"/>
    <row r="1087" s="34" customFormat="1"/>
    <row r="1088" s="34" customFormat="1"/>
    <row r="1089" s="34" customFormat="1"/>
    <row r="1090" s="34" customFormat="1"/>
    <row r="1091" s="34" customFormat="1"/>
    <row r="1092" s="34" customFormat="1"/>
    <row r="1093" s="34" customFormat="1"/>
    <row r="1094" s="34" customFormat="1"/>
    <row r="1095" s="34" customFormat="1"/>
    <row r="1096" s="34" customFormat="1"/>
    <row r="1097" s="34" customFormat="1"/>
    <row r="1098" s="34" customFormat="1"/>
    <row r="1099" s="34" customFormat="1"/>
    <row r="1100" s="34" customFormat="1"/>
    <row r="1101" s="34" customFormat="1"/>
    <row r="1102" s="34" customFormat="1"/>
    <row r="1103" s="34" customFormat="1"/>
    <row r="1104" s="34" customFormat="1"/>
    <row r="1105" s="34" customFormat="1"/>
    <row r="1106" s="34" customFormat="1"/>
    <row r="1107" s="34" customFormat="1"/>
    <row r="1108" s="34" customFormat="1"/>
    <row r="1109" s="34" customFormat="1"/>
    <row r="1110" s="34" customFormat="1"/>
    <row r="1111" s="34" customFormat="1"/>
    <row r="1112" s="34" customFormat="1"/>
    <row r="1113" s="34" customFormat="1"/>
    <row r="1114" s="34" customFormat="1"/>
    <row r="1115" s="34" customFormat="1"/>
    <row r="1116" s="34" customFormat="1"/>
    <row r="1117" s="34" customFormat="1"/>
    <row r="1118" s="34" customFormat="1"/>
    <row r="1119" s="34" customFormat="1"/>
    <row r="1120" s="34" customFormat="1"/>
    <row r="1121" s="34" customFormat="1"/>
    <row r="1122" s="34" customFormat="1"/>
    <row r="1123" s="34" customFormat="1"/>
    <row r="1124" s="34" customFormat="1"/>
    <row r="1125" s="34" customFormat="1"/>
    <row r="1126" s="34" customFormat="1"/>
    <row r="1127" s="34" customFormat="1"/>
    <row r="1128" s="34" customFormat="1"/>
    <row r="1129" s="34" customFormat="1"/>
    <row r="1130" s="34" customFormat="1"/>
    <row r="1131" s="34" customFormat="1"/>
    <row r="1132" s="34" customFormat="1"/>
    <row r="1133" s="34" customFormat="1"/>
    <row r="1134" s="34" customFormat="1"/>
    <row r="1135" s="34" customFormat="1"/>
    <row r="1136" s="34" customFormat="1"/>
    <row r="1137" s="34" customFormat="1"/>
    <row r="1138" s="34" customFormat="1"/>
    <row r="1139" s="34" customFormat="1"/>
    <row r="1140" s="34" customFormat="1"/>
    <row r="1141" s="34" customFormat="1"/>
    <row r="1142" s="34" customFormat="1"/>
    <row r="1143" s="34" customFormat="1"/>
    <row r="1144" s="34" customFormat="1"/>
    <row r="1145" s="34" customFormat="1"/>
    <row r="1146" s="34" customFormat="1"/>
    <row r="1147" s="34" customFormat="1"/>
    <row r="1148" s="34" customFormat="1"/>
    <row r="1149" s="34" customFormat="1"/>
    <row r="1150" s="34" customFormat="1"/>
    <row r="1151" s="34" customFormat="1"/>
    <row r="1152" s="34" customFormat="1"/>
    <row r="1153" s="34" customFormat="1"/>
    <row r="1154" s="34" customFormat="1"/>
    <row r="1155" s="34" customFormat="1"/>
    <row r="1156" s="34" customFormat="1"/>
    <row r="1157" s="34" customFormat="1"/>
    <row r="1158" s="34" customFormat="1"/>
    <row r="1159" s="34" customFormat="1"/>
    <row r="1160" s="34" customFormat="1"/>
    <row r="1161" s="34" customFormat="1"/>
    <row r="1162" s="34" customFormat="1"/>
    <row r="1163" s="34" customFormat="1"/>
    <row r="1164" s="34" customFormat="1"/>
    <row r="1165" s="34" customFormat="1"/>
    <row r="1166" s="34" customFormat="1"/>
    <row r="1167" s="34" customFormat="1"/>
    <row r="1168" s="34" customFormat="1"/>
    <row r="1169" s="34" customFormat="1"/>
    <row r="1170" s="34" customFormat="1"/>
    <row r="1171" s="34" customFormat="1"/>
    <row r="1172" s="34" customFormat="1"/>
    <row r="1173" s="34" customFormat="1"/>
    <row r="1174" s="34" customFormat="1"/>
    <row r="1175" s="34" customFormat="1"/>
    <row r="1176" s="34" customFormat="1"/>
    <row r="1177" s="34" customFormat="1"/>
    <row r="1178" s="34" customFormat="1"/>
    <row r="1179" s="34" customFormat="1"/>
    <row r="1180" s="34" customFormat="1"/>
    <row r="1181" s="34" customFormat="1"/>
    <row r="1182" s="34" customFormat="1"/>
    <row r="1183" s="34" customFormat="1"/>
    <row r="1184" s="34" customFormat="1"/>
    <row r="1185" s="34" customFormat="1"/>
    <row r="1186" s="34" customFormat="1"/>
    <row r="1187" s="34" customFormat="1"/>
    <row r="1188" s="34" customFormat="1"/>
    <row r="1189" s="34" customFormat="1"/>
    <row r="1190" s="34" customFormat="1"/>
    <row r="1191" s="34" customFormat="1"/>
    <row r="1192" s="34" customFormat="1"/>
    <row r="1193" s="34" customFormat="1"/>
    <row r="1194" s="34" customFormat="1"/>
    <row r="1195" s="34" customFormat="1"/>
    <row r="1196" s="34" customFormat="1"/>
    <row r="1197" s="34" customFormat="1"/>
    <row r="1198" s="34" customFormat="1"/>
    <row r="1199" s="34" customFormat="1"/>
    <row r="1200" s="34" customFormat="1"/>
    <row r="1201" s="34" customFormat="1"/>
    <row r="1202" s="34" customFormat="1"/>
    <row r="1203" s="34" customFormat="1"/>
    <row r="1204" s="34" customFormat="1"/>
    <row r="1205" s="34" customFormat="1"/>
    <row r="1206" s="34" customFormat="1"/>
    <row r="1207" s="34" customFormat="1"/>
    <row r="1208" s="34" customFormat="1"/>
    <row r="1209" s="34" customFormat="1"/>
    <row r="1210" s="34" customFormat="1"/>
    <row r="1211" s="34" customFormat="1"/>
    <row r="1212" s="34" customFormat="1"/>
    <row r="1213" s="34" customFormat="1"/>
    <row r="1214" s="34" customFormat="1"/>
    <row r="1215" s="34" customFormat="1"/>
    <row r="1216" s="34" customFormat="1"/>
    <row r="1217" s="34" customFormat="1"/>
    <row r="1218" s="34" customFormat="1"/>
    <row r="1219" s="34" customFormat="1"/>
    <row r="1220" s="34" customFormat="1"/>
    <row r="1221" s="34" customFormat="1"/>
    <row r="1222" s="34" customFormat="1"/>
    <row r="1223" s="34" customFormat="1"/>
    <row r="1224" s="34" customFormat="1"/>
    <row r="1225" s="34" customFormat="1"/>
    <row r="1226" s="34" customFormat="1"/>
    <row r="1227" s="34" customFormat="1"/>
    <row r="1228" s="34" customFormat="1"/>
    <row r="1229" s="34" customFormat="1"/>
    <row r="1230" s="34" customFormat="1"/>
    <row r="1231" s="34" customFormat="1"/>
    <row r="1232" s="34" customFormat="1"/>
    <row r="1233" s="34" customFormat="1"/>
    <row r="1234" s="34" customFormat="1"/>
    <row r="1235" s="34" customFormat="1"/>
    <row r="1236" s="34" customFormat="1"/>
    <row r="1237" s="34" customFormat="1"/>
    <row r="1238" s="34" customFormat="1"/>
    <row r="1239" s="34" customFormat="1"/>
    <row r="1240" s="34" customFormat="1"/>
    <row r="1241" s="34" customFormat="1"/>
    <row r="1242" s="34" customFormat="1"/>
    <row r="1243" s="34" customFormat="1"/>
    <row r="1244" s="34" customFormat="1"/>
    <row r="1245" s="34" customFormat="1"/>
    <row r="1246" s="34" customFormat="1"/>
    <row r="1247" s="34" customFormat="1"/>
    <row r="1248" s="34" customFormat="1"/>
    <row r="1249" s="34" customFormat="1"/>
    <row r="1250" s="34" customFormat="1"/>
    <row r="1251" s="34" customFormat="1"/>
    <row r="1252" s="34" customFormat="1"/>
    <row r="1253" s="34" customFormat="1"/>
    <row r="1254" s="34" customFormat="1"/>
    <row r="1255" s="34" customFormat="1"/>
    <row r="1256" s="34" customFormat="1"/>
    <row r="1257" s="34" customFormat="1"/>
    <row r="1258" s="34" customFormat="1"/>
    <row r="1259" s="34" customFormat="1"/>
    <row r="1260" s="34" customFormat="1"/>
    <row r="1261" s="34" customFormat="1"/>
    <row r="1262" s="34" customFormat="1"/>
    <row r="1263" s="34" customFormat="1"/>
    <row r="1264" s="34" customFormat="1"/>
    <row r="1265" s="34" customFormat="1"/>
    <row r="1266" s="34" customFormat="1"/>
    <row r="1267" s="34" customFormat="1"/>
    <row r="1268" s="34" customFormat="1"/>
    <row r="1269" s="34" customFormat="1"/>
    <row r="1270" s="34" customFormat="1"/>
    <row r="1271" s="34" customFormat="1"/>
    <row r="1272" s="34" customFormat="1"/>
    <row r="1273" s="34" customFormat="1"/>
    <row r="1274" s="34" customFormat="1"/>
    <row r="1275" s="34" customFormat="1"/>
    <row r="1276" s="34" customFormat="1"/>
    <row r="1277" s="34" customFormat="1"/>
    <row r="1278" s="34" customFormat="1"/>
    <row r="1279" s="34" customFormat="1"/>
    <row r="1280" s="34" customFormat="1"/>
    <row r="1281" s="34" customFormat="1"/>
    <row r="1282" s="34" customFormat="1"/>
    <row r="1283" s="34" customFormat="1"/>
    <row r="1284" s="34" customFormat="1"/>
    <row r="1285" s="34" customFormat="1"/>
    <row r="1286" s="34" customFormat="1"/>
    <row r="1287" s="34" customFormat="1"/>
    <row r="1288" s="34" customFormat="1"/>
    <row r="1289" s="34" customFormat="1"/>
    <row r="1290" s="34" customFormat="1"/>
    <row r="1291" s="34" customFormat="1"/>
    <row r="1292" s="34" customFormat="1"/>
    <row r="1293" s="34" customFormat="1"/>
    <row r="1294" s="34" customFormat="1"/>
    <row r="1295" s="34" customFormat="1"/>
    <row r="1296" s="34" customFormat="1"/>
    <row r="1297" s="34" customFormat="1"/>
    <row r="1298" s="34" customFormat="1"/>
    <row r="1299" s="34" customFormat="1"/>
    <row r="1300" s="34" customFormat="1"/>
    <row r="1301" s="34" customFormat="1"/>
    <row r="1302" s="34" customFormat="1"/>
    <row r="1303" s="34" customFormat="1"/>
    <row r="1304" s="34" customFormat="1"/>
    <row r="1305" s="34" customFormat="1"/>
    <row r="1306" s="34" customFormat="1"/>
    <row r="1307" s="34" customFormat="1"/>
    <row r="1308" s="34" customFormat="1"/>
    <row r="1309" s="34" customFormat="1"/>
    <row r="1310" s="34" customFormat="1"/>
    <row r="1311" s="34" customFormat="1"/>
    <row r="1312" s="34" customFormat="1"/>
    <row r="1313" s="34" customFormat="1"/>
    <row r="1314" s="34" customFormat="1"/>
    <row r="1315" s="34" customFormat="1"/>
    <row r="1316" s="34" customFormat="1"/>
    <row r="1317" s="34" customFormat="1"/>
    <row r="1318" s="34" customFormat="1"/>
    <row r="1319" s="34" customFormat="1"/>
    <row r="1320" s="34" customFormat="1"/>
    <row r="1321" s="34" customFormat="1"/>
    <row r="1322" s="34" customFormat="1"/>
    <row r="1323" s="34" customFormat="1"/>
    <row r="1324" s="34" customFormat="1"/>
    <row r="1325" s="34" customFormat="1"/>
    <row r="1326" s="34" customFormat="1"/>
    <row r="1327" s="34" customFormat="1"/>
    <row r="1328" s="34" customFormat="1"/>
    <row r="1329" s="34" customFormat="1"/>
    <row r="1330" s="34" customFormat="1"/>
    <row r="1331" s="34" customFormat="1"/>
    <row r="1332" s="34" customFormat="1"/>
    <row r="1333" s="34" customFormat="1"/>
    <row r="1334" s="34" customFormat="1"/>
    <row r="1335" s="34" customFormat="1"/>
    <row r="1336" s="34" customFormat="1"/>
    <row r="1337" s="34" customFormat="1"/>
    <row r="1338" s="34" customFormat="1"/>
    <row r="1339" s="34" customFormat="1"/>
    <row r="1340" s="34" customFormat="1"/>
    <row r="1341" s="34" customFormat="1"/>
    <row r="1342" s="34" customFormat="1"/>
    <row r="1343" s="34" customFormat="1"/>
    <row r="1344" s="34" customFormat="1"/>
    <row r="1345" s="34" customFormat="1"/>
    <row r="1346" s="34" customFormat="1"/>
    <row r="1347" s="34" customFormat="1"/>
    <row r="1348" s="34" customFormat="1"/>
    <row r="1349" s="34" customFormat="1"/>
    <row r="1350" s="34" customFormat="1"/>
    <row r="1351" s="34" customFormat="1"/>
    <row r="1352" s="34" customFormat="1"/>
    <row r="1353" s="34" customFormat="1"/>
    <row r="1354" s="34" customFormat="1"/>
    <row r="1355" s="34" customFormat="1"/>
    <row r="1356" s="34" customFormat="1"/>
    <row r="1357" s="34" customFormat="1"/>
    <row r="1358" s="34" customFormat="1"/>
    <row r="1359" s="34" customFormat="1"/>
    <row r="1360" s="34" customFormat="1"/>
    <row r="1361" s="34" customFormat="1"/>
    <row r="1362" s="34" customFormat="1"/>
    <row r="1363" s="34" customFormat="1"/>
    <row r="1364" s="34" customFormat="1"/>
    <row r="1365" s="34" customFormat="1"/>
    <row r="1366" s="34" customFormat="1"/>
    <row r="1367" s="34" customFormat="1"/>
    <row r="1368" s="34" customFormat="1"/>
    <row r="1369" s="34" customFormat="1"/>
    <row r="1370" s="34" customFormat="1"/>
    <row r="1371" s="34" customFormat="1"/>
    <row r="1372" s="34" customFormat="1"/>
    <row r="1373" s="34" customFormat="1"/>
    <row r="1374" s="34" customFormat="1"/>
    <row r="1375" s="34" customFormat="1"/>
    <row r="1376" s="34" customFormat="1"/>
    <row r="1377" s="34" customFormat="1"/>
    <row r="1378" s="34" customFormat="1"/>
    <row r="1379" s="34" customFormat="1"/>
    <row r="1380" s="34" customFormat="1"/>
    <row r="1381" s="34" customFormat="1"/>
    <row r="1382" s="34" customFormat="1"/>
    <row r="1383" s="34" customFormat="1"/>
    <row r="1384" s="34" customFormat="1"/>
    <row r="1385" s="34" customFormat="1"/>
    <row r="1386" s="34" customFormat="1"/>
    <row r="1387" s="34" customFormat="1"/>
    <row r="1388" s="34" customFormat="1"/>
    <row r="1389" s="34" customFormat="1"/>
    <row r="1390" s="34" customFormat="1"/>
    <row r="1391" s="34" customFormat="1"/>
    <row r="1392" s="34" customFormat="1"/>
    <row r="1393" s="34" customFormat="1"/>
    <row r="1394" s="34" customFormat="1"/>
    <row r="1395" s="34" customFormat="1"/>
    <row r="1396" s="34" customFormat="1"/>
    <row r="1397" s="34" customFormat="1"/>
    <row r="1398" s="34" customFormat="1"/>
    <row r="1399" s="34" customFormat="1"/>
    <row r="1400" s="34" customFormat="1"/>
    <row r="1401" s="34" customFormat="1"/>
    <row r="1402" s="34" customFormat="1"/>
    <row r="1403" s="34" customFormat="1"/>
    <row r="1404" s="34" customFormat="1"/>
    <row r="1405" s="34" customFormat="1"/>
    <row r="1406" s="34" customFormat="1"/>
    <row r="1407" s="34" customFormat="1"/>
    <row r="1408" s="34" customFormat="1"/>
    <row r="1409" s="34" customFormat="1"/>
    <row r="1410" s="34" customFormat="1"/>
    <row r="1411" s="34" customFormat="1"/>
    <row r="1412" s="34" customFormat="1"/>
    <row r="1413" s="34" customFormat="1"/>
    <row r="1414" s="34" customFormat="1"/>
    <row r="1415" s="34" customFormat="1"/>
    <row r="1416" s="34" customFormat="1"/>
    <row r="1417" s="34" customFormat="1"/>
    <row r="1418" s="34" customFormat="1"/>
    <row r="1419" s="34" customFormat="1"/>
    <row r="1420" s="34" customFormat="1"/>
    <row r="1421" s="34" customFormat="1"/>
    <row r="1422" s="34" customFormat="1"/>
    <row r="1423" s="34" customFormat="1"/>
    <row r="1424" s="34" customFormat="1"/>
    <row r="1425" s="34" customFormat="1"/>
    <row r="1426" s="34" customFormat="1"/>
    <row r="1427" s="34" customFormat="1"/>
    <row r="1428" s="34" customFormat="1"/>
    <row r="1429" s="34" customFormat="1"/>
    <row r="1430" s="34" customFormat="1"/>
    <row r="1431" s="34" customFormat="1"/>
    <row r="1432" s="34" customFormat="1"/>
    <row r="1433" s="34" customFormat="1"/>
    <row r="1434" s="34" customFormat="1"/>
    <row r="1435" s="34" customFormat="1"/>
    <row r="1436" s="34" customFormat="1"/>
    <row r="1437" s="34" customFormat="1"/>
    <row r="1438" s="34" customFormat="1"/>
    <row r="1439" s="34" customFormat="1"/>
    <row r="1440" s="34" customFormat="1"/>
    <row r="1441" s="34" customFormat="1"/>
    <row r="1442" s="34" customFormat="1"/>
    <row r="1443" s="34" customFormat="1"/>
    <row r="1444" s="34" customFormat="1"/>
    <row r="1445" s="34" customFormat="1"/>
    <row r="1446" s="34" customFormat="1"/>
    <row r="1447" s="34" customFormat="1"/>
    <row r="1448" s="34" customFormat="1"/>
    <row r="1449" s="34" customFormat="1"/>
    <row r="1450" s="34" customFormat="1"/>
    <row r="1451" s="34" customFormat="1"/>
    <row r="1452" s="34" customFormat="1"/>
    <row r="1453" s="34" customFormat="1"/>
    <row r="1454" s="34" customFormat="1"/>
    <row r="1455" s="34" customFormat="1"/>
    <row r="1456" s="34" customFormat="1"/>
    <row r="1457" s="34" customFormat="1"/>
    <row r="1458" s="34" customFormat="1"/>
    <row r="1459" s="34" customFormat="1"/>
    <row r="1460" s="34" customFormat="1"/>
    <row r="1461" s="34" customFormat="1"/>
    <row r="1462" s="34" customFormat="1"/>
    <row r="1463" s="34" customFormat="1"/>
    <row r="1464" s="34" customFormat="1"/>
    <row r="1465" s="34" customFormat="1"/>
    <row r="1466" s="34" customFormat="1"/>
    <row r="1467" s="34" customFormat="1"/>
    <row r="1468" s="34" customFormat="1"/>
    <row r="1469" s="34" customFormat="1"/>
    <row r="1470" s="34" customFormat="1"/>
    <row r="1471" s="34" customFormat="1"/>
    <row r="1472" s="34" customFormat="1"/>
    <row r="1473" s="34" customFormat="1"/>
    <row r="1474" s="34" customFormat="1"/>
    <row r="1475" s="34" customFormat="1"/>
    <row r="1476" s="34" customFormat="1"/>
    <row r="1477" s="34" customFormat="1"/>
    <row r="1478" s="34" customFormat="1"/>
    <row r="1479" s="34" customFormat="1"/>
    <row r="1480" s="34" customFormat="1"/>
    <row r="1481" s="34" customFormat="1"/>
    <row r="1482" s="34" customFormat="1"/>
    <row r="1483" s="34" customFormat="1"/>
    <row r="1484" s="34" customFormat="1"/>
    <row r="1485" s="34" customFormat="1"/>
    <row r="1486" s="34" customFormat="1"/>
    <row r="1487" s="34" customFormat="1"/>
    <row r="1488" s="34" customFormat="1"/>
    <row r="1489" s="34" customFormat="1"/>
    <row r="1490" s="34" customFormat="1"/>
    <row r="1491" s="34" customFormat="1"/>
    <row r="1492" s="34" customFormat="1"/>
    <row r="1493" s="34" customFormat="1"/>
    <row r="1494" s="34" customFormat="1"/>
    <row r="1495" s="34" customFormat="1"/>
    <row r="1496" s="34" customFormat="1"/>
    <row r="1497" s="34" customFormat="1"/>
    <row r="1498" s="34" customFormat="1"/>
    <row r="1499" s="34" customFormat="1"/>
    <row r="1500" s="34" customFormat="1"/>
    <row r="1501" s="34" customFormat="1"/>
    <row r="1502" s="34" customFormat="1"/>
    <row r="1503" s="34" customFormat="1"/>
    <row r="1504" s="34" customFormat="1"/>
    <row r="1505" s="34" customFormat="1"/>
    <row r="1506" s="34" customFormat="1"/>
    <row r="1507" s="34" customFormat="1"/>
    <row r="1508" s="34" customFormat="1"/>
    <row r="1509" s="34" customFormat="1"/>
    <row r="1510" s="34" customFormat="1"/>
    <row r="1511" s="34" customFormat="1"/>
    <row r="1512" s="34" customFormat="1"/>
    <row r="1513" s="34" customFormat="1"/>
    <row r="1514" s="34" customFormat="1"/>
    <row r="1515" s="34" customFormat="1"/>
    <row r="1516" s="34" customFormat="1"/>
    <row r="1517" s="34" customFormat="1"/>
    <row r="1518" s="34" customFormat="1"/>
    <row r="1519" s="34" customFormat="1"/>
    <row r="1520" s="34" customFormat="1"/>
    <row r="1521" s="34" customFormat="1"/>
    <row r="1522" s="34" customFormat="1"/>
    <row r="1523" s="34" customFormat="1"/>
    <row r="1524" s="34" customFormat="1"/>
    <row r="1525" s="34" customFormat="1"/>
    <row r="1526" s="34" customFormat="1"/>
    <row r="1527" s="34" customFormat="1"/>
    <row r="1528" s="34" customFormat="1"/>
    <row r="1529" s="34" customFormat="1"/>
    <row r="1530" s="34" customFormat="1"/>
    <row r="1531" s="34" customFormat="1"/>
    <row r="1532" s="34" customFormat="1"/>
    <row r="1533" s="34" customFormat="1"/>
    <row r="1534" s="34" customFormat="1"/>
    <row r="1535" s="34" customFormat="1"/>
    <row r="1536" s="34" customFormat="1"/>
    <row r="1537" s="34" customFormat="1"/>
    <row r="1538" s="34" customFormat="1"/>
    <row r="1539" s="34" customFormat="1"/>
    <row r="1540" s="34" customFormat="1"/>
    <row r="1541" s="34" customFormat="1"/>
    <row r="1542" s="34" customFormat="1"/>
    <row r="1543" s="34" customFormat="1"/>
    <row r="1544" s="34" customFormat="1"/>
    <row r="1545" s="34" customFormat="1"/>
    <row r="1546" s="34" customFormat="1"/>
    <row r="1547" s="34" customFormat="1"/>
    <row r="1548" s="34" customFormat="1"/>
    <row r="1549" s="34" customFormat="1"/>
    <row r="1550" s="34" customFormat="1"/>
    <row r="1551" s="34" customFormat="1"/>
    <row r="1552" s="34" customFormat="1"/>
    <row r="1553" s="34" customFormat="1"/>
    <row r="1554" s="34" customFormat="1"/>
    <row r="1555" s="34" customFormat="1"/>
    <row r="1556" s="34" customFormat="1"/>
    <row r="1557" s="34" customFormat="1"/>
    <row r="1558" s="34" customFormat="1"/>
    <row r="1559" s="34" customFormat="1"/>
    <row r="1560" s="34" customFormat="1"/>
    <row r="1561" s="34" customFormat="1"/>
    <row r="1562" s="34" customFormat="1"/>
    <row r="1563" s="34" customFormat="1"/>
    <row r="1564" s="34" customFormat="1"/>
    <row r="1565" s="34" customFormat="1"/>
    <row r="1566" s="34" customFormat="1"/>
    <row r="1567" s="34" customFormat="1"/>
    <row r="1568" s="34" customFormat="1"/>
    <row r="1569" s="34" customFormat="1"/>
    <row r="1570" s="34" customFormat="1"/>
    <row r="1571" s="34" customFormat="1"/>
    <row r="1572" s="34" customFormat="1"/>
    <row r="1573" s="34" customFormat="1"/>
    <row r="1574" s="34" customFormat="1"/>
    <row r="1575" s="34" customFormat="1"/>
    <row r="1576" s="34" customFormat="1"/>
    <row r="1577" s="34" customFormat="1"/>
    <row r="1578" s="34" customFormat="1"/>
    <row r="1579" s="34" customFormat="1"/>
    <row r="1580" s="34" customFormat="1"/>
    <row r="1581" s="34" customFormat="1"/>
    <row r="1582" s="34" customFormat="1"/>
    <row r="1583" s="34" customFormat="1"/>
    <row r="1584" s="34" customFormat="1"/>
    <row r="1585" s="34" customFormat="1"/>
    <row r="1586" s="34" customFormat="1"/>
    <row r="1587" s="34" customFormat="1"/>
    <row r="1588" s="34" customFormat="1"/>
    <row r="1589" s="34" customFormat="1"/>
    <row r="1590" s="34" customFormat="1"/>
    <row r="1591" s="34" customFormat="1"/>
    <row r="1592" s="34" customFormat="1"/>
    <row r="1593" s="34" customFormat="1"/>
    <row r="1594" s="34" customFormat="1"/>
    <row r="1595" s="34" customFormat="1"/>
    <row r="1596" s="34" customFormat="1"/>
    <row r="1597" s="34" customFormat="1"/>
    <row r="1598" s="34" customFormat="1"/>
    <row r="1599" s="34" customFormat="1"/>
    <row r="1600" s="34" customFormat="1"/>
    <row r="1601" s="34" customFormat="1"/>
    <row r="1602" s="34" customFormat="1"/>
    <row r="1603" s="34" customFormat="1"/>
    <row r="1604" s="34" customFormat="1"/>
    <row r="1605" s="34" customFormat="1"/>
    <row r="1606" s="34" customFormat="1"/>
    <row r="1607" s="34" customFormat="1"/>
    <row r="1608" s="34" customFormat="1"/>
    <row r="1609" s="34" customFormat="1"/>
    <row r="1610" s="34" customFormat="1"/>
    <row r="1611" s="34" customFormat="1"/>
    <row r="1612" s="34" customFormat="1"/>
    <row r="1613" s="34" customFormat="1"/>
    <row r="1614" s="34" customFormat="1"/>
    <row r="1615" s="34" customFormat="1"/>
    <row r="1616" s="34" customFormat="1"/>
    <row r="1617" s="34" customFormat="1"/>
    <row r="1618" s="34" customFormat="1"/>
    <row r="1619" s="34" customFormat="1"/>
    <row r="1620" s="34" customFormat="1"/>
    <row r="1621" s="34" customFormat="1"/>
    <row r="1622" s="34" customFormat="1"/>
    <row r="1623" s="34" customFormat="1"/>
    <row r="1624" s="34" customFormat="1"/>
    <row r="1625" s="34" customFormat="1"/>
    <row r="1626" s="34" customFormat="1"/>
    <row r="1627" s="34" customFormat="1"/>
    <row r="1628" s="34" customFormat="1"/>
    <row r="1629" s="34" customFormat="1"/>
    <row r="1630" s="34" customFormat="1"/>
    <row r="1631" s="34" customFormat="1"/>
    <row r="1632" s="34" customFormat="1"/>
    <row r="1633" s="34" customFormat="1"/>
    <row r="1634" s="34" customFormat="1"/>
    <row r="1635" s="34" customFormat="1"/>
    <row r="1636" s="34" customFormat="1"/>
    <row r="1637" s="34" customFormat="1"/>
    <row r="1638" s="34" customFormat="1"/>
    <row r="1639" s="34" customFormat="1"/>
    <row r="1640" s="34" customFormat="1"/>
    <row r="1641" s="34" customFormat="1"/>
    <row r="1642" s="34" customFormat="1"/>
    <row r="1643" s="34" customFormat="1"/>
    <row r="1644" s="34" customFormat="1"/>
    <row r="1645" s="34" customFormat="1"/>
    <row r="1646" s="34" customFormat="1"/>
    <row r="1647" s="34" customFormat="1"/>
    <row r="1648" s="34" customFormat="1"/>
    <row r="1649" s="34" customFormat="1"/>
    <row r="1650" s="34" customFormat="1"/>
    <row r="1651" s="34" customFormat="1"/>
    <row r="1652" s="34" customFormat="1"/>
    <row r="1653" s="34" customFormat="1"/>
    <row r="1654" s="34" customFormat="1"/>
    <row r="1655" s="34" customFormat="1"/>
    <row r="1656" s="34" customFormat="1"/>
    <row r="1657" s="34" customFormat="1"/>
    <row r="1658" s="34" customFormat="1"/>
    <row r="1659" s="34" customFormat="1"/>
    <row r="1660" s="34" customFormat="1"/>
    <row r="1661" s="34" customFormat="1"/>
    <row r="1662" s="34" customFormat="1"/>
    <row r="1663" s="34" customFormat="1"/>
    <row r="1664" s="34" customFormat="1"/>
    <row r="1665" s="34" customFormat="1"/>
    <row r="1666" s="34" customFormat="1"/>
    <row r="1667" s="34" customFormat="1"/>
    <row r="1668" s="34" customFormat="1"/>
    <row r="1669" s="34" customFormat="1"/>
    <row r="1670" s="34" customFormat="1"/>
    <row r="1671" s="34" customFormat="1"/>
    <row r="1672" s="34" customFormat="1"/>
    <row r="1673" s="34" customFormat="1"/>
    <row r="1674" s="34" customFormat="1"/>
    <row r="1675" s="34" customFormat="1"/>
    <row r="1676" s="34" customFormat="1"/>
    <row r="1677" s="34" customFormat="1"/>
    <row r="1678" s="34" customFormat="1"/>
    <row r="1679" s="34" customFormat="1"/>
    <row r="1680" s="34" customFormat="1"/>
    <row r="1681" s="34" customFormat="1"/>
    <row r="1682" s="34" customFormat="1"/>
    <row r="1683" s="34" customFormat="1"/>
    <row r="1684" s="34" customFormat="1"/>
    <row r="1685" s="34" customFormat="1"/>
    <row r="1686" s="34" customFormat="1"/>
    <row r="1687" s="34" customFormat="1"/>
    <row r="1688" s="34" customFormat="1"/>
    <row r="1689" s="34" customFormat="1"/>
    <row r="1690" s="34" customFormat="1"/>
    <row r="1691" s="34" customFormat="1"/>
    <row r="1692" s="34" customFormat="1"/>
    <row r="1693" s="34" customFormat="1"/>
    <row r="1694" s="34" customFormat="1"/>
    <row r="1695" s="34" customFormat="1"/>
    <row r="1696" s="34" customFormat="1"/>
    <row r="1697" s="34" customFormat="1"/>
    <row r="1698" s="34" customFormat="1"/>
    <row r="1699" s="34" customFormat="1"/>
    <row r="1700" s="34" customFormat="1"/>
    <row r="1701" s="34" customFormat="1"/>
    <row r="1702" s="34" customFormat="1"/>
    <row r="1703" s="34" customFormat="1"/>
    <row r="1704" s="34" customFormat="1"/>
    <row r="1705" s="34" customFormat="1"/>
    <row r="1706" s="34" customFormat="1"/>
    <row r="1707" s="34" customFormat="1"/>
    <row r="1708" s="34" customFormat="1"/>
    <row r="1709" s="34" customFormat="1"/>
    <row r="1710" s="34" customFormat="1"/>
    <row r="1711" s="34" customFormat="1"/>
    <row r="1712" s="34" customFormat="1"/>
    <row r="1713" s="34" customFormat="1"/>
    <row r="1714" s="34" customFormat="1"/>
    <row r="1715" s="34" customFormat="1"/>
    <row r="1716" s="34" customFormat="1"/>
    <row r="1717" s="34" customFormat="1"/>
    <row r="1718" s="34" customFormat="1"/>
    <row r="1719" s="34" customFormat="1"/>
    <row r="1720" s="34" customFormat="1"/>
    <row r="1721" s="34" customFormat="1"/>
    <row r="1722" s="34" customFormat="1"/>
    <row r="1723" s="34" customFormat="1"/>
    <row r="1724" s="34" customFormat="1"/>
    <row r="1725" s="34" customFormat="1"/>
    <row r="1726" s="34" customFormat="1"/>
    <row r="1727" s="34" customFormat="1"/>
    <row r="1728" s="34" customFormat="1"/>
    <row r="1729" s="34" customFormat="1"/>
    <row r="1730" s="34" customFormat="1"/>
    <row r="1731" s="34" customFormat="1"/>
    <row r="1732" s="34" customFormat="1"/>
    <row r="1733" s="34" customFormat="1"/>
    <row r="1734" s="34" customFormat="1"/>
    <row r="1735" s="34" customFormat="1"/>
    <row r="1736" s="34" customFormat="1"/>
    <row r="1737" s="34" customFormat="1"/>
    <row r="1738" s="34" customFormat="1"/>
    <row r="1739" s="34" customFormat="1"/>
    <row r="1740" s="34" customFormat="1"/>
    <row r="1741" s="34" customFormat="1"/>
    <row r="1742" s="34" customFormat="1"/>
    <row r="1743" s="34" customFormat="1"/>
    <row r="1744" s="34" customFormat="1"/>
    <row r="1745" s="34" customFormat="1"/>
    <row r="1746" s="34" customFormat="1"/>
    <row r="1747" s="34" customFormat="1"/>
    <row r="1748" s="34" customFormat="1"/>
    <row r="1749" s="34" customFormat="1"/>
    <row r="1750" s="34" customFormat="1"/>
    <row r="1751" s="34" customFormat="1"/>
    <row r="1752" s="34" customFormat="1"/>
    <row r="1753" s="34" customFormat="1"/>
    <row r="1754" s="34" customFormat="1"/>
    <row r="1755" s="34" customFormat="1"/>
    <row r="1756" s="34" customFormat="1"/>
    <row r="1757" s="34" customFormat="1"/>
    <row r="1758" s="34" customFormat="1"/>
    <row r="1759" s="34" customFormat="1"/>
    <row r="1760" s="34" customFormat="1"/>
    <row r="1761" s="34" customFormat="1"/>
    <row r="1762" s="34" customFormat="1"/>
    <row r="1763" s="34" customFormat="1"/>
    <row r="1764" s="34" customFormat="1"/>
    <row r="1765" s="34" customFormat="1"/>
    <row r="1766" s="34" customFormat="1"/>
    <row r="1767" s="34" customFormat="1"/>
    <row r="1768" s="34" customFormat="1"/>
    <row r="1769" s="34" customFormat="1"/>
    <row r="1770" s="34" customFormat="1"/>
    <row r="1771" s="34" customFormat="1"/>
    <row r="1772" s="34" customFormat="1"/>
    <row r="1773" s="34" customFormat="1"/>
    <row r="1774" s="34" customFormat="1"/>
    <row r="1775" s="34" customFormat="1"/>
    <row r="1776" s="34" customFormat="1"/>
    <row r="1777" s="34" customFormat="1"/>
    <row r="1778" s="34" customFormat="1"/>
    <row r="1779" s="34" customFormat="1"/>
    <row r="1780" s="34" customFormat="1"/>
    <row r="1781" s="34" customFormat="1"/>
    <row r="1782" s="34" customFormat="1"/>
    <row r="1783" s="34" customFormat="1"/>
    <row r="1784" s="34" customFormat="1"/>
    <row r="1785" s="34" customFormat="1"/>
    <row r="1786" s="34" customFormat="1"/>
    <row r="1787" s="34" customFormat="1"/>
    <row r="1788" s="34" customFormat="1"/>
    <row r="1789" s="34" customFormat="1"/>
    <row r="1790" s="34" customFormat="1"/>
    <row r="1791" s="34" customFormat="1"/>
    <row r="1792" s="34" customFormat="1"/>
    <row r="1793" s="34" customFormat="1"/>
    <row r="1794" s="34" customFormat="1"/>
    <row r="1795" s="34" customFormat="1"/>
    <row r="1796" s="34" customFormat="1"/>
    <row r="1797" s="34" customFormat="1"/>
    <row r="1798" s="34" customFormat="1"/>
    <row r="1799" s="34" customFormat="1"/>
    <row r="1800" s="34" customFormat="1"/>
    <row r="1801" s="34" customFormat="1"/>
    <row r="1802" s="34" customFormat="1"/>
    <row r="1803" s="34" customFormat="1"/>
    <row r="1804" s="34" customFormat="1"/>
    <row r="1805" s="34" customFormat="1"/>
    <row r="1806" s="34" customFormat="1"/>
    <row r="1807" s="34" customFormat="1"/>
    <row r="1808" s="34" customFormat="1"/>
    <row r="1809" s="34" customFormat="1"/>
    <row r="1810" s="34" customFormat="1"/>
    <row r="1811" s="34" customFormat="1"/>
    <row r="1812" s="34" customFormat="1"/>
    <row r="1813" s="34" customFormat="1"/>
    <row r="1814" s="34" customFormat="1"/>
    <row r="1815" s="34" customFormat="1"/>
    <row r="1816" s="34" customFormat="1"/>
    <row r="1817" s="34" customFormat="1"/>
    <row r="1818" s="34" customFormat="1"/>
    <row r="1819" s="34" customFormat="1"/>
    <row r="1820" s="34" customFormat="1"/>
    <row r="1821" s="34" customFormat="1"/>
    <row r="1822" s="34" customFormat="1"/>
    <row r="1823" s="34" customFormat="1"/>
    <row r="1824" s="34" customFormat="1"/>
    <row r="1825" s="34" customFormat="1"/>
    <row r="1826" s="34" customFormat="1"/>
    <row r="1827" s="34" customFormat="1"/>
    <row r="1828" s="34" customFormat="1"/>
    <row r="1829" s="34" customFormat="1"/>
    <row r="1830" s="34" customFormat="1"/>
    <row r="1831" s="34" customFormat="1"/>
    <row r="1832" s="34" customFormat="1"/>
    <row r="1833" s="34" customFormat="1"/>
    <row r="1834" s="34" customFormat="1"/>
    <row r="1835" s="34" customFormat="1"/>
    <row r="1836" s="34" customFormat="1"/>
    <row r="1837" s="34" customFormat="1"/>
    <row r="1838" s="34" customFormat="1"/>
    <row r="1839" s="34" customFormat="1"/>
    <row r="1840" s="34" customFormat="1"/>
    <row r="1841" s="34" customFormat="1"/>
    <row r="1842" s="34" customFormat="1"/>
    <row r="1843" s="34" customFormat="1"/>
    <row r="1844" s="34" customFormat="1"/>
    <row r="1845" s="34" customFormat="1"/>
    <row r="1846" s="34" customFormat="1"/>
    <row r="1847" s="34" customFormat="1"/>
    <row r="1848" s="34" customFormat="1"/>
    <row r="1849" s="34" customFormat="1"/>
    <row r="1850" s="34" customFormat="1"/>
    <row r="1851" s="34" customFormat="1"/>
    <row r="1852" s="34" customFormat="1"/>
    <row r="1853" s="34" customFormat="1"/>
    <row r="1854" s="34" customFormat="1"/>
    <row r="1855" s="34" customFormat="1"/>
    <row r="1856" s="34" customFormat="1"/>
    <row r="1857" s="34" customFormat="1"/>
    <row r="1858" s="34" customFormat="1"/>
    <row r="1859" s="34" customFormat="1"/>
    <row r="1860" s="34" customFormat="1"/>
    <row r="1861" s="34" customFormat="1"/>
    <row r="1862" s="34" customFormat="1"/>
    <row r="1863" s="34" customFormat="1"/>
    <row r="1864" s="34" customFormat="1"/>
    <row r="1865" s="34" customFormat="1"/>
    <row r="1866" s="34" customFormat="1"/>
    <row r="1867" s="34" customFormat="1"/>
    <row r="1868" s="34" customFormat="1"/>
    <row r="1869" s="34" customFormat="1"/>
    <row r="1870" s="34" customFormat="1"/>
    <row r="1871" s="34" customFormat="1"/>
    <row r="1872" s="34" customFormat="1"/>
    <row r="1873" s="34" customFormat="1"/>
    <row r="1874" s="34" customFormat="1"/>
    <row r="1875" s="34" customFormat="1"/>
    <row r="1876" s="34" customFormat="1"/>
    <row r="1877" s="34" customFormat="1"/>
    <row r="1878" s="34" customFormat="1"/>
    <row r="1879" s="34" customFormat="1"/>
    <row r="1880" s="34" customFormat="1"/>
    <row r="1881" s="34" customFormat="1"/>
    <row r="1882" s="34" customFormat="1"/>
    <row r="1883" s="34" customFormat="1"/>
    <row r="1884" s="34" customFormat="1"/>
    <row r="1885" s="34" customFormat="1"/>
    <row r="1886" s="34" customFormat="1"/>
    <row r="1887" s="34" customFormat="1"/>
    <row r="1888" s="34" customFormat="1"/>
    <row r="1889" s="34" customFormat="1"/>
    <row r="1890" s="34" customFormat="1"/>
    <row r="1891" s="34" customFormat="1"/>
    <row r="1892" s="34" customFormat="1"/>
    <row r="1893" s="34" customFormat="1"/>
    <row r="1894" s="34" customFormat="1"/>
    <row r="1895" s="34" customFormat="1"/>
    <row r="1896" s="34" customFormat="1"/>
    <row r="1897" s="34" customFormat="1"/>
    <row r="1898" s="34" customFormat="1"/>
    <row r="1899" s="34" customFormat="1"/>
    <row r="1900" s="34" customFormat="1"/>
    <row r="1901" s="34" customFormat="1"/>
    <row r="1902" s="34" customFormat="1"/>
    <row r="1903" s="34" customFormat="1"/>
    <row r="1904" s="34" customFormat="1"/>
    <row r="1905" s="34" customFormat="1"/>
    <row r="1906" s="34" customFormat="1"/>
    <row r="1907" s="34" customFormat="1"/>
    <row r="1908" s="34" customFormat="1"/>
    <row r="1909" s="34" customFormat="1"/>
    <row r="1910" s="34" customFormat="1"/>
    <row r="1911" s="34" customFormat="1"/>
    <row r="1912" s="34" customFormat="1"/>
    <row r="1913" s="34" customFormat="1"/>
    <row r="1914" s="34" customFormat="1"/>
    <row r="1915" s="34" customFormat="1"/>
    <row r="1916" s="34" customFormat="1"/>
    <row r="1917" s="34" customFormat="1"/>
    <row r="1918" s="34" customFormat="1"/>
    <row r="1919" s="34" customFormat="1"/>
    <row r="1920" s="34" customFormat="1"/>
    <row r="1921" s="34" customFormat="1"/>
    <row r="1922" s="34" customFormat="1"/>
    <row r="1923" s="34" customFormat="1"/>
    <row r="1924" s="34" customFormat="1"/>
    <row r="1925" s="34" customFormat="1"/>
    <row r="1926" s="34" customFormat="1"/>
    <row r="1927" s="34" customFormat="1"/>
    <row r="1928" s="34" customFormat="1"/>
    <row r="1929" s="34" customFormat="1"/>
    <row r="1930" s="34" customFormat="1"/>
    <row r="1931" s="34" customFormat="1"/>
    <row r="1932" s="34" customFormat="1"/>
    <row r="1933" s="34" customFormat="1"/>
    <row r="1934" s="34" customFormat="1"/>
    <row r="1935" s="34" customFormat="1"/>
    <row r="1936" s="34" customFormat="1"/>
    <row r="1937" s="34" customFormat="1"/>
    <row r="1938" s="34" customFormat="1"/>
    <row r="1939" s="34" customFormat="1"/>
    <row r="1940" s="34" customFormat="1"/>
    <row r="1941" s="34" customFormat="1"/>
    <row r="1942" s="34" customFormat="1"/>
    <row r="1943" s="34" customFormat="1"/>
    <row r="1944" s="34" customFormat="1"/>
    <row r="1945" s="34" customFormat="1"/>
    <row r="1946" s="34" customFormat="1"/>
    <row r="1947" s="34" customFormat="1"/>
    <row r="1948" s="34" customFormat="1"/>
    <row r="1949" s="34" customFormat="1"/>
    <row r="1950" s="34" customFormat="1"/>
    <row r="1951" s="34" customFormat="1"/>
    <row r="1952" s="34" customFormat="1"/>
    <row r="1953" s="34" customFormat="1"/>
    <row r="1954" s="34" customFormat="1"/>
    <row r="1955" s="34" customFormat="1"/>
    <row r="1956" s="34" customFormat="1"/>
    <row r="1957" s="34" customFormat="1"/>
    <row r="1958" s="34" customFormat="1"/>
    <row r="1959" s="34" customFormat="1"/>
    <row r="1960" s="34" customFormat="1"/>
    <row r="1961" s="34" customFormat="1"/>
    <row r="1962" s="34" customFormat="1"/>
    <row r="1963" s="34" customFormat="1"/>
    <row r="1964" s="34" customFormat="1"/>
    <row r="1965" s="34" customFormat="1"/>
    <row r="1966" s="34" customFormat="1"/>
    <row r="1967" s="34" customFormat="1"/>
    <row r="1968" s="34" customFormat="1"/>
    <row r="1969" s="34" customFormat="1"/>
    <row r="1970" s="34" customFormat="1"/>
    <row r="1971" s="34" customFormat="1"/>
    <row r="1972" s="34" customFormat="1"/>
    <row r="1973" s="34" customFormat="1"/>
    <row r="1974" s="34" customFormat="1"/>
    <row r="1975" s="34" customFormat="1"/>
    <row r="1976" s="34" customFormat="1"/>
    <row r="1977" s="34" customFormat="1"/>
    <row r="1978" s="34" customFormat="1"/>
    <row r="1979" s="34" customFormat="1"/>
    <row r="1980" s="34" customFormat="1"/>
    <row r="1981" s="34" customFormat="1"/>
    <row r="1982" s="34" customFormat="1"/>
    <row r="1983" s="34" customFormat="1"/>
    <row r="1984" s="34" customFormat="1"/>
    <row r="1985" s="34" customFormat="1"/>
    <row r="1986" s="34" customFormat="1"/>
    <row r="1987" s="34" customFormat="1"/>
    <row r="1988" s="34" customFormat="1"/>
    <row r="1989" s="34" customFormat="1"/>
    <row r="1990" s="34" customFormat="1"/>
    <row r="1991" s="34" customFormat="1"/>
    <row r="1992" s="34" customFormat="1"/>
    <row r="1993" s="34" customFormat="1"/>
    <row r="1994" s="34" customFormat="1"/>
    <row r="1995" s="34" customFormat="1"/>
    <row r="1996" s="34" customFormat="1"/>
    <row r="1997" s="34" customFormat="1"/>
    <row r="1998" s="34" customFormat="1"/>
    <row r="1999" s="34" customFormat="1"/>
    <row r="2000" s="34" customFormat="1"/>
    <row r="2001" s="34" customFormat="1"/>
    <row r="2002" s="34" customFormat="1"/>
    <row r="2003" s="34" customFormat="1"/>
    <row r="2004" s="34" customFormat="1"/>
    <row r="2005" s="34" customFormat="1"/>
    <row r="2006" s="34" customFormat="1"/>
    <row r="2007" s="34" customFormat="1"/>
    <row r="2008" s="34" customFormat="1"/>
    <row r="2009" s="34" customFormat="1"/>
    <row r="2010" s="34" customFormat="1"/>
    <row r="2011" s="34" customFormat="1"/>
    <row r="2012" s="34" customFormat="1"/>
    <row r="2013" s="34" customFormat="1"/>
    <row r="2014" s="34" customFormat="1"/>
    <row r="2015" s="34" customFormat="1"/>
    <row r="2016" s="34" customFormat="1"/>
    <row r="2017" s="34" customFormat="1"/>
    <row r="2018" s="34" customFormat="1"/>
    <row r="2019" s="34" customFormat="1"/>
    <row r="2020" s="34" customFormat="1"/>
    <row r="2021" s="34" customFormat="1"/>
    <row r="2022" s="34" customFormat="1"/>
    <row r="2023" s="34" customFormat="1"/>
    <row r="2024" s="34" customFormat="1"/>
    <row r="2025" s="34" customFormat="1"/>
    <row r="2026" s="34" customFormat="1"/>
    <row r="2027" s="34" customFormat="1"/>
    <row r="2028" s="34" customFormat="1"/>
    <row r="2029" s="34" customFormat="1"/>
    <row r="2030" s="34" customFormat="1"/>
    <row r="2031" s="34" customFormat="1"/>
    <row r="2032" s="34" customFormat="1"/>
    <row r="2033" s="34" customFormat="1"/>
    <row r="2034" s="34" customFormat="1"/>
    <row r="2035" s="34" customFormat="1"/>
    <row r="2036" s="34" customFormat="1"/>
    <row r="2037" s="34" customFormat="1"/>
    <row r="2038" s="34" customFormat="1"/>
    <row r="2039" s="34" customFormat="1"/>
    <row r="2040" s="34" customFormat="1"/>
    <row r="2041" s="34" customFormat="1"/>
    <row r="2042" s="34" customFormat="1"/>
    <row r="2043" s="34" customFormat="1"/>
    <row r="2044" s="34" customFormat="1"/>
    <row r="2045" s="34" customFormat="1"/>
    <row r="2046" s="34" customFormat="1"/>
    <row r="2047" s="34" customFormat="1"/>
    <row r="2048" s="34" customFormat="1"/>
    <row r="2049" s="34" customFormat="1"/>
    <row r="2050" s="34" customFormat="1"/>
    <row r="2051" s="34" customFormat="1"/>
    <row r="2052" s="34" customFormat="1"/>
    <row r="2053" s="34" customFormat="1"/>
    <row r="2054" s="34" customFormat="1"/>
    <row r="2055" s="34" customFormat="1"/>
    <row r="2056" s="34" customFormat="1"/>
    <row r="2057" s="34" customFormat="1"/>
    <row r="2058" s="34" customFormat="1"/>
    <row r="2059" s="34" customFormat="1"/>
    <row r="2060" s="34" customFormat="1"/>
    <row r="2061" s="34" customFormat="1"/>
    <row r="2062" s="34" customFormat="1"/>
    <row r="2063" s="34" customFormat="1"/>
    <row r="2064" s="34" customFormat="1"/>
    <row r="2065" s="34" customFormat="1"/>
    <row r="2066" s="34" customFormat="1"/>
    <row r="2067" s="34" customFormat="1"/>
    <row r="2068" s="34" customFormat="1"/>
    <row r="2069" s="34" customFormat="1"/>
    <row r="2070" s="34" customFormat="1"/>
    <row r="2071" s="34" customFormat="1"/>
    <row r="2072" s="34" customFormat="1"/>
    <row r="2073" s="34" customFormat="1"/>
    <row r="2074" s="34" customFormat="1"/>
    <row r="2075" s="34" customFormat="1"/>
    <row r="2076" s="34" customFormat="1"/>
    <row r="2077" s="34" customFormat="1"/>
    <row r="2078" s="34" customFormat="1"/>
    <row r="2079" s="34" customFormat="1"/>
    <row r="2080" s="34" customFormat="1"/>
    <row r="2081" s="34" customFormat="1"/>
    <row r="2082" s="34" customFormat="1"/>
    <row r="2083" s="34" customFormat="1"/>
    <row r="2084" s="34" customFormat="1"/>
    <row r="2085" s="34" customFormat="1"/>
    <row r="2086" s="34" customFormat="1"/>
    <row r="2087" s="34" customFormat="1"/>
    <row r="2088" s="34" customFormat="1"/>
    <row r="2089" s="34" customFormat="1"/>
    <row r="2090" s="34" customFormat="1"/>
    <row r="2091" s="34" customFormat="1"/>
    <row r="2092" s="34" customFormat="1"/>
    <row r="2093" s="34" customFormat="1"/>
    <row r="2094" s="34" customFormat="1"/>
    <row r="2095" s="34" customFormat="1"/>
    <row r="2096" s="34" customFormat="1"/>
    <row r="2097" s="34" customFormat="1"/>
    <row r="2098" s="34" customFormat="1"/>
    <row r="2099" s="34" customFormat="1"/>
    <row r="2100" s="34" customFormat="1"/>
    <row r="2101" s="34" customFormat="1"/>
    <row r="2102" s="34" customFormat="1"/>
    <row r="2103" s="34" customFormat="1"/>
    <row r="2104" s="34" customFormat="1"/>
    <row r="2105" s="34" customFormat="1"/>
    <row r="2106" s="34" customFormat="1"/>
    <row r="2107" s="34" customFormat="1"/>
    <row r="2108" s="34" customFormat="1"/>
    <row r="2109" s="34" customFormat="1"/>
    <row r="2110" s="34" customFormat="1"/>
    <row r="2111" s="34" customFormat="1"/>
    <row r="2112" s="34" customFormat="1"/>
    <row r="2113" s="34" customFormat="1"/>
    <row r="2114" s="34" customFormat="1"/>
    <row r="2115" s="34" customFormat="1"/>
    <row r="2116" s="34" customFormat="1"/>
    <row r="2117" s="34" customFormat="1"/>
    <row r="2118" s="34" customFormat="1"/>
    <row r="2119" s="34" customFormat="1"/>
    <row r="2120" s="34" customFormat="1"/>
    <row r="2121" s="34" customFormat="1"/>
    <row r="2122" s="34" customFormat="1"/>
    <row r="2123" s="34" customFormat="1"/>
    <row r="2124" s="34" customFormat="1"/>
    <row r="2125" s="34" customFormat="1"/>
    <row r="2126" s="34" customFormat="1"/>
    <row r="2127" s="34" customFormat="1"/>
    <row r="2128" s="34" customFormat="1"/>
    <row r="2129" s="34" customFormat="1"/>
    <row r="2130" s="34" customFormat="1"/>
    <row r="2131" s="34" customFormat="1"/>
    <row r="2132" s="34" customFormat="1"/>
    <row r="2133" s="34" customFormat="1"/>
    <row r="2134" s="34" customFormat="1"/>
    <row r="2135" s="34" customFormat="1"/>
    <row r="2136" s="34" customFormat="1"/>
    <row r="2137" s="34" customFormat="1"/>
    <row r="2138" s="34" customFormat="1"/>
    <row r="2139" s="34" customFormat="1"/>
    <row r="2140" s="34" customFormat="1"/>
    <row r="2141" s="34" customFormat="1"/>
    <row r="2142" s="34" customFormat="1"/>
    <row r="2143" s="34" customFormat="1"/>
    <row r="2144" s="34" customFormat="1"/>
    <row r="2145" s="34" customFormat="1"/>
    <row r="2146" s="34" customFormat="1"/>
    <row r="2147" s="34" customFormat="1"/>
    <row r="2148" s="34" customFormat="1"/>
    <row r="2149" s="34" customFormat="1"/>
    <row r="2150" s="34" customFormat="1"/>
    <row r="2151" s="34" customFormat="1"/>
    <row r="2152" s="34" customFormat="1"/>
    <row r="2153" s="34" customFormat="1"/>
    <row r="2154" s="34" customFormat="1"/>
    <row r="2155" s="34" customFormat="1"/>
    <row r="2156" s="34" customFormat="1"/>
    <row r="2157" s="34" customFormat="1"/>
    <row r="2158" s="34" customFormat="1"/>
    <row r="2159" s="34" customFormat="1"/>
    <row r="2160" s="34" customFormat="1"/>
    <row r="2161" s="34" customFormat="1"/>
    <row r="2162" s="34" customFormat="1"/>
    <row r="2163" s="34" customFormat="1"/>
    <row r="2164" s="34" customFormat="1"/>
    <row r="2165" s="34" customFormat="1"/>
    <row r="2166" s="34" customFormat="1"/>
    <row r="2167" s="34" customFormat="1"/>
    <row r="2168" s="34" customFormat="1"/>
    <row r="2169" s="34" customFormat="1"/>
    <row r="2170" s="34" customFormat="1"/>
    <row r="2171" s="34" customFormat="1"/>
    <row r="2172" s="34" customFormat="1"/>
    <row r="2173" s="34" customFormat="1"/>
    <row r="2174" s="34" customFormat="1"/>
    <row r="2175" s="34" customFormat="1"/>
    <row r="2176" s="34" customFormat="1"/>
    <row r="2177" s="34" customFormat="1"/>
    <row r="2178" s="34" customFormat="1"/>
    <row r="2179" s="34" customFormat="1"/>
    <row r="2180" s="34" customFormat="1"/>
    <row r="2181" s="34" customFormat="1"/>
    <row r="2182" s="34" customFormat="1"/>
    <row r="2183" s="34" customFormat="1"/>
    <row r="2184" s="34" customFormat="1"/>
    <row r="2185" s="34" customFormat="1"/>
    <row r="2186" s="34" customFormat="1"/>
    <row r="2187" s="34" customFormat="1"/>
    <row r="2188" s="34" customFormat="1"/>
    <row r="2189" s="34" customFormat="1"/>
    <row r="2190" s="34" customFormat="1"/>
    <row r="2191" s="34" customFormat="1"/>
    <row r="2192" s="34" customFormat="1"/>
    <row r="2193" s="34" customFormat="1"/>
    <row r="2194" s="34" customFormat="1"/>
    <row r="2195" s="34" customFormat="1"/>
    <row r="2196" s="34" customFormat="1"/>
    <row r="2197" s="34" customFormat="1"/>
    <row r="2198" s="34" customFormat="1"/>
    <row r="2199" s="34" customFormat="1"/>
    <row r="2200" s="34" customFormat="1"/>
    <row r="2201" s="34" customFormat="1"/>
    <row r="2202" s="34" customFormat="1"/>
    <row r="2203" s="34" customFormat="1"/>
    <row r="2204" s="34" customFormat="1"/>
    <row r="2205" s="34" customFormat="1"/>
    <row r="2206" s="34" customFormat="1"/>
    <row r="2207" s="34" customFormat="1"/>
    <row r="2208" s="34" customFormat="1"/>
    <row r="2209" s="34" customFormat="1"/>
    <row r="2210" s="34" customFormat="1"/>
    <row r="2211" s="34" customFormat="1"/>
    <row r="2212" s="34" customFormat="1"/>
    <row r="2213" s="34" customFormat="1"/>
    <row r="2214" s="34" customFormat="1"/>
    <row r="2215" s="34" customFormat="1"/>
    <row r="2216" s="34" customFormat="1"/>
    <row r="2217" s="34" customFormat="1"/>
    <row r="2218" s="34" customFormat="1"/>
    <row r="2219" s="34" customFormat="1"/>
    <row r="2220" s="34" customFormat="1"/>
    <row r="2221" s="34" customFormat="1"/>
    <row r="2222" s="34" customFormat="1"/>
    <row r="2223" s="34" customFormat="1"/>
    <row r="2224" s="34" customFormat="1"/>
    <row r="2225" spans="13:13" s="34" customFormat="1"/>
    <row r="2226" spans="13:13" s="34" customFormat="1"/>
    <row r="2227" spans="13:13" s="34" customFormat="1"/>
    <row r="2228" spans="13:13" s="34" customFormat="1"/>
    <row r="2229" spans="13:13" s="34" customFormat="1"/>
    <row r="2230" spans="13:13" s="34" customFormat="1"/>
    <row r="2231" spans="13:13">
      <c r="M2231" s="31"/>
    </row>
    <row r="2232" spans="13:13">
      <c r="M2232" s="31"/>
    </row>
    <row r="2233" spans="13:13">
      <c r="M2233" s="31"/>
    </row>
    <row r="2234" spans="13:13">
      <c r="M2234" s="31"/>
    </row>
    <row r="2235" spans="13:13">
      <c r="M2235" s="31"/>
    </row>
    <row r="2236" spans="13:13">
      <c r="M2236" s="31"/>
    </row>
  </sheetData>
  <sheetProtection password="8B10" sheet="1" objects="1" scenarios="1"/>
  <mergeCells count="9">
    <mergeCell ref="D12:F12"/>
    <mergeCell ref="G12:I12"/>
    <mergeCell ref="J12:L12"/>
    <mergeCell ref="E2:F2"/>
    <mergeCell ref="E3:F3"/>
    <mergeCell ref="E4:F4"/>
    <mergeCell ref="E5:F5"/>
    <mergeCell ref="E6:F6"/>
    <mergeCell ref="E7:F7"/>
  </mergeCells>
  <phoneticPr fontId="2" type="noConversion"/>
  <pageMargins left="0.70866141732283472" right="0.70866141732283472" top="1.0236220472440944" bottom="1.0236220472440944" header="0.39370078740157483" footer="0.39370078740157483"/>
  <pageSetup paperSize="9" scale="60" orientation="landscape" r:id="rId1"/>
  <headerFooter alignWithMargins="0">
    <oddFooter>&amp;L&amp;"Frutiger 57Cn,Standard"&amp;8
Santander Consumer Bank AG
Santander-Platz 1
41061 Mönchengladbach
Tel.: +49 180 / 5556 - 499
Fax.: +49 180 / 5556 - 498</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M2238"/>
  <sheetViews>
    <sheetView view="pageBreakPreview" zoomScale="75" zoomScaleNormal="70" zoomScaleSheetLayoutView="75" workbookViewId="0">
      <selection activeCell="B3" sqref="B3"/>
    </sheetView>
  </sheetViews>
  <sheetFormatPr defaultRowHeight="12.75"/>
  <cols>
    <col min="1" max="1" width="1.28515625" style="31" customWidth="1"/>
    <col min="2" max="2" width="29.85546875" style="31" customWidth="1"/>
    <col min="3" max="10" width="15.7109375" style="31" customWidth="1"/>
    <col min="11" max="11" width="1.28515625" style="31" customWidth="1"/>
    <col min="12" max="12" width="3.140625" style="31" customWidth="1"/>
    <col min="13" max="256" width="11.42578125" style="31" customWidth="1"/>
    <col min="257" max="16384" width="9.140625" style="31"/>
  </cols>
  <sheetData>
    <row r="1" spans="1:13" ht="6" customHeight="1">
      <c r="A1" s="35"/>
      <c r="B1" s="36"/>
      <c r="C1" s="36"/>
      <c r="D1" s="36"/>
      <c r="E1" s="36"/>
      <c r="F1" s="36"/>
      <c r="G1" s="36"/>
      <c r="H1" s="36"/>
      <c r="I1" s="36"/>
      <c r="J1" s="36"/>
      <c r="K1" s="37"/>
    </row>
    <row r="2" spans="1:13" s="27" customFormat="1" ht="18">
      <c r="A2" s="5"/>
      <c r="B2" s="7" t="s">
        <v>198</v>
      </c>
      <c r="C2" s="7"/>
      <c r="D2" s="108" t="s">
        <v>54</v>
      </c>
      <c r="E2" s="109"/>
      <c r="F2" s="110">
        <f>'Cover Sheet'!F2</f>
        <v>41191</v>
      </c>
      <c r="G2" s="109"/>
      <c r="H2" s="109"/>
      <c r="I2" s="109"/>
      <c r="J2" s="111"/>
      <c r="K2" s="88"/>
    </row>
    <row r="3" spans="1:13" s="27" customFormat="1" ht="18">
      <c r="A3" s="5"/>
      <c r="B3" s="7" t="str">
        <f>'Cover Sheet'!B3</f>
        <v>Monthly Investor Report</v>
      </c>
      <c r="C3" s="7"/>
      <c r="D3" s="112" t="s">
        <v>4</v>
      </c>
      <c r="E3" s="113"/>
      <c r="F3" s="114">
        <f>'Cover Sheet'!F3</f>
        <v>41197</v>
      </c>
      <c r="G3" s="113"/>
      <c r="H3" s="113"/>
      <c r="I3" s="113"/>
      <c r="J3" s="115"/>
      <c r="K3" s="90"/>
    </row>
    <row r="4" spans="1:13" s="27" customFormat="1">
      <c r="A4" s="5"/>
      <c r="B4" s="42"/>
      <c r="C4" s="12"/>
      <c r="D4" s="112" t="s">
        <v>5</v>
      </c>
      <c r="E4" s="113"/>
      <c r="F4" s="122">
        <f>'Cover Sheet'!F4</f>
        <v>27</v>
      </c>
      <c r="G4" s="113"/>
      <c r="H4" s="117"/>
      <c r="I4" s="113"/>
      <c r="J4" s="118"/>
      <c r="K4" s="88"/>
    </row>
    <row r="5" spans="1:13" s="27" customFormat="1" ht="18">
      <c r="A5" s="5"/>
      <c r="B5" s="105" t="s">
        <v>407</v>
      </c>
      <c r="C5" s="14"/>
      <c r="D5" s="112" t="s">
        <v>3</v>
      </c>
      <c r="E5" s="113"/>
      <c r="F5" s="123">
        <f>'Cover Sheet'!F5</f>
        <v>41197</v>
      </c>
      <c r="G5" s="113"/>
      <c r="H5" s="117"/>
      <c r="I5" s="113"/>
      <c r="J5" s="118"/>
      <c r="K5" s="90"/>
    </row>
    <row r="6" spans="1:13" s="27" customFormat="1" ht="15" customHeight="1">
      <c r="A6" s="5"/>
      <c r="B6" s="43"/>
      <c r="C6" s="89"/>
      <c r="D6" s="552" t="str">
        <f>'Cover Sheet'!D6</f>
        <v>Interest Period</v>
      </c>
      <c r="E6" s="114" t="s">
        <v>38</v>
      </c>
      <c r="F6" s="114">
        <f>'Cover Sheet'!F6</f>
        <v>41164</v>
      </c>
      <c r="G6" s="114" t="s">
        <v>6</v>
      </c>
      <c r="H6" s="114">
        <f>'Cover Sheet'!H6</f>
        <v>41197</v>
      </c>
      <c r="I6" s="116" t="s">
        <v>18</v>
      </c>
      <c r="J6" s="542" t="str">
        <f>'Cover Sheet'!$J$6</f>
        <v>33 days</v>
      </c>
      <c r="K6" s="90"/>
      <c r="M6" s="30"/>
    </row>
    <row r="7" spans="1:13" s="27" customFormat="1">
      <c r="A7" s="5"/>
      <c r="B7" s="4"/>
      <c r="C7" s="4"/>
      <c r="D7" s="553" t="str">
        <f>'Cover Sheet'!D7</f>
        <v>Collection Period</v>
      </c>
      <c r="E7" s="121" t="s">
        <v>38</v>
      </c>
      <c r="F7" s="121" t="str">
        <f>'Cover Sheet'!F7</f>
        <v>01.09.2012</v>
      </c>
      <c r="G7" s="121" t="s">
        <v>6</v>
      </c>
      <c r="H7" s="121">
        <f>'Cover Sheet'!H7</f>
        <v>41182</v>
      </c>
      <c r="I7" s="543"/>
      <c r="J7" s="544"/>
      <c r="K7" s="90"/>
    </row>
    <row r="8" spans="1:13" s="27" customFormat="1">
      <c r="A8" s="5"/>
      <c r="B8" s="4"/>
      <c r="C8" s="4"/>
      <c r="D8" s="34"/>
      <c r="E8" s="9"/>
      <c r="F8" s="15"/>
      <c r="G8" s="9"/>
      <c r="H8" s="4"/>
      <c r="I8" s="16"/>
      <c r="J8" s="4"/>
      <c r="K8" s="90"/>
    </row>
    <row r="9" spans="1:13" s="27" customFormat="1">
      <c r="A9" s="5"/>
      <c r="B9" s="4"/>
      <c r="C9" s="4"/>
      <c r="D9" s="34"/>
      <c r="E9" s="4"/>
      <c r="F9" s="4"/>
      <c r="G9" s="4"/>
      <c r="H9" s="4"/>
      <c r="I9" s="4"/>
      <c r="J9" s="4"/>
      <c r="K9" s="8"/>
      <c r="M9" s="32"/>
    </row>
    <row r="10" spans="1:13" s="27" customFormat="1">
      <c r="A10" s="5"/>
      <c r="B10" s="4"/>
      <c r="C10" s="4"/>
      <c r="D10" s="34"/>
      <c r="E10" s="4"/>
      <c r="F10" s="18"/>
      <c r="G10" s="4"/>
      <c r="H10" s="4"/>
      <c r="I10" s="34"/>
      <c r="J10" s="34"/>
      <c r="K10" s="8"/>
    </row>
    <row r="11" spans="1:13" s="27" customFormat="1" ht="18">
      <c r="A11" s="5"/>
      <c r="B11" s="125"/>
      <c r="C11" s="4"/>
      <c r="D11" s="34"/>
      <c r="E11" s="4"/>
      <c r="F11" s="34"/>
      <c r="G11" s="100"/>
      <c r="H11" s="100"/>
      <c r="I11" s="34"/>
      <c r="J11" s="4"/>
      <c r="K11" s="8"/>
      <c r="M11" s="101"/>
    </row>
    <row r="12" spans="1:13" s="27" customFormat="1" ht="12.75" customHeight="1">
      <c r="A12" s="5"/>
      <c r="B12" s="477"/>
      <c r="C12" s="34"/>
      <c r="D12" s="34"/>
      <c r="E12" s="34"/>
      <c r="F12" s="34"/>
      <c r="G12" s="137"/>
      <c r="H12" s="137"/>
      <c r="I12" s="34"/>
      <c r="J12" s="34"/>
      <c r="K12" s="8"/>
      <c r="M12" s="101"/>
    </row>
    <row r="13" spans="1:13" s="27" customFormat="1" ht="12.75" customHeight="1">
      <c r="A13" s="5"/>
      <c r="B13" s="577" t="s">
        <v>203</v>
      </c>
      <c r="D13" s="571" t="s">
        <v>202</v>
      </c>
      <c r="F13" s="513"/>
      <c r="G13" s="514"/>
      <c r="H13" s="514"/>
      <c r="I13" s="102"/>
      <c r="J13" s="34"/>
      <c r="K13" s="8"/>
      <c r="M13" s="101"/>
    </row>
    <row r="14" spans="1:13" s="27" customFormat="1" ht="12.75" customHeight="1">
      <c r="A14" s="5"/>
      <c r="B14" s="577"/>
      <c r="D14" s="511"/>
      <c r="F14" s="516"/>
      <c r="G14" s="516"/>
      <c r="H14" s="517"/>
      <c r="I14" s="138"/>
      <c r="J14" s="34"/>
      <c r="K14" s="8"/>
      <c r="M14" s="101"/>
    </row>
    <row r="15" spans="1:13" ht="12.75" customHeight="1">
      <c r="A15" s="40"/>
      <c r="B15" s="577" t="s">
        <v>204</v>
      </c>
      <c r="D15" s="571" t="s">
        <v>205</v>
      </c>
      <c r="F15" s="518"/>
      <c r="G15" s="518"/>
      <c r="H15" s="519"/>
      <c r="I15" s="316"/>
      <c r="J15" s="34"/>
      <c r="K15" s="41"/>
      <c r="M15" s="101"/>
    </row>
    <row r="16" spans="1:13" ht="12.75" customHeight="1">
      <c r="A16" s="40"/>
      <c r="B16" s="577"/>
      <c r="D16" s="511" t="s">
        <v>206</v>
      </c>
      <c r="F16" s="518"/>
      <c r="G16" s="518"/>
      <c r="H16" s="519"/>
      <c r="I16" s="316"/>
      <c r="J16" s="34"/>
      <c r="K16" s="41"/>
      <c r="M16" s="101"/>
    </row>
    <row r="17" spans="1:13" ht="12.75" customHeight="1">
      <c r="A17" s="40"/>
      <c r="B17" s="577"/>
      <c r="D17" s="511" t="s">
        <v>207</v>
      </c>
      <c r="F17" s="518"/>
      <c r="G17" s="518"/>
      <c r="H17" s="519"/>
      <c r="I17" s="316"/>
      <c r="J17" s="34"/>
      <c r="K17" s="41"/>
      <c r="M17" s="101"/>
    </row>
    <row r="18" spans="1:13" ht="12.75" customHeight="1">
      <c r="A18" s="40"/>
      <c r="B18" s="577"/>
      <c r="D18" s="511" t="s">
        <v>208</v>
      </c>
      <c r="F18" s="518"/>
      <c r="G18" s="518"/>
      <c r="H18" s="519"/>
      <c r="I18" s="316"/>
      <c r="J18" s="34"/>
      <c r="K18" s="41"/>
      <c r="M18" s="101"/>
    </row>
    <row r="19" spans="1:13" ht="12.75" customHeight="1">
      <c r="A19" s="40"/>
      <c r="B19" s="577"/>
      <c r="D19" s="511" t="s">
        <v>209</v>
      </c>
      <c r="F19" s="518"/>
      <c r="G19" s="518"/>
      <c r="H19" s="519"/>
      <c r="I19" s="316"/>
      <c r="J19" s="34"/>
      <c r="K19" s="41"/>
      <c r="M19" s="101"/>
    </row>
    <row r="20" spans="1:13" ht="12.75" customHeight="1">
      <c r="A20" s="40"/>
      <c r="B20" s="577"/>
      <c r="D20" s="511" t="s">
        <v>376</v>
      </c>
      <c r="F20" s="518"/>
      <c r="G20" s="518"/>
      <c r="H20" s="519"/>
      <c r="I20" s="316"/>
      <c r="J20" s="34"/>
      <c r="K20" s="41"/>
      <c r="M20" s="101"/>
    </row>
    <row r="21" spans="1:13" ht="12.75" customHeight="1">
      <c r="A21" s="40"/>
      <c r="B21" s="577"/>
      <c r="D21" s="511" t="s">
        <v>210</v>
      </c>
      <c r="F21" s="518"/>
      <c r="G21" s="518"/>
      <c r="H21" s="519"/>
      <c r="I21" s="316"/>
      <c r="J21" s="34"/>
      <c r="K21" s="41"/>
      <c r="M21" s="101"/>
    </row>
    <row r="22" spans="1:13" ht="12.75" customHeight="1">
      <c r="A22" s="40"/>
      <c r="B22" s="577"/>
      <c r="D22" s="511"/>
      <c r="F22" s="518"/>
      <c r="G22" s="518"/>
      <c r="H22" s="519"/>
      <c r="I22" s="316"/>
      <c r="J22" s="34"/>
      <c r="K22" s="41"/>
      <c r="M22" s="101"/>
    </row>
    <row r="23" spans="1:13" ht="12.75" customHeight="1">
      <c r="A23" s="40"/>
      <c r="B23" s="577" t="s">
        <v>211</v>
      </c>
      <c r="D23" s="571" t="s">
        <v>169</v>
      </c>
      <c r="F23" s="518"/>
      <c r="G23" s="518"/>
      <c r="H23" s="519"/>
      <c r="I23" s="316"/>
      <c r="J23" s="34"/>
      <c r="K23" s="41"/>
      <c r="M23" s="101"/>
    </row>
    <row r="24" spans="1:13" ht="12.75" customHeight="1">
      <c r="A24" s="40"/>
      <c r="B24" s="577"/>
      <c r="D24" s="511"/>
      <c r="F24" s="518"/>
      <c r="G24" s="518"/>
      <c r="H24" s="519"/>
      <c r="I24" s="316"/>
      <c r="J24" s="34"/>
      <c r="K24" s="41"/>
      <c r="M24" s="101"/>
    </row>
    <row r="25" spans="1:13" ht="12.75" customHeight="1">
      <c r="A25" s="40"/>
      <c r="B25" s="577" t="s">
        <v>212</v>
      </c>
      <c r="D25" s="571" t="s">
        <v>169</v>
      </c>
      <c r="F25" s="520"/>
      <c r="G25" s="518"/>
      <c r="H25" s="519"/>
      <c r="I25" s="316"/>
      <c r="J25" s="34"/>
      <c r="K25" s="41"/>
      <c r="M25" s="101"/>
    </row>
    <row r="26" spans="1:13" ht="12.75" customHeight="1">
      <c r="A26" s="40"/>
      <c r="B26" s="577"/>
      <c r="D26" s="511"/>
      <c r="F26" s="520"/>
      <c r="G26" s="518"/>
      <c r="H26" s="519"/>
      <c r="I26" s="316"/>
      <c r="J26" s="34"/>
      <c r="K26" s="41"/>
      <c r="M26" s="101"/>
    </row>
    <row r="27" spans="1:13" ht="12.75" customHeight="1">
      <c r="A27" s="40"/>
      <c r="B27" s="577" t="s">
        <v>213</v>
      </c>
      <c r="D27" s="571" t="s">
        <v>169</v>
      </c>
      <c r="F27" s="521"/>
      <c r="G27" s="522"/>
      <c r="H27" s="519"/>
      <c r="I27" s="316"/>
      <c r="J27" s="34"/>
      <c r="K27" s="41"/>
      <c r="M27" s="101"/>
    </row>
    <row r="28" spans="1:13" ht="12.75" customHeight="1">
      <c r="A28" s="40"/>
      <c r="B28" s="577"/>
      <c r="D28" s="511" t="s">
        <v>301</v>
      </c>
      <c r="F28" s="523"/>
      <c r="G28" s="524"/>
      <c r="H28" s="519"/>
      <c r="I28" s="316"/>
      <c r="J28" s="34"/>
      <c r="K28" s="41"/>
      <c r="M28" s="101"/>
    </row>
    <row r="29" spans="1:13" ht="12.75" customHeight="1">
      <c r="A29" s="40"/>
      <c r="B29" s="511"/>
      <c r="D29" s="511" t="s">
        <v>214</v>
      </c>
      <c r="F29" s="520"/>
      <c r="G29" s="518"/>
      <c r="H29" s="519"/>
      <c r="I29" s="316"/>
      <c r="J29" s="34"/>
      <c r="K29" s="41"/>
      <c r="M29" s="101"/>
    </row>
    <row r="30" spans="1:13" ht="12.75" customHeight="1">
      <c r="A30" s="40"/>
      <c r="B30" s="577"/>
      <c r="D30" s="511" t="s">
        <v>215</v>
      </c>
      <c r="F30" s="518"/>
      <c r="G30" s="518"/>
      <c r="H30" s="519"/>
      <c r="I30" s="258"/>
      <c r="J30" s="34"/>
      <c r="K30" s="41"/>
      <c r="M30" s="101"/>
    </row>
    <row r="31" spans="1:13" ht="12.75" customHeight="1">
      <c r="A31" s="40"/>
      <c r="B31" s="577"/>
      <c r="D31" s="511" t="s">
        <v>209</v>
      </c>
      <c r="F31" s="525"/>
      <c r="G31" s="526"/>
      <c r="H31" s="525"/>
      <c r="I31" s="148"/>
      <c r="J31" s="34"/>
      <c r="K31" s="41"/>
      <c r="M31" s="101"/>
    </row>
    <row r="32" spans="1:13" ht="12.75" customHeight="1">
      <c r="A32" s="40"/>
      <c r="B32" s="577"/>
      <c r="D32" s="511" t="s">
        <v>216</v>
      </c>
      <c r="F32" s="527"/>
      <c r="G32" s="527"/>
      <c r="H32" s="527"/>
      <c r="I32" s="527"/>
      <c r="J32" s="34"/>
      <c r="K32" s="41"/>
      <c r="M32" s="101"/>
    </row>
    <row r="33" spans="1:13" ht="12.75" customHeight="1">
      <c r="A33" s="40"/>
      <c r="B33" s="577"/>
      <c r="D33" s="511" t="s">
        <v>217</v>
      </c>
      <c r="F33" s="527"/>
      <c r="G33" s="527"/>
      <c r="H33" s="527"/>
      <c r="I33" s="527"/>
      <c r="J33" s="34"/>
      <c r="K33" s="41"/>
      <c r="M33" s="101"/>
    </row>
    <row r="34" spans="1:13" ht="12.75" customHeight="1">
      <c r="A34" s="40"/>
      <c r="B34" s="577"/>
      <c r="D34" s="511"/>
      <c r="F34" s="527"/>
      <c r="G34" s="527"/>
      <c r="H34" s="527"/>
      <c r="I34" s="527"/>
      <c r="J34" s="34"/>
      <c r="K34" s="41"/>
      <c r="M34" s="101"/>
    </row>
    <row r="35" spans="1:13" ht="12.75" customHeight="1">
      <c r="A35" s="40"/>
      <c r="B35" s="577" t="s">
        <v>377</v>
      </c>
      <c r="D35" s="571" t="s">
        <v>218</v>
      </c>
      <c r="F35" s="527"/>
      <c r="G35" s="527"/>
      <c r="H35" s="527"/>
      <c r="I35" s="527"/>
      <c r="J35" s="34"/>
      <c r="K35" s="41"/>
      <c r="M35" s="101"/>
    </row>
    <row r="36" spans="1:13" ht="12.75" customHeight="1">
      <c r="A36" s="40"/>
      <c r="B36" s="577"/>
      <c r="D36" s="511" t="s">
        <v>207</v>
      </c>
      <c r="F36" s="529"/>
      <c r="G36" s="529"/>
      <c r="H36" s="529"/>
      <c r="I36" s="102"/>
      <c r="J36" s="102"/>
      <c r="K36" s="41"/>
    </row>
    <row r="37" spans="1:13" ht="12.75" customHeight="1">
      <c r="A37" s="40"/>
      <c r="B37" s="34"/>
      <c r="D37" s="511" t="s">
        <v>208</v>
      </c>
      <c r="F37" s="529"/>
      <c r="G37" s="529"/>
      <c r="H37" s="529"/>
      <c r="I37" s="102"/>
      <c r="J37" s="34"/>
      <c r="K37" s="41"/>
    </row>
    <row r="38" spans="1:13" ht="12.75" customHeight="1">
      <c r="A38" s="40"/>
      <c r="B38" s="577"/>
      <c r="D38" s="511" t="s">
        <v>209</v>
      </c>
      <c r="F38" s="530"/>
      <c r="G38" s="530"/>
      <c r="H38" s="530"/>
      <c r="I38" s="34"/>
      <c r="J38" s="34"/>
      <c r="K38" s="41"/>
    </row>
    <row r="39" spans="1:13" ht="12.75" customHeight="1">
      <c r="A39" s="40"/>
      <c r="B39" s="577"/>
      <c r="D39" s="511" t="s">
        <v>376</v>
      </c>
      <c r="F39" s="530"/>
      <c r="G39" s="530"/>
      <c r="H39" s="530"/>
      <c r="I39" s="34"/>
      <c r="J39" s="34"/>
      <c r="K39" s="41"/>
    </row>
    <row r="40" spans="1:13" ht="12.75" customHeight="1">
      <c r="A40" s="40"/>
      <c r="B40" s="577"/>
      <c r="D40" s="511" t="s">
        <v>210</v>
      </c>
      <c r="F40" s="515"/>
      <c r="G40" s="515"/>
      <c r="H40" s="515"/>
      <c r="I40" s="102"/>
      <c r="J40" s="34"/>
      <c r="K40" s="41"/>
      <c r="L40" s="34"/>
    </row>
    <row r="41" spans="1:13" s="34" customFormat="1" ht="12.75" customHeight="1">
      <c r="A41" s="60"/>
      <c r="B41" s="167"/>
      <c r="C41" s="168"/>
      <c r="D41" s="169"/>
      <c r="E41" s="170"/>
      <c r="F41" s="171"/>
      <c r="G41" s="172"/>
      <c r="H41" s="171"/>
      <c r="I41" s="126"/>
      <c r="J41" s="61"/>
      <c r="K41" s="79"/>
    </row>
    <row r="42" spans="1:13" s="34" customFormat="1"/>
    <row r="43" spans="1:13" s="34" customFormat="1">
      <c r="B43" s="139"/>
      <c r="C43" s="140"/>
      <c r="D43" s="156"/>
      <c r="E43" s="157"/>
      <c r="F43" s="141"/>
      <c r="G43" s="158"/>
      <c r="H43" s="141"/>
      <c r="I43" s="102"/>
    </row>
    <row r="44" spans="1:13" s="34" customFormat="1">
      <c r="B44" s="139"/>
      <c r="C44" s="140"/>
      <c r="D44" s="156"/>
      <c r="E44" s="157"/>
      <c r="F44" s="141"/>
      <c r="G44" s="158"/>
      <c r="H44" s="141"/>
      <c r="I44" s="102"/>
    </row>
    <row r="45" spans="1:13" s="34" customFormat="1">
      <c r="B45" s="139"/>
      <c r="C45" s="140"/>
      <c r="D45" s="156"/>
      <c r="E45" s="157"/>
      <c r="F45" s="141"/>
      <c r="G45" s="158"/>
      <c r="H45" s="141"/>
      <c r="I45" s="102"/>
    </row>
    <row r="46" spans="1:13" s="34" customFormat="1" ht="15">
      <c r="B46" s="139"/>
      <c r="C46" s="722"/>
      <c r="D46" s="156"/>
      <c r="E46" s="157"/>
      <c r="F46" s="141"/>
      <c r="G46" s="158"/>
      <c r="H46" s="141"/>
      <c r="I46" s="102"/>
    </row>
    <row r="47" spans="1:13" s="34" customFormat="1" ht="15">
      <c r="B47" s="139"/>
      <c r="C47" s="722"/>
      <c r="D47" s="156"/>
      <c r="E47" s="157"/>
      <c r="F47" s="141"/>
      <c r="G47" s="158"/>
      <c r="H47" s="141"/>
      <c r="I47" s="102"/>
    </row>
    <row r="48" spans="1:13" s="34" customFormat="1" ht="15">
      <c r="B48" s="139"/>
      <c r="C48" s="723"/>
      <c r="D48" s="156"/>
      <c r="E48" s="157"/>
      <c r="F48" s="141"/>
      <c r="G48" s="158"/>
      <c r="H48" s="141"/>
      <c r="I48" s="102"/>
    </row>
    <row r="49" spans="2:9" s="34" customFormat="1" ht="15">
      <c r="B49" s="139"/>
      <c r="C49" s="723"/>
      <c r="D49" s="156"/>
      <c r="E49" s="157"/>
      <c r="F49" s="141"/>
      <c r="G49" s="158"/>
      <c r="H49" s="141"/>
      <c r="I49" s="102"/>
    </row>
    <row r="50" spans="2:9" s="34" customFormat="1" ht="15">
      <c r="B50" s="139"/>
      <c r="C50" s="723"/>
      <c r="D50" s="156"/>
      <c r="E50" s="157"/>
      <c r="F50" s="141"/>
      <c r="G50" s="158"/>
      <c r="H50" s="141"/>
      <c r="I50" s="102"/>
    </row>
    <row r="51" spans="2:9" s="34" customFormat="1" ht="15">
      <c r="B51" s="139"/>
      <c r="C51" s="723"/>
      <c r="D51" s="156"/>
      <c r="E51" s="157"/>
      <c r="F51" s="141"/>
      <c r="G51" s="158"/>
      <c r="H51" s="141"/>
      <c r="I51" s="102"/>
    </row>
    <row r="52" spans="2:9" s="34" customFormat="1" ht="15">
      <c r="B52" s="139"/>
      <c r="C52" s="723"/>
      <c r="D52" s="156"/>
      <c r="E52" s="157"/>
      <c r="F52" s="141"/>
      <c r="G52" s="158"/>
      <c r="H52" s="141"/>
      <c r="I52" s="102"/>
    </row>
    <row r="53" spans="2:9" s="34" customFormat="1" ht="15">
      <c r="B53" s="139"/>
      <c r="C53" s="723"/>
      <c r="D53" s="156"/>
      <c r="E53" s="157"/>
      <c r="F53" s="141"/>
      <c r="G53" s="158"/>
      <c r="H53" s="141"/>
      <c r="I53" s="102"/>
    </row>
    <row r="54" spans="2:9" s="34" customFormat="1">
      <c r="B54" s="139"/>
      <c r="C54" s="140"/>
      <c r="D54" s="156"/>
      <c r="E54" s="157"/>
      <c r="F54" s="141"/>
      <c r="G54" s="158"/>
      <c r="H54" s="141"/>
      <c r="I54" s="102"/>
    </row>
    <row r="55" spans="2:9" s="34" customFormat="1">
      <c r="B55" s="139"/>
      <c r="C55" s="140"/>
      <c r="D55" s="156"/>
      <c r="E55" s="157"/>
      <c r="F55" s="141"/>
      <c r="G55" s="158"/>
      <c r="H55" s="141"/>
      <c r="I55" s="102"/>
    </row>
    <row r="56" spans="2:9" s="34" customFormat="1">
      <c r="B56" s="139"/>
      <c r="C56" s="140"/>
      <c r="D56" s="156"/>
      <c r="E56" s="157"/>
      <c r="F56" s="141"/>
      <c r="G56" s="158"/>
      <c r="H56" s="141"/>
      <c r="I56" s="102"/>
    </row>
    <row r="57" spans="2:9" s="34" customFormat="1">
      <c r="B57" s="139"/>
      <c r="C57" s="140"/>
      <c r="D57" s="156"/>
      <c r="E57" s="157"/>
      <c r="F57" s="141"/>
      <c r="G57" s="158"/>
      <c r="H57" s="141"/>
      <c r="I57" s="102"/>
    </row>
    <row r="58" spans="2:9" s="34" customFormat="1">
      <c r="B58" s="139"/>
      <c r="C58" s="140"/>
      <c r="D58" s="156"/>
      <c r="E58" s="157"/>
      <c r="F58" s="141"/>
      <c r="G58" s="158"/>
      <c r="H58" s="141"/>
      <c r="I58" s="102"/>
    </row>
    <row r="59" spans="2:9" s="34" customFormat="1">
      <c r="B59" s="139"/>
      <c r="C59" s="140"/>
      <c r="D59" s="156"/>
      <c r="E59" s="157"/>
      <c r="F59" s="141"/>
      <c r="G59" s="158"/>
      <c r="H59" s="141"/>
      <c r="I59" s="102"/>
    </row>
    <row r="60" spans="2:9" s="34" customFormat="1">
      <c r="B60" s="139"/>
      <c r="C60" s="140"/>
      <c r="D60" s="156"/>
      <c r="E60" s="157"/>
      <c r="F60" s="141"/>
      <c r="G60" s="158"/>
      <c r="H60" s="141"/>
      <c r="I60" s="102"/>
    </row>
    <row r="61" spans="2:9" s="34" customFormat="1">
      <c r="B61" s="139"/>
      <c r="C61" s="140"/>
      <c r="D61" s="156"/>
      <c r="E61" s="157"/>
      <c r="F61" s="141"/>
      <c r="G61" s="158"/>
      <c r="H61" s="141"/>
      <c r="I61" s="102"/>
    </row>
    <row r="62" spans="2:9" s="34" customFormat="1">
      <c r="B62" s="139"/>
      <c r="C62" s="140"/>
      <c r="D62" s="156"/>
      <c r="E62" s="157"/>
      <c r="F62" s="141"/>
      <c r="G62" s="158"/>
      <c r="H62" s="141"/>
      <c r="I62" s="102"/>
    </row>
    <row r="63" spans="2:9" s="34" customFormat="1">
      <c r="B63" s="139"/>
      <c r="C63" s="140"/>
      <c r="D63" s="156"/>
      <c r="E63" s="157"/>
      <c r="F63" s="141"/>
      <c r="G63" s="158"/>
      <c r="H63" s="141"/>
      <c r="I63" s="102"/>
    </row>
    <row r="64" spans="2:9" s="34" customFormat="1">
      <c r="B64" s="139"/>
      <c r="C64" s="140"/>
      <c r="D64" s="156"/>
      <c r="E64" s="157"/>
      <c r="F64" s="141"/>
      <c r="G64" s="158"/>
      <c r="H64" s="141"/>
      <c r="I64" s="102"/>
    </row>
    <row r="65" spans="2:9" s="34" customFormat="1">
      <c r="B65" s="139"/>
      <c r="C65" s="140"/>
      <c r="D65" s="156"/>
      <c r="E65" s="157"/>
      <c r="F65" s="141"/>
      <c r="G65" s="158"/>
      <c r="H65" s="141"/>
      <c r="I65" s="102"/>
    </row>
    <row r="66" spans="2:9" s="34" customFormat="1">
      <c r="B66" s="139"/>
      <c r="C66" s="140"/>
      <c r="D66" s="156"/>
      <c r="E66" s="157"/>
      <c r="F66" s="141"/>
      <c r="G66" s="158"/>
      <c r="H66" s="141"/>
      <c r="I66" s="102"/>
    </row>
    <row r="67" spans="2:9" s="34" customFormat="1">
      <c r="B67" s="139"/>
      <c r="C67" s="140"/>
      <c r="D67" s="156"/>
      <c r="E67" s="157"/>
      <c r="F67" s="141"/>
      <c r="G67" s="158"/>
      <c r="H67" s="141"/>
      <c r="I67" s="102"/>
    </row>
    <row r="68" spans="2:9" s="34" customFormat="1">
      <c r="B68" s="139"/>
      <c r="C68" s="140"/>
      <c r="D68" s="156"/>
      <c r="E68" s="157"/>
      <c r="F68" s="141"/>
      <c r="G68" s="158"/>
      <c r="H68" s="141"/>
      <c r="I68" s="102"/>
    </row>
    <row r="69" spans="2:9" s="34" customFormat="1">
      <c r="B69" s="139"/>
      <c r="C69" s="140"/>
      <c r="D69" s="142"/>
      <c r="E69" s="134"/>
      <c r="F69" s="143"/>
      <c r="G69" s="144"/>
      <c r="H69" s="143"/>
      <c r="I69" s="102"/>
    </row>
    <row r="70" spans="2:9" s="34" customFormat="1">
      <c r="B70" s="139"/>
      <c r="C70" s="140"/>
      <c r="D70" s="142"/>
      <c r="E70" s="142"/>
      <c r="F70" s="142"/>
      <c r="G70" s="142"/>
      <c r="H70" s="142"/>
      <c r="I70" s="102"/>
    </row>
    <row r="71" spans="2:9" s="34" customFormat="1">
      <c r="B71" s="139"/>
      <c r="C71" s="140"/>
      <c r="D71" s="142"/>
      <c r="E71" s="142"/>
      <c r="F71" s="142"/>
      <c r="G71" s="142"/>
      <c r="H71" s="142"/>
      <c r="I71" s="102"/>
    </row>
    <row r="72" spans="2:9" s="34" customFormat="1">
      <c r="B72" s="139"/>
      <c r="C72" s="140"/>
      <c r="D72" s="145"/>
      <c r="E72" s="146"/>
      <c r="F72" s="142"/>
      <c r="G72" s="142"/>
      <c r="H72" s="142"/>
      <c r="I72" s="102"/>
    </row>
    <row r="73" spans="2:9" s="34" customFormat="1">
      <c r="B73" s="139"/>
      <c r="C73" s="140"/>
      <c r="D73" s="134"/>
      <c r="E73" s="146"/>
      <c r="F73" s="142"/>
      <c r="G73" s="142"/>
      <c r="H73" s="142"/>
      <c r="I73" s="102"/>
    </row>
    <row r="74" spans="2:9" s="34" customFormat="1">
      <c r="B74" s="139"/>
      <c r="C74" s="140"/>
      <c r="D74" s="142"/>
      <c r="E74" s="146"/>
      <c r="F74" s="142"/>
      <c r="G74" s="142"/>
      <c r="H74" s="142"/>
      <c r="I74" s="102"/>
    </row>
    <row r="75" spans="2:9" s="34" customFormat="1" ht="14.25">
      <c r="B75" s="142"/>
      <c r="C75" s="134"/>
      <c r="D75" s="150"/>
      <c r="E75" s="150"/>
      <c r="F75" s="150"/>
      <c r="G75" s="150"/>
      <c r="H75" s="150"/>
      <c r="I75" s="102"/>
    </row>
    <row r="76" spans="2:9" s="34" customFormat="1" ht="14.25">
      <c r="B76" s="173"/>
      <c r="C76" s="173"/>
      <c r="D76" s="150"/>
      <c r="E76" s="150"/>
      <c r="F76" s="150"/>
      <c r="G76" s="150"/>
      <c r="H76" s="150"/>
      <c r="I76" s="102"/>
    </row>
    <row r="77" spans="2:9" s="34" customFormat="1" ht="14.25">
      <c r="B77" s="173"/>
      <c r="C77" s="173"/>
      <c r="D77" s="151"/>
      <c r="E77" s="152"/>
      <c r="F77" s="150"/>
      <c r="G77" s="150"/>
      <c r="H77" s="150"/>
      <c r="I77" s="102"/>
    </row>
    <row r="78" spans="2:9" s="34" customFormat="1" ht="14.25">
      <c r="B78" s="145"/>
      <c r="C78" s="146"/>
      <c r="D78" s="153"/>
      <c r="E78" s="152"/>
      <c r="F78" s="150"/>
      <c r="G78" s="150"/>
      <c r="H78" s="150"/>
      <c r="I78" s="102"/>
    </row>
    <row r="79" spans="2:9" s="34" customFormat="1" ht="14.25">
      <c r="B79" s="147"/>
      <c r="C79" s="146"/>
      <c r="D79" s="150"/>
      <c r="E79" s="152"/>
      <c r="F79" s="150"/>
      <c r="G79" s="150"/>
      <c r="H79" s="150"/>
      <c r="I79" s="102"/>
    </row>
    <row r="80" spans="2:9" s="34" customFormat="1">
      <c r="B80" s="148"/>
      <c r="C80" s="146"/>
      <c r="D80" s="148"/>
      <c r="E80" s="148"/>
      <c r="F80" s="148"/>
      <c r="I80" s="102"/>
    </row>
    <row r="81" spans="9:9" s="34" customFormat="1">
      <c r="I81" s="102"/>
    </row>
    <row r="82" spans="9:9" s="34" customFormat="1">
      <c r="I82" s="102"/>
    </row>
    <row r="83" spans="9:9" s="34" customFormat="1">
      <c r="I83" s="102"/>
    </row>
    <row r="84" spans="9:9" s="34" customFormat="1">
      <c r="I84" s="102"/>
    </row>
    <row r="85" spans="9:9" s="34" customFormat="1">
      <c r="I85" s="102"/>
    </row>
    <row r="86" spans="9:9" s="34" customFormat="1">
      <c r="I86" s="102"/>
    </row>
    <row r="87" spans="9:9" s="34" customFormat="1">
      <c r="I87" s="102"/>
    </row>
    <row r="88" spans="9:9" s="34" customFormat="1">
      <c r="I88" s="102"/>
    </row>
    <row r="89" spans="9:9" s="34" customFormat="1">
      <c r="I89" s="102"/>
    </row>
    <row r="90" spans="9:9" s="34" customFormat="1">
      <c r="I90" s="102"/>
    </row>
    <row r="91" spans="9:9" s="34" customFormat="1">
      <c r="I91" s="102"/>
    </row>
    <row r="92" spans="9:9" s="34" customFormat="1">
      <c r="I92" s="102"/>
    </row>
    <row r="93" spans="9:9" s="34" customFormat="1">
      <c r="I93" s="102"/>
    </row>
    <row r="94" spans="9:9" s="34" customFormat="1">
      <c r="I94" s="102"/>
    </row>
    <row r="95" spans="9:9" s="34" customFormat="1">
      <c r="I95" s="102"/>
    </row>
    <row r="96" spans="9:9" s="34" customFormat="1">
      <c r="I96" s="102"/>
    </row>
    <row r="97" spans="9:9" s="34" customFormat="1">
      <c r="I97" s="102"/>
    </row>
    <row r="98" spans="9:9" s="34" customFormat="1">
      <c r="I98" s="102"/>
    </row>
    <row r="99" spans="9:9" s="34" customFormat="1">
      <c r="I99" s="102"/>
    </row>
    <row r="100" spans="9:9" s="34" customFormat="1">
      <c r="I100" s="102"/>
    </row>
    <row r="101" spans="9:9" s="34" customFormat="1">
      <c r="I101" s="102"/>
    </row>
    <row r="102" spans="9:9" s="34" customFormat="1">
      <c r="I102" s="102"/>
    </row>
    <row r="103" spans="9:9" s="34" customFormat="1">
      <c r="I103" s="102"/>
    </row>
    <row r="104" spans="9:9" s="34" customFormat="1">
      <c r="I104" s="102"/>
    </row>
    <row r="105" spans="9:9" s="34" customFormat="1">
      <c r="I105" s="102"/>
    </row>
    <row r="106" spans="9:9" s="34" customFormat="1">
      <c r="I106" s="102"/>
    </row>
    <row r="107" spans="9:9" s="34" customFormat="1">
      <c r="I107" s="102"/>
    </row>
    <row r="108" spans="9:9" s="34" customFormat="1">
      <c r="I108" s="102"/>
    </row>
    <row r="109" spans="9:9" s="34" customFormat="1">
      <c r="I109" s="102"/>
    </row>
    <row r="110" spans="9:9" s="34" customFormat="1">
      <c r="I110" s="102"/>
    </row>
    <row r="111" spans="9:9" s="34" customFormat="1">
      <c r="I111" s="102"/>
    </row>
    <row r="112" spans="9:9" s="34" customFormat="1">
      <c r="I112" s="102"/>
    </row>
    <row r="113" spans="9:9" s="34" customFormat="1">
      <c r="I113" s="102"/>
    </row>
    <row r="114" spans="9:9" s="34" customFormat="1">
      <c r="I114" s="102"/>
    </row>
    <row r="115" spans="9:9" s="34" customFormat="1">
      <c r="I115" s="102"/>
    </row>
    <row r="116" spans="9:9" s="34" customFormat="1">
      <c r="I116" s="102"/>
    </row>
    <row r="117" spans="9:9" s="34" customFormat="1">
      <c r="I117" s="102"/>
    </row>
    <row r="118" spans="9:9" s="34" customFormat="1">
      <c r="I118" s="102"/>
    </row>
    <row r="119" spans="9:9" s="34" customFormat="1">
      <c r="I119" s="102"/>
    </row>
    <row r="120" spans="9:9" s="34" customFormat="1">
      <c r="I120" s="102"/>
    </row>
    <row r="121" spans="9:9" s="34" customFormat="1">
      <c r="I121" s="102"/>
    </row>
    <row r="122" spans="9:9" s="34" customFormat="1">
      <c r="I122" s="102"/>
    </row>
    <row r="123" spans="9:9" s="34" customFormat="1">
      <c r="I123" s="102"/>
    </row>
    <row r="124" spans="9:9" s="34" customFormat="1">
      <c r="I124" s="102"/>
    </row>
    <row r="125" spans="9:9" s="34" customFormat="1">
      <c r="I125" s="102"/>
    </row>
    <row r="126" spans="9:9" s="34" customFormat="1">
      <c r="I126" s="102"/>
    </row>
    <row r="127" spans="9:9" s="34" customFormat="1">
      <c r="I127" s="102"/>
    </row>
    <row r="128" spans="9:9" s="34" customFormat="1">
      <c r="I128" s="102"/>
    </row>
    <row r="129" spans="9:9" s="34" customFormat="1">
      <c r="I129" s="102"/>
    </row>
    <row r="130" spans="9:9" s="34" customFormat="1">
      <c r="I130" s="102"/>
    </row>
    <row r="131" spans="9:9" s="34" customFormat="1">
      <c r="I131" s="102"/>
    </row>
    <row r="132" spans="9:9" s="34" customFormat="1">
      <c r="I132" s="102"/>
    </row>
    <row r="133" spans="9:9" s="34" customFormat="1">
      <c r="I133" s="102"/>
    </row>
    <row r="134" spans="9:9" s="34" customFormat="1">
      <c r="I134" s="102"/>
    </row>
    <row r="135" spans="9:9" s="34" customFormat="1">
      <c r="I135" s="102"/>
    </row>
    <row r="136" spans="9:9" s="34" customFormat="1">
      <c r="I136" s="102"/>
    </row>
    <row r="137" spans="9:9" s="34" customFormat="1">
      <c r="I137" s="102"/>
    </row>
    <row r="138" spans="9:9" s="34" customFormat="1">
      <c r="I138" s="102"/>
    </row>
    <row r="139" spans="9:9" s="34" customFormat="1">
      <c r="I139" s="102"/>
    </row>
    <row r="140" spans="9:9" s="34" customFormat="1">
      <c r="I140" s="102"/>
    </row>
    <row r="141" spans="9:9" s="34" customFormat="1">
      <c r="I141" s="102"/>
    </row>
    <row r="142" spans="9:9" s="34" customFormat="1">
      <c r="I142" s="102"/>
    </row>
    <row r="143" spans="9:9" s="34" customFormat="1">
      <c r="I143" s="102"/>
    </row>
    <row r="144" spans="9:9" s="34" customFormat="1">
      <c r="I144" s="102"/>
    </row>
    <row r="145" spans="9:9" s="34" customFormat="1">
      <c r="I145" s="102"/>
    </row>
    <row r="146" spans="9:9" s="34" customFormat="1">
      <c r="I146" s="102"/>
    </row>
    <row r="147" spans="9:9" s="34" customFormat="1">
      <c r="I147" s="102"/>
    </row>
    <row r="148" spans="9:9" s="34" customFormat="1">
      <c r="I148" s="102"/>
    </row>
    <row r="149" spans="9:9" s="34" customFormat="1">
      <c r="I149" s="102"/>
    </row>
    <row r="150" spans="9:9" s="34" customFormat="1">
      <c r="I150" s="102"/>
    </row>
    <row r="151" spans="9:9" s="34" customFormat="1">
      <c r="I151" s="102"/>
    </row>
    <row r="152" spans="9:9" s="34" customFormat="1">
      <c r="I152" s="102"/>
    </row>
    <row r="153" spans="9:9" s="34" customFormat="1">
      <c r="I153" s="102"/>
    </row>
    <row r="154" spans="9:9" s="34" customFormat="1">
      <c r="I154" s="102"/>
    </row>
    <row r="155" spans="9:9" s="34" customFormat="1">
      <c r="I155" s="102"/>
    </row>
    <row r="156" spans="9:9" s="34" customFormat="1">
      <c r="I156" s="102"/>
    </row>
    <row r="157" spans="9:9" s="34" customFormat="1">
      <c r="I157" s="102"/>
    </row>
    <row r="158" spans="9:9" s="34" customFormat="1">
      <c r="I158" s="102"/>
    </row>
    <row r="159" spans="9:9" s="34" customFormat="1">
      <c r="I159" s="102"/>
    </row>
    <row r="160" spans="9:9" s="34" customFormat="1">
      <c r="I160" s="102"/>
    </row>
    <row r="161" spans="9:9" s="34" customFormat="1">
      <c r="I161" s="102"/>
    </row>
    <row r="162" spans="9:9" s="34" customFormat="1">
      <c r="I162" s="102"/>
    </row>
    <row r="163" spans="9:9" s="34" customFormat="1">
      <c r="I163" s="102"/>
    </row>
    <row r="164" spans="9:9" s="34" customFormat="1">
      <c r="I164" s="102"/>
    </row>
    <row r="165" spans="9:9" s="34" customFormat="1">
      <c r="I165" s="102"/>
    </row>
    <row r="166" spans="9:9" s="34" customFormat="1">
      <c r="I166" s="102"/>
    </row>
    <row r="167" spans="9:9" s="34" customFormat="1">
      <c r="I167" s="102"/>
    </row>
    <row r="168" spans="9:9" s="34" customFormat="1">
      <c r="I168" s="102"/>
    </row>
    <row r="169" spans="9:9" s="34" customFormat="1">
      <c r="I169" s="102"/>
    </row>
    <row r="170" spans="9:9" s="34" customFormat="1">
      <c r="I170" s="102"/>
    </row>
    <row r="171" spans="9:9" s="34" customFormat="1">
      <c r="I171" s="102"/>
    </row>
    <row r="172" spans="9:9" s="34" customFormat="1">
      <c r="I172" s="102"/>
    </row>
    <row r="173" spans="9:9" s="34" customFormat="1">
      <c r="I173" s="102"/>
    </row>
    <row r="174" spans="9:9" s="34" customFormat="1">
      <c r="I174" s="102"/>
    </row>
    <row r="175" spans="9:9" s="34" customFormat="1">
      <c r="I175" s="102"/>
    </row>
    <row r="176" spans="9:9" s="34" customFormat="1">
      <c r="I176" s="102"/>
    </row>
    <row r="177" spans="9:9" s="34" customFormat="1">
      <c r="I177" s="102"/>
    </row>
    <row r="178" spans="9:9" s="34" customFormat="1">
      <c r="I178" s="102"/>
    </row>
    <row r="179" spans="9:9" s="34" customFormat="1">
      <c r="I179" s="102"/>
    </row>
    <row r="180" spans="9:9" s="34" customFormat="1">
      <c r="I180" s="102"/>
    </row>
    <row r="181" spans="9:9" s="34" customFormat="1">
      <c r="I181" s="102"/>
    </row>
    <row r="182" spans="9:9" s="34" customFormat="1">
      <c r="I182" s="102"/>
    </row>
    <row r="183" spans="9:9" s="34" customFormat="1">
      <c r="I183" s="102"/>
    </row>
    <row r="184" spans="9:9" s="34" customFormat="1">
      <c r="I184" s="102"/>
    </row>
    <row r="185" spans="9:9" s="34" customFormat="1">
      <c r="I185" s="102"/>
    </row>
    <row r="186" spans="9:9" s="34" customFormat="1">
      <c r="I186" s="102"/>
    </row>
    <row r="187" spans="9:9" s="34" customFormat="1">
      <c r="I187" s="102"/>
    </row>
    <row r="188" spans="9:9" s="34" customFormat="1">
      <c r="I188" s="102"/>
    </row>
    <row r="189" spans="9:9" s="34" customFormat="1">
      <c r="I189" s="102"/>
    </row>
    <row r="190" spans="9:9" s="34" customFormat="1">
      <c r="I190" s="102"/>
    </row>
    <row r="191" spans="9:9" s="34" customFormat="1">
      <c r="I191" s="102"/>
    </row>
    <row r="192" spans="9:9" s="34" customFormat="1">
      <c r="I192" s="102"/>
    </row>
    <row r="193" spans="9:9" s="34" customFormat="1">
      <c r="I193" s="102"/>
    </row>
    <row r="194" spans="9:9" s="34" customFormat="1">
      <c r="I194" s="102"/>
    </row>
    <row r="195" spans="9:9" s="34" customFormat="1">
      <c r="I195" s="102"/>
    </row>
    <row r="196" spans="9:9" s="34" customFormat="1">
      <c r="I196" s="102"/>
    </row>
    <row r="197" spans="9:9" s="34" customFormat="1">
      <c r="I197" s="102"/>
    </row>
    <row r="198" spans="9:9" s="34" customFormat="1">
      <c r="I198" s="102"/>
    </row>
    <row r="199" spans="9:9" s="34" customFormat="1">
      <c r="I199" s="102"/>
    </row>
    <row r="200" spans="9:9" s="34" customFormat="1">
      <c r="I200" s="102"/>
    </row>
    <row r="201" spans="9:9" s="34" customFormat="1">
      <c r="I201" s="102"/>
    </row>
    <row r="202" spans="9:9" s="34" customFormat="1">
      <c r="I202" s="102"/>
    </row>
    <row r="203" spans="9:9" s="34" customFormat="1">
      <c r="I203" s="102"/>
    </row>
    <row r="204" spans="9:9" s="34" customFormat="1">
      <c r="I204" s="102"/>
    </row>
    <row r="205" spans="9:9" s="34" customFormat="1">
      <c r="I205" s="102"/>
    </row>
    <row r="206" spans="9:9" s="34" customFormat="1">
      <c r="I206" s="102"/>
    </row>
    <row r="207" spans="9:9" s="34" customFormat="1">
      <c r="I207" s="102"/>
    </row>
    <row r="208" spans="9:9" s="34" customFormat="1">
      <c r="I208" s="102"/>
    </row>
    <row r="209" spans="9:9" s="34" customFormat="1">
      <c r="I209" s="102"/>
    </row>
    <row r="210" spans="9:9" s="34" customFormat="1">
      <c r="I210" s="102"/>
    </row>
    <row r="211" spans="9:9" s="34" customFormat="1">
      <c r="I211" s="102"/>
    </row>
    <row r="212" spans="9:9" s="34" customFormat="1">
      <c r="I212" s="102"/>
    </row>
    <row r="213" spans="9:9" s="34" customFormat="1">
      <c r="I213" s="102"/>
    </row>
    <row r="214" spans="9:9" s="34" customFormat="1">
      <c r="I214" s="102"/>
    </row>
    <row r="215" spans="9:9" s="34" customFormat="1">
      <c r="I215" s="102"/>
    </row>
    <row r="216" spans="9:9" s="34" customFormat="1">
      <c r="I216" s="102"/>
    </row>
    <row r="217" spans="9:9" s="34" customFormat="1">
      <c r="I217" s="102"/>
    </row>
    <row r="218" spans="9:9" s="34" customFormat="1">
      <c r="I218" s="102"/>
    </row>
    <row r="219" spans="9:9" s="34" customFormat="1">
      <c r="I219" s="102"/>
    </row>
    <row r="220" spans="9:9" s="34" customFormat="1">
      <c r="I220" s="102"/>
    </row>
    <row r="221" spans="9:9" s="34" customFormat="1">
      <c r="I221" s="102"/>
    </row>
    <row r="222" spans="9:9" s="34" customFormat="1">
      <c r="I222" s="102"/>
    </row>
    <row r="223" spans="9:9" s="34" customFormat="1">
      <c r="I223" s="102"/>
    </row>
    <row r="224" spans="9:9" s="34" customFormat="1">
      <c r="I224" s="102"/>
    </row>
    <row r="225" spans="9:9" s="34" customFormat="1">
      <c r="I225" s="102"/>
    </row>
    <row r="226" spans="9:9" s="34" customFormat="1">
      <c r="I226" s="102"/>
    </row>
    <row r="227" spans="9:9" s="34" customFormat="1">
      <c r="I227" s="102"/>
    </row>
    <row r="228" spans="9:9" s="34" customFormat="1">
      <c r="I228" s="102"/>
    </row>
    <row r="229" spans="9:9" s="34" customFormat="1">
      <c r="I229" s="102"/>
    </row>
    <row r="230" spans="9:9" s="34" customFormat="1">
      <c r="I230" s="102"/>
    </row>
    <row r="231" spans="9:9" s="34" customFormat="1">
      <c r="I231" s="102"/>
    </row>
    <row r="232" spans="9:9" s="34" customFormat="1">
      <c r="I232" s="102"/>
    </row>
    <row r="233" spans="9:9" s="34" customFormat="1">
      <c r="I233" s="102"/>
    </row>
    <row r="234" spans="9:9" s="34" customFormat="1">
      <c r="I234" s="102"/>
    </row>
    <row r="235" spans="9:9" s="34" customFormat="1">
      <c r="I235" s="102"/>
    </row>
    <row r="236" spans="9:9" s="34" customFormat="1">
      <c r="I236" s="102"/>
    </row>
    <row r="237" spans="9:9" s="34" customFormat="1">
      <c r="I237" s="102"/>
    </row>
    <row r="238" spans="9:9" s="34" customFormat="1">
      <c r="I238" s="102"/>
    </row>
    <row r="239" spans="9:9" s="34" customFormat="1">
      <c r="I239" s="102"/>
    </row>
    <row r="240" spans="9:9" s="34" customFormat="1">
      <c r="I240" s="102"/>
    </row>
    <row r="241" spans="9:9" s="34" customFormat="1">
      <c r="I241" s="102"/>
    </row>
    <row r="242" spans="9:9" s="34" customFormat="1">
      <c r="I242" s="102"/>
    </row>
    <row r="243" spans="9:9" s="34" customFormat="1">
      <c r="I243" s="102"/>
    </row>
    <row r="244" spans="9:9" s="34" customFormat="1">
      <c r="I244" s="102"/>
    </row>
    <row r="245" spans="9:9" s="34" customFormat="1">
      <c r="I245" s="102"/>
    </row>
    <row r="246" spans="9:9" s="34" customFormat="1">
      <c r="I246" s="102"/>
    </row>
    <row r="247" spans="9:9" s="34" customFormat="1">
      <c r="I247" s="102"/>
    </row>
    <row r="248" spans="9:9" s="34" customFormat="1">
      <c r="I248" s="102"/>
    </row>
    <row r="249" spans="9:9" s="34" customFormat="1">
      <c r="I249" s="102"/>
    </row>
    <row r="250" spans="9:9" s="34" customFormat="1">
      <c r="I250" s="102"/>
    </row>
    <row r="251" spans="9:9" s="34" customFormat="1">
      <c r="I251" s="102"/>
    </row>
    <row r="252" spans="9:9" s="34" customFormat="1">
      <c r="I252" s="102"/>
    </row>
    <row r="253" spans="9:9" s="34" customFormat="1">
      <c r="I253" s="102"/>
    </row>
    <row r="254" spans="9:9" s="34" customFormat="1">
      <c r="I254" s="102"/>
    </row>
    <row r="255" spans="9:9" s="34" customFormat="1">
      <c r="I255" s="102"/>
    </row>
    <row r="256" spans="9:9" s="34" customFormat="1">
      <c r="I256" s="102"/>
    </row>
    <row r="257" spans="9:9" s="34" customFormat="1">
      <c r="I257" s="102"/>
    </row>
    <row r="258" spans="9:9" s="34" customFormat="1">
      <c r="I258" s="102"/>
    </row>
    <row r="259" spans="9:9" s="34" customFormat="1">
      <c r="I259" s="102"/>
    </row>
    <row r="260" spans="9:9" s="34" customFormat="1">
      <c r="I260" s="102"/>
    </row>
    <row r="261" spans="9:9" s="34" customFormat="1">
      <c r="I261" s="102"/>
    </row>
    <row r="262" spans="9:9" s="34" customFormat="1">
      <c r="I262" s="102"/>
    </row>
    <row r="263" spans="9:9" s="34" customFormat="1">
      <c r="I263" s="102"/>
    </row>
    <row r="264" spans="9:9" s="34" customFormat="1">
      <c r="I264" s="102"/>
    </row>
    <row r="265" spans="9:9" s="34" customFormat="1">
      <c r="I265" s="102"/>
    </row>
    <row r="266" spans="9:9" s="34" customFormat="1">
      <c r="I266" s="102"/>
    </row>
    <row r="267" spans="9:9" s="34" customFormat="1">
      <c r="I267" s="102"/>
    </row>
    <row r="268" spans="9:9" s="34" customFormat="1">
      <c r="I268" s="102"/>
    </row>
    <row r="269" spans="9:9" s="34" customFormat="1">
      <c r="I269" s="102"/>
    </row>
    <row r="270" spans="9:9" s="34" customFormat="1">
      <c r="I270" s="102"/>
    </row>
    <row r="271" spans="9:9" s="34" customFormat="1">
      <c r="I271" s="102"/>
    </row>
    <row r="272" spans="9:9" s="34" customFormat="1">
      <c r="I272" s="102"/>
    </row>
    <row r="273" spans="9:9" s="34" customFormat="1">
      <c r="I273" s="102"/>
    </row>
    <row r="274" spans="9:9" s="34" customFormat="1">
      <c r="I274" s="102"/>
    </row>
    <row r="275" spans="9:9" s="34" customFormat="1">
      <c r="I275" s="102"/>
    </row>
    <row r="276" spans="9:9" s="34" customFormat="1">
      <c r="I276" s="102"/>
    </row>
    <row r="277" spans="9:9" s="34" customFormat="1">
      <c r="I277" s="102"/>
    </row>
    <row r="278" spans="9:9" s="34" customFormat="1">
      <c r="I278" s="102"/>
    </row>
    <row r="279" spans="9:9" s="34" customFormat="1">
      <c r="I279" s="102"/>
    </row>
    <row r="280" spans="9:9" s="34" customFormat="1">
      <c r="I280" s="102"/>
    </row>
    <row r="281" spans="9:9" s="34" customFormat="1">
      <c r="I281" s="102"/>
    </row>
    <row r="282" spans="9:9" s="34" customFormat="1">
      <c r="I282" s="102"/>
    </row>
    <row r="283" spans="9:9" s="34" customFormat="1">
      <c r="I283" s="102"/>
    </row>
    <row r="284" spans="9:9" s="34" customFormat="1">
      <c r="I284" s="102"/>
    </row>
    <row r="285" spans="9:9" s="34" customFormat="1">
      <c r="I285" s="102"/>
    </row>
    <row r="286" spans="9:9" s="34" customFormat="1">
      <c r="I286" s="102"/>
    </row>
    <row r="287" spans="9:9" s="34" customFormat="1">
      <c r="I287" s="102"/>
    </row>
    <row r="288" spans="9:9" s="34" customFormat="1">
      <c r="I288" s="102"/>
    </row>
    <row r="289" spans="9:9" s="34" customFormat="1">
      <c r="I289" s="102"/>
    </row>
    <row r="290" spans="9:9" s="34" customFormat="1">
      <c r="I290" s="102"/>
    </row>
    <row r="291" spans="9:9" s="34" customFormat="1">
      <c r="I291" s="102"/>
    </row>
    <row r="292" spans="9:9" s="34" customFormat="1">
      <c r="I292" s="102"/>
    </row>
    <row r="293" spans="9:9" s="34" customFormat="1">
      <c r="I293" s="102"/>
    </row>
    <row r="294" spans="9:9" s="34" customFormat="1">
      <c r="I294" s="102"/>
    </row>
    <row r="295" spans="9:9" s="34" customFormat="1">
      <c r="I295" s="102"/>
    </row>
    <row r="296" spans="9:9" s="34" customFormat="1">
      <c r="I296" s="102"/>
    </row>
    <row r="297" spans="9:9" s="34" customFormat="1">
      <c r="I297" s="102"/>
    </row>
    <row r="298" spans="9:9" s="34" customFormat="1">
      <c r="I298" s="102"/>
    </row>
    <row r="299" spans="9:9" s="34" customFormat="1"/>
    <row r="300" spans="9:9" s="34" customFormat="1"/>
    <row r="301" spans="9:9" s="34" customFormat="1"/>
    <row r="302" spans="9:9" s="34" customFormat="1"/>
    <row r="303" spans="9:9" s="34" customFormat="1"/>
    <row r="304" spans="9:9" s="34" customFormat="1"/>
    <row r="305" s="34" customFormat="1"/>
    <row r="306" s="34" customFormat="1"/>
    <row r="307" s="34" customFormat="1"/>
    <row r="308" s="34" customFormat="1"/>
    <row r="309" s="34" customFormat="1"/>
    <row r="310" s="34" customFormat="1"/>
    <row r="311" s="34" customFormat="1"/>
    <row r="312" s="34" customFormat="1"/>
    <row r="313" s="34" customFormat="1"/>
    <row r="314" s="34" customFormat="1"/>
    <row r="315" s="34" customFormat="1"/>
    <row r="316" s="34" customFormat="1"/>
    <row r="317" s="34" customFormat="1"/>
    <row r="318" s="34" customFormat="1"/>
    <row r="319" s="34" customFormat="1"/>
    <row r="320" s="34" customFormat="1"/>
    <row r="321" s="34" customFormat="1"/>
    <row r="322" s="34" customFormat="1"/>
    <row r="323" s="34" customFormat="1"/>
    <row r="324" s="34" customFormat="1"/>
    <row r="325" s="34" customFormat="1"/>
    <row r="326" s="34" customFormat="1"/>
    <row r="327" s="34" customFormat="1"/>
    <row r="328" s="34" customFormat="1"/>
    <row r="329" s="34" customFormat="1"/>
    <row r="330" s="34" customFormat="1"/>
    <row r="331" s="34" customFormat="1"/>
    <row r="332" s="34" customFormat="1"/>
    <row r="333" s="34" customFormat="1"/>
    <row r="334" s="34" customFormat="1"/>
    <row r="335" s="34" customFormat="1"/>
    <row r="336" s="34" customFormat="1"/>
    <row r="337" s="34" customFormat="1"/>
    <row r="338" s="34" customFormat="1"/>
    <row r="339" s="34" customFormat="1"/>
    <row r="340" s="34" customFormat="1"/>
    <row r="341" s="34" customFormat="1"/>
    <row r="342" s="34" customFormat="1"/>
    <row r="343" s="34" customFormat="1"/>
    <row r="344" s="34" customFormat="1"/>
    <row r="345" s="34" customFormat="1"/>
    <row r="346" s="34" customFormat="1"/>
    <row r="347" s="34" customFormat="1"/>
    <row r="348" s="34" customFormat="1"/>
    <row r="349" s="34" customFormat="1"/>
    <row r="350" s="34" customFormat="1"/>
    <row r="351" s="34" customFormat="1"/>
    <row r="352" s="34" customFormat="1"/>
    <row r="353" s="34" customFormat="1"/>
    <row r="354" s="34" customFormat="1"/>
    <row r="355" s="34" customFormat="1"/>
    <row r="356" s="34" customFormat="1"/>
    <row r="357" s="34" customFormat="1"/>
    <row r="358" s="34" customFormat="1"/>
    <row r="359" s="34" customFormat="1"/>
    <row r="360" s="34" customFormat="1"/>
    <row r="361" s="34" customFormat="1"/>
    <row r="362" s="34" customFormat="1"/>
    <row r="363" s="34" customFormat="1"/>
    <row r="364" s="34" customFormat="1"/>
    <row r="365" s="34" customFormat="1"/>
    <row r="366" s="34" customFormat="1"/>
    <row r="367" s="34" customFormat="1"/>
    <row r="368" s="34" customFormat="1"/>
    <row r="369" s="34" customFormat="1"/>
    <row r="370" s="34" customFormat="1"/>
    <row r="371" s="34" customFormat="1"/>
    <row r="372" s="34" customFormat="1"/>
    <row r="373" s="34" customFormat="1"/>
    <row r="374" s="34" customFormat="1"/>
    <row r="375" s="34" customFormat="1"/>
    <row r="376" s="34" customFormat="1"/>
    <row r="377" s="34" customFormat="1"/>
    <row r="378" s="34" customFormat="1"/>
    <row r="379" s="34" customFormat="1"/>
    <row r="380" s="34" customFormat="1"/>
    <row r="381" s="34" customFormat="1"/>
    <row r="382" s="34" customFormat="1"/>
    <row r="383" s="34" customFormat="1"/>
    <row r="384" s="34" customFormat="1"/>
    <row r="385" s="34" customFormat="1"/>
    <row r="386" s="34" customFormat="1"/>
    <row r="387" s="34" customFormat="1"/>
    <row r="388" s="34" customFormat="1"/>
    <row r="389" s="34" customFormat="1"/>
    <row r="390" s="34" customFormat="1"/>
    <row r="391" s="34" customFormat="1"/>
    <row r="392" s="34" customFormat="1"/>
    <row r="393" s="34" customFormat="1"/>
    <row r="394" s="34" customFormat="1"/>
    <row r="395" s="34" customFormat="1"/>
    <row r="396" s="34" customFormat="1"/>
    <row r="397" s="34" customFormat="1"/>
    <row r="398" s="34" customFormat="1"/>
    <row r="399" s="34" customFormat="1"/>
    <row r="400" s="34" customFormat="1"/>
    <row r="401" s="34" customFormat="1"/>
    <row r="402" s="34" customFormat="1"/>
    <row r="403" s="34" customFormat="1"/>
    <row r="404" s="34" customFormat="1"/>
    <row r="405" s="34" customFormat="1"/>
    <row r="406" s="34" customFormat="1"/>
    <row r="407" s="34" customFormat="1"/>
    <row r="408" s="34" customFormat="1"/>
    <row r="409" s="34" customFormat="1"/>
    <row r="410" s="34" customFormat="1"/>
    <row r="411" s="34" customFormat="1"/>
    <row r="412" s="34" customFormat="1"/>
    <row r="413" s="34" customFormat="1"/>
    <row r="414" s="34" customFormat="1"/>
    <row r="415" s="34" customFormat="1"/>
    <row r="416" s="34" customFormat="1"/>
    <row r="417" s="34" customFormat="1"/>
    <row r="418" s="34" customFormat="1"/>
    <row r="419" s="34" customFormat="1"/>
    <row r="420" s="34" customFormat="1"/>
    <row r="421" s="34" customFormat="1"/>
    <row r="422" s="34" customFormat="1"/>
    <row r="423" s="34" customFormat="1"/>
    <row r="424" s="34" customFormat="1"/>
    <row r="425" s="34" customFormat="1"/>
    <row r="426" s="34" customFormat="1"/>
    <row r="427" s="34" customFormat="1"/>
    <row r="428" s="34" customFormat="1"/>
    <row r="429" s="34" customFormat="1"/>
    <row r="430" s="34" customFormat="1"/>
    <row r="431" s="34" customFormat="1"/>
    <row r="432" s="34" customFormat="1"/>
    <row r="433" s="34" customFormat="1"/>
    <row r="434" s="34" customFormat="1"/>
    <row r="435" s="34" customFormat="1"/>
    <row r="436" s="34" customFormat="1"/>
    <row r="437" s="34" customFormat="1"/>
    <row r="438" s="34" customFormat="1"/>
    <row r="439" s="34" customFormat="1"/>
    <row r="440" s="34" customFormat="1"/>
    <row r="441" s="34" customFormat="1"/>
    <row r="442" s="34" customFormat="1"/>
    <row r="443" s="34" customFormat="1"/>
    <row r="444" s="34" customFormat="1"/>
    <row r="445" s="34" customFormat="1"/>
    <row r="446" s="34" customFormat="1"/>
    <row r="447" s="34" customFormat="1"/>
    <row r="448" s="34" customFormat="1"/>
    <row r="449" s="34" customFormat="1"/>
    <row r="450" s="34" customFormat="1"/>
    <row r="451" s="34" customFormat="1"/>
    <row r="452" s="34" customFormat="1"/>
    <row r="453" s="34" customFormat="1"/>
    <row r="454" s="34" customFormat="1"/>
    <row r="455" s="34" customFormat="1"/>
    <row r="456" s="34" customFormat="1"/>
    <row r="457" s="34" customFormat="1"/>
    <row r="458" s="34" customFormat="1"/>
    <row r="459" s="34" customFormat="1"/>
    <row r="460" s="34" customFormat="1"/>
    <row r="461" s="34" customFormat="1"/>
    <row r="462" s="34" customFormat="1"/>
    <row r="463" s="34" customFormat="1"/>
    <row r="464" s="34" customFormat="1"/>
    <row r="465" s="34" customFormat="1"/>
    <row r="466" s="34" customFormat="1"/>
    <row r="467" s="34" customFormat="1"/>
    <row r="468" s="34" customFormat="1"/>
    <row r="469" s="34" customFormat="1"/>
    <row r="470" s="34" customFormat="1"/>
    <row r="471" s="34" customFormat="1"/>
    <row r="472" s="34" customFormat="1"/>
    <row r="473" s="34" customFormat="1"/>
    <row r="474" s="34" customFormat="1"/>
    <row r="475" s="34" customFormat="1"/>
    <row r="476" s="34" customFormat="1"/>
    <row r="477" s="34" customFormat="1"/>
    <row r="478" s="34" customFormat="1"/>
    <row r="479" s="34" customFormat="1"/>
    <row r="480" s="34" customFormat="1"/>
    <row r="481" s="34" customFormat="1"/>
    <row r="482" s="34" customFormat="1"/>
    <row r="483" s="34" customFormat="1"/>
    <row r="484" s="34" customFormat="1"/>
    <row r="485" s="34" customFormat="1"/>
    <row r="486" s="34" customFormat="1"/>
    <row r="487" s="34" customFormat="1"/>
    <row r="488" s="34" customFormat="1"/>
    <row r="489" s="34" customFormat="1"/>
    <row r="490" s="34" customFormat="1"/>
    <row r="491" s="34" customFormat="1"/>
    <row r="492" s="34" customFormat="1"/>
    <row r="493" s="34" customFormat="1"/>
    <row r="494" s="34" customFormat="1"/>
    <row r="495" s="34" customFormat="1"/>
    <row r="496" s="34" customFormat="1"/>
    <row r="497" s="34" customFormat="1"/>
    <row r="498" s="34" customFormat="1"/>
    <row r="499" s="34" customFormat="1"/>
    <row r="500" s="34" customFormat="1"/>
    <row r="501" s="34" customFormat="1"/>
    <row r="502" s="34" customFormat="1"/>
    <row r="503" s="34" customFormat="1"/>
    <row r="504" s="34" customFormat="1"/>
    <row r="505" s="34" customFormat="1"/>
    <row r="506" s="34" customFormat="1"/>
    <row r="507" s="34" customFormat="1"/>
    <row r="508" s="34" customFormat="1"/>
    <row r="509" s="34" customFormat="1"/>
    <row r="510" s="34" customFormat="1"/>
    <row r="511" s="34" customFormat="1"/>
    <row r="512" s="34" customFormat="1"/>
    <row r="513" s="34" customFormat="1"/>
    <row r="514" s="34" customFormat="1"/>
    <row r="515" s="34" customFormat="1"/>
    <row r="516" s="34" customFormat="1"/>
    <row r="517" s="34" customFormat="1"/>
    <row r="518" s="34" customFormat="1"/>
    <row r="519" s="34" customFormat="1"/>
    <row r="520" s="34" customFormat="1"/>
    <row r="521" s="34" customFormat="1"/>
    <row r="522" s="34" customFormat="1"/>
    <row r="523" s="34" customFormat="1"/>
    <row r="524" s="34" customFormat="1"/>
    <row r="525" s="34" customFormat="1"/>
    <row r="526" s="34" customFormat="1"/>
    <row r="527" s="34" customFormat="1"/>
    <row r="528" s="34" customFormat="1"/>
    <row r="529" s="34" customFormat="1"/>
    <row r="530" s="34" customFormat="1"/>
    <row r="531" s="34" customFormat="1"/>
    <row r="532" s="34" customFormat="1"/>
    <row r="533" s="34" customFormat="1"/>
    <row r="534" s="34" customFormat="1"/>
    <row r="535" s="34" customFormat="1"/>
    <row r="536" s="34" customFormat="1"/>
    <row r="537" s="34" customFormat="1"/>
    <row r="538" s="34" customFormat="1"/>
    <row r="539" s="34" customFormat="1"/>
    <row r="540" s="34" customFormat="1"/>
    <row r="541" s="34" customFormat="1"/>
    <row r="542" s="34" customFormat="1"/>
    <row r="543" s="34" customFormat="1"/>
    <row r="544" s="34" customFormat="1"/>
    <row r="545" s="34" customFormat="1"/>
    <row r="546" s="34" customFormat="1"/>
    <row r="547" s="34" customFormat="1"/>
    <row r="548" s="34" customFormat="1"/>
    <row r="549" s="34" customFormat="1"/>
    <row r="550" s="34" customFormat="1"/>
    <row r="551" s="34" customFormat="1"/>
    <row r="552" s="34" customFormat="1"/>
    <row r="553" s="34" customFormat="1"/>
    <row r="554" s="34" customFormat="1"/>
    <row r="555" s="34" customFormat="1"/>
    <row r="556" s="34" customFormat="1"/>
    <row r="557" s="34" customFormat="1"/>
    <row r="558" s="34" customFormat="1"/>
    <row r="559" s="34" customFormat="1"/>
    <row r="560" s="34" customFormat="1"/>
    <row r="561" s="34" customFormat="1"/>
    <row r="562" s="34" customFormat="1"/>
    <row r="563" s="34" customFormat="1"/>
    <row r="564" s="34" customFormat="1"/>
    <row r="565" s="34" customFormat="1"/>
    <row r="566" s="34" customFormat="1"/>
    <row r="567" s="34" customFormat="1"/>
    <row r="568" s="34" customFormat="1"/>
    <row r="569" s="34" customFormat="1"/>
    <row r="570" s="34" customFormat="1"/>
    <row r="571" s="34" customFormat="1"/>
    <row r="572" s="34" customFormat="1"/>
    <row r="573" s="34" customFormat="1"/>
    <row r="574" s="34" customFormat="1"/>
    <row r="575" s="34" customFormat="1"/>
    <row r="576" s="34" customFormat="1"/>
    <row r="577" s="34" customFormat="1"/>
    <row r="578" s="34" customFormat="1"/>
    <row r="579" s="34" customFormat="1"/>
    <row r="580" s="34" customFormat="1"/>
    <row r="581" s="34" customFormat="1"/>
    <row r="582" s="34" customFormat="1"/>
    <row r="583" s="34" customFormat="1"/>
    <row r="584" s="34" customFormat="1"/>
    <row r="585" s="34" customFormat="1"/>
    <row r="586" s="34" customFormat="1"/>
    <row r="587" s="34" customFormat="1"/>
    <row r="588" s="34" customFormat="1"/>
    <row r="589" s="34" customFormat="1"/>
    <row r="590" s="34" customFormat="1"/>
    <row r="591" s="34" customFormat="1"/>
    <row r="592" s="34" customFormat="1"/>
    <row r="593" s="34" customFormat="1"/>
    <row r="594" s="34" customFormat="1"/>
    <row r="595" s="34" customFormat="1"/>
    <row r="596" s="34" customFormat="1"/>
    <row r="597" s="34" customFormat="1"/>
    <row r="598" s="34" customFormat="1"/>
    <row r="599" s="34" customFormat="1"/>
    <row r="600" s="34" customFormat="1"/>
    <row r="601" s="34" customFormat="1"/>
    <row r="602" s="34" customFormat="1"/>
    <row r="603" s="34" customFormat="1"/>
    <row r="604" s="34" customFormat="1"/>
    <row r="605" s="34" customFormat="1"/>
    <row r="606" s="34" customFormat="1"/>
    <row r="607" s="34" customFormat="1"/>
    <row r="608" s="34" customFormat="1"/>
    <row r="609" s="34" customFormat="1"/>
    <row r="610" s="34" customFormat="1"/>
    <row r="611" s="34" customFormat="1"/>
    <row r="612" s="34" customFormat="1"/>
    <row r="613" s="34" customFormat="1"/>
    <row r="614" s="34" customFormat="1"/>
    <row r="615" s="34" customFormat="1"/>
    <row r="616" s="34" customFormat="1"/>
    <row r="617" s="34" customFormat="1"/>
    <row r="618" s="34" customFormat="1"/>
    <row r="619" s="34" customFormat="1"/>
    <row r="620" s="34" customFormat="1"/>
    <row r="621" s="34" customFormat="1"/>
    <row r="622" s="34" customFormat="1"/>
    <row r="623" s="34" customFormat="1"/>
    <row r="624" s="34" customFormat="1"/>
    <row r="625" s="34" customFormat="1"/>
    <row r="626" s="34" customFormat="1"/>
    <row r="627" s="34" customFormat="1"/>
    <row r="628" s="34" customFormat="1"/>
    <row r="629" s="34" customFormat="1"/>
    <row r="630" s="34" customFormat="1"/>
    <row r="631" s="34" customFormat="1"/>
    <row r="632" s="34" customFormat="1"/>
    <row r="633" s="34" customFormat="1"/>
    <row r="634" s="34" customFormat="1"/>
    <row r="635" s="34" customFormat="1"/>
    <row r="636" s="34" customFormat="1"/>
    <row r="637" s="34" customFormat="1"/>
    <row r="638" s="34" customFormat="1"/>
    <row r="639" s="34" customFormat="1"/>
    <row r="640" s="34" customFormat="1"/>
    <row r="641" s="34" customFormat="1"/>
    <row r="642" s="34" customFormat="1"/>
    <row r="643" s="34" customFormat="1"/>
    <row r="644" s="34" customFormat="1"/>
    <row r="645" s="34" customFormat="1"/>
    <row r="646" s="34" customFormat="1"/>
    <row r="647" s="34" customFormat="1"/>
    <row r="648" s="34" customFormat="1"/>
    <row r="649" s="34" customFormat="1"/>
    <row r="650" s="34" customFormat="1"/>
    <row r="651" s="34" customFormat="1"/>
    <row r="652" s="34" customFormat="1"/>
    <row r="653" s="34" customFormat="1"/>
    <row r="654" s="34" customFormat="1"/>
    <row r="655" s="34" customFormat="1"/>
    <row r="656" s="34" customFormat="1"/>
    <row r="657" s="34" customFormat="1"/>
    <row r="658" s="34" customFormat="1"/>
    <row r="659" s="34" customFormat="1"/>
    <row r="660" s="34" customFormat="1"/>
    <row r="661" s="34" customFormat="1"/>
    <row r="662" s="34" customFormat="1"/>
    <row r="663" s="34" customFormat="1"/>
    <row r="664" s="34" customFormat="1"/>
    <row r="665" s="34" customFormat="1"/>
    <row r="666" s="34" customFormat="1"/>
    <row r="667" s="34" customFormat="1"/>
    <row r="668" s="34" customFormat="1"/>
    <row r="669" s="34" customFormat="1"/>
    <row r="670" s="34" customFormat="1"/>
    <row r="671" s="34" customFormat="1"/>
    <row r="672" s="34" customFormat="1"/>
    <row r="673" s="34" customFormat="1"/>
    <row r="674" s="34" customFormat="1"/>
    <row r="675" s="34" customFormat="1"/>
    <row r="676" s="34" customFormat="1"/>
    <row r="677" s="34" customFormat="1"/>
    <row r="678" s="34" customFormat="1"/>
    <row r="679" s="34" customFormat="1"/>
    <row r="680" s="34" customFormat="1"/>
    <row r="681" s="34" customFormat="1"/>
    <row r="682" s="34" customFormat="1"/>
    <row r="683" s="34" customFormat="1"/>
    <row r="684" s="34" customFormat="1"/>
    <row r="685" s="34" customFormat="1"/>
    <row r="686" s="34" customFormat="1"/>
    <row r="687" s="34" customFormat="1"/>
    <row r="688" s="34" customFormat="1"/>
    <row r="689" s="34" customFormat="1"/>
    <row r="690" s="34" customFormat="1"/>
    <row r="691" s="34" customFormat="1"/>
    <row r="692" s="34" customFormat="1"/>
    <row r="693" s="34" customFormat="1"/>
    <row r="694" s="34" customFormat="1"/>
    <row r="695" s="34" customFormat="1"/>
    <row r="696" s="34" customFormat="1"/>
    <row r="697" s="34" customFormat="1"/>
    <row r="698" s="34" customFormat="1"/>
    <row r="699" s="34" customFormat="1"/>
    <row r="700" s="34" customFormat="1"/>
    <row r="701" s="34" customFormat="1"/>
    <row r="702" s="34" customFormat="1"/>
    <row r="703" s="34" customFormat="1"/>
    <row r="704" s="34" customFormat="1"/>
    <row r="705" s="34" customFormat="1"/>
    <row r="706" s="34" customFormat="1"/>
    <row r="707" s="34" customFormat="1"/>
    <row r="708" s="34" customFormat="1"/>
    <row r="709" s="34" customFormat="1"/>
    <row r="710" s="34" customFormat="1"/>
    <row r="711" s="34" customFormat="1"/>
    <row r="712" s="34" customFormat="1"/>
    <row r="713" s="34" customFormat="1"/>
    <row r="714" s="34" customFormat="1"/>
    <row r="715" s="34" customFormat="1"/>
    <row r="716" s="34" customFormat="1"/>
    <row r="717" s="34" customFormat="1"/>
    <row r="718" s="34" customFormat="1"/>
    <row r="719" s="34" customFormat="1"/>
    <row r="720" s="34" customFormat="1"/>
    <row r="721" s="34" customFormat="1"/>
    <row r="722" s="34" customFormat="1"/>
    <row r="723" s="34" customFormat="1"/>
    <row r="724" s="34" customFormat="1"/>
    <row r="725" s="34" customFormat="1"/>
    <row r="726" s="34" customFormat="1"/>
    <row r="727" s="34" customFormat="1"/>
    <row r="728" s="34" customFormat="1"/>
    <row r="729" s="34" customFormat="1"/>
    <row r="730" s="34" customFormat="1"/>
    <row r="731" s="34" customFormat="1"/>
    <row r="732" s="34" customFormat="1"/>
    <row r="733" s="34" customFormat="1"/>
    <row r="734" s="34" customFormat="1"/>
    <row r="735" s="34" customFormat="1"/>
    <row r="736" s="34" customFormat="1"/>
    <row r="737" s="34" customFormat="1"/>
    <row r="738" s="34" customFormat="1"/>
    <row r="739" s="34" customFormat="1"/>
    <row r="740" s="34" customFormat="1"/>
    <row r="741" s="34" customFormat="1"/>
    <row r="742" s="34" customFormat="1"/>
    <row r="743" s="34" customFormat="1"/>
    <row r="744" s="34" customFormat="1"/>
    <row r="745" s="34" customFormat="1"/>
    <row r="746" s="34" customFormat="1"/>
    <row r="747" s="34" customFormat="1"/>
    <row r="748" s="34" customFormat="1"/>
    <row r="749" s="34" customFormat="1"/>
    <row r="750" s="34" customFormat="1"/>
    <row r="751" s="34" customFormat="1"/>
    <row r="752" s="34" customFormat="1"/>
    <row r="753" s="34" customFormat="1"/>
    <row r="754" s="34" customFormat="1"/>
    <row r="755" s="34" customFormat="1"/>
    <row r="756" s="34" customFormat="1"/>
    <row r="757" s="34" customFormat="1"/>
    <row r="758" s="34" customFormat="1"/>
    <row r="759" s="34" customFormat="1"/>
    <row r="760" s="34" customFormat="1"/>
    <row r="761" s="34" customFormat="1"/>
    <row r="762" s="34" customFormat="1"/>
    <row r="763" s="34" customFormat="1"/>
    <row r="764" s="34" customFormat="1"/>
    <row r="765" s="34" customFormat="1"/>
    <row r="766" s="34" customFormat="1"/>
    <row r="767" s="34" customFormat="1"/>
    <row r="768" s="34" customFormat="1"/>
    <row r="769" s="34" customFormat="1"/>
    <row r="770" s="34" customFormat="1"/>
    <row r="771" s="34" customFormat="1"/>
    <row r="772" s="34" customFormat="1"/>
    <row r="773" s="34" customFormat="1"/>
    <row r="774" s="34" customFormat="1"/>
    <row r="775" s="34" customFormat="1"/>
    <row r="776" s="34" customFormat="1"/>
    <row r="777" s="34" customFormat="1"/>
    <row r="778" s="34" customFormat="1"/>
    <row r="779" s="34" customFormat="1"/>
    <row r="780" s="34" customFormat="1"/>
    <row r="781" s="34" customFormat="1"/>
    <row r="782" s="34" customFormat="1"/>
    <row r="783" s="34" customFormat="1"/>
    <row r="784" s="34" customFormat="1"/>
    <row r="785" s="34" customFormat="1"/>
    <row r="786" s="34" customFormat="1"/>
    <row r="787" s="34" customFormat="1"/>
    <row r="788" s="34" customFormat="1"/>
    <row r="789" s="34" customFormat="1"/>
    <row r="790" s="34" customFormat="1"/>
    <row r="791" s="34" customFormat="1"/>
    <row r="792" s="34" customFormat="1"/>
    <row r="793" s="34" customFormat="1"/>
    <row r="794" s="34" customFormat="1"/>
    <row r="795" s="34" customFormat="1"/>
    <row r="796" s="34" customFormat="1"/>
    <row r="797" s="34" customFormat="1"/>
    <row r="798" s="34" customFormat="1"/>
    <row r="799" s="34" customFormat="1"/>
    <row r="800" s="34" customFormat="1"/>
    <row r="801" s="34" customFormat="1"/>
    <row r="802" s="34" customFormat="1"/>
    <row r="803" s="34" customFormat="1"/>
    <row r="804" s="34" customFormat="1"/>
    <row r="805" s="34" customFormat="1"/>
    <row r="806" s="34" customFormat="1"/>
    <row r="807" s="34" customFormat="1"/>
    <row r="808" s="34" customFormat="1"/>
    <row r="809" s="34" customFormat="1"/>
    <row r="810" s="34" customFormat="1"/>
    <row r="811" s="34" customFormat="1"/>
    <row r="812" s="34" customFormat="1"/>
    <row r="813" s="34" customFormat="1"/>
    <row r="814" s="34" customFormat="1"/>
    <row r="815" s="34" customFormat="1"/>
    <row r="816" s="34" customFormat="1"/>
    <row r="817" s="34" customFormat="1"/>
    <row r="818" s="34" customFormat="1"/>
    <row r="819" s="34" customFormat="1"/>
    <row r="820" s="34" customFormat="1"/>
    <row r="821" s="34" customFormat="1"/>
    <row r="822" s="34" customFormat="1"/>
    <row r="823" s="34" customFormat="1"/>
    <row r="824" s="34" customFormat="1"/>
    <row r="825" s="34" customFormat="1"/>
    <row r="826" s="34" customFormat="1"/>
    <row r="827" s="34" customFormat="1"/>
    <row r="828" s="34" customFormat="1"/>
    <row r="829" s="34" customFormat="1"/>
    <row r="830" s="34" customFormat="1"/>
    <row r="831" s="34" customFormat="1"/>
    <row r="832" s="34" customFormat="1"/>
    <row r="833" s="34" customFormat="1"/>
    <row r="834" s="34" customFormat="1"/>
    <row r="835" s="34" customFormat="1"/>
    <row r="836" s="34" customFormat="1"/>
    <row r="837" s="34" customFormat="1"/>
    <row r="838" s="34" customFormat="1"/>
    <row r="839" s="34" customFormat="1"/>
    <row r="840" s="34" customFormat="1"/>
    <row r="841" s="34" customFormat="1"/>
    <row r="842" s="34" customFormat="1"/>
    <row r="843" s="34" customFormat="1"/>
    <row r="844" s="34" customFormat="1"/>
    <row r="845" s="34" customFormat="1"/>
    <row r="846" s="34" customFormat="1"/>
    <row r="847" s="34" customFormat="1"/>
    <row r="848" s="34" customFormat="1"/>
    <row r="849" s="34" customFormat="1"/>
    <row r="850" s="34" customFormat="1"/>
    <row r="851" s="34" customFormat="1"/>
    <row r="852" s="34" customFormat="1"/>
    <row r="853" s="34" customFormat="1"/>
    <row r="854" s="34" customFormat="1"/>
    <row r="855" s="34" customFormat="1"/>
    <row r="856" s="34" customFormat="1"/>
    <row r="857" s="34" customFormat="1"/>
    <row r="858" s="34" customFormat="1"/>
    <row r="859" s="34" customFormat="1"/>
    <row r="860" s="34" customFormat="1"/>
    <row r="861" s="34" customFormat="1"/>
    <row r="862" s="34" customFormat="1"/>
    <row r="863" s="34" customFormat="1"/>
    <row r="864" s="34" customFormat="1"/>
    <row r="865" s="34" customFormat="1"/>
    <row r="866" s="34" customFormat="1"/>
    <row r="867" s="34" customFormat="1"/>
    <row r="868" s="34" customFormat="1"/>
    <row r="869" s="34" customFormat="1"/>
    <row r="870" s="34" customFormat="1"/>
    <row r="871" s="34" customFormat="1"/>
    <row r="872" s="34" customFormat="1"/>
    <row r="873" s="34" customFormat="1"/>
    <row r="874" s="34" customFormat="1"/>
    <row r="875" s="34" customFormat="1"/>
    <row r="876" s="34" customFormat="1"/>
    <row r="877" s="34" customFormat="1"/>
    <row r="878" s="34" customFormat="1"/>
    <row r="879" s="34" customFormat="1"/>
    <row r="880" s="34" customFormat="1"/>
    <row r="881" s="34" customFormat="1"/>
    <row r="882" s="34" customFormat="1"/>
    <row r="883" s="34" customFormat="1"/>
    <row r="884" s="34" customFormat="1"/>
    <row r="885" s="34" customFormat="1"/>
    <row r="886" s="34" customFormat="1"/>
    <row r="887" s="34" customFormat="1"/>
    <row r="888" s="34" customFormat="1"/>
    <row r="889" s="34" customFormat="1"/>
    <row r="890" s="34" customFormat="1"/>
    <row r="891" s="34" customFormat="1"/>
    <row r="892" s="34" customFormat="1"/>
    <row r="893" s="34" customFormat="1"/>
    <row r="894" s="34" customFormat="1"/>
    <row r="895" s="34" customFormat="1"/>
    <row r="896" s="34" customFormat="1"/>
    <row r="897" s="34" customFormat="1"/>
    <row r="898" s="34" customFormat="1"/>
    <row r="899" s="34" customFormat="1"/>
    <row r="900" s="34" customFormat="1"/>
    <row r="901" s="34" customFormat="1"/>
    <row r="902" s="34" customFormat="1"/>
    <row r="903" s="34" customFormat="1"/>
    <row r="904" s="34" customFormat="1"/>
    <row r="905" s="34" customFormat="1"/>
    <row r="906" s="34" customFormat="1"/>
    <row r="907" s="34" customFormat="1"/>
    <row r="908" s="34" customFormat="1"/>
    <row r="909" s="34" customFormat="1"/>
    <row r="910" s="34" customFormat="1"/>
    <row r="911" s="34" customFormat="1"/>
    <row r="912" s="34" customFormat="1"/>
    <row r="913" s="34" customFormat="1"/>
    <row r="914" s="34" customFormat="1"/>
    <row r="915" s="34" customFormat="1"/>
    <row r="916" s="34" customFormat="1"/>
    <row r="917" s="34" customFormat="1"/>
    <row r="918" s="34" customFormat="1"/>
    <row r="919" s="34" customFormat="1"/>
    <row r="920" s="34" customFormat="1"/>
    <row r="921" s="34" customFormat="1"/>
    <row r="922" s="34" customFormat="1"/>
    <row r="923" s="34" customFormat="1"/>
    <row r="924" s="34" customFormat="1"/>
    <row r="925" s="34" customFormat="1"/>
    <row r="926" s="34" customFormat="1"/>
    <row r="927" s="34" customFormat="1"/>
    <row r="928" s="34" customFormat="1"/>
    <row r="929" s="34" customFormat="1"/>
    <row r="930" s="34" customFormat="1"/>
    <row r="931" s="34" customFormat="1"/>
    <row r="932" s="34" customFormat="1"/>
    <row r="933" s="34" customFormat="1"/>
    <row r="934" s="34" customFormat="1"/>
    <row r="935" s="34" customFormat="1"/>
    <row r="936" s="34" customFormat="1"/>
    <row r="937" s="34" customFormat="1"/>
    <row r="938" s="34" customFormat="1"/>
    <row r="939" s="34" customFormat="1"/>
    <row r="940" s="34" customFormat="1"/>
    <row r="941" s="34" customFormat="1"/>
    <row r="942" s="34" customFormat="1"/>
    <row r="943" s="34" customFormat="1"/>
    <row r="944" s="34" customFormat="1"/>
    <row r="945" s="34" customFormat="1"/>
    <row r="946" s="34" customFormat="1"/>
    <row r="947" s="34" customFormat="1"/>
    <row r="948" s="34" customFormat="1"/>
    <row r="949" s="34" customFormat="1"/>
    <row r="950" s="34" customFormat="1"/>
    <row r="951" s="34" customFormat="1"/>
    <row r="952" s="34" customFormat="1"/>
    <row r="953" s="34" customFormat="1"/>
    <row r="954" s="34" customFormat="1"/>
    <row r="955" s="34" customFormat="1"/>
    <row r="956" s="34" customFormat="1"/>
    <row r="957" s="34" customFormat="1"/>
    <row r="958" s="34" customFormat="1"/>
    <row r="959" s="34" customFormat="1"/>
    <row r="960" s="34" customFormat="1"/>
    <row r="961" s="34" customFormat="1"/>
    <row r="962" s="34" customFormat="1"/>
    <row r="963" s="34" customFormat="1"/>
    <row r="964" s="34" customFormat="1"/>
    <row r="965" s="34" customFormat="1"/>
    <row r="966" s="34" customFormat="1"/>
    <row r="967" s="34" customFormat="1"/>
    <row r="968" s="34" customFormat="1"/>
    <row r="969" s="34" customFormat="1"/>
    <row r="970" s="34" customFormat="1"/>
    <row r="971" s="34" customFormat="1"/>
    <row r="972" s="34" customFormat="1"/>
    <row r="973" s="34" customFormat="1"/>
    <row r="974" s="34" customFormat="1"/>
    <row r="975" s="34" customFormat="1"/>
    <row r="976" s="34" customFormat="1"/>
    <row r="977" s="34" customFormat="1"/>
    <row r="978" s="34" customFormat="1"/>
    <row r="979" s="34" customFormat="1"/>
    <row r="980" s="34" customFormat="1"/>
    <row r="981" s="34" customFormat="1"/>
    <row r="982" s="34" customFormat="1"/>
    <row r="983" s="34" customFormat="1"/>
    <row r="984" s="34" customFormat="1"/>
    <row r="985" s="34" customFormat="1"/>
    <row r="986" s="34" customFormat="1"/>
    <row r="987" s="34" customFormat="1"/>
    <row r="988" s="34" customFormat="1"/>
    <row r="989" s="34" customFormat="1"/>
    <row r="990" s="34" customFormat="1"/>
    <row r="991" s="34" customFormat="1"/>
    <row r="992" s="34" customFormat="1"/>
    <row r="993" s="34" customFormat="1"/>
    <row r="994" s="34" customFormat="1"/>
    <row r="995" s="34" customFormat="1"/>
    <row r="996" s="34" customFormat="1"/>
    <row r="997" s="34" customFormat="1"/>
    <row r="998" s="34" customFormat="1"/>
    <row r="999" s="34" customFormat="1"/>
    <row r="1000" s="34" customFormat="1"/>
    <row r="1001" s="34" customFormat="1"/>
    <row r="1002" s="34" customFormat="1"/>
    <row r="1003" s="34" customFormat="1"/>
    <row r="1004" s="34" customFormat="1"/>
    <row r="1005" s="34" customFormat="1"/>
    <row r="1006" s="34" customFormat="1"/>
    <row r="1007" s="34" customFormat="1"/>
    <row r="1008" s="34" customFormat="1"/>
    <row r="1009" s="34" customFormat="1"/>
    <row r="1010" s="34" customFormat="1"/>
    <row r="1011" s="34" customFormat="1"/>
    <row r="1012" s="34" customFormat="1"/>
    <row r="1013" s="34" customFormat="1"/>
    <row r="1014" s="34" customFormat="1"/>
    <row r="1015" s="34" customFormat="1"/>
    <row r="1016" s="34" customFormat="1"/>
    <row r="1017" s="34" customFormat="1"/>
    <row r="1018" s="34" customFormat="1"/>
    <row r="1019" s="34" customFormat="1"/>
    <row r="1020" s="34" customFormat="1"/>
    <row r="1021" s="34" customFormat="1"/>
    <row r="1022" s="34" customFormat="1"/>
    <row r="1023" s="34" customFormat="1"/>
    <row r="1024" s="34" customFormat="1"/>
    <row r="1025" s="34" customFormat="1"/>
    <row r="1026" s="34" customFormat="1"/>
    <row r="1027" s="34" customFormat="1"/>
    <row r="1028" s="34" customFormat="1"/>
    <row r="1029" s="34" customFormat="1"/>
    <row r="1030" s="34" customFormat="1"/>
    <row r="1031" s="34" customFormat="1"/>
    <row r="1032" s="34" customFormat="1"/>
    <row r="1033" s="34" customFormat="1"/>
    <row r="1034" s="34" customFormat="1"/>
    <row r="1035" s="34" customFormat="1"/>
    <row r="1036" s="34" customFormat="1"/>
    <row r="1037" s="34" customFormat="1"/>
    <row r="1038" s="34" customFormat="1"/>
    <row r="1039" s="34" customFormat="1"/>
    <row r="1040" s="34" customFormat="1"/>
    <row r="1041" s="34" customFormat="1"/>
    <row r="1042" s="34" customFormat="1"/>
    <row r="1043" s="34" customFormat="1"/>
    <row r="1044" s="34" customFormat="1"/>
    <row r="1045" s="34" customFormat="1"/>
    <row r="1046" s="34" customFormat="1"/>
    <row r="1047" s="34" customFormat="1"/>
    <row r="1048" s="34" customFormat="1"/>
    <row r="1049" s="34" customFormat="1"/>
    <row r="1050" s="34" customFormat="1"/>
    <row r="1051" s="34" customFormat="1"/>
    <row r="1052" s="34" customFormat="1"/>
    <row r="1053" s="34" customFormat="1"/>
    <row r="1054" s="34" customFormat="1"/>
    <row r="1055" s="34" customFormat="1"/>
    <row r="1056" s="34" customFormat="1"/>
    <row r="1057" s="34" customFormat="1"/>
    <row r="1058" s="34" customFormat="1"/>
    <row r="1059" s="34" customFormat="1"/>
    <row r="1060" s="34" customFormat="1"/>
    <row r="1061" s="34" customFormat="1"/>
    <row r="1062" s="34" customFormat="1"/>
    <row r="1063" s="34" customFormat="1"/>
    <row r="1064" s="34" customFormat="1"/>
    <row r="1065" s="34" customFormat="1"/>
    <row r="1066" s="34" customFormat="1"/>
    <row r="1067" s="34" customFormat="1"/>
    <row r="1068" s="34" customFormat="1"/>
    <row r="1069" s="34" customFormat="1"/>
    <row r="1070" s="34" customFormat="1"/>
    <row r="1071" s="34" customFormat="1"/>
    <row r="1072" s="34" customFormat="1"/>
    <row r="1073" s="34" customFormat="1"/>
    <row r="1074" s="34" customFormat="1"/>
    <row r="1075" s="34" customFormat="1"/>
    <row r="1076" s="34" customFormat="1"/>
    <row r="1077" s="34" customFormat="1"/>
    <row r="1078" s="34" customFormat="1"/>
    <row r="1079" s="34" customFormat="1"/>
    <row r="1080" s="34" customFormat="1"/>
    <row r="1081" s="34" customFormat="1"/>
    <row r="1082" s="34" customFormat="1"/>
    <row r="1083" s="34" customFormat="1"/>
    <row r="1084" s="34" customFormat="1"/>
    <row r="1085" s="34" customFormat="1"/>
    <row r="1086" s="34" customFormat="1"/>
    <row r="1087" s="34" customFormat="1"/>
    <row r="1088" s="34" customFormat="1"/>
    <row r="1089" s="34" customFormat="1"/>
    <row r="1090" s="34" customFormat="1"/>
    <row r="1091" s="34" customFormat="1"/>
    <row r="1092" s="34" customFormat="1"/>
    <row r="1093" s="34" customFormat="1"/>
    <row r="1094" s="34" customFormat="1"/>
    <row r="1095" s="34" customFormat="1"/>
    <row r="1096" s="34" customFormat="1"/>
    <row r="1097" s="34" customFormat="1"/>
    <row r="1098" s="34" customFormat="1"/>
    <row r="1099" s="34" customFormat="1"/>
    <row r="1100" s="34" customFormat="1"/>
    <row r="1101" s="34" customFormat="1"/>
    <row r="1102" s="34" customFormat="1"/>
    <row r="1103" s="34" customFormat="1"/>
    <row r="1104" s="34" customFormat="1"/>
    <row r="1105" s="34" customFormat="1"/>
    <row r="1106" s="34" customFormat="1"/>
    <row r="1107" s="34" customFormat="1"/>
    <row r="1108" s="34" customFormat="1"/>
    <row r="1109" s="34" customFormat="1"/>
    <row r="1110" s="34" customFormat="1"/>
    <row r="1111" s="34" customFormat="1"/>
    <row r="1112" s="34" customFormat="1"/>
    <row r="1113" s="34" customFormat="1"/>
    <row r="1114" s="34" customFormat="1"/>
    <row r="1115" s="34" customFormat="1"/>
    <row r="1116" s="34" customFormat="1"/>
    <row r="1117" s="34" customFormat="1"/>
    <row r="1118" s="34" customFormat="1"/>
    <row r="1119" s="34" customFormat="1"/>
    <row r="1120" s="34" customFormat="1"/>
    <row r="1121" s="34" customFormat="1"/>
    <row r="1122" s="34" customFormat="1"/>
    <row r="1123" s="34" customFormat="1"/>
    <row r="1124" s="34" customFormat="1"/>
    <row r="1125" s="34" customFormat="1"/>
    <row r="1126" s="34" customFormat="1"/>
    <row r="1127" s="34" customFormat="1"/>
    <row r="1128" s="34" customFormat="1"/>
    <row r="1129" s="34" customFormat="1"/>
    <row r="1130" s="34" customFormat="1"/>
    <row r="1131" s="34" customFormat="1"/>
    <row r="1132" s="34" customFormat="1"/>
    <row r="1133" s="34" customFormat="1"/>
    <row r="1134" s="34" customFormat="1"/>
    <row r="1135" s="34" customFormat="1"/>
    <row r="1136" s="34" customFormat="1"/>
    <row r="1137" s="34" customFormat="1"/>
    <row r="1138" s="34" customFormat="1"/>
    <row r="1139" s="34" customFormat="1"/>
    <row r="1140" s="34" customFormat="1"/>
    <row r="1141" s="34" customFormat="1"/>
    <row r="1142" s="34" customFormat="1"/>
    <row r="1143" s="34" customFormat="1"/>
    <row r="1144" s="34" customFormat="1"/>
    <row r="1145" s="34" customFormat="1"/>
    <row r="1146" s="34" customFormat="1"/>
    <row r="1147" s="34" customFormat="1"/>
    <row r="1148" s="34" customFormat="1"/>
    <row r="1149" s="34" customFormat="1"/>
    <row r="1150" s="34" customFormat="1"/>
    <row r="1151" s="34" customFormat="1"/>
    <row r="1152" s="34" customFormat="1"/>
    <row r="1153" s="34" customFormat="1"/>
    <row r="1154" s="34" customFormat="1"/>
    <row r="1155" s="34" customFormat="1"/>
    <row r="1156" s="34" customFormat="1"/>
    <row r="1157" s="34" customFormat="1"/>
    <row r="1158" s="34" customFormat="1"/>
    <row r="1159" s="34" customFormat="1"/>
    <row r="1160" s="34" customFormat="1"/>
    <row r="1161" s="34" customFormat="1"/>
    <row r="1162" s="34" customFormat="1"/>
    <row r="1163" s="34" customFormat="1"/>
    <row r="1164" s="34" customFormat="1"/>
    <row r="1165" s="34" customFormat="1"/>
    <row r="1166" s="34" customFormat="1"/>
    <row r="1167" s="34" customFormat="1"/>
    <row r="1168" s="34" customFormat="1"/>
    <row r="1169" s="34" customFormat="1"/>
    <row r="1170" s="34" customFormat="1"/>
    <row r="1171" s="34" customFormat="1"/>
    <row r="1172" s="34" customFormat="1"/>
    <row r="1173" s="34" customFormat="1"/>
    <row r="1174" s="34" customFormat="1"/>
    <row r="1175" s="34" customFormat="1"/>
    <row r="1176" s="34" customFormat="1"/>
    <row r="1177" s="34" customFormat="1"/>
    <row r="1178" s="34" customFormat="1"/>
    <row r="1179" s="34" customFormat="1"/>
    <row r="1180" s="34" customFormat="1"/>
    <row r="1181" s="34" customFormat="1"/>
    <row r="1182" s="34" customFormat="1"/>
    <row r="1183" s="34" customFormat="1"/>
    <row r="1184" s="34" customFormat="1"/>
    <row r="1185" s="34" customFormat="1"/>
    <row r="1186" s="34" customFormat="1"/>
    <row r="1187" s="34" customFormat="1"/>
    <row r="1188" s="34" customFormat="1"/>
    <row r="1189" s="34" customFormat="1"/>
    <row r="1190" s="34" customFormat="1"/>
    <row r="1191" s="34" customFormat="1"/>
    <row r="1192" s="34" customFormat="1"/>
    <row r="1193" s="34" customFormat="1"/>
    <row r="1194" s="34" customFormat="1"/>
    <row r="1195" s="34" customFormat="1"/>
    <row r="1196" s="34" customFormat="1"/>
    <row r="1197" s="34" customFormat="1"/>
    <row r="1198" s="34" customFormat="1"/>
    <row r="1199" s="34" customFormat="1"/>
    <row r="1200" s="34" customFormat="1"/>
    <row r="1201" s="34" customFormat="1"/>
    <row r="1202" s="34" customFormat="1"/>
    <row r="1203" s="34" customFormat="1"/>
    <row r="1204" s="34" customFormat="1"/>
    <row r="1205" s="34" customFormat="1"/>
    <row r="1206" s="34" customFormat="1"/>
    <row r="1207" s="34" customFormat="1"/>
    <row r="1208" s="34" customFormat="1"/>
    <row r="1209" s="34" customFormat="1"/>
    <row r="1210" s="34" customFormat="1"/>
    <row r="1211" s="34" customFormat="1"/>
    <row r="1212" s="34" customFormat="1"/>
    <row r="1213" s="34" customFormat="1"/>
    <row r="1214" s="34" customFormat="1"/>
    <row r="1215" s="34" customFormat="1"/>
    <row r="1216" s="34" customFormat="1"/>
    <row r="1217" s="34" customFormat="1"/>
    <row r="1218" s="34" customFormat="1"/>
    <row r="1219" s="34" customFormat="1"/>
    <row r="1220" s="34" customFormat="1"/>
    <row r="1221" s="34" customFormat="1"/>
    <row r="1222" s="34" customFormat="1"/>
    <row r="1223" s="34" customFormat="1"/>
    <row r="1224" s="34" customFormat="1"/>
    <row r="1225" s="34" customFormat="1"/>
    <row r="1226" s="34" customFormat="1"/>
    <row r="1227" s="34" customFormat="1"/>
    <row r="1228" s="34" customFormat="1"/>
    <row r="1229" s="34" customFormat="1"/>
    <row r="1230" s="34" customFormat="1"/>
    <row r="1231" s="34" customFormat="1"/>
    <row r="1232" s="34" customFormat="1"/>
    <row r="1233" s="34" customFormat="1"/>
    <row r="1234" s="34" customFormat="1"/>
    <row r="1235" s="34" customFormat="1"/>
    <row r="1236" s="34" customFormat="1"/>
    <row r="1237" s="34" customFormat="1"/>
    <row r="1238" s="34" customFormat="1"/>
    <row r="1239" s="34" customFormat="1"/>
    <row r="1240" s="34" customFormat="1"/>
    <row r="1241" s="34" customFormat="1"/>
    <row r="1242" s="34" customFormat="1"/>
    <row r="1243" s="34" customFormat="1"/>
    <row r="1244" s="34" customFormat="1"/>
    <row r="1245" s="34" customFormat="1"/>
    <row r="1246" s="34" customFormat="1"/>
    <row r="1247" s="34" customFormat="1"/>
    <row r="1248" s="34" customFormat="1"/>
    <row r="1249" s="34" customFormat="1"/>
    <row r="1250" s="34" customFormat="1"/>
    <row r="1251" s="34" customFormat="1"/>
    <row r="1252" s="34" customFormat="1"/>
    <row r="1253" s="34" customFormat="1"/>
    <row r="1254" s="34" customFormat="1"/>
    <row r="1255" s="34" customFormat="1"/>
    <row r="1256" s="34" customFormat="1"/>
    <row r="1257" s="34" customFormat="1"/>
    <row r="1258" s="34" customFormat="1"/>
    <row r="1259" s="34" customFormat="1"/>
    <row r="1260" s="34" customFormat="1"/>
    <row r="1261" s="34" customFormat="1"/>
    <row r="1262" s="34" customFormat="1"/>
    <row r="1263" s="34" customFormat="1"/>
    <row r="1264" s="34" customFormat="1"/>
    <row r="1265" s="34" customFormat="1"/>
    <row r="1266" s="34" customFormat="1"/>
    <row r="1267" s="34" customFormat="1"/>
    <row r="1268" s="34" customFormat="1"/>
    <row r="1269" s="34" customFormat="1"/>
    <row r="1270" s="34" customFormat="1"/>
    <row r="1271" s="34" customFormat="1"/>
    <row r="1272" s="34" customFormat="1"/>
    <row r="1273" s="34" customFormat="1"/>
    <row r="1274" s="34" customFormat="1"/>
    <row r="1275" s="34" customFormat="1"/>
    <row r="1276" s="34" customFormat="1"/>
    <row r="1277" s="34" customFormat="1"/>
    <row r="1278" s="34" customFormat="1"/>
    <row r="1279" s="34" customFormat="1"/>
    <row r="1280" s="34" customFormat="1"/>
    <row r="1281" s="34" customFormat="1"/>
    <row r="1282" s="34" customFormat="1"/>
    <row r="1283" s="34" customFormat="1"/>
    <row r="1284" s="34" customFormat="1"/>
    <row r="1285" s="34" customFormat="1"/>
    <row r="1286" s="34" customFormat="1"/>
    <row r="1287" s="34" customFormat="1"/>
    <row r="1288" s="34" customFormat="1"/>
    <row r="1289" s="34" customFormat="1"/>
    <row r="1290" s="34" customFormat="1"/>
    <row r="1291" s="34" customFormat="1"/>
    <row r="1292" s="34" customFormat="1"/>
    <row r="1293" s="34" customFormat="1"/>
    <row r="1294" s="34" customFormat="1"/>
    <row r="1295" s="34" customFormat="1"/>
    <row r="1296" s="34" customFormat="1"/>
    <row r="1297" s="34" customFormat="1"/>
    <row r="1298" s="34" customFormat="1"/>
    <row r="1299" s="34" customFormat="1"/>
    <row r="1300" s="34" customFormat="1"/>
    <row r="1301" s="34" customFormat="1"/>
    <row r="1302" s="34" customFormat="1"/>
    <row r="1303" s="34" customFormat="1"/>
    <row r="1304" s="34" customFormat="1"/>
    <row r="1305" s="34" customFormat="1"/>
    <row r="1306" s="34" customFormat="1"/>
    <row r="1307" s="34" customFormat="1"/>
    <row r="1308" s="34" customFormat="1"/>
    <row r="1309" s="34" customFormat="1"/>
    <row r="1310" s="34" customFormat="1"/>
    <row r="1311" s="34" customFormat="1"/>
    <row r="1312" s="34" customFormat="1"/>
    <row r="1313" s="34" customFormat="1"/>
    <row r="1314" s="34" customFormat="1"/>
    <row r="1315" s="34" customFormat="1"/>
    <row r="1316" s="34" customFormat="1"/>
    <row r="1317" s="34" customFormat="1"/>
    <row r="1318" s="34" customFormat="1"/>
    <row r="1319" s="34" customFormat="1"/>
    <row r="1320" s="34" customFormat="1"/>
    <row r="1321" s="34" customFormat="1"/>
    <row r="1322" s="34" customFormat="1"/>
    <row r="1323" s="34" customFormat="1"/>
    <row r="1324" s="34" customFormat="1"/>
    <row r="1325" s="34" customFormat="1"/>
    <row r="1326" s="34" customFormat="1"/>
    <row r="1327" s="34" customFormat="1"/>
    <row r="1328" s="34" customFormat="1"/>
    <row r="1329" s="34" customFormat="1"/>
    <row r="1330" s="34" customFormat="1"/>
    <row r="1331" s="34" customFormat="1"/>
    <row r="1332" s="34" customFormat="1"/>
    <row r="1333" s="34" customFormat="1"/>
    <row r="1334" s="34" customFormat="1"/>
    <row r="1335" s="34" customFormat="1"/>
    <row r="1336" s="34" customFormat="1"/>
    <row r="1337" s="34" customFormat="1"/>
    <row r="1338" s="34" customFormat="1"/>
    <row r="1339" s="34" customFormat="1"/>
    <row r="1340" s="34" customFormat="1"/>
    <row r="1341" s="34" customFormat="1"/>
    <row r="1342" s="34" customFormat="1"/>
    <row r="1343" s="34" customFormat="1"/>
    <row r="1344" s="34" customFormat="1"/>
    <row r="1345" s="34" customFormat="1"/>
    <row r="1346" s="34" customFormat="1"/>
    <row r="1347" s="34" customFormat="1"/>
    <row r="1348" s="34" customFormat="1"/>
    <row r="1349" s="34" customFormat="1"/>
    <row r="1350" s="34" customFormat="1"/>
    <row r="1351" s="34" customFormat="1"/>
    <row r="1352" s="34" customFormat="1"/>
    <row r="1353" s="34" customFormat="1"/>
    <row r="1354" s="34" customFormat="1"/>
    <row r="1355" s="34" customFormat="1"/>
    <row r="1356" s="34" customFormat="1"/>
    <row r="1357" s="34" customFormat="1"/>
    <row r="1358" s="34" customFormat="1"/>
    <row r="1359" s="34" customFormat="1"/>
    <row r="1360" s="34" customFormat="1"/>
    <row r="1361" s="34" customFormat="1"/>
    <row r="1362" s="34" customFormat="1"/>
    <row r="1363" s="34" customFormat="1"/>
    <row r="1364" s="34" customFormat="1"/>
    <row r="1365" s="34" customFormat="1"/>
    <row r="1366" s="34" customFormat="1"/>
    <row r="1367" s="34" customFormat="1"/>
    <row r="1368" s="34" customFormat="1"/>
    <row r="1369" s="34" customFormat="1"/>
    <row r="1370" s="34" customFormat="1"/>
    <row r="1371" s="34" customFormat="1"/>
    <row r="1372" s="34" customFormat="1"/>
    <row r="1373" s="34" customFormat="1"/>
    <row r="1374" s="34" customFormat="1"/>
    <row r="1375" s="34" customFormat="1"/>
    <row r="1376" s="34" customFormat="1"/>
    <row r="1377" s="34" customFormat="1"/>
    <row r="1378" s="34" customFormat="1"/>
    <row r="1379" s="34" customFormat="1"/>
    <row r="1380" s="34" customFormat="1"/>
    <row r="1381" s="34" customFormat="1"/>
    <row r="1382" s="34" customFormat="1"/>
    <row r="1383" s="34" customFormat="1"/>
    <row r="1384" s="34" customFormat="1"/>
    <row r="1385" s="34" customFormat="1"/>
    <row r="1386" s="34" customFormat="1"/>
    <row r="1387" s="34" customFormat="1"/>
    <row r="1388" s="34" customFormat="1"/>
    <row r="1389" s="34" customFormat="1"/>
    <row r="1390" s="34" customFormat="1"/>
    <row r="1391" s="34" customFormat="1"/>
    <row r="1392" s="34" customFormat="1"/>
    <row r="1393" s="34" customFormat="1"/>
    <row r="1394" s="34" customFormat="1"/>
    <row r="1395" s="34" customFormat="1"/>
    <row r="1396" s="34" customFormat="1"/>
    <row r="1397" s="34" customFormat="1"/>
    <row r="1398" s="34" customFormat="1"/>
    <row r="1399" s="34" customFormat="1"/>
    <row r="1400" s="34" customFormat="1"/>
    <row r="1401" s="34" customFormat="1"/>
    <row r="1402" s="34" customFormat="1"/>
    <row r="1403" s="34" customFormat="1"/>
    <row r="1404" s="34" customFormat="1"/>
    <row r="1405" s="34" customFormat="1"/>
    <row r="1406" s="34" customFormat="1"/>
    <row r="1407" s="34" customFormat="1"/>
    <row r="1408" s="34" customFormat="1"/>
    <row r="1409" s="34" customFormat="1"/>
    <row r="1410" s="34" customFormat="1"/>
    <row r="1411" s="34" customFormat="1"/>
    <row r="1412" s="34" customFormat="1"/>
    <row r="1413" s="34" customFormat="1"/>
    <row r="1414" s="34" customFormat="1"/>
    <row r="1415" s="34" customFormat="1"/>
    <row r="1416" s="34" customFormat="1"/>
    <row r="1417" s="34" customFormat="1"/>
    <row r="1418" s="34" customFormat="1"/>
    <row r="1419" s="34" customFormat="1"/>
    <row r="1420" s="34" customFormat="1"/>
    <row r="1421" s="34" customFormat="1"/>
    <row r="1422" s="34" customFormat="1"/>
    <row r="1423" s="34" customFormat="1"/>
    <row r="1424" s="34" customFormat="1"/>
    <row r="1425" s="34" customFormat="1"/>
    <row r="1426" s="34" customFormat="1"/>
    <row r="1427" s="34" customFormat="1"/>
    <row r="1428" s="34" customFormat="1"/>
    <row r="1429" s="34" customFormat="1"/>
    <row r="1430" s="34" customFormat="1"/>
    <row r="1431" s="34" customFormat="1"/>
    <row r="1432" s="34" customFormat="1"/>
    <row r="1433" s="34" customFormat="1"/>
    <row r="1434" s="34" customFormat="1"/>
    <row r="1435" s="34" customFormat="1"/>
    <row r="1436" s="34" customFormat="1"/>
    <row r="1437" s="34" customFormat="1"/>
    <row r="1438" s="34" customFormat="1"/>
    <row r="1439" s="34" customFormat="1"/>
    <row r="1440" s="34" customFormat="1"/>
    <row r="1441" s="34" customFormat="1"/>
    <row r="1442" s="34" customFormat="1"/>
    <row r="1443" s="34" customFormat="1"/>
    <row r="1444" s="34" customFormat="1"/>
    <row r="1445" s="34" customFormat="1"/>
    <row r="1446" s="34" customFormat="1"/>
    <row r="1447" s="34" customFormat="1"/>
    <row r="1448" s="34" customFormat="1"/>
    <row r="1449" s="34" customFormat="1"/>
    <row r="1450" s="34" customFormat="1"/>
    <row r="1451" s="34" customFormat="1"/>
    <row r="1452" s="34" customFormat="1"/>
    <row r="1453" s="34" customFormat="1"/>
    <row r="1454" s="34" customFormat="1"/>
    <row r="1455" s="34" customFormat="1"/>
    <row r="1456" s="34" customFormat="1"/>
    <row r="1457" s="34" customFormat="1"/>
    <row r="1458" s="34" customFormat="1"/>
    <row r="1459" s="34" customFormat="1"/>
    <row r="1460" s="34" customFormat="1"/>
    <row r="1461" s="34" customFormat="1"/>
    <row r="1462" s="34" customFormat="1"/>
    <row r="1463" s="34" customFormat="1"/>
    <row r="1464" s="34" customFormat="1"/>
    <row r="1465" s="34" customFormat="1"/>
    <row r="1466" s="34" customFormat="1"/>
    <row r="1467" s="34" customFormat="1"/>
    <row r="1468" s="34" customFormat="1"/>
    <row r="1469" s="34" customFormat="1"/>
    <row r="1470" s="34" customFormat="1"/>
    <row r="1471" s="34" customFormat="1"/>
    <row r="1472" s="34" customFormat="1"/>
    <row r="1473" s="34" customFormat="1"/>
    <row r="1474" s="34" customFormat="1"/>
    <row r="1475" s="34" customFormat="1"/>
    <row r="1476" s="34" customFormat="1"/>
    <row r="1477" s="34" customFormat="1"/>
    <row r="1478" s="34" customFormat="1"/>
    <row r="1479" s="34" customFormat="1"/>
    <row r="1480" s="34" customFormat="1"/>
    <row r="1481" s="34" customFormat="1"/>
    <row r="1482" s="34" customFormat="1"/>
    <row r="1483" s="34" customFormat="1"/>
    <row r="1484" s="34" customFormat="1"/>
    <row r="1485" s="34" customFormat="1"/>
    <row r="1486" s="34" customFormat="1"/>
    <row r="1487" s="34" customFormat="1"/>
    <row r="1488" s="34" customFormat="1"/>
    <row r="1489" s="34" customFormat="1"/>
    <row r="1490" s="34" customFormat="1"/>
    <row r="1491" s="34" customFormat="1"/>
    <row r="1492" s="34" customFormat="1"/>
    <row r="1493" s="34" customFormat="1"/>
    <row r="1494" s="34" customFormat="1"/>
    <row r="1495" s="34" customFormat="1"/>
    <row r="1496" s="34" customFormat="1"/>
    <row r="1497" s="34" customFormat="1"/>
    <row r="1498" s="34" customFormat="1"/>
    <row r="1499" s="34" customFormat="1"/>
    <row r="1500" s="34" customFormat="1"/>
    <row r="1501" s="34" customFormat="1"/>
    <row r="1502" s="34" customFormat="1"/>
    <row r="1503" s="34" customFormat="1"/>
    <row r="1504" s="34" customFormat="1"/>
    <row r="1505" s="34" customFormat="1"/>
    <row r="1506" s="34" customFormat="1"/>
    <row r="1507" s="34" customFormat="1"/>
    <row r="1508" s="34" customFormat="1"/>
    <row r="1509" s="34" customFormat="1"/>
    <row r="1510" s="34" customFormat="1"/>
    <row r="1511" s="34" customFormat="1"/>
    <row r="1512" s="34" customFormat="1"/>
    <row r="1513" s="34" customFormat="1"/>
    <row r="1514" s="34" customFormat="1"/>
    <row r="1515" s="34" customFormat="1"/>
    <row r="1516" s="34" customFormat="1"/>
    <row r="1517" s="34" customFormat="1"/>
    <row r="1518" s="34" customFormat="1"/>
    <row r="1519" s="34" customFormat="1"/>
    <row r="1520" s="34" customFormat="1"/>
    <row r="1521" s="34" customFormat="1"/>
    <row r="1522" s="34" customFormat="1"/>
    <row r="1523" s="34" customFormat="1"/>
    <row r="1524" s="34" customFormat="1"/>
    <row r="1525" s="34" customFormat="1"/>
    <row r="1526" s="34" customFormat="1"/>
    <row r="1527" s="34" customFormat="1"/>
    <row r="1528" s="34" customFormat="1"/>
    <row r="1529" s="34" customFormat="1"/>
    <row r="1530" s="34" customFormat="1"/>
    <row r="1531" s="34" customFormat="1"/>
    <row r="1532" s="34" customFormat="1"/>
    <row r="1533" s="34" customFormat="1"/>
    <row r="1534" s="34" customFormat="1"/>
    <row r="1535" s="34" customFormat="1"/>
    <row r="1536" s="34" customFormat="1"/>
    <row r="1537" s="34" customFormat="1"/>
    <row r="1538" s="34" customFormat="1"/>
    <row r="1539" s="34" customFormat="1"/>
    <row r="1540" s="34" customFormat="1"/>
    <row r="1541" s="34" customFormat="1"/>
    <row r="1542" s="34" customFormat="1"/>
    <row r="1543" s="34" customFormat="1"/>
    <row r="1544" s="34" customFormat="1"/>
    <row r="1545" s="34" customFormat="1"/>
    <row r="1546" s="34" customFormat="1"/>
    <row r="1547" s="34" customFormat="1"/>
    <row r="1548" s="34" customFormat="1"/>
    <row r="1549" s="34" customFormat="1"/>
    <row r="1550" s="34" customFormat="1"/>
    <row r="1551" s="34" customFormat="1"/>
    <row r="1552" s="34" customFormat="1"/>
    <row r="1553" s="34" customFormat="1"/>
    <row r="1554" s="34" customFormat="1"/>
    <row r="1555" s="34" customFormat="1"/>
    <row r="1556" s="34" customFormat="1"/>
    <row r="1557" s="34" customFormat="1"/>
    <row r="1558" s="34" customFormat="1"/>
    <row r="1559" s="34" customFormat="1"/>
    <row r="1560" s="34" customFormat="1"/>
    <row r="1561" s="34" customFormat="1"/>
    <row r="1562" s="34" customFormat="1"/>
    <row r="1563" s="34" customFormat="1"/>
    <row r="1564" s="34" customFormat="1"/>
    <row r="1565" s="34" customFormat="1"/>
    <row r="1566" s="34" customFormat="1"/>
    <row r="1567" s="34" customFormat="1"/>
    <row r="1568" s="34" customFormat="1"/>
    <row r="1569" s="34" customFormat="1"/>
    <row r="1570" s="34" customFormat="1"/>
    <row r="1571" s="34" customFormat="1"/>
    <row r="1572" s="34" customFormat="1"/>
    <row r="1573" s="34" customFormat="1"/>
    <row r="1574" s="34" customFormat="1"/>
    <row r="1575" s="34" customFormat="1"/>
    <row r="1576" s="34" customFormat="1"/>
    <row r="1577" s="34" customFormat="1"/>
    <row r="1578" s="34" customFormat="1"/>
    <row r="1579" s="34" customFormat="1"/>
    <row r="1580" s="34" customFormat="1"/>
    <row r="1581" s="34" customFormat="1"/>
    <row r="1582" s="34" customFormat="1"/>
    <row r="1583" s="34" customFormat="1"/>
    <row r="1584" s="34" customFormat="1"/>
    <row r="1585" s="34" customFormat="1"/>
    <row r="1586" s="34" customFormat="1"/>
    <row r="1587" s="34" customFormat="1"/>
    <row r="1588" s="34" customFormat="1"/>
    <row r="1589" s="34" customFormat="1"/>
    <row r="1590" s="34" customFormat="1"/>
    <row r="1591" s="34" customFormat="1"/>
    <row r="1592" s="34" customFormat="1"/>
    <row r="1593" s="34" customFormat="1"/>
    <row r="1594" s="34" customFormat="1"/>
    <row r="1595" s="34" customFormat="1"/>
    <row r="1596" s="34" customFormat="1"/>
    <row r="1597" s="34" customFormat="1"/>
    <row r="1598" s="34" customFormat="1"/>
    <row r="1599" s="34" customFormat="1"/>
    <row r="1600" s="34" customFormat="1"/>
    <row r="1601" s="34" customFormat="1"/>
    <row r="1602" s="34" customFormat="1"/>
    <row r="1603" s="34" customFormat="1"/>
    <row r="1604" s="34" customFormat="1"/>
    <row r="1605" s="34" customFormat="1"/>
    <row r="1606" s="34" customFormat="1"/>
    <row r="1607" s="34" customFormat="1"/>
    <row r="1608" s="34" customFormat="1"/>
    <row r="1609" s="34" customFormat="1"/>
    <row r="1610" s="34" customFormat="1"/>
    <row r="1611" s="34" customFormat="1"/>
    <row r="1612" s="34" customFormat="1"/>
    <row r="1613" s="34" customFormat="1"/>
    <row r="1614" s="34" customFormat="1"/>
    <row r="1615" s="34" customFormat="1"/>
    <row r="1616" s="34" customFormat="1"/>
    <row r="1617" s="34" customFormat="1"/>
    <row r="1618" s="34" customFormat="1"/>
    <row r="1619" s="34" customFormat="1"/>
    <row r="1620" s="34" customFormat="1"/>
    <row r="1621" s="34" customFormat="1"/>
    <row r="1622" s="34" customFormat="1"/>
    <row r="1623" s="34" customFormat="1"/>
    <row r="1624" s="34" customFormat="1"/>
    <row r="1625" s="34" customFormat="1"/>
    <row r="1626" s="34" customFormat="1"/>
    <row r="1627" s="34" customFormat="1"/>
    <row r="1628" s="34" customFormat="1"/>
    <row r="1629" s="34" customFormat="1"/>
    <row r="1630" s="34" customFormat="1"/>
    <row r="1631" s="34" customFormat="1"/>
    <row r="1632" s="34" customFormat="1"/>
    <row r="1633" s="34" customFormat="1"/>
    <row r="1634" s="34" customFormat="1"/>
    <row r="1635" s="34" customFormat="1"/>
    <row r="1636" s="34" customFormat="1"/>
    <row r="1637" s="34" customFormat="1"/>
    <row r="1638" s="34" customFormat="1"/>
    <row r="1639" s="34" customFormat="1"/>
    <row r="1640" s="34" customFormat="1"/>
    <row r="1641" s="34" customFormat="1"/>
    <row r="1642" s="34" customFormat="1"/>
    <row r="1643" s="34" customFormat="1"/>
    <row r="1644" s="34" customFormat="1"/>
    <row r="1645" s="34" customFormat="1"/>
    <row r="1646" s="34" customFormat="1"/>
    <row r="1647" s="34" customFormat="1"/>
    <row r="1648" s="34" customFormat="1"/>
    <row r="1649" s="34" customFormat="1"/>
    <row r="1650" s="34" customFormat="1"/>
    <row r="1651" s="34" customFormat="1"/>
    <row r="1652" s="34" customFormat="1"/>
    <row r="1653" s="34" customFormat="1"/>
    <row r="1654" s="34" customFormat="1"/>
    <row r="1655" s="34" customFormat="1"/>
    <row r="1656" s="34" customFormat="1"/>
    <row r="1657" s="34" customFormat="1"/>
    <row r="1658" s="34" customFormat="1"/>
    <row r="1659" s="34" customFormat="1"/>
    <row r="1660" s="34" customFormat="1"/>
    <row r="1661" s="34" customFormat="1"/>
    <row r="1662" s="34" customFormat="1"/>
    <row r="1663" s="34" customFormat="1"/>
    <row r="1664" s="34" customFormat="1"/>
    <row r="1665" s="34" customFormat="1"/>
    <row r="1666" s="34" customFormat="1"/>
    <row r="1667" s="34" customFormat="1"/>
    <row r="1668" s="34" customFormat="1"/>
    <row r="1669" s="34" customFormat="1"/>
    <row r="1670" s="34" customFormat="1"/>
    <row r="1671" s="34" customFormat="1"/>
    <row r="1672" s="34" customFormat="1"/>
    <row r="1673" s="34" customFormat="1"/>
    <row r="1674" s="34" customFormat="1"/>
    <row r="1675" s="34" customFormat="1"/>
    <row r="1676" s="34" customFormat="1"/>
    <row r="1677" s="34" customFormat="1"/>
    <row r="1678" s="34" customFormat="1"/>
    <row r="1679" s="34" customFormat="1"/>
    <row r="1680" s="34" customFormat="1"/>
    <row r="1681" s="34" customFormat="1"/>
    <row r="1682" s="34" customFormat="1"/>
    <row r="1683" s="34" customFormat="1"/>
    <row r="1684" s="34" customFormat="1"/>
    <row r="1685" s="34" customFormat="1"/>
    <row r="1686" s="34" customFormat="1"/>
    <row r="1687" s="34" customFormat="1"/>
    <row r="1688" s="34" customFormat="1"/>
    <row r="1689" s="34" customFormat="1"/>
    <row r="1690" s="34" customFormat="1"/>
    <row r="1691" s="34" customFormat="1"/>
    <row r="1692" s="34" customFormat="1"/>
    <row r="1693" s="34" customFormat="1"/>
    <row r="1694" s="34" customFormat="1"/>
    <row r="1695" s="34" customFormat="1"/>
    <row r="1696" s="34" customFormat="1"/>
    <row r="1697" s="34" customFormat="1"/>
    <row r="1698" s="34" customFormat="1"/>
    <row r="1699" s="34" customFormat="1"/>
    <row r="1700" s="34" customFormat="1"/>
    <row r="1701" s="34" customFormat="1"/>
    <row r="1702" s="34" customFormat="1"/>
    <row r="1703" s="34" customFormat="1"/>
    <row r="1704" s="34" customFormat="1"/>
    <row r="1705" s="34" customFormat="1"/>
    <row r="1706" s="34" customFormat="1"/>
    <row r="1707" s="34" customFormat="1"/>
    <row r="1708" s="34" customFormat="1"/>
    <row r="1709" s="34" customFormat="1"/>
    <row r="1710" s="34" customFormat="1"/>
    <row r="1711" s="34" customFormat="1"/>
    <row r="1712" s="34" customFormat="1"/>
    <row r="1713" s="34" customFormat="1"/>
    <row r="1714" s="34" customFormat="1"/>
    <row r="1715" s="34" customFormat="1"/>
    <row r="1716" s="34" customFormat="1"/>
    <row r="1717" s="34" customFormat="1"/>
    <row r="1718" s="34" customFormat="1"/>
    <row r="1719" s="34" customFormat="1"/>
    <row r="1720" s="34" customFormat="1"/>
    <row r="1721" s="34" customFormat="1"/>
    <row r="1722" s="34" customFormat="1"/>
    <row r="1723" s="34" customFormat="1"/>
    <row r="1724" s="34" customFormat="1"/>
    <row r="1725" s="34" customFormat="1"/>
    <row r="1726" s="34" customFormat="1"/>
    <row r="1727" s="34" customFormat="1"/>
    <row r="1728" s="34" customFormat="1"/>
    <row r="1729" s="34" customFormat="1"/>
    <row r="1730" s="34" customFormat="1"/>
    <row r="1731" s="34" customFormat="1"/>
    <row r="1732" s="34" customFormat="1"/>
    <row r="1733" s="34" customFormat="1"/>
    <row r="1734" s="34" customFormat="1"/>
    <row r="1735" s="34" customFormat="1"/>
    <row r="1736" s="34" customFormat="1"/>
    <row r="1737" s="34" customFormat="1"/>
    <row r="1738" s="34" customFormat="1"/>
    <row r="1739" s="34" customFormat="1"/>
    <row r="1740" s="34" customFormat="1"/>
    <row r="1741" s="34" customFormat="1"/>
    <row r="1742" s="34" customFormat="1"/>
    <row r="1743" s="34" customFormat="1"/>
    <row r="1744" s="34" customFormat="1"/>
    <row r="1745" s="34" customFormat="1"/>
    <row r="1746" s="34" customFormat="1"/>
    <row r="1747" s="34" customFormat="1"/>
    <row r="1748" s="34" customFormat="1"/>
    <row r="1749" s="34" customFormat="1"/>
    <row r="1750" s="34" customFormat="1"/>
    <row r="1751" s="34" customFormat="1"/>
    <row r="1752" s="34" customFormat="1"/>
    <row r="1753" s="34" customFormat="1"/>
    <row r="1754" s="34" customFormat="1"/>
    <row r="1755" s="34" customFormat="1"/>
    <row r="1756" s="34" customFormat="1"/>
    <row r="1757" s="34" customFormat="1"/>
    <row r="1758" s="34" customFormat="1"/>
    <row r="1759" s="34" customFormat="1"/>
    <row r="1760" s="34" customFormat="1"/>
    <row r="1761" s="34" customFormat="1"/>
    <row r="1762" s="34" customFormat="1"/>
    <row r="1763" s="34" customFormat="1"/>
    <row r="1764" s="34" customFormat="1"/>
    <row r="1765" s="34" customFormat="1"/>
    <row r="1766" s="34" customFormat="1"/>
    <row r="1767" s="34" customFormat="1"/>
    <row r="1768" s="34" customFormat="1"/>
    <row r="1769" s="34" customFormat="1"/>
    <row r="1770" s="34" customFormat="1"/>
    <row r="1771" s="34" customFormat="1"/>
    <row r="1772" s="34" customFormat="1"/>
    <row r="1773" s="34" customFormat="1"/>
    <row r="1774" s="34" customFormat="1"/>
    <row r="1775" s="34" customFormat="1"/>
    <row r="1776" s="34" customFormat="1"/>
    <row r="1777" s="34" customFormat="1"/>
    <row r="1778" s="34" customFormat="1"/>
    <row r="1779" s="34" customFormat="1"/>
    <row r="1780" s="34" customFormat="1"/>
    <row r="1781" s="34" customFormat="1"/>
    <row r="1782" s="34" customFormat="1"/>
    <row r="1783" s="34" customFormat="1"/>
    <row r="1784" s="34" customFormat="1"/>
    <row r="1785" s="34" customFormat="1"/>
    <row r="1786" s="34" customFormat="1"/>
    <row r="1787" s="34" customFormat="1"/>
    <row r="1788" s="34" customFormat="1"/>
    <row r="1789" s="34" customFormat="1"/>
    <row r="1790" s="34" customFormat="1"/>
    <row r="1791" s="34" customFormat="1"/>
    <row r="1792" s="34" customFormat="1"/>
    <row r="1793" s="34" customFormat="1"/>
    <row r="1794" s="34" customFormat="1"/>
    <row r="1795" s="34" customFormat="1"/>
    <row r="1796" s="34" customFormat="1"/>
    <row r="1797" s="34" customFormat="1"/>
    <row r="1798" s="34" customFormat="1"/>
    <row r="1799" s="34" customFormat="1"/>
    <row r="1800" s="34" customFormat="1"/>
    <row r="1801" s="34" customFormat="1"/>
    <row r="1802" s="34" customFormat="1"/>
    <row r="1803" s="34" customFormat="1"/>
    <row r="1804" s="34" customFormat="1"/>
    <row r="1805" s="34" customFormat="1"/>
    <row r="1806" s="34" customFormat="1"/>
    <row r="1807" s="34" customFormat="1"/>
    <row r="1808" s="34" customFormat="1"/>
    <row r="1809" s="34" customFormat="1"/>
    <row r="1810" s="34" customFormat="1"/>
    <row r="1811" s="34" customFormat="1"/>
    <row r="1812" s="34" customFormat="1"/>
    <row r="1813" s="34" customFormat="1"/>
    <row r="1814" s="34" customFormat="1"/>
    <row r="1815" s="34" customFormat="1"/>
    <row r="1816" s="34" customFormat="1"/>
    <row r="1817" s="34" customFormat="1"/>
    <row r="1818" s="34" customFormat="1"/>
    <row r="1819" s="34" customFormat="1"/>
    <row r="1820" s="34" customFormat="1"/>
    <row r="1821" s="34" customFormat="1"/>
    <row r="1822" s="34" customFormat="1"/>
    <row r="1823" s="34" customFormat="1"/>
    <row r="1824" s="34" customFormat="1"/>
    <row r="1825" s="34" customFormat="1"/>
    <row r="1826" s="34" customFormat="1"/>
    <row r="1827" s="34" customFormat="1"/>
    <row r="1828" s="34" customFormat="1"/>
    <row r="1829" s="34" customFormat="1"/>
    <row r="1830" s="34" customFormat="1"/>
    <row r="1831" s="34" customFormat="1"/>
    <row r="1832" s="34" customFormat="1"/>
    <row r="1833" s="34" customFormat="1"/>
    <row r="1834" s="34" customFormat="1"/>
    <row r="1835" s="34" customFormat="1"/>
    <row r="1836" s="34" customFormat="1"/>
    <row r="1837" s="34" customFormat="1"/>
    <row r="1838" s="34" customFormat="1"/>
    <row r="1839" s="34" customFormat="1"/>
    <row r="1840" s="34" customFormat="1"/>
    <row r="1841" s="34" customFormat="1"/>
    <row r="1842" s="34" customFormat="1"/>
    <row r="1843" s="34" customFormat="1"/>
    <row r="1844" s="34" customFormat="1"/>
    <row r="1845" s="34" customFormat="1"/>
    <row r="1846" s="34" customFormat="1"/>
    <row r="1847" s="34" customFormat="1"/>
    <row r="1848" s="34" customFormat="1"/>
    <row r="1849" s="34" customFormat="1"/>
    <row r="1850" s="34" customFormat="1"/>
    <row r="1851" s="34" customFormat="1"/>
    <row r="1852" s="34" customFormat="1"/>
    <row r="1853" s="34" customFormat="1"/>
    <row r="1854" s="34" customFormat="1"/>
    <row r="1855" s="34" customFormat="1"/>
    <row r="1856" s="34" customFormat="1"/>
    <row r="1857" s="34" customFormat="1"/>
    <row r="1858" s="34" customFormat="1"/>
    <row r="1859" s="34" customFormat="1"/>
    <row r="1860" s="34" customFormat="1"/>
    <row r="1861" s="34" customFormat="1"/>
    <row r="1862" s="34" customFormat="1"/>
    <row r="1863" s="34" customFormat="1"/>
    <row r="1864" s="34" customFormat="1"/>
    <row r="1865" s="34" customFormat="1"/>
    <row r="1866" s="34" customFormat="1"/>
    <row r="1867" s="34" customFormat="1"/>
    <row r="1868" s="34" customFormat="1"/>
    <row r="1869" s="34" customFormat="1"/>
    <row r="1870" s="34" customFormat="1"/>
    <row r="1871" s="34" customFormat="1"/>
    <row r="1872" s="34" customFormat="1"/>
    <row r="1873" s="34" customFormat="1"/>
    <row r="1874" s="34" customFormat="1"/>
    <row r="1875" s="34" customFormat="1"/>
    <row r="1876" s="34" customFormat="1"/>
    <row r="1877" s="34" customFormat="1"/>
    <row r="1878" s="34" customFormat="1"/>
    <row r="1879" s="34" customFormat="1"/>
    <row r="1880" s="34" customFormat="1"/>
    <row r="1881" s="34" customFormat="1"/>
    <row r="1882" s="34" customFormat="1"/>
    <row r="1883" s="34" customFormat="1"/>
    <row r="1884" s="34" customFormat="1"/>
    <row r="1885" s="34" customFormat="1"/>
    <row r="1886" s="34" customFormat="1"/>
    <row r="1887" s="34" customFormat="1"/>
    <row r="1888" s="34" customFormat="1"/>
    <row r="1889" s="34" customFormat="1"/>
    <row r="1890" s="34" customFormat="1"/>
    <row r="1891" s="34" customFormat="1"/>
    <row r="1892" s="34" customFormat="1"/>
    <row r="1893" s="34" customFormat="1"/>
    <row r="1894" s="34" customFormat="1"/>
    <row r="1895" s="34" customFormat="1"/>
    <row r="1896" s="34" customFormat="1"/>
    <row r="1897" s="34" customFormat="1"/>
    <row r="1898" s="34" customFormat="1"/>
    <row r="1899" s="34" customFormat="1"/>
    <row r="1900" s="34" customFormat="1"/>
    <row r="1901" s="34" customFormat="1"/>
    <row r="1902" s="34" customFormat="1"/>
    <row r="1903" s="34" customFormat="1"/>
    <row r="1904" s="34" customFormat="1"/>
    <row r="1905" s="34" customFormat="1"/>
    <row r="1906" s="34" customFormat="1"/>
    <row r="1907" s="34" customFormat="1"/>
    <row r="1908" s="34" customFormat="1"/>
    <row r="1909" s="34" customFormat="1"/>
    <row r="1910" s="34" customFormat="1"/>
    <row r="1911" s="34" customFormat="1"/>
    <row r="1912" s="34" customFormat="1"/>
    <row r="1913" s="34" customFormat="1"/>
    <row r="1914" s="34" customFormat="1"/>
    <row r="1915" s="34" customFormat="1"/>
    <row r="1916" s="34" customFormat="1"/>
    <row r="1917" s="34" customFormat="1"/>
    <row r="1918" s="34" customFormat="1"/>
    <row r="1919" s="34" customFormat="1"/>
    <row r="1920" s="34" customFormat="1"/>
    <row r="1921" s="34" customFormat="1"/>
    <row r="1922" s="34" customFormat="1"/>
    <row r="1923" s="34" customFormat="1"/>
    <row r="1924" s="34" customFormat="1"/>
    <row r="1925" s="34" customFormat="1"/>
    <row r="1926" s="34" customFormat="1"/>
    <row r="1927" s="34" customFormat="1"/>
    <row r="1928" s="34" customFormat="1"/>
    <row r="1929" s="34" customFormat="1"/>
    <row r="1930" s="34" customFormat="1"/>
    <row r="1931" s="34" customFormat="1"/>
    <row r="1932" s="34" customFormat="1"/>
    <row r="1933" s="34" customFormat="1"/>
    <row r="1934" s="34" customFormat="1"/>
    <row r="1935" s="34" customFormat="1"/>
    <row r="1936" s="34" customFormat="1"/>
    <row r="1937" s="34" customFormat="1"/>
    <row r="1938" s="34" customFormat="1"/>
    <row r="1939" s="34" customFormat="1"/>
    <row r="1940" s="34" customFormat="1"/>
    <row r="1941" s="34" customFormat="1"/>
    <row r="1942" s="34" customFormat="1"/>
    <row r="1943" s="34" customFormat="1"/>
    <row r="1944" s="34" customFormat="1"/>
    <row r="1945" s="34" customFormat="1"/>
    <row r="1946" s="34" customFormat="1"/>
    <row r="1947" s="34" customFormat="1"/>
    <row r="1948" s="34" customFormat="1"/>
    <row r="1949" s="34" customFormat="1"/>
    <row r="1950" s="34" customFormat="1"/>
    <row r="1951" s="34" customFormat="1"/>
    <row r="1952" s="34" customFormat="1"/>
    <row r="1953" s="34" customFormat="1"/>
    <row r="1954" s="34" customFormat="1"/>
    <row r="1955" s="34" customFormat="1"/>
    <row r="1956" s="34" customFormat="1"/>
    <row r="1957" s="34" customFormat="1"/>
    <row r="1958" s="34" customFormat="1"/>
    <row r="1959" s="34" customFormat="1"/>
    <row r="1960" s="34" customFormat="1"/>
    <row r="1961" s="34" customFormat="1"/>
    <row r="1962" s="34" customFormat="1"/>
    <row r="1963" s="34" customFormat="1"/>
    <row r="1964" s="34" customFormat="1"/>
    <row r="1965" s="34" customFormat="1"/>
    <row r="1966" s="34" customFormat="1"/>
    <row r="1967" s="34" customFormat="1"/>
    <row r="1968" s="34" customFormat="1"/>
    <row r="1969" s="34" customFormat="1"/>
    <row r="1970" s="34" customFormat="1"/>
    <row r="1971" s="34" customFormat="1"/>
    <row r="1972" s="34" customFormat="1"/>
    <row r="1973" s="34" customFormat="1"/>
    <row r="1974" s="34" customFormat="1"/>
    <row r="1975" s="34" customFormat="1"/>
    <row r="1976" s="34" customFormat="1"/>
    <row r="1977" s="34" customFormat="1"/>
    <row r="1978" s="34" customFormat="1"/>
    <row r="1979" s="34" customFormat="1"/>
    <row r="1980" s="34" customFormat="1"/>
    <row r="1981" s="34" customFormat="1"/>
    <row r="1982" s="34" customFormat="1"/>
    <row r="1983" s="34" customFormat="1"/>
    <row r="1984" s="34" customFormat="1"/>
    <row r="1985" s="34" customFormat="1"/>
    <row r="1986" s="34" customFormat="1"/>
    <row r="1987" s="34" customFormat="1"/>
    <row r="1988" s="34" customFormat="1"/>
    <row r="1989" s="34" customFormat="1"/>
    <row r="1990" s="34" customFormat="1"/>
    <row r="1991" s="34" customFormat="1"/>
    <row r="1992" s="34" customFormat="1"/>
    <row r="1993" s="34" customFormat="1"/>
    <row r="1994" s="34" customFormat="1"/>
    <row r="1995" s="34" customFormat="1"/>
    <row r="1996" s="34" customFormat="1"/>
    <row r="1997" s="34" customFormat="1"/>
    <row r="1998" s="34" customFormat="1"/>
    <row r="1999" s="34" customFormat="1"/>
    <row r="2000" s="34" customFormat="1"/>
    <row r="2001" s="34" customFormat="1"/>
    <row r="2002" s="34" customFormat="1"/>
    <row r="2003" s="34" customFormat="1"/>
    <row r="2004" s="34" customFormat="1"/>
    <row r="2005" s="34" customFormat="1"/>
    <row r="2006" s="34" customFormat="1"/>
    <row r="2007" s="34" customFormat="1"/>
    <row r="2008" s="34" customFormat="1"/>
    <row r="2009" s="34" customFormat="1"/>
    <row r="2010" s="34" customFormat="1"/>
    <row r="2011" s="34" customFormat="1"/>
    <row r="2012" s="34" customFormat="1"/>
    <row r="2013" s="34" customFormat="1"/>
    <row r="2014" s="34" customFormat="1"/>
    <row r="2015" s="34" customFormat="1"/>
    <row r="2016" s="34" customFormat="1"/>
    <row r="2017" s="34" customFormat="1"/>
    <row r="2018" s="34" customFormat="1"/>
    <row r="2019" s="34" customFormat="1"/>
    <row r="2020" s="34" customFormat="1"/>
    <row r="2021" s="34" customFormat="1"/>
    <row r="2022" s="34" customFormat="1"/>
    <row r="2023" s="34" customFormat="1"/>
    <row r="2024" s="34" customFormat="1"/>
    <row r="2025" s="34" customFormat="1"/>
    <row r="2026" s="34" customFormat="1"/>
    <row r="2027" s="34" customFormat="1"/>
    <row r="2028" s="34" customFormat="1"/>
    <row r="2029" s="34" customFormat="1"/>
    <row r="2030" s="34" customFormat="1"/>
    <row r="2031" s="34" customFormat="1"/>
    <row r="2032" s="34" customFormat="1"/>
    <row r="2033" s="34" customFormat="1"/>
    <row r="2034" s="34" customFormat="1"/>
    <row r="2035" s="34" customFormat="1"/>
    <row r="2036" s="34" customFormat="1"/>
    <row r="2037" s="34" customFormat="1"/>
    <row r="2038" s="34" customFormat="1"/>
    <row r="2039" s="34" customFormat="1"/>
    <row r="2040" s="34" customFormat="1"/>
    <row r="2041" s="34" customFormat="1"/>
    <row r="2042" s="34" customFormat="1"/>
    <row r="2043" s="34" customFormat="1"/>
    <row r="2044" s="34" customFormat="1"/>
    <row r="2045" s="34" customFormat="1"/>
    <row r="2046" s="34" customFormat="1"/>
    <row r="2047" s="34" customFormat="1"/>
    <row r="2048" s="34" customFormat="1"/>
    <row r="2049" s="34" customFormat="1"/>
    <row r="2050" s="34" customFormat="1"/>
    <row r="2051" s="34" customFormat="1"/>
    <row r="2052" s="34" customFormat="1"/>
    <row r="2053" s="34" customFormat="1"/>
    <row r="2054" s="34" customFormat="1"/>
    <row r="2055" s="34" customFormat="1"/>
    <row r="2056" s="34" customFormat="1"/>
    <row r="2057" s="34" customFormat="1"/>
    <row r="2058" s="34" customFormat="1"/>
    <row r="2059" s="34" customFormat="1"/>
    <row r="2060" s="34" customFormat="1"/>
    <row r="2061" s="34" customFormat="1"/>
    <row r="2062" s="34" customFormat="1"/>
    <row r="2063" s="34" customFormat="1"/>
    <row r="2064" s="34" customFormat="1"/>
    <row r="2065" s="34" customFormat="1"/>
    <row r="2066" s="34" customFormat="1"/>
    <row r="2067" s="34" customFormat="1"/>
    <row r="2068" s="34" customFormat="1"/>
    <row r="2069" s="34" customFormat="1"/>
    <row r="2070" s="34" customFormat="1"/>
    <row r="2071" s="34" customFormat="1"/>
    <row r="2072" s="34" customFormat="1"/>
    <row r="2073" s="34" customFormat="1"/>
    <row r="2074" s="34" customFormat="1"/>
    <row r="2075" s="34" customFormat="1"/>
    <row r="2076" s="34" customFormat="1"/>
    <row r="2077" s="34" customFormat="1"/>
    <row r="2078" s="34" customFormat="1"/>
    <row r="2079" s="34" customFormat="1"/>
    <row r="2080" s="34" customFormat="1"/>
    <row r="2081" s="34" customFormat="1"/>
    <row r="2082" s="34" customFormat="1"/>
    <row r="2083" s="34" customFormat="1"/>
    <row r="2084" s="34" customFormat="1"/>
    <row r="2085" s="34" customFormat="1"/>
    <row r="2086" s="34" customFormat="1"/>
    <row r="2087" s="34" customFormat="1"/>
    <row r="2088" s="34" customFormat="1"/>
    <row r="2089" s="34" customFormat="1"/>
    <row r="2090" s="34" customFormat="1"/>
    <row r="2091" s="34" customFormat="1"/>
    <row r="2092" s="34" customFormat="1"/>
    <row r="2093" s="34" customFormat="1"/>
    <row r="2094" s="34" customFormat="1"/>
    <row r="2095" s="34" customFormat="1"/>
    <row r="2096" s="34" customFormat="1"/>
    <row r="2097" s="34" customFormat="1"/>
    <row r="2098" s="34" customFormat="1"/>
    <row r="2099" s="34" customFormat="1"/>
    <row r="2100" s="34" customFormat="1"/>
    <row r="2101" s="34" customFormat="1"/>
    <row r="2102" s="34" customFormat="1"/>
    <row r="2103" s="34" customFormat="1"/>
    <row r="2104" s="34" customFormat="1"/>
    <row r="2105" s="34" customFormat="1"/>
    <row r="2106" s="34" customFormat="1"/>
    <row r="2107" s="34" customFormat="1"/>
    <row r="2108" s="34" customFormat="1"/>
    <row r="2109" s="34" customFormat="1"/>
    <row r="2110" s="34" customFormat="1"/>
    <row r="2111" s="34" customFormat="1"/>
    <row r="2112" s="34" customFormat="1"/>
    <row r="2113" s="34" customFormat="1"/>
    <row r="2114" s="34" customFormat="1"/>
    <row r="2115" s="34" customFormat="1"/>
    <row r="2116" s="34" customFormat="1"/>
    <row r="2117" s="34" customFormat="1"/>
    <row r="2118" s="34" customFormat="1"/>
    <row r="2119" s="34" customFormat="1"/>
    <row r="2120" s="34" customFormat="1"/>
    <row r="2121" s="34" customFormat="1"/>
    <row r="2122" s="34" customFormat="1"/>
    <row r="2123" s="34" customFormat="1"/>
    <row r="2124" s="34" customFormat="1"/>
    <row r="2125" s="34" customFormat="1"/>
    <row r="2126" s="34" customFormat="1"/>
    <row r="2127" s="34" customFormat="1"/>
    <row r="2128" s="34" customFormat="1"/>
    <row r="2129" s="34" customFormat="1"/>
    <row r="2130" s="34" customFormat="1"/>
    <row r="2131" s="34" customFormat="1"/>
    <row r="2132" s="34" customFormat="1"/>
    <row r="2133" s="34" customFormat="1"/>
    <row r="2134" s="34" customFormat="1"/>
    <row r="2135" s="34" customFormat="1"/>
    <row r="2136" s="34" customFormat="1"/>
    <row r="2137" s="34" customFormat="1"/>
    <row r="2138" s="34" customFormat="1"/>
    <row r="2139" s="34" customFormat="1"/>
    <row r="2140" s="34" customFormat="1"/>
    <row r="2141" s="34" customFormat="1"/>
    <row r="2142" s="34" customFormat="1"/>
    <row r="2143" s="34" customFormat="1"/>
    <row r="2144" s="34" customFormat="1"/>
    <row r="2145" s="34" customFormat="1"/>
    <row r="2146" s="34" customFormat="1"/>
    <row r="2147" s="34" customFormat="1"/>
    <row r="2148" s="34" customFormat="1"/>
    <row r="2149" s="34" customFormat="1"/>
    <row r="2150" s="34" customFormat="1"/>
    <row r="2151" s="34" customFormat="1"/>
    <row r="2152" s="34" customFormat="1"/>
    <row r="2153" s="34" customFormat="1"/>
    <row r="2154" s="34" customFormat="1"/>
    <row r="2155" s="34" customFormat="1"/>
    <row r="2156" s="34" customFormat="1"/>
    <row r="2157" s="34" customFormat="1"/>
    <row r="2158" s="34" customFormat="1"/>
    <row r="2159" s="34" customFormat="1"/>
    <row r="2160" s="34" customFormat="1"/>
    <row r="2161" s="34" customFormat="1"/>
    <row r="2162" s="34" customFormat="1"/>
    <row r="2163" s="34" customFormat="1"/>
    <row r="2164" s="34" customFormat="1"/>
    <row r="2165" s="34" customFormat="1"/>
    <row r="2166" s="34" customFormat="1"/>
    <row r="2167" s="34" customFormat="1"/>
    <row r="2168" s="34" customFormat="1"/>
    <row r="2169" s="34" customFormat="1"/>
    <row r="2170" s="34" customFormat="1"/>
    <row r="2171" s="34" customFormat="1"/>
    <row r="2172" s="34" customFormat="1"/>
    <row r="2173" s="34" customFormat="1"/>
    <row r="2174" s="34" customFormat="1"/>
    <row r="2175" s="34" customFormat="1"/>
    <row r="2176" s="34" customFormat="1"/>
    <row r="2177" s="34" customFormat="1"/>
    <row r="2178" s="34" customFormat="1"/>
    <row r="2179" s="34" customFormat="1"/>
    <row r="2180" s="34" customFormat="1"/>
    <row r="2181" s="34" customFormat="1"/>
    <row r="2182" s="34" customFormat="1"/>
    <row r="2183" s="34" customFormat="1"/>
    <row r="2184" s="34" customFormat="1"/>
    <row r="2185" s="34" customFormat="1"/>
    <row r="2186" s="34" customFormat="1"/>
    <row r="2187" s="34" customFormat="1"/>
    <row r="2188" s="34" customFormat="1"/>
    <row r="2189" s="34" customFormat="1"/>
    <row r="2190" s="34" customFormat="1"/>
    <row r="2191" s="34" customFormat="1"/>
    <row r="2192" s="34" customFormat="1"/>
    <row r="2193" s="34" customFormat="1"/>
    <row r="2194" s="34" customFormat="1"/>
    <row r="2195" s="34" customFormat="1"/>
    <row r="2196" s="34" customFormat="1"/>
    <row r="2197" s="34" customFormat="1"/>
    <row r="2198" s="34" customFormat="1"/>
    <row r="2199" s="34" customFormat="1"/>
    <row r="2200" s="34" customFormat="1"/>
    <row r="2201" s="34" customFormat="1"/>
    <row r="2202" s="34" customFormat="1"/>
    <row r="2203" s="34" customFormat="1"/>
    <row r="2204" s="34" customFormat="1"/>
    <row r="2205" s="34" customFormat="1"/>
    <row r="2206" s="34" customFormat="1"/>
    <row r="2207" s="34" customFormat="1"/>
    <row r="2208" s="34" customFormat="1"/>
    <row r="2209" s="34" customFormat="1"/>
    <row r="2210" s="34" customFormat="1"/>
    <row r="2211" s="34" customFormat="1"/>
    <row r="2212" s="34" customFormat="1"/>
    <row r="2213" s="34" customFormat="1"/>
    <row r="2214" s="34" customFormat="1"/>
    <row r="2215" s="34" customFormat="1"/>
    <row r="2216" s="34" customFormat="1"/>
    <row r="2217" s="34" customFormat="1"/>
    <row r="2218" s="34" customFormat="1"/>
    <row r="2219" s="34" customFormat="1"/>
    <row r="2220" s="34" customFormat="1"/>
    <row r="2221" s="34" customFormat="1"/>
    <row r="2222" s="34" customFormat="1"/>
    <row r="2223" s="34" customFormat="1"/>
    <row r="2224" s="34" customFormat="1"/>
    <row r="2225" s="34" customFormat="1"/>
    <row r="2226" s="34" customFormat="1"/>
    <row r="2227" s="34" customFormat="1"/>
    <row r="2228" s="34" customFormat="1"/>
    <row r="2229" s="34" customFormat="1"/>
    <row r="2230" s="34" customFormat="1"/>
    <row r="2231" s="34" customFormat="1"/>
    <row r="2232" s="34" customFormat="1"/>
    <row r="2233" s="34" customFormat="1"/>
    <row r="2234" s="34" customFormat="1"/>
    <row r="2235" s="34" customFormat="1"/>
    <row r="2236" s="34" customFormat="1"/>
    <row r="2237" s="34" customFormat="1"/>
    <row r="2238" s="34" customFormat="1"/>
  </sheetData>
  <sheetProtection password="8B10" sheet="1" objects="1" scenarios="1"/>
  <phoneticPr fontId="2" type="noConversion"/>
  <pageMargins left="0.70866141732283472" right="0.70866141732283472" top="1.0236220472440944" bottom="1.0236220472440944" header="0.39370078740157483" footer="0.39370078740157483"/>
  <pageSetup paperSize="9" scale="84" orientation="landscape" r:id="rId1"/>
  <headerFooter alignWithMargins="0">
    <oddFooter>&amp;L&amp;"Frutiger 57Cn,Standard"&amp;8
Santander Consumer Bank AG
Santander-Platz 1
41061 Mönchengladbach
Tel.: +49 180 / 5556 - 499
Fax.: +49 180 / 5556 - 498</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O2224"/>
  <sheetViews>
    <sheetView view="pageBreakPreview" zoomScale="75" zoomScaleNormal="70" zoomScaleSheetLayoutView="75" workbookViewId="0">
      <selection activeCell="B3" sqref="B3"/>
    </sheetView>
  </sheetViews>
  <sheetFormatPr defaultRowHeight="12.75"/>
  <cols>
    <col min="1" max="1" width="1.28515625" style="31" customWidth="1"/>
    <col min="2" max="2" width="27.85546875" style="31" customWidth="1"/>
    <col min="3" max="3" width="20.85546875" style="31" customWidth="1"/>
    <col min="4" max="4" width="10.7109375" style="31" customWidth="1"/>
    <col min="5" max="5" width="12.140625" style="31" customWidth="1"/>
    <col min="6" max="6" width="10.28515625" style="31" customWidth="1"/>
    <col min="7" max="7" width="10.7109375" style="31" customWidth="1"/>
    <col min="8" max="8" width="13.140625" style="31" customWidth="1"/>
    <col min="9" max="9" width="10.7109375" style="31" customWidth="1"/>
    <col min="10" max="10" width="12.85546875" style="31" customWidth="1"/>
    <col min="11" max="12" width="10.7109375" style="31" customWidth="1"/>
    <col min="13" max="256" width="11.42578125" style="31" customWidth="1"/>
    <col min="257" max="16384" width="9.140625" style="31"/>
  </cols>
  <sheetData>
    <row r="1" spans="1:15" ht="6" customHeight="1">
      <c r="A1" s="35"/>
      <c r="B1" s="36"/>
      <c r="C1" s="36"/>
      <c r="D1" s="36"/>
      <c r="E1" s="36"/>
      <c r="F1" s="36"/>
      <c r="G1" s="36"/>
      <c r="H1" s="36"/>
      <c r="I1" s="36"/>
      <c r="J1" s="36"/>
      <c r="K1" s="36"/>
      <c r="L1" s="36"/>
      <c r="M1" s="37"/>
      <c r="N1" s="40"/>
      <c r="O1" s="34"/>
    </row>
    <row r="2" spans="1:15" s="27" customFormat="1" ht="18">
      <c r="A2" s="5"/>
      <c r="B2" s="7" t="s">
        <v>198</v>
      </c>
      <c r="C2" s="7"/>
      <c r="D2" s="4"/>
      <c r="E2" s="833" t="s">
        <v>54</v>
      </c>
      <c r="F2" s="834"/>
      <c r="G2" s="109"/>
      <c r="H2" s="110">
        <f>'Cover Sheet'!F2</f>
        <v>41191</v>
      </c>
      <c r="I2" s="547"/>
      <c r="J2" s="109"/>
      <c r="K2" s="109"/>
      <c r="L2" s="111"/>
      <c r="M2" s="8"/>
      <c r="N2" s="4"/>
      <c r="O2" s="4"/>
    </row>
    <row r="3" spans="1:15" s="27" customFormat="1" ht="18">
      <c r="A3" s="5"/>
      <c r="B3" s="7" t="str">
        <f>'Cover Sheet'!B3</f>
        <v>Monthly Investor Report</v>
      </c>
      <c r="C3" s="7"/>
      <c r="D3" s="4"/>
      <c r="E3" s="835" t="s">
        <v>4</v>
      </c>
      <c r="F3" s="836"/>
      <c r="G3" s="114"/>
      <c r="H3" s="114">
        <f>'Cover Sheet'!F3</f>
        <v>41197</v>
      </c>
      <c r="I3" s="548"/>
      <c r="J3" s="113"/>
      <c r="K3" s="113"/>
      <c r="L3" s="115"/>
      <c r="M3" s="8"/>
      <c r="N3" s="4"/>
      <c r="O3" s="4"/>
    </row>
    <row r="4" spans="1:15" s="27" customFormat="1">
      <c r="A4" s="5"/>
      <c r="B4" s="42"/>
      <c r="C4" s="12"/>
      <c r="D4" s="4"/>
      <c r="E4" s="835" t="s">
        <v>5</v>
      </c>
      <c r="F4" s="836"/>
      <c r="G4" s="122"/>
      <c r="H4" s="122">
        <f>'Cover Sheet'!F4</f>
        <v>27</v>
      </c>
      <c r="I4" s="549"/>
      <c r="J4" s="117"/>
      <c r="K4" s="113"/>
      <c r="L4" s="118"/>
      <c r="M4" s="8"/>
      <c r="N4" s="4"/>
      <c r="O4" s="4"/>
    </row>
    <row r="5" spans="1:15" s="27" customFormat="1" ht="18">
      <c r="A5" s="5"/>
      <c r="B5" s="105" t="s">
        <v>408</v>
      </c>
      <c r="C5" s="14"/>
      <c r="D5" s="4"/>
      <c r="E5" s="835" t="s">
        <v>3</v>
      </c>
      <c r="F5" s="836"/>
      <c r="G5" s="123"/>
      <c r="H5" s="123">
        <f>'Cover Sheet'!F5</f>
        <v>41197</v>
      </c>
      <c r="I5" s="113"/>
      <c r="J5" s="117"/>
      <c r="K5" s="113"/>
      <c r="L5" s="118"/>
      <c r="M5" s="8"/>
      <c r="N5" s="4"/>
      <c r="O5" s="4"/>
    </row>
    <row r="6" spans="1:15" s="27" customFormat="1" ht="15" customHeight="1">
      <c r="A6" s="5"/>
      <c r="B6" s="43"/>
      <c r="C6" s="89"/>
      <c r="D6" s="4"/>
      <c r="E6" s="837" t="str">
        <f>'Cover Sheet'!D6</f>
        <v>Interest Period</v>
      </c>
      <c r="F6" s="838"/>
      <c r="G6" s="114" t="s">
        <v>38</v>
      </c>
      <c r="H6" s="114">
        <f>'Cover Sheet'!F6</f>
        <v>41164</v>
      </c>
      <c r="I6" s="114" t="str">
        <f>'Cover Sheet'!G6</f>
        <v>to</v>
      </c>
      <c r="J6" s="114">
        <f>'Cover Sheet'!H6</f>
        <v>41197</v>
      </c>
      <c r="K6" s="114" t="s">
        <v>18</v>
      </c>
      <c r="L6" s="586" t="str">
        <f>'Cover Sheet'!$J$6</f>
        <v>33 days</v>
      </c>
      <c r="M6" s="215"/>
      <c r="N6" s="4"/>
      <c r="O6" s="4"/>
    </row>
    <row r="7" spans="1:15" s="27" customFormat="1">
      <c r="A7" s="5"/>
      <c r="B7" s="4"/>
      <c r="C7" s="4"/>
      <c r="D7" s="28"/>
      <c r="E7" s="839" t="str">
        <f>'Cover Sheet'!D7</f>
        <v>Collection Period</v>
      </c>
      <c r="F7" s="840"/>
      <c r="G7" s="121" t="s">
        <v>38</v>
      </c>
      <c r="H7" s="121" t="str">
        <f>'Cover Sheet'!F7</f>
        <v>01.09.2012</v>
      </c>
      <c r="I7" s="121" t="s">
        <v>6</v>
      </c>
      <c r="J7" s="121">
        <f>'Cover Sheet'!H7</f>
        <v>41182</v>
      </c>
      <c r="K7" s="550"/>
      <c r="L7" s="544"/>
      <c r="M7" s="8"/>
      <c r="N7" s="4"/>
      <c r="O7" s="4"/>
    </row>
    <row r="8" spans="1:15" s="27" customFormat="1">
      <c r="A8" s="5"/>
      <c r="B8" s="4"/>
      <c r="C8" s="4"/>
      <c r="D8" s="34"/>
      <c r="E8" s="9"/>
      <c r="F8" s="15"/>
      <c r="G8" s="9"/>
      <c r="H8" s="4"/>
      <c r="I8" s="16"/>
      <c r="J8" s="4"/>
      <c r="K8" s="10"/>
      <c r="L8" s="4"/>
      <c r="M8" s="8"/>
      <c r="N8" s="4"/>
      <c r="O8" s="4"/>
    </row>
    <row r="9" spans="1:15" s="27" customFormat="1">
      <c r="A9" s="5"/>
      <c r="B9" s="4"/>
      <c r="C9" s="4"/>
      <c r="D9" s="34"/>
      <c r="E9" s="4"/>
      <c r="F9" s="4"/>
      <c r="G9" s="4"/>
      <c r="H9" s="4"/>
      <c r="I9" s="4"/>
      <c r="J9" s="4"/>
      <c r="K9" s="4"/>
      <c r="L9" s="4"/>
      <c r="M9" s="216"/>
      <c r="N9" s="4"/>
      <c r="O9" s="4"/>
    </row>
    <row r="10" spans="1:15" s="27" customFormat="1">
      <c r="A10" s="5"/>
      <c r="B10" s="4"/>
      <c r="C10" s="4"/>
      <c r="D10" s="34"/>
      <c r="E10" s="4"/>
      <c r="F10" s="18"/>
      <c r="G10" s="4"/>
      <c r="H10" s="4"/>
      <c r="I10" s="34"/>
      <c r="J10" s="34"/>
      <c r="K10" s="4"/>
      <c r="L10" s="4"/>
      <c r="M10" s="8"/>
      <c r="N10" s="4"/>
      <c r="O10" s="4"/>
    </row>
    <row r="11" spans="1:15" s="27" customFormat="1" ht="12.75" customHeight="1">
      <c r="A11" s="5"/>
      <c r="B11" s="125"/>
      <c r="C11" s="4"/>
      <c r="D11" s="569"/>
      <c r="E11" s="569"/>
      <c r="F11" s="569"/>
      <c r="G11" s="569"/>
      <c r="H11" s="569"/>
      <c r="I11" s="569"/>
      <c r="J11" s="569"/>
      <c r="K11" s="569"/>
      <c r="L11" s="569"/>
      <c r="M11" s="103"/>
      <c r="N11" s="4"/>
      <c r="O11" s="4"/>
    </row>
    <row r="12" spans="1:15" s="27" customFormat="1" ht="12.75" customHeight="1">
      <c r="A12" s="5"/>
      <c r="B12" s="125"/>
      <c r="C12" s="4"/>
      <c r="D12" s="569"/>
      <c r="E12" s="569"/>
      <c r="F12" s="569"/>
      <c r="G12" s="569"/>
      <c r="H12" s="569"/>
      <c r="I12" s="569"/>
      <c r="J12" s="569"/>
      <c r="K12" s="569"/>
      <c r="L12" s="569"/>
      <c r="M12" s="103"/>
      <c r="N12" s="4"/>
      <c r="O12" s="4"/>
    </row>
    <row r="13" spans="1:15" s="27" customFormat="1" ht="18">
      <c r="A13" s="5"/>
      <c r="B13" s="477" t="s">
        <v>271</v>
      </c>
      <c r="C13" s="34"/>
      <c r="D13" s="253"/>
      <c r="E13" s="253"/>
      <c r="F13" s="155"/>
      <c r="G13" s="155"/>
      <c r="H13" s="155"/>
      <c r="I13" s="155"/>
      <c r="J13" s="138"/>
      <c r="K13" s="138"/>
      <c r="L13" s="102"/>
      <c r="M13" s="41"/>
      <c r="O13" s="101"/>
    </row>
    <row r="14" spans="1:15" s="27" customFormat="1" ht="14.25">
      <c r="A14" s="5"/>
      <c r="B14" s="478" t="s">
        <v>301</v>
      </c>
      <c r="C14" s="479"/>
      <c r="D14" s="317"/>
      <c r="E14" s="327"/>
      <c r="F14" s="375"/>
      <c r="G14" s="375"/>
      <c r="H14" s="375"/>
      <c r="I14" s="375"/>
      <c r="J14" s="375"/>
      <c r="K14" s="329"/>
      <c r="L14" s="138"/>
      <c r="M14" s="41"/>
      <c r="O14" s="101"/>
    </row>
    <row r="15" spans="1:15" ht="14.25">
      <c r="A15" s="40"/>
      <c r="B15" s="480" t="s">
        <v>298</v>
      </c>
      <c r="C15" s="484" t="s">
        <v>299</v>
      </c>
      <c r="D15" s="505" t="s">
        <v>300</v>
      </c>
      <c r="E15" s="505"/>
      <c r="F15" s="505"/>
      <c r="G15" s="505"/>
      <c r="H15" s="505"/>
      <c r="I15" s="505"/>
      <c r="J15" s="375"/>
      <c r="K15" s="316"/>
      <c r="L15" s="316"/>
      <c r="M15" s="41"/>
      <c r="O15" s="101"/>
    </row>
    <row r="16" spans="1:15">
      <c r="A16" s="40"/>
      <c r="B16" s="480" t="s">
        <v>279</v>
      </c>
      <c r="C16" s="484" t="s">
        <v>280</v>
      </c>
      <c r="D16" s="506" t="s">
        <v>281</v>
      </c>
      <c r="E16" s="505"/>
      <c r="F16" s="505"/>
      <c r="G16" s="505"/>
      <c r="H16" s="505"/>
      <c r="I16" s="505"/>
      <c r="J16" s="505"/>
      <c r="K16" s="316"/>
      <c r="L16" s="316"/>
      <c r="M16" s="41"/>
      <c r="O16" s="101"/>
    </row>
    <row r="17" spans="1:15">
      <c r="A17" s="40"/>
      <c r="B17" s="480" t="s">
        <v>192</v>
      </c>
      <c r="C17" s="484" t="s">
        <v>193</v>
      </c>
      <c r="D17" s="506" t="s">
        <v>194</v>
      </c>
      <c r="E17" s="506"/>
      <c r="F17" s="506"/>
      <c r="G17" s="506"/>
      <c r="H17" s="506"/>
      <c r="I17" s="506"/>
      <c r="J17" s="505"/>
      <c r="K17" s="316"/>
      <c r="L17" s="316"/>
      <c r="M17" s="41"/>
      <c r="O17" s="101"/>
    </row>
    <row r="18" spans="1:15">
      <c r="A18" s="40"/>
      <c r="B18" s="480" t="s">
        <v>189</v>
      </c>
      <c r="C18" s="484" t="s">
        <v>190</v>
      </c>
      <c r="D18" s="506" t="s">
        <v>191</v>
      </c>
      <c r="E18" s="506"/>
      <c r="F18" s="506"/>
      <c r="G18" s="506"/>
      <c r="H18" s="506"/>
      <c r="I18" s="506"/>
      <c r="J18" s="505"/>
      <c r="K18" s="316"/>
      <c r="L18" s="316"/>
      <c r="M18" s="41"/>
      <c r="O18" s="101"/>
    </row>
    <row r="19" spans="1:15">
      <c r="A19" s="40"/>
      <c r="B19" s="480" t="s">
        <v>292</v>
      </c>
      <c r="C19" s="484" t="s">
        <v>293</v>
      </c>
      <c r="D19" s="506" t="s">
        <v>294</v>
      </c>
      <c r="E19" s="506"/>
      <c r="F19" s="506"/>
      <c r="G19" s="506"/>
      <c r="H19" s="506"/>
      <c r="I19" s="506"/>
      <c r="J19" s="505"/>
      <c r="K19" s="316"/>
      <c r="L19" s="316"/>
      <c r="M19" s="41"/>
      <c r="O19" s="101"/>
    </row>
    <row r="20" spans="1:15">
      <c r="A20" s="40"/>
      <c r="C20" s="484"/>
      <c r="D20" s="506"/>
      <c r="E20" s="506"/>
      <c r="F20" s="506"/>
      <c r="G20" s="506"/>
      <c r="H20" s="506"/>
      <c r="I20" s="506"/>
      <c r="J20" s="505"/>
      <c r="K20" s="316"/>
      <c r="L20" s="316"/>
      <c r="M20" s="41"/>
      <c r="O20" s="101"/>
    </row>
    <row r="21" spans="1:15" ht="15.75" customHeight="1">
      <c r="A21" s="40"/>
      <c r="B21" s="568" t="s">
        <v>184</v>
      </c>
      <c r="C21" s="568"/>
      <c r="D21" s="485"/>
      <c r="E21" s="485"/>
      <c r="F21" s="485"/>
      <c r="G21" s="485"/>
      <c r="H21" s="485"/>
      <c r="I21" s="485"/>
      <c r="J21" s="505"/>
      <c r="K21" s="316"/>
      <c r="L21" s="316"/>
      <c r="M21" s="41"/>
      <c r="O21" s="101"/>
    </row>
    <row r="22" spans="1:15">
      <c r="A22" s="40"/>
      <c r="B22" s="480" t="s">
        <v>196</v>
      </c>
      <c r="C22" s="484" t="s">
        <v>197</v>
      </c>
      <c r="D22" s="506" t="s">
        <v>296</v>
      </c>
      <c r="E22" s="506"/>
      <c r="F22" s="506"/>
      <c r="G22" s="506"/>
      <c r="H22" s="506"/>
      <c r="I22" s="506"/>
      <c r="J22" s="486"/>
      <c r="K22" s="316"/>
      <c r="L22" s="316"/>
      <c r="M22" s="41"/>
      <c r="O22" s="101"/>
    </row>
    <row r="23" spans="1:15">
      <c r="A23" s="40"/>
      <c r="B23" s="480" t="s">
        <v>170</v>
      </c>
      <c r="C23" s="484" t="s">
        <v>181</v>
      </c>
      <c r="D23" s="506" t="s">
        <v>297</v>
      </c>
      <c r="E23" s="505"/>
      <c r="F23" s="505"/>
      <c r="G23" s="505"/>
      <c r="H23" s="505"/>
      <c r="I23" s="505"/>
      <c r="J23" s="505"/>
      <c r="K23" s="316"/>
      <c r="L23" s="258"/>
      <c r="M23" s="41"/>
      <c r="O23" s="101"/>
    </row>
    <row r="24" spans="1:15">
      <c r="A24" s="40"/>
      <c r="B24" s="480"/>
      <c r="C24" s="484"/>
      <c r="D24" s="505"/>
      <c r="E24" s="505"/>
      <c r="F24" s="505"/>
      <c r="G24" s="505"/>
      <c r="H24" s="505"/>
      <c r="I24" s="505"/>
      <c r="J24" s="505"/>
      <c r="K24" s="316"/>
      <c r="L24" s="258"/>
      <c r="M24" s="41"/>
      <c r="O24" s="101"/>
    </row>
    <row r="25" spans="1:15">
      <c r="A25" s="40"/>
      <c r="B25" s="482"/>
      <c r="C25" s="481"/>
      <c r="D25" s="483"/>
      <c r="E25" s="173"/>
      <c r="F25" s="173"/>
      <c r="G25" s="173"/>
      <c r="H25" s="173"/>
      <c r="I25" s="173"/>
      <c r="J25" s="505"/>
      <c r="K25" s="325"/>
      <c r="L25" s="148"/>
      <c r="M25" s="41"/>
      <c r="O25" s="101"/>
    </row>
    <row r="26" spans="1:15" ht="18" customHeight="1">
      <c r="A26" s="40"/>
      <c r="B26" s="477" t="s">
        <v>272</v>
      </c>
      <c r="C26" s="479"/>
      <c r="D26" s="827" t="s">
        <v>219</v>
      </c>
      <c r="E26" s="828"/>
      <c r="F26" s="829"/>
      <c r="G26" s="847" t="s">
        <v>220</v>
      </c>
      <c r="H26" s="848"/>
      <c r="I26" s="849"/>
      <c r="J26" s="847" t="s">
        <v>221</v>
      </c>
      <c r="K26" s="848"/>
      <c r="L26" s="849"/>
      <c r="M26" s="41"/>
      <c r="O26" s="101"/>
    </row>
    <row r="27" spans="1:15" s="27" customFormat="1" ht="36" customHeight="1">
      <c r="A27" s="5"/>
      <c r="B27" s="528"/>
      <c r="C27" s="515"/>
      <c r="D27" s="572" t="s">
        <v>222</v>
      </c>
      <c r="E27" s="572" t="s">
        <v>223</v>
      </c>
      <c r="F27" s="572" t="s">
        <v>224</v>
      </c>
      <c r="G27" s="572" t="s">
        <v>222</v>
      </c>
      <c r="H27" s="572" t="s">
        <v>223</v>
      </c>
      <c r="I27" s="572" t="s">
        <v>224</v>
      </c>
      <c r="J27" s="572" t="s">
        <v>222</v>
      </c>
      <c r="K27" s="572" t="s">
        <v>223</v>
      </c>
      <c r="L27" s="572" t="s">
        <v>224</v>
      </c>
      <c r="M27" s="103"/>
      <c r="N27" s="4"/>
      <c r="O27" s="4"/>
    </row>
    <row r="28" spans="1:15" s="27" customFormat="1" ht="15" customHeight="1">
      <c r="A28" s="5"/>
      <c r="B28" s="841"/>
      <c r="C28" s="842"/>
      <c r="D28" s="573"/>
      <c r="E28" s="573"/>
      <c r="F28" s="573"/>
      <c r="G28" s="573"/>
      <c r="H28" s="573"/>
      <c r="I28" s="573"/>
      <c r="J28" s="573"/>
      <c r="K28" s="573"/>
      <c r="L28" s="573"/>
      <c r="M28" s="103"/>
      <c r="N28" s="4"/>
      <c r="O28" s="4"/>
    </row>
    <row r="29" spans="1:15">
      <c r="A29" s="40"/>
      <c r="B29" s="843" t="s">
        <v>253</v>
      </c>
      <c r="C29" s="844"/>
      <c r="D29" s="575" t="s">
        <v>470</v>
      </c>
      <c r="E29" s="575" t="s">
        <v>278</v>
      </c>
      <c r="F29" s="575" t="s">
        <v>254</v>
      </c>
      <c r="G29" s="575" t="s">
        <v>350</v>
      </c>
      <c r="H29" s="575" t="s">
        <v>351</v>
      </c>
      <c r="I29" s="575" t="s">
        <v>254</v>
      </c>
      <c r="J29" s="575" t="s">
        <v>257</v>
      </c>
      <c r="K29" s="575" t="s">
        <v>364</v>
      </c>
      <c r="L29" s="575" t="s">
        <v>254</v>
      </c>
      <c r="M29" s="103"/>
      <c r="N29" s="34"/>
      <c r="O29" s="34"/>
    </row>
    <row r="30" spans="1:15" ht="15.75">
      <c r="A30" s="40"/>
      <c r="B30" s="531"/>
      <c r="C30" s="512"/>
      <c r="D30" s="576"/>
      <c r="E30" s="576"/>
      <c r="F30" s="576"/>
      <c r="G30" s="576"/>
      <c r="H30" s="576"/>
      <c r="I30" s="576"/>
      <c r="J30" s="576"/>
      <c r="K30" s="576"/>
      <c r="L30" s="576"/>
      <c r="M30" s="103"/>
      <c r="N30" s="34"/>
      <c r="O30" s="34"/>
    </row>
    <row r="31" spans="1:15">
      <c r="A31" s="40"/>
      <c r="B31" s="845" t="s">
        <v>255</v>
      </c>
      <c r="C31" s="846"/>
      <c r="D31" s="581" t="s">
        <v>470</v>
      </c>
      <c r="E31" s="581" t="s">
        <v>278</v>
      </c>
      <c r="F31" s="581" t="s">
        <v>254</v>
      </c>
      <c r="G31" s="581" t="s">
        <v>350</v>
      </c>
      <c r="H31" s="581" t="s">
        <v>351</v>
      </c>
      <c r="I31" s="581" t="s">
        <v>254</v>
      </c>
      <c r="J31" s="581" t="s">
        <v>350</v>
      </c>
      <c r="K31" s="581" t="s">
        <v>364</v>
      </c>
      <c r="L31" s="581" t="s">
        <v>254</v>
      </c>
      <c r="M31" s="103"/>
      <c r="N31" s="34"/>
      <c r="O31" s="34"/>
    </row>
    <row r="32" spans="1:15" s="34" customFormat="1" ht="15">
      <c r="A32" s="40"/>
      <c r="C32" s="511"/>
      <c r="D32" s="532"/>
      <c r="E32" s="532"/>
      <c r="F32" s="532"/>
      <c r="G32" s="532"/>
      <c r="H32" s="532"/>
      <c r="I32" s="532"/>
      <c r="J32" s="532"/>
      <c r="K32" s="532"/>
      <c r="L32" s="532"/>
      <c r="M32" s="41"/>
    </row>
    <row r="33" spans="1:13" s="34" customFormat="1" ht="15.75">
      <c r="A33" s="40"/>
      <c r="B33" s="510"/>
      <c r="C33" s="511"/>
      <c r="D33" s="515"/>
      <c r="E33" s="515"/>
      <c r="F33" s="515"/>
      <c r="G33" s="515"/>
      <c r="H33" s="515"/>
      <c r="I33" s="515"/>
      <c r="J33" s="515"/>
      <c r="K33" s="515"/>
      <c r="L33" s="515"/>
      <c r="M33" s="41"/>
    </row>
    <row r="34" spans="1:13" s="34" customFormat="1" ht="15">
      <c r="A34" s="40"/>
      <c r="C34" s="140"/>
      <c r="D34" s="515"/>
      <c r="E34" s="515"/>
      <c r="F34" s="515"/>
      <c r="G34" s="515"/>
      <c r="H34" s="515"/>
      <c r="I34" s="515"/>
      <c r="J34" s="515"/>
      <c r="K34" s="515"/>
      <c r="L34" s="515"/>
      <c r="M34" s="41"/>
    </row>
    <row r="35" spans="1:13" s="34" customFormat="1" ht="15">
      <c r="A35" s="60"/>
      <c r="B35" s="61" t="s">
        <v>585</v>
      </c>
      <c r="C35" s="168"/>
      <c r="D35" s="533"/>
      <c r="E35" s="533"/>
      <c r="F35" s="533"/>
      <c r="G35" s="533"/>
      <c r="H35" s="533"/>
      <c r="I35" s="533"/>
      <c r="J35" s="533"/>
      <c r="K35" s="533"/>
      <c r="L35" s="533"/>
      <c r="M35" s="79"/>
    </row>
    <row r="36" spans="1:13" s="34" customFormat="1" ht="15">
      <c r="A36" s="36"/>
      <c r="C36" s="140"/>
      <c r="D36" s="515"/>
      <c r="E36" s="515"/>
      <c r="F36" s="515"/>
      <c r="G36" s="515"/>
      <c r="H36" s="515"/>
      <c r="I36" s="515"/>
      <c r="J36" s="515"/>
      <c r="K36" s="515"/>
      <c r="L36" s="515"/>
    </row>
    <row r="37" spans="1:13" s="34" customFormat="1" ht="15">
      <c r="C37" s="140"/>
      <c r="D37" s="515"/>
      <c r="E37" s="515"/>
      <c r="F37" s="515"/>
      <c r="G37" s="515"/>
      <c r="H37" s="515"/>
      <c r="I37" s="515"/>
      <c r="J37" s="515"/>
      <c r="K37" s="515"/>
      <c r="L37" s="515"/>
    </row>
    <row r="38" spans="1:13" s="34" customFormat="1" ht="15">
      <c r="C38" s="140"/>
      <c r="D38" s="515"/>
      <c r="E38" s="515"/>
      <c r="F38" s="515"/>
      <c r="G38" s="515"/>
      <c r="H38" s="515"/>
      <c r="I38" s="515"/>
      <c r="J38" s="515"/>
      <c r="K38" s="515"/>
      <c r="L38" s="515"/>
    </row>
    <row r="39" spans="1:13" s="34" customFormat="1">
      <c r="B39" s="139"/>
      <c r="C39" s="140"/>
      <c r="D39" s="156"/>
      <c r="E39" s="157"/>
      <c r="F39" s="141"/>
      <c r="G39" s="158"/>
      <c r="H39" s="141"/>
      <c r="I39" s="102"/>
    </row>
    <row r="40" spans="1:13" s="34" customFormat="1">
      <c r="B40" s="139"/>
      <c r="C40" s="140"/>
      <c r="D40" s="156"/>
      <c r="E40" s="157"/>
      <c r="F40" s="141"/>
      <c r="G40" s="158"/>
      <c r="H40" s="141"/>
      <c r="I40" s="102"/>
    </row>
    <row r="41" spans="1:13" s="34" customFormat="1">
      <c r="B41" s="139"/>
      <c r="C41" s="140"/>
      <c r="D41" s="156"/>
      <c r="E41" s="157"/>
      <c r="F41" s="141"/>
      <c r="G41" s="158"/>
      <c r="H41" s="141"/>
      <c r="I41" s="102"/>
    </row>
    <row r="42" spans="1:13" s="34" customFormat="1">
      <c r="B42" s="139"/>
      <c r="C42" s="140"/>
      <c r="D42" s="156"/>
      <c r="E42" s="157"/>
      <c r="F42" s="141"/>
      <c r="G42" s="158"/>
      <c r="H42" s="141"/>
      <c r="I42" s="102"/>
    </row>
    <row r="43" spans="1:13" s="34" customFormat="1">
      <c r="B43" s="139"/>
      <c r="C43" s="140"/>
      <c r="D43" s="156"/>
      <c r="E43" s="157"/>
      <c r="F43" s="141"/>
      <c r="G43" s="158"/>
      <c r="H43" s="141"/>
      <c r="I43" s="102"/>
    </row>
    <row r="44" spans="1:13" s="34" customFormat="1">
      <c r="B44" s="139"/>
      <c r="C44" s="140"/>
      <c r="D44" s="156"/>
      <c r="E44" s="157"/>
      <c r="F44" s="141"/>
      <c r="G44" s="158"/>
      <c r="H44" s="141"/>
      <c r="I44" s="102"/>
    </row>
    <row r="45" spans="1:13" s="34" customFormat="1">
      <c r="B45" s="139"/>
      <c r="C45" s="140"/>
      <c r="D45" s="156"/>
      <c r="E45" s="157"/>
      <c r="F45" s="141"/>
      <c r="G45" s="158"/>
      <c r="H45" s="141"/>
      <c r="I45" s="102"/>
    </row>
    <row r="46" spans="1:13" s="34" customFormat="1">
      <c r="B46" s="139"/>
      <c r="C46" s="140"/>
      <c r="D46" s="156"/>
      <c r="E46" s="157"/>
      <c r="F46" s="141"/>
      <c r="G46" s="158"/>
      <c r="H46" s="141"/>
      <c r="I46" s="102"/>
    </row>
    <row r="47" spans="1:13" s="34" customFormat="1">
      <c r="B47" s="139"/>
      <c r="C47" s="140"/>
      <c r="D47" s="156"/>
      <c r="E47" s="157"/>
      <c r="F47" s="141"/>
      <c r="G47" s="158"/>
      <c r="H47" s="141"/>
      <c r="I47" s="102"/>
    </row>
    <row r="48" spans="1:13" s="34" customFormat="1">
      <c r="B48" s="139"/>
      <c r="C48" s="140"/>
      <c r="D48" s="156"/>
      <c r="E48" s="157"/>
      <c r="F48" s="141"/>
      <c r="G48" s="158"/>
      <c r="H48" s="141"/>
      <c r="I48" s="102"/>
    </row>
    <row r="49" spans="2:9" s="34" customFormat="1">
      <c r="B49" s="139"/>
      <c r="C49" s="140"/>
      <c r="D49" s="156"/>
      <c r="E49" s="157"/>
      <c r="F49" s="141"/>
      <c r="G49" s="158"/>
      <c r="H49" s="141"/>
      <c r="I49" s="102"/>
    </row>
    <row r="50" spans="2:9" s="34" customFormat="1">
      <c r="B50" s="139"/>
      <c r="C50" s="140"/>
      <c r="D50" s="156"/>
      <c r="E50" s="157"/>
      <c r="F50" s="141"/>
      <c r="G50" s="158"/>
      <c r="H50" s="141"/>
      <c r="I50" s="102"/>
    </row>
    <row r="51" spans="2:9" s="34" customFormat="1">
      <c r="B51" s="139"/>
      <c r="C51" s="140"/>
      <c r="D51" s="156"/>
      <c r="E51" s="157"/>
      <c r="F51" s="141"/>
      <c r="G51" s="158"/>
      <c r="H51" s="141"/>
      <c r="I51" s="102"/>
    </row>
    <row r="52" spans="2:9" s="34" customFormat="1">
      <c r="B52" s="139"/>
      <c r="C52" s="140"/>
      <c r="D52" s="156"/>
      <c r="E52" s="157"/>
      <c r="F52" s="141"/>
      <c r="G52" s="158"/>
      <c r="H52" s="141"/>
      <c r="I52" s="102"/>
    </row>
    <row r="53" spans="2:9" s="34" customFormat="1">
      <c r="B53" s="139"/>
      <c r="C53" s="140"/>
      <c r="D53" s="156"/>
      <c r="E53" s="157"/>
      <c r="F53" s="141"/>
      <c r="G53" s="158"/>
      <c r="H53" s="141"/>
      <c r="I53" s="102"/>
    </row>
    <row r="54" spans="2:9" s="34" customFormat="1" ht="15.75">
      <c r="B54" s="510"/>
      <c r="C54" s="140"/>
      <c r="D54" s="156"/>
      <c r="E54" s="157"/>
      <c r="F54" s="141"/>
      <c r="G54" s="158"/>
      <c r="H54" s="141"/>
      <c r="I54" s="102"/>
    </row>
    <row r="55" spans="2:9" s="34" customFormat="1" ht="15.75">
      <c r="B55" s="510"/>
      <c r="C55" s="140"/>
      <c r="D55" s="142"/>
      <c r="E55" s="134"/>
      <c r="F55" s="143"/>
      <c r="G55" s="144"/>
      <c r="H55" s="143"/>
      <c r="I55" s="102"/>
    </row>
    <row r="56" spans="2:9" s="34" customFormat="1" ht="15.75">
      <c r="B56" s="510"/>
      <c r="C56" s="140"/>
      <c r="D56" s="142"/>
      <c r="E56" s="142"/>
      <c r="F56" s="142"/>
      <c r="G56" s="142"/>
      <c r="H56" s="142"/>
      <c r="I56" s="102"/>
    </row>
    <row r="57" spans="2:9" s="34" customFormat="1" ht="15.75">
      <c r="B57" s="510"/>
      <c r="C57" s="140"/>
      <c r="D57" s="142"/>
      <c r="E57" s="142"/>
      <c r="F57" s="142"/>
      <c r="G57" s="142"/>
      <c r="H57" s="142"/>
      <c r="I57" s="102"/>
    </row>
    <row r="58" spans="2:9" s="34" customFormat="1" ht="15.75">
      <c r="B58" s="510"/>
      <c r="C58" s="140"/>
      <c r="D58" s="145"/>
      <c r="E58" s="146"/>
      <c r="F58" s="142"/>
      <c r="G58" s="142"/>
      <c r="H58" s="142"/>
      <c r="I58" s="102"/>
    </row>
    <row r="59" spans="2:9" s="34" customFormat="1">
      <c r="B59" s="139"/>
      <c r="C59" s="140"/>
      <c r="D59" s="134"/>
      <c r="E59" s="146"/>
      <c r="F59" s="142"/>
      <c r="G59" s="142"/>
      <c r="H59" s="142"/>
      <c r="I59" s="102"/>
    </row>
    <row r="60" spans="2:9" s="34" customFormat="1">
      <c r="B60" s="139"/>
      <c r="C60" s="140"/>
      <c r="D60" s="142"/>
      <c r="E60" s="146"/>
      <c r="F60" s="142"/>
      <c r="G60" s="142"/>
      <c r="H60" s="142"/>
      <c r="I60" s="102"/>
    </row>
    <row r="61" spans="2:9" s="34" customFormat="1" ht="14.25">
      <c r="B61" s="142"/>
      <c r="C61" s="134"/>
      <c r="D61" s="150"/>
      <c r="E61" s="150"/>
      <c r="F61" s="150"/>
      <c r="G61" s="150"/>
      <c r="H61" s="150"/>
      <c r="I61" s="102"/>
    </row>
    <row r="62" spans="2:9" s="34" customFormat="1" ht="14.25">
      <c r="B62" s="173"/>
      <c r="C62" s="173"/>
      <c r="D62" s="150"/>
      <c r="E62" s="150"/>
      <c r="F62" s="150"/>
      <c r="G62" s="150"/>
      <c r="H62" s="150"/>
      <c r="I62" s="102"/>
    </row>
    <row r="63" spans="2:9" s="34" customFormat="1" ht="14.25">
      <c r="B63" s="173"/>
      <c r="C63" s="173"/>
      <c r="D63" s="151"/>
      <c r="E63" s="152"/>
      <c r="F63" s="150"/>
      <c r="G63" s="150"/>
      <c r="H63" s="150"/>
      <c r="I63" s="102"/>
    </row>
    <row r="64" spans="2:9" s="34" customFormat="1" ht="14.25">
      <c r="B64" s="145"/>
      <c r="C64" s="146"/>
      <c r="D64" s="153"/>
      <c r="E64" s="152"/>
      <c r="F64" s="150"/>
      <c r="G64" s="150"/>
      <c r="H64" s="150"/>
      <c r="I64" s="102"/>
    </row>
    <row r="65" spans="2:9" s="34" customFormat="1" ht="14.25">
      <c r="B65" s="147"/>
      <c r="C65" s="146"/>
      <c r="D65" s="150"/>
      <c r="E65" s="152"/>
      <c r="F65" s="150"/>
      <c r="G65" s="150"/>
      <c r="H65" s="150"/>
      <c r="I65" s="102"/>
    </row>
    <row r="66" spans="2:9" s="34" customFormat="1">
      <c r="B66" s="148"/>
      <c r="C66" s="146"/>
      <c r="D66" s="148"/>
      <c r="E66" s="148"/>
      <c r="F66" s="148"/>
      <c r="I66" s="102"/>
    </row>
    <row r="67" spans="2:9" s="34" customFormat="1">
      <c r="I67" s="102"/>
    </row>
    <row r="68" spans="2:9" s="34" customFormat="1">
      <c r="I68" s="102"/>
    </row>
    <row r="69" spans="2:9" s="34" customFormat="1">
      <c r="I69" s="102"/>
    </row>
    <row r="70" spans="2:9" s="34" customFormat="1">
      <c r="I70" s="102"/>
    </row>
    <row r="71" spans="2:9" s="34" customFormat="1">
      <c r="I71" s="102"/>
    </row>
    <row r="72" spans="2:9" s="34" customFormat="1">
      <c r="I72" s="102"/>
    </row>
    <row r="73" spans="2:9" s="34" customFormat="1">
      <c r="I73" s="102"/>
    </row>
    <row r="74" spans="2:9" s="34" customFormat="1">
      <c r="I74" s="102"/>
    </row>
    <row r="75" spans="2:9" s="34" customFormat="1">
      <c r="I75" s="102"/>
    </row>
    <row r="76" spans="2:9" s="34" customFormat="1">
      <c r="I76" s="102"/>
    </row>
    <row r="77" spans="2:9" s="34" customFormat="1">
      <c r="I77" s="102"/>
    </row>
    <row r="78" spans="2:9" s="34" customFormat="1">
      <c r="I78" s="102"/>
    </row>
    <row r="79" spans="2:9" s="34" customFormat="1">
      <c r="I79" s="102"/>
    </row>
    <row r="80" spans="2:9" s="34" customFormat="1">
      <c r="I80" s="102"/>
    </row>
    <row r="81" spans="9:9" s="34" customFormat="1">
      <c r="I81" s="102"/>
    </row>
    <row r="82" spans="9:9" s="34" customFormat="1">
      <c r="I82" s="102"/>
    </row>
    <row r="83" spans="9:9" s="34" customFormat="1">
      <c r="I83" s="102"/>
    </row>
    <row r="84" spans="9:9" s="34" customFormat="1">
      <c r="I84" s="102"/>
    </row>
    <row r="85" spans="9:9" s="34" customFormat="1">
      <c r="I85" s="102"/>
    </row>
    <row r="86" spans="9:9" s="34" customFormat="1">
      <c r="I86" s="102"/>
    </row>
    <row r="87" spans="9:9" s="34" customFormat="1">
      <c r="I87" s="102"/>
    </row>
    <row r="88" spans="9:9" s="34" customFormat="1">
      <c r="I88" s="102"/>
    </row>
    <row r="89" spans="9:9" s="34" customFormat="1">
      <c r="I89" s="102"/>
    </row>
    <row r="90" spans="9:9" s="34" customFormat="1">
      <c r="I90" s="102"/>
    </row>
    <row r="91" spans="9:9" s="34" customFormat="1">
      <c r="I91" s="102"/>
    </row>
    <row r="92" spans="9:9" s="34" customFormat="1">
      <c r="I92" s="102"/>
    </row>
    <row r="93" spans="9:9" s="34" customFormat="1">
      <c r="I93" s="102"/>
    </row>
    <row r="94" spans="9:9" s="34" customFormat="1">
      <c r="I94" s="102"/>
    </row>
    <row r="95" spans="9:9" s="34" customFormat="1">
      <c r="I95" s="102"/>
    </row>
    <row r="96" spans="9:9" s="34" customFormat="1">
      <c r="I96" s="102"/>
    </row>
    <row r="97" spans="9:9" s="34" customFormat="1">
      <c r="I97" s="102"/>
    </row>
    <row r="98" spans="9:9" s="34" customFormat="1">
      <c r="I98" s="102"/>
    </row>
    <row r="99" spans="9:9" s="34" customFormat="1">
      <c r="I99" s="102"/>
    </row>
    <row r="100" spans="9:9" s="34" customFormat="1">
      <c r="I100" s="102"/>
    </row>
    <row r="101" spans="9:9" s="34" customFormat="1">
      <c r="I101" s="102"/>
    </row>
    <row r="102" spans="9:9" s="34" customFormat="1">
      <c r="I102" s="102"/>
    </row>
    <row r="103" spans="9:9" s="34" customFormat="1">
      <c r="I103" s="102"/>
    </row>
    <row r="104" spans="9:9" s="34" customFormat="1">
      <c r="I104" s="102"/>
    </row>
    <row r="105" spans="9:9" s="34" customFormat="1">
      <c r="I105" s="102"/>
    </row>
    <row r="106" spans="9:9" s="34" customFormat="1">
      <c r="I106" s="102"/>
    </row>
    <row r="107" spans="9:9" s="34" customFormat="1">
      <c r="I107" s="102"/>
    </row>
    <row r="108" spans="9:9" s="34" customFormat="1">
      <c r="I108" s="102"/>
    </row>
    <row r="109" spans="9:9" s="34" customFormat="1">
      <c r="I109" s="102"/>
    </row>
    <row r="110" spans="9:9" s="34" customFormat="1">
      <c r="I110" s="102"/>
    </row>
    <row r="111" spans="9:9" s="34" customFormat="1">
      <c r="I111" s="102"/>
    </row>
    <row r="112" spans="9:9" s="34" customFormat="1">
      <c r="I112" s="102"/>
    </row>
    <row r="113" spans="9:9" s="34" customFormat="1">
      <c r="I113" s="102"/>
    </row>
    <row r="114" spans="9:9" s="34" customFormat="1">
      <c r="I114" s="102"/>
    </row>
    <row r="115" spans="9:9" s="34" customFormat="1">
      <c r="I115" s="102"/>
    </row>
    <row r="116" spans="9:9" s="34" customFormat="1">
      <c r="I116" s="102"/>
    </row>
    <row r="117" spans="9:9" s="34" customFormat="1">
      <c r="I117" s="102"/>
    </row>
    <row r="118" spans="9:9" s="34" customFormat="1">
      <c r="I118" s="102"/>
    </row>
    <row r="119" spans="9:9" s="34" customFormat="1">
      <c r="I119" s="102"/>
    </row>
    <row r="120" spans="9:9" s="34" customFormat="1">
      <c r="I120" s="102"/>
    </row>
    <row r="121" spans="9:9" s="34" customFormat="1">
      <c r="I121" s="102"/>
    </row>
    <row r="122" spans="9:9" s="34" customFormat="1">
      <c r="I122" s="102"/>
    </row>
    <row r="123" spans="9:9" s="34" customFormat="1">
      <c r="I123" s="102"/>
    </row>
    <row r="124" spans="9:9" s="34" customFormat="1">
      <c r="I124" s="102"/>
    </row>
    <row r="125" spans="9:9" s="34" customFormat="1">
      <c r="I125" s="102"/>
    </row>
    <row r="126" spans="9:9" s="34" customFormat="1">
      <c r="I126" s="102"/>
    </row>
    <row r="127" spans="9:9" s="34" customFormat="1">
      <c r="I127" s="102"/>
    </row>
    <row r="128" spans="9:9" s="34" customFormat="1">
      <c r="I128" s="102"/>
    </row>
    <row r="129" spans="9:9" s="34" customFormat="1">
      <c r="I129" s="102"/>
    </row>
    <row r="130" spans="9:9" s="34" customFormat="1">
      <c r="I130" s="102"/>
    </row>
    <row r="131" spans="9:9" s="34" customFormat="1">
      <c r="I131" s="102"/>
    </row>
    <row r="132" spans="9:9" s="34" customFormat="1">
      <c r="I132" s="102"/>
    </row>
    <row r="133" spans="9:9" s="34" customFormat="1">
      <c r="I133" s="102"/>
    </row>
    <row r="134" spans="9:9" s="34" customFormat="1">
      <c r="I134" s="102"/>
    </row>
    <row r="135" spans="9:9" s="34" customFormat="1">
      <c r="I135" s="102"/>
    </row>
    <row r="136" spans="9:9" s="34" customFormat="1">
      <c r="I136" s="102"/>
    </row>
    <row r="137" spans="9:9" s="34" customFormat="1">
      <c r="I137" s="102"/>
    </row>
    <row r="138" spans="9:9" s="34" customFormat="1">
      <c r="I138" s="102"/>
    </row>
    <row r="139" spans="9:9" s="34" customFormat="1">
      <c r="I139" s="102"/>
    </row>
    <row r="140" spans="9:9" s="34" customFormat="1">
      <c r="I140" s="102"/>
    </row>
    <row r="141" spans="9:9" s="34" customFormat="1">
      <c r="I141" s="102"/>
    </row>
    <row r="142" spans="9:9" s="34" customFormat="1">
      <c r="I142" s="102"/>
    </row>
    <row r="143" spans="9:9" s="34" customFormat="1">
      <c r="I143" s="102"/>
    </row>
    <row r="144" spans="9:9" s="34" customFormat="1">
      <c r="I144" s="102"/>
    </row>
    <row r="145" spans="9:9" s="34" customFormat="1">
      <c r="I145" s="102"/>
    </row>
    <row r="146" spans="9:9" s="34" customFormat="1">
      <c r="I146" s="102"/>
    </row>
    <row r="147" spans="9:9" s="34" customFormat="1">
      <c r="I147" s="102"/>
    </row>
    <row r="148" spans="9:9" s="34" customFormat="1">
      <c r="I148" s="102"/>
    </row>
    <row r="149" spans="9:9" s="34" customFormat="1">
      <c r="I149" s="102"/>
    </row>
    <row r="150" spans="9:9" s="34" customFormat="1">
      <c r="I150" s="102"/>
    </row>
    <row r="151" spans="9:9" s="34" customFormat="1">
      <c r="I151" s="102"/>
    </row>
    <row r="152" spans="9:9" s="34" customFormat="1">
      <c r="I152" s="102"/>
    </row>
    <row r="153" spans="9:9" s="34" customFormat="1">
      <c r="I153" s="102"/>
    </row>
    <row r="154" spans="9:9" s="34" customFormat="1">
      <c r="I154" s="102"/>
    </row>
    <row r="155" spans="9:9" s="34" customFormat="1">
      <c r="I155" s="102"/>
    </row>
    <row r="156" spans="9:9" s="34" customFormat="1">
      <c r="I156" s="102"/>
    </row>
    <row r="157" spans="9:9" s="34" customFormat="1">
      <c r="I157" s="102"/>
    </row>
    <row r="158" spans="9:9" s="34" customFormat="1">
      <c r="I158" s="102"/>
    </row>
    <row r="159" spans="9:9" s="34" customFormat="1">
      <c r="I159" s="102"/>
    </row>
    <row r="160" spans="9:9" s="34" customFormat="1">
      <c r="I160" s="102"/>
    </row>
    <row r="161" spans="9:9" s="34" customFormat="1">
      <c r="I161" s="102"/>
    </row>
    <row r="162" spans="9:9" s="34" customFormat="1">
      <c r="I162" s="102"/>
    </row>
    <row r="163" spans="9:9" s="34" customFormat="1">
      <c r="I163" s="102"/>
    </row>
    <row r="164" spans="9:9" s="34" customFormat="1">
      <c r="I164" s="102"/>
    </row>
    <row r="165" spans="9:9" s="34" customFormat="1">
      <c r="I165" s="102"/>
    </row>
    <row r="166" spans="9:9" s="34" customFormat="1">
      <c r="I166" s="102"/>
    </row>
    <row r="167" spans="9:9" s="34" customFormat="1">
      <c r="I167" s="102"/>
    </row>
    <row r="168" spans="9:9" s="34" customFormat="1">
      <c r="I168" s="102"/>
    </row>
    <row r="169" spans="9:9" s="34" customFormat="1">
      <c r="I169" s="102"/>
    </row>
    <row r="170" spans="9:9" s="34" customFormat="1">
      <c r="I170" s="102"/>
    </row>
    <row r="171" spans="9:9" s="34" customFormat="1">
      <c r="I171" s="102"/>
    </row>
    <row r="172" spans="9:9" s="34" customFormat="1">
      <c r="I172" s="102"/>
    </row>
    <row r="173" spans="9:9" s="34" customFormat="1">
      <c r="I173" s="102"/>
    </row>
    <row r="174" spans="9:9" s="34" customFormat="1">
      <c r="I174" s="102"/>
    </row>
    <row r="175" spans="9:9" s="34" customFormat="1">
      <c r="I175" s="102"/>
    </row>
    <row r="176" spans="9:9" s="34" customFormat="1">
      <c r="I176" s="102"/>
    </row>
    <row r="177" spans="9:9" s="34" customFormat="1">
      <c r="I177" s="102"/>
    </row>
    <row r="178" spans="9:9" s="34" customFormat="1">
      <c r="I178" s="102"/>
    </row>
    <row r="179" spans="9:9" s="34" customFormat="1">
      <c r="I179" s="102"/>
    </row>
    <row r="180" spans="9:9" s="34" customFormat="1">
      <c r="I180" s="102"/>
    </row>
    <row r="181" spans="9:9" s="34" customFormat="1">
      <c r="I181" s="102"/>
    </row>
    <row r="182" spans="9:9" s="34" customFormat="1">
      <c r="I182" s="102"/>
    </row>
    <row r="183" spans="9:9" s="34" customFormat="1">
      <c r="I183" s="102"/>
    </row>
    <row r="184" spans="9:9" s="34" customFormat="1">
      <c r="I184" s="102"/>
    </row>
    <row r="185" spans="9:9" s="34" customFormat="1">
      <c r="I185" s="102"/>
    </row>
    <row r="186" spans="9:9" s="34" customFormat="1">
      <c r="I186" s="102"/>
    </row>
    <row r="187" spans="9:9" s="34" customFormat="1">
      <c r="I187" s="102"/>
    </row>
    <row r="188" spans="9:9" s="34" customFormat="1">
      <c r="I188" s="102"/>
    </row>
    <row r="189" spans="9:9" s="34" customFormat="1">
      <c r="I189" s="102"/>
    </row>
    <row r="190" spans="9:9" s="34" customFormat="1">
      <c r="I190" s="102"/>
    </row>
    <row r="191" spans="9:9" s="34" customFormat="1">
      <c r="I191" s="102"/>
    </row>
    <row r="192" spans="9:9" s="34" customFormat="1">
      <c r="I192" s="102"/>
    </row>
    <row r="193" spans="9:9" s="34" customFormat="1">
      <c r="I193" s="102"/>
    </row>
    <row r="194" spans="9:9" s="34" customFormat="1">
      <c r="I194" s="102"/>
    </row>
    <row r="195" spans="9:9" s="34" customFormat="1">
      <c r="I195" s="102"/>
    </row>
    <row r="196" spans="9:9" s="34" customFormat="1">
      <c r="I196" s="102"/>
    </row>
    <row r="197" spans="9:9" s="34" customFormat="1">
      <c r="I197" s="102"/>
    </row>
    <row r="198" spans="9:9" s="34" customFormat="1">
      <c r="I198" s="102"/>
    </row>
    <row r="199" spans="9:9" s="34" customFormat="1">
      <c r="I199" s="102"/>
    </row>
    <row r="200" spans="9:9" s="34" customFormat="1">
      <c r="I200" s="102"/>
    </row>
    <row r="201" spans="9:9" s="34" customFormat="1">
      <c r="I201" s="102"/>
    </row>
    <row r="202" spans="9:9" s="34" customFormat="1">
      <c r="I202" s="102"/>
    </row>
    <row r="203" spans="9:9" s="34" customFormat="1">
      <c r="I203" s="102"/>
    </row>
    <row r="204" spans="9:9" s="34" customFormat="1">
      <c r="I204" s="102"/>
    </row>
    <row r="205" spans="9:9" s="34" customFormat="1">
      <c r="I205" s="102"/>
    </row>
    <row r="206" spans="9:9" s="34" customFormat="1">
      <c r="I206" s="102"/>
    </row>
    <row r="207" spans="9:9" s="34" customFormat="1">
      <c r="I207" s="102"/>
    </row>
    <row r="208" spans="9:9" s="34" customFormat="1">
      <c r="I208" s="102"/>
    </row>
    <row r="209" spans="9:9" s="34" customFormat="1">
      <c r="I209" s="102"/>
    </row>
    <row r="210" spans="9:9" s="34" customFormat="1">
      <c r="I210" s="102"/>
    </row>
    <row r="211" spans="9:9" s="34" customFormat="1">
      <c r="I211" s="102"/>
    </row>
    <row r="212" spans="9:9" s="34" customFormat="1">
      <c r="I212" s="102"/>
    </row>
    <row r="213" spans="9:9" s="34" customFormat="1">
      <c r="I213" s="102"/>
    </row>
    <row r="214" spans="9:9" s="34" customFormat="1">
      <c r="I214" s="102"/>
    </row>
    <row r="215" spans="9:9" s="34" customFormat="1">
      <c r="I215" s="102"/>
    </row>
    <row r="216" spans="9:9" s="34" customFormat="1">
      <c r="I216" s="102"/>
    </row>
    <row r="217" spans="9:9" s="34" customFormat="1">
      <c r="I217" s="102"/>
    </row>
    <row r="218" spans="9:9" s="34" customFormat="1">
      <c r="I218" s="102"/>
    </row>
    <row r="219" spans="9:9" s="34" customFormat="1">
      <c r="I219" s="102"/>
    </row>
    <row r="220" spans="9:9" s="34" customFormat="1">
      <c r="I220" s="102"/>
    </row>
    <row r="221" spans="9:9" s="34" customFormat="1">
      <c r="I221" s="102"/>
    </row>
    <row r="222" spans="9:9" s="34" customFormat="1">
      <c r="I222" s="102"/>
    </row>
    <row r="223" spans="9:9" s="34" customFormat="1">
      <c r="I223" s="102"/>
    </row>
    <row r="224" spans="9:9" s="34" customFormat="1">
      <c r="I224" s="102"/>
    </row>
    <row r="225" spans="9:9" s="34" customFormat="1">
      <c r="I225" s="102"/>
    </row>
    <row r="226" spans="9:9" s="34" customFormat="1">
      <c r="I226" s="102"/>
    </row>
    <row r="227" spans="9:9" s="34" customFormat="1">
      <c r="I227" s="102"/>
    </row>
    <row r="228" spans="9:9" s="34" customFormat="1">
      <c r="I228" s="102"/>
    </row>
    <row r="229" spans="9:9" s="34" customFormat="1">
      <c r="I229" s="102"/>
    </row>
    <row r="230" spans="9:9" s="34" customFormat="1">
      <c r="I230" s="102"/>
    </row>
    <row r="231" spans="9:9" s="34" customFormat="1">
      <c r="I231" s="102"/>
    </row>
    <row r="232" spans="9:9" s="34" customFormat="1">
      <c r="I232" s="102"/>
    </row>
    <row r="233" spans="9:9" s="34" customFormat="1">
      <c r="I233" s="102"/>
    </row>
    <row r="234" spans="9:9" s="34" customFormat="1">
      <c r="I234" s="102"/>
    </row>
    <row r="235" spans="9:9" s="34" customFormat="1">
      <c r="I235" s="102"/>
    </row>
    <row r="236" spans="9:9" s="34" customFormat="1">
      <c r="I236" s="102"/>
    </row>
    <row r="237" spans="9:9" s="34" customFormat="1">
      <c r="I237" s="102"/>
    </row>
    <row r="238" spans="9:9" s="34" customFormat="1">
      <c r="I238" s="102"/>
    </row>
    <row r="239" spans="9:9" s="34" customFormat="1">
      <c r="I239" s="102"/>
    </row>
    <row r="240" spans="9:9" s="34" customFormat="1">
      <c r="I240" s="102"/>
    </row>
    <row r="241" spans="9:9" s="34" customFormat="1">
      <c r="I241" s="102"/>
    </row>
    <row r="242" spans="9:9" s="34" customFormat="1">
      <c r="I242" s="102"/>
    </row>
    <row r="243" spans="9:9" s="34" customFormat="1">
      <c r="I243" s="102"/>
    </row>
    <row r="244" spans="9:9" s="34" customFormat="1">
      <c r="I244" s="102"/>
    </row>
    <row r="245" spans="9:9" s="34" customFormat="1">
      <c r="I245" s="102"/>
    </row>
    <row r="246" spans="9:9" s="34" customFormat="1">
      <c r="I246" s="102"/>
    </row>
    <row r="247" spans="9:9" s="34" customFormat="1">
      <c r="I247" s="102"/>
    </row>
    <row r="248" spans="9:9" s="34" customFormat="1">
      <c r="I248" s="102"/>
    </row>
    <row r="249" spans="9:9" s="34" customFormat="1">
      <c r="I249" s="102"/>
    </row>
    <row r="250" spans="9:9" s="34" customFormat="1">
      <c r="I250" s="102"/>
    </row>
    <row r="251" spans="9:9" s="34" customFormat="1">
      <c r="I251" s="102"/>
    </row>
    <row r="252" spans="9:9" s="34" customFormat="1">
      <c r="I252" s="102"/>
    </row>
    <row r="253" spans="9:9" s="34" customFormat="1">
      <c r="I253" s="102"/>
    </row>
    <row r="254" spans="9:9" s="34" customFormat="1">
      <c r="I254" s="102"/>
    </row>
    <row r="255" spans="9:9" s="34" customFormat="1">
      <c r="I255" s="102"/>
    </row>
    <row r="256" spans="9:9" s="34" customFormat="1">
      <c r="I256" s="102"/>
    </row>
    <row r="257" spans="9:9" s="34" customFormat="1">
      <c r="I257" s="102"/>
    </row>
    <row r="258" spans="9:9" s="34" customFormat="1">
      <c r="I258" s="102"/>
    </row>
    <row r="259" spans="9:9" s="34" customFormat="1">
      <c r="I259" s="102"/>
    </row>
    <row r="260" spans="9:9" s="34" customFormat="1">
      <c r="I260" s="102"/>
    </row>
    <row r="261" spans="9:9" s="34" customFormat="1">
      <c r="I261" s="102"/>
    </row>
    <row r="262" spans="9:9" s="34" customFormat="1">
      <c r="I262" s="102"/>
    </row>
    <row r="263" spans="9:9" s="34" customFormat="1">
      <c r="I263" s="102"/>
    </row>
    <row r="264" spans="9:9" s="34" customFormat="1">
      <c r="I264" s="102"/>
    </row>
    <row r="265" spans="9:9" s="34" customFormat="1">
      <c r="I265" s="102"/>
    </row>
    <row r="266" spans="9:9" s="34" customFormat="1">
      <c r="I266" s="102"/>
    </row>
    <row r="267" spans="9:9" s="34" customFormat="1">
      <c r="I267" s="102"/>
    </row>
    <row r="268" spans="9:9" s="34" customFormat="1">
      <c r="I268" s="102"/>
    </row>
    <row r="269" spans="9:9" s="34" customFormat="1">
      <c r="I269" s="102"/>
    </row>
    <row r="270" spans="9:9" s="34" customFormat="1">
      <c r="I270" s="102"/>
    </row>
    <row r="271" spans="9:9" s="34" customFormat="1">
      <c r="I271" s="102"/>
    </row>
    <row r="272" spans="9:9" s="34" customFormat="1">
      <c r="I272" s="102"/>
    </row>
    <row r="273" spans="9:9" s="34" customFormat="1">
      <c r="I273" s="102"/>
    </row>
    <row r="274" spans="9:9" s="34" customFormat="1">
      <c r="I274" s="102"/>
    </row>
    <row r="275" spans="9:9" s="34" customFormat="1">
      <c r="I275" s="102"/>
    </row>
    <row r="276" spans="9:9" s="34" customFormat="1">
      <c r="I276" s="102"/>
    </row>
    <row r="277" spans="9:9" s="34" customFormat="1">
      <c r="I277" s="102"/>
    </row>
    <row r="278" spans="9:9" s="34" customFormat="1">
      <c r="I278" s="102"/>
    </row>
    <row r="279" spans="9:9" s="34" customFormat="1">
      <c r="I279" s="102"/>
    </row>
    <row r="280" spans="9:9" s="34" customFormat="1">
      <c r="I280" s="102"/>
    </row>
    <row r="281" spans="9:9" s="34" customFormat="1">
      <c r="I281" s="102"/>
    </row>
    <row r="282" spans="9:9" s="34" customFormat="1">
      <c r="I282" s="102"/>
    </row>
    <row r="283" spans="9:9" s="34" customFormat="1">
      <c r="I283" s="102"/>
    </row>
    <row r="284" spans="9:9" s="34" customFormat="1">
      <c r="I284" s="102"/>
    </row>
    <row r="285" spans="9:9" s="34" customFormat="1"/>
    <row r="286" spans="9:9" s="34" customFormat="1"/>
    <row r="287" spans="9:9" s="34" customFormat="1"/>
    <row r="288" spans="9:9" s="34" customFormat="1"/>
    <row r="289" s="34" customFormat="1"/>
    <row r="290" s="34" customFormat="1"/>
    <row r="291" s="34" customFormat="1"/>
    <row r="292" s="34" customFormat="1"/>
    <row r="293" s="34" customFormat="1"/>
    <row r="294" s="34" customFormat="1"/>
    <row r="295" s="34" customFormat="1"/>
    <row r="296" s="34" customFormat="1"/>
    <row r="297" s="34" customFormat="1"/>
    <row r="298" s="34" customFormat="1"/>
    <row r="299" s="34" customFormat="1"/>
    <row r="300" s="34" customFormat="1"/>
    <row r="301" s="34" customFormat="1"/>
    <row r="302" s="34" customFormat="1"/>
    <row r="303" s="34" customFormat="1"/>
    <row r="304" s="34" customFormat="1"/>
    <row r="305" s="34" customFormat="1"/>
    <row r="306" s="34" customFormat="1"/>
    <row r="307" s="34" customFormat="1"/>
    <row r="308" s="34" customFormat="1"/>
    <row r="309" s="34" customFormat="1"/>
    <row r="310" s="34" customFormat="1"/>
    <row r="311" s="34" customFormat="1"/>
    <row r="312" s="34" customFormat="1"/>
    <row r="313" s="34" customFormat="1"/>
    <row r="314" s="34" customFormat="1"/>
    <row r="315" s="34" customFormat="1"/>
    <row r="316" s="34" customFormat="1"/>
    <row r="317" s="34" customFormat="1"/>
    <row r="318" s="34" customFormat="1"/>
    <row r="319" s="34" customFormat="1"/>
    <row r="320" s="34" customFormat="1"/>
    <row r="321" s="34" customFormat="1"/>
    <row r="322" s="34" customFormat="1"/>
    <row r="323" s="34" customFormat="1"/>
    <row r="324" s="34" customFormat="1"/>
    <row r="325" s="34" customFormat="1"/>
    <row r="326" s="34" customFormat="1"/>
    <row r="327" s="34" customFormat="1"/>
    <row r="328" s="34" customFormat="1"/>
    <row r="329" s="34" customFormat="1"/>
    <row r="330" s="34" customFormat="1"/>
    <row r="331" s="34" customFormat="1"/>
    <row r="332" s="34" customFormat="1"/>
    <row r="333" s="34" customFormat="1"/>
    <row r="334" s="34" customFormat="1"/>
    <row r="335" s="34" customFormat="1"/>
    <row r="336" s="34" customFormat="1"/>
    <row r="337" s="34" customFormat="1"/>
    <row r="338" s="34" customFormat="1"/>
    <row r="339" s="34" customFormat="1"/>
    <row r="340" s="34" customFormat="1"/>
    <row r="341" s="34" customFormat="1"/>
    <row r="342" s="34" customFormat="1"/>
    <row r="343" s="34" customFormat="1"/>
    <row r="344" s="34" customFormat="1"/>
    <row r="345" s="34" customFormat="1"/>
    <row r="346" s="34" customFormat="1"/>
    <row r="347" s="34" customFormat="1"/>
    <row r="348" s="34" customFormat="1"/>
    <row r="349" s="34" customFormat="1"/>
    <row r="350" s="34" customFormat="1"/>
    <row r="351" s="34" customFormat="1"/>
    <row r="352" s="34" customFormat="1"/>
    <row r="353" s="34" customFormat="1"/>
    <row r="354" s="34" customFormat="1"/>
    <row r="355" s="34" customFormat="1"/>
    <row r="356" s="34" customFormat="1"/>
    <row r="357" s="34" customFormat="1"/>
    <row r="358" s="34" customFormat="1"/>
    <row r="359" s="34" customFormat="1"/>
    <row r="360" s="34" customFormat="1"/>
    <row r="361" s="34" customFormat="1"/>
    <row r="362" s="34" customFormat="1"/>
    <row r="363" s="34" customFormat="1"/>
    <row r="364" s="34" customFormat="1"/>
    <row r="365" s="34" customFormat="1"/>
    <row r="366" s="34" customFormat="1"/>
    <row r="367" s="34" customFormat="1"/>
    <row r="368" s="34" customFormat="1"/>
    <row r="369" s="34" customFormat="1"/>
    <row r="370" s="34" customFormat="1"/>
    <row r="371" s="34" customFormat="1"/>
    <row r="372" s="34" customFormat="1"/>
    <row r="373" s="34" customFormat="1"/>
    <row r="374" s="34" customFormat="1"/>
    <row r="375" s="34" customFormat="1"/>
    <row r="376" s="34" customFormat="1"/>
    <row r="377" s="34" customFormat="1"/>
    <row r="378" s="34" customFormat="1"/>
    <row r="379" s="34" customFormat="1"/>
    <row r="380" s="34" customFormat="1"/>
    <row r="381" s="34" customFormat="1"/>
    <row r="382" s="34" customFormat="1"/>
    <row r="383" s="34" customFormat="1"/>
    <row r="384" s="34" customFormat="1"/>
    <row r="385" s="34" customFormat="1"/>
    <row r="386" s="34" customFormat="1"/>
    <row r="387" s="34" customFormat="1"/>
    <row r="388" s="34" customFormat="1"/>
    <row r="389" s="34" customFormat="1"/>
    <row r="390" s="34" customFormat="1"/>
    <row r="391" s="34" customFormat="1"/>
    <row r="392" s="34" customFormat="1"/>
    <row r="393" s="34" customFormat="1"/>
    <row r="394" s="34" customFormat="1"/>
    <row r="395" s="34" customFormat="1"/>
    <row r="396" s="34" customFormat="1"/>
    <row r="397" s="34" customFormat="1"/>
    <row r="398" s="34" customFormat="1"/>
    <row r="399" s="34" customFormat="1"/>
    <row r="400" s="34" customFormat="1"/>
    <row r="401" s="34" customFormat="1"/>
    <row r="402" s="34" customFormat="1"/>
    <row r="403" s="34" customFormat="1"/>
    <row r="404" s="34" customFormat="1"/>
    <row r="405" s="34" customFormat="1"/>
    <row r="406" s="34" customFormat="1"/>
    <row r="407" s="34" customFormat="1"/>
    <row r="408" s="34" customFormat="1"/>
    <row r="409" s="34" customFormat="1"/>
    <row r="410" s="34" customFormat="1"/>
    <row r="411" s="34" customFormat="1"/>
    <row r="412" s="34" customFormat="1"/>
    <row r="413" s="34" customFormat="1"/>
    <row r="414" s="34" customFormat="1"/>
    <row r="415" s="34" customFormat="1"/>
    <row r="416" s="34" customFormat="1"/>
    <row r="417" s="34" customFormat="1"/>
    <row r="418" s="34" customFormat="1"/>
    <row r="419" s="34" customFormat="1"/>
    <row r="420" s="34" customFormat="1"/>
    <row r="421" s="34" customFormat="1"/>
    <row r="422" s="34" customFormat="1"/>
    <row r="423" s="34" customFormat="1"/>
    <row r="424" s="34" customFormat="1"/>
    <row r="425" s="34" customFormat="1"/>
    <row r="426" s="34" customFormat="1"/>
    <row r="427" s="34" customFormat="1"/>
    <row r="428" s="34" customFormat="1"/>
    <row r="429" s="34" customFormat="1"/>
    <row r="430" s="34" customFormat="1"/>
    <row r="431" s="34" customFormat="1"/>
    <row r="432" s="34" customFormat="1"/>
    <row r="433" s="34" customFormat="1"/>
    <row r="434" s="34" customFormat="1"/>
    <row r="435" s="34" customFormat="1"/>
    <row r="436" s="34" customFormat="1"/>
    <row r="437" s="34" customFormat="1"/>
    <row r="438" s="34" customFormat="1"/>
    <row r="439" s="34" customFormat="1"/>
    <row r="440" s="34" customFormat="1"/>
    <row r="441" s="34" customFormat="1"/>
    <row r="442" s="34" customFormat="1"/>
    <row r="443" s="34" customFormat="1"/>
    <row r="444" s="34" customFormat="1"/>
    <row r="445" s="34" customFormat="1"/>
    <row r="446" s="34" customFormat="1"/>
    <row r="447" s="34" customFormat="1"/>
    <row r="448" s="34" customFormat="1"/>
    <row r="449" s="34" customFormat="1"/>
    <row r="450" s="34" customFormat="1"/>
    <row r="451" s="34" customFormat="1"/>
    <row r="452" s="34" customFormat="1"/>
    <row r="453" s="34" customFormat="1"/>
    <row r="454" s="34" customFormat="1"/>
    <row r="455" s="34" customFormat="1"/>
    <row r="456" s="34" customFormat="1"/>
    <row r="457" s="34" customFormat="1"/>
    <row r="458" s="34" customFormat="1"/>
    <row r="459" s="34" customFormat="1"/>
    <row r="460" s="34" customFormat="1"/>
    <row r="461" s="34" customFormat="1"/>
    <row r="462" s="34" customFormat="1"/>
    <row r="463" s="34" customFormat="1"/>
    <row r="464" s="34" customFormat="1"/>
    <row r="465" s="34" customFormat="1"/>
    <row r="466" s="34" customFormat="1"/>
    <row r="467" s="34" customFormat="1"/>
    <row r="468" s="34" customFormat="1"/>
    <row r="469" s="34" customFormat="1"/>
    <row r="470" s="34" customFormat="1"/>
    <row r="471" s="34" customFormat="1"/>
    <row r="472" s="34" customFormat="1"/>
    <row r="473" s="34" customFormat="1"/>
    <row r="474" s="34" customFormat="1"/>
    <row r="475" s="34" customFormat="1"/>
    <row r="476" s="34" customFormat="1"/>
    <row r="477" s="34" customFormat="1"/>
    <row r="478" s="34" customFormat="1"/>
    <row r="479" s="34" customFormat="1"/>
    <row r="480" s="34" customFormat="1"/>
    <row r="481" s="34" customFormat="1"/>
    <row r="482" s="34" customFormat="1"/>
    <row r="483" s="34" customFormat="1"/>
    <row r="484" s="34" customFormat="1"/>
    <row r="485" s="34" customFormat="1"/>
    <row r="486" s="34" customFormat="1"/>
    <row r="487" s="34" customFormat="1"/>
    <row r="488" s="34" customFormat="1"/>
    <row r="489" s="34" customFormat="1"/>
    <row r="490" s="34" customFormat="1"/>
    <row r="491" s="34" customFormat="1"/>
    <row r="492" s="34" customFormat="1"/>
    <row r="493" s="34" customFormat="1"/>
    <row r="494" s="34" customFormat="1"/>
    <row r="495" s="34" customFormat="1"/>
    <row r="496" s="34" customFormat="1"/>
    <row r="497" s="34" customFormat="1"/>
    <row r="498" s="34" customFormat="1"/>
    <row r="499" s="34" customFormat="1"/>
    <row r="500" s="34" customFormat="1"/>
    <row r="501" s="34" customFormat="1"/>
    <row r="502" s="34" customFormat="1"/>
    <row r="503" s="34" customFormat="1"/>
    <row r="504" s="34" customFormat="1"/>
    <row r="505" s="34" customFormat="1"/>
    <row r="506" s="34" customFormat="1"/>
    <row r="507" s="34" customFormat="1"/>
    <row r="508" s="34" customFormat="1"/>
    <row r="509" s="34" customFormat="1"/>
    <row r="510" s="34" customFormat="1"/>
    <row r="511" s="34" customFormat="1"/>
    <row r="512" s="34" customFormat="1"/>
    <row r="513" s="34" customFormat="1"/>
    <row r="514" s="34" customFormat="1"/>
    <row r="515" s="34" customFormat="1"/>
    <row r="516" s="34" customFormat="1"/>
    <row r="517" s="34" customFormat="1"/>
    <row r="518" s="34" customFormat="1"/>
    <row r="519" s="34" customFormat="1"/>
    <row r="520" s="34" customFormat="1"/>
    <row r="521" s="34" customFormat="1"/>
    <row r="522" s="34" customFormat="1"/>
    <row r="523" s="34" customFormat="1"/>
    <row r="524" s="34" customFormat="1"/>
    <row r="525" s="34" customFormat="1"/>
    <row r="526" s="34" customFormat="1"/>
    <row r="527" s="34" customFormat="1"/>
    <row r="528" s="34" customFormat="1"/>
    <row r="529" s="34" customFormat="1"/>
    <row r="530" s="34" customFormat="1"/>
    <row r="531" s="34" customFormat="1"/>
    <row r="532" s="34" customFormat="1"/>
    <row r="533" s="34" customFormat="1"/>
    <row r="534" s="34" customFormat="1"/>
    <row r="535" s="34" customFormat="1"/>
    <row r="536" s="34" customFormat="1"/>
    <row r="537" s="34" customFormat="1"/>
    <row r="538" s="34" customFormat="1"/>
    <row r="539" s="34" customFormat="1"/>
    <row r="540" s="34" customFormat="1"/>
    <row r="541" s="34" customFormat="1"/>
    <row r="542" s="34" customFormat="1"/>
    <row r="543" s="34" customFormat="1"/>
    <row r="544" s="34" customFormat="1"/>
    <row r="545" s="34" customFormat="1"/>
    <row r="546" s="34" customFormat="1"/>
    <row r="547" s="34" customFormat="1"/>
    <row r="548" s="34" customFormat="1"/>
    <row r="549" s="34" customFormat="1"/>
    <row r="550" s="34" customFormat="1"/>
    <row r="551" s="34" customFormat="1"/>
    <row r="552" s="34" customFormat="1"/>
    <row r="553" s="34" customFormat="1"/>
    <row r="554" s="34" customFormat="1"/>
    <row r="555" s="34" customFormat="1"/>
    <row r="556" s="34" customFormat="1"/>
    <row r="557" s="34" customFormat="1"/>
    <row r="558" s="34" customFormat="1"/>
    <row r="559" s="34" customFormat="1"/>
    <row r="560" s="34" customFormat="1"/>
    <row r="561" s="34" customFormat="1"/>
    <row r="562" s="34" customFormat="1"/>
    <row r="563" s="34" customFormat="1"/>
    <row r="564" s="34" customFormat="1"/>
    <row r="565" s="34" customFormat="1"/>
    <row r="566" s="34" customFormat="1"/>
    <row r="567" s="34" customFormat="1"/>
    <row r="568" s="34" customFormat="1"/>
    <row r="569" s="34" customFormat="1"/>
    <row r="570" s="34" customFormat="1"/>
    <row r="571" s="34" customFormat="1"/>
    <row r="572" s="34" customFormat="1"/>
    <row r="573" s="34" customFormat="1"/>
    <row r="574" s="34" customFormat="1"/>
    <row r="575" s="34" customFormat="1"/>
    <row r="576" s="34" customFormat="1"/>
    <row r="577" s="34" customFormat="1"/>
    <row r="578" s="34" customFormat="1"/>
    <row r="579" s="34" customFormat="1"/>
    <row r="580" s="34" customFormat="1"/>
    <row r="581" s="34" customFormat="1"/>
    <row r="582" s="34" customFormat="1"/>
    <row r="583" s="34" customFormat="1"/>
    <row r="584" s="34" customFormat="1"/>
    <row r="585" s="34" customFormat="1"/>
    <row r="586" s="34" customFormat="1"/>
    <row r="587" s="34" customFormat="1"/>
    <row r="588" s="34" customFormat="1"/>
    <row r="589" s="34" customFormat="1"/>
    <row r="590" s="34" customFormat="1"/>
    <row r="591" s="34" customFormat="1"/>
    <row r="592" s="34" customFormat="1"/>
    <row r="593" s="34" customFormat="1"/>
    <row r="594" s="34" customFormat="1"/>
    <row r="595" s="34" customFormat="1"/>
    <row r="596" s="34" customFormat="1"/>
    <row r="597" s="34" customFormat="1"/>
    <row r="598" s="34" customFormat="1"/>
    <row r="599" s="34" customFormat="1"/>
    <row r="600" s="34" customFormat="1"/>
    <row r="601" s="34" customFormat="1"/>
    <row r="602" s="34" customFormat="1"/>
    <row r="603" s="34" customFormat="1"/>
    <row r="604" s="34" customFormat="1"/>
    <row r="605" s="34" customFormat="1"/>
    <row r="606" s="34" customFormat="1"/>
    <row r="607" s="34" customFormat="1"/>
    <row r="608" s="34" customFormat="1"/>
    <row r="609" s="34" customFormat="1"/>
    <row r="610" s="34" customFormat="1"/>
    <row r="611" s="34" customFormat="1"/>
    <row r="612" s="34" customFormat="1"/>
    <row r="613" s="34" customFormat="1"/>
    <row r="614" s="34" customFormat="1"/>
    <row r="615" s="34" customFormat="1"/>
    <row r="616" s="34" customFormat="1"/>
    <row r="617" s="34" customFormat="1"/>
    <row r="618" s="34" customFormat="1"/>
    <row r="619" s="34" customFormat="1"/>
    <row r="620" s="34" customFormat="1"/>
    <row r="621" s="34" customFormat="1"/>
    <row r="622" s="34" customFormat="1"/>
    <row r="623" s="34" customFormat="1"/>
    <row r="624" s="34" customFormat="1"/>
    <row r="625" s="34" customFormat="1"/>
    <row r="626" s="34" customFormat="1"/>
    <row r="627" s="34" customFormat="1"/>
    <row r="628" s="34" customFormat="1"/>
    <row r="629" s="34" customFormat="1"/>
    <row r="630" s="34" customFormat="1"/>
    <row r="631" s="34" customFormat="1"/>
    <row r="632" s="34" customFormat="1"/>
    <row r="633" s="34" customFormat="1"/>
    <row r="634" s="34" customFormat="1"/>
    <row r="635" s="34" customFormat="1"/>
    <row r="636" s="34" customFormat="1"/>
    <row r="637" s="34" customFormat="1"/>
    <row r="638" s="34" customFormat="1"/>
    <row r="639" s="34" customFormat="1"/>
    <row r="640" s="34" customFormat="1"/>
    <row r="641" s="34" customFormat="1"/>
    <row r="642" s="34" customFormat="1"/>
    <row r="643" s="34" customFormat="1"/>
    <row r="644" s="34" customFormat="1"/>
    <row r="645" s="34" customFormat="1"/>
    <row r="646" s="34" customFormat="1"/>
    <row r="647" s="34" customFormat="1"/>
    <row r="648" s="34" customFormat="1"/>
    <row r="649" s="34" customFormat="1"/>
    <row r="650" s="34" customFormat="1"/>
    <row r="651" s="34" customFormat="1"/>
    <row r="652" s="34" customFormat="1"/>
    <row r="653" s="34" customFormat="1"/>
    <row r="654" s="34" customFormat="1"/>
    <row r="655" s="34" customFormat="1"/>
    <row r="656" s="34" customFormat="1"/>
    <row r="657" s="34" customFormat="1"/>
    <row r="658" s="34" customFormat="1"/>
    <row r="659" s="34" customFormat="1"/>
    <row r="660" s="34" customFormat="1"/>
    <row r="661" s="34" customFormat="1"/>
    <row r="662" s="34" customFormat="1"/>
    <row r="663" s="34" customFormat="1"/>
    <row r="664" s="34" customFormat="1"/>
    <row r="665" s="34" customFormat="1"/>
    <row r="666" s="34" customFormat="1"/>
    <row r="667" s="34" customFormat="1"/>
    <row r="668" s="34" customFormat="1"/>
    <row r="669" s="34" customFormat="1"/>
    <row r="670" s="34" customFormat="1"/>
    <row r="671" s="34" customFormat="1"/>
    <row r="672" s="34" customFormat="1"/>
    <row r="673" s="34" customFormat="1"/>
    <row r="674" s="34" customFormat="1"/>
    <row r="675" s="34" customFormat="1"/>
    <row r="676" s="34" customFormat="1"/>
    <row r="677" s="34" customFormat="1"/>
    <row r="678" s="34" customFormat="1"/>
    <row r="679" s="34" customFormat="1"/>
    <row r="680" s="34" customFormat="1"/>
    <row r="681" s="34" customFormat="1"/>
    <row r="682" s="34" customFormat="1"/>
    <row r="683" s="34" customFormat="1"/>
    <row r="684" s="34" customFormat="1"/>
    <row r="685" s="34" customFormat="1"/>
    <row r="686" s="34" customFormat="1"/>
    <row r="687" s="34" customFormat="1"/>
    <row r="688" s="34" customFormat="1"/>
    <row r="689" s="34" customFormat="1"/>
    <row r="690" s="34" customFormat="1"/>
    <row r="691" s="34" customFormat="1"/>
    <row r="692" s="34" customFormat="1"/>
    <row r="693" s="34" customFormat="1"/>
    <row r="694" s="34" customFormat="1"/>
    <row r="695" s="34" customFormat="1"/>
    <row r="696" s="34" customFormat="1"/>
    <row r="697" s="34" customFormat="1"/>
    <row r="698" s="34" customFormat="1"/>
    <row r="699" s="34" customFormat="1"/>
    <row r="700" s="34" customFormat="1"/>
    <row r="701" s="34" customFormat="1"/>
    <row r="702" s="34" customFormat="1"/>
    <row r="703" s="34" customFormat="1"/>
    <row r="704" s="34" customFormat="1"/>
    <row r="705" s="34" customFormat="1"/>
    <row r="706" s="34" customFormat="1"/>
    <row r="707" s="34" customFormat="1"/>
    <row r="708" s="34" customFormat="1"/>
    <row r="709" s="34" customFormat="1"/>
    <row r="710" s="34" customFormat="1"/>
    <row r="711" s="34" customFormat="1"/>
    <row r="712" s="34" customFormat="1"/>
    <row r="713" s="34" customFormat="1"/>
    <row r="714" s="34" customFormat="1"/>
    <row r="715" s="34" customFormat="1"/>
    <row r="716" s="34" customFormat="1"/>
    <row r="717" s="34" customFormat="1"/>
    <row r="718" s="34" customFormat="1"/>
    <row r="719" s="34" customFormat="1"/>
    <row r="720" s="34" customFormat="1"/>
    <row r="721" s="34" customFormat="1"/>
    <row r="722" s="34" customFormat="1"/>
    <row r="723" s="34" customFormat="1"/>
    <row r="724" s="34" customFormat="1"/>
    <row r="725" s="34" customFormat="1"/>
    <row r="726" s="34" customFormat="1"/>
    <row r="727" s="34" customFormat="1"/>
    <row r="728" s="34" customFormat="1"/>
    <row r="729" s="34" customFormat="1"/>
    <row r="730" s="34" customFormat="1"/>
    <row r="731" s="34" customFormat="1"/>
    <row r="732" s="34" customFormat="1"/>
    <row r="733" s="34" customFormat="1"/>
    <row r="734" s="34" customFormat="1"/>
    <row r="735" s="34" customFormat="1"/>
    <row r="736" s="34" customFormat="1"/>
    <row r="737" s="34" customFormat="1"/>
    <row r="738" s="34" customFormat="1"/>
    <row r="739" s="34" customFormat="1"/>
    <row r="740" s="34" customFormat="1"/>
    <row r="741" s="34" customFormat="1"/>
    <row r="742" s="34" customFormat="1"/>
    <row r="743" s="34" customFormat="1"/>
    <row r="744" s="34" customFormat="1"/>
    <row r="745" s="34" customFormat="1"/>
    <row r="746" s="34" customFormat="1"/>
    <row r="747" s="34" customFormat="1"/>
    <row r="748" s="34" customFormat="1"/>
    <row r="749" s="34" customFormat="1"/>
    <row r="750" s="34" customFormat="1"/>
    <row r="751" s="34" customFormat="1"/>
    <row r="752" s="34" customFormat="1"/>
    <row r="753" s="34" customFormat="1"/>
    <row r="754" s="34" customFormat="1"/>
    <row r="755" s="34" customFormat="1"/>
    <row r="756" s="34" customFormat="1"/>
    <row r="757" s="34" customFormat="1"/>
    <row r="758" s="34" customFormat="1"/>
    <row r="759" s="34" customFormat="1"/>
    <row r="760" s="34" customFormat="1"/>
    <row r="761" s="34" customFormat="1"/>
    <row r="762" s="34" customFormat="1"/>
    <row r="763" s="34" customFormat="1"/>
    <row r="764" s="34" customFormat="1"/>
    <row r="765" s="34" customFormat="1"/>
    <row r="766" s="34" customFormat="1"/>
    <row r="767" s="34" customFormat="1"/>
    <row r="768" s="34" customFormat="1"/>
    <row r="769" s="34" customFormat="1"/>
    <row r="770" s="34" customFormat="1"/>
    <row r="771" s="34" customFormat="1"/>
    <row r="772" s="34" customFormat="1"/>
    <row r="773" s="34" customFormat="1"/>
    <row r="774" s="34" customFormat="1"/>
    <row r="775" s="34" customFormat="1"/>
    <row r="776" s="34" customFormat="1"/>
    <row r="777" s="34" customFormat="1"/>
    <row r="778" s="34" customFormat="1"/>
    <row r="779" s="34" customFormat="1"/>
    <row r="780" s="34" customFormat="1"/>
    <row r="781" s="34" customFormat="1"/>
    <row r="782" s="34" customFormat="1"/>
    <row r="783" s="34" customFormat="1"/>
    <row r="784" s="34" customFormat="1"/>
    <row r="785" s="34" customFormat="1"/>
    <row r="786" s="34" customFormat="1"/>
    <row r="787" s="34" customFormat="1"/>
    <row r="788" s="34" customFormat="1"/>
    <row r="789" s="34" customFormat="1"/>
    <row r="790" s="34" customFormat="1"/>
    <row r="791" s="34" customFormat="1"/>
    <row r="792" s="34" customFormat="1"/>
    <row r="793" s="34" customFormat="1"/>
    <row r="794" s="34" customFormat="1"/>
    <row r="795" s="34" customFormat="1"/>
    <row r="796" s="34" customFormat="1"/>
    <row r="797" s="34" customFormat="1"/>
    <row r="798" s="34" customFormat="1"/>
    <row r="799" s="34" customFormat="1"/>
    <row r="800" s="34" customFormat="1"/>
    <row r="801" s="34" customFormat="1"/>
    <row r="802" s="34" customFormat="1"/>
    <row r="803" s="34" customFormat="1"/>
    <row r="804" s="34" customFormat="1"/>
    <row r="805" s="34" customFormat="1"/>
    <row r="806" s="34" customFormat="1"/>
    <row r="807" s="34" customFormat="1"/>
    <row r="808" s="34" customFormat="1"/>
    <row r="809" s="34" customFormat="1"/>
    <row r="810" s="34" customFormat="1"/>
    <row r="811" s="34" customFormat="1"/>
    <row r="812" s="34" customFormat="1"/>
    <row r="813" s="34" customFormat="1"/>
    <row r="814" s="34" customFormat="1"/>
    <row r="815" s="34" customFormat="1"/>
    <row r="816" s="34" customFormat="1"/>
    <row r="817" s="34" customFormat="1"/>
    <row r="818" s="34" customFormat="1"/>
    <row r="819" s="34" customFormat="1"/>
    <row r="820" s="34" customFormat="1"/>
    <row r="821" s="34" customFormat="1"/>
    <row r="822" s="34" customFormat="1"/>
    <row r="823" s="34" customFormat="1"/>
    <row r="824" s="34" customFormat="1"/>
    <row r="825" s="34" customFormat="1"/>
    <row r="826" s="34" customFormat="1"/>
    <row r="827" s="34" customFormat="1"/>
    <row r="828" s="34" customFormat="1"/>
    <row r="829" s="34" customFormat="1"/>
    <row r="830" s="34" customFormat="1"/>
    <row r="831" s="34" customFormat="1"/>
    <row r="832" s="34" customFormat="1"/>
    <row r="833" s="34" customFormat="1"/>
    <row r="834" s="34" customFormat="1"/>
    <row r="835" s="34" customFormat="1"/>
    <row r="836" s="34" customFormat="1"/>
    <row r="837" s="34" customFormat="1"/>
    <row r="838" s="34" customFormat="1"/>
    <row r="839" s="34" customFormat="1"/>
    <row r="840" s="34" customFormat="1"/>
    <row r="841" s="34" customFormat="1"/>
    <row r="842" s="34" customFormat="1"/>
    <row r="843" s="34" customFormat="1"/>
    <row r="844" s="34" customFormat="1"/>
    <row r="845" s="34" customFormat="1"/>
    <row r="846" s="34" customFormat="1"/>
    <row r="847" s="34" customFormat="1"/>
    <row r="848" s="34" customFormat="1"/>
    <row r="849" s="34" customFormat="1"/>
    <row r="850" s="34" customFormat="1"/>
    <row r="851" s="34" customFormat="1"/>
    <row r="852" s="34" customFormat="1"/>
    <row r="853" s="34" customFormat="1"/>
    <row r="854" s="34" customFormat="1"/>
    <row r="855" s="34" customFormat="1"/>
    <row r="856" s="34" customFormat="1"/>
    <row r="857" s="34" customFormat="1"/>
    <row r="858" s="34" customFormat="1"/>
    <row r="859" s="34" customFormat="1"/>
    <row r="860" s="34" customFormat="1"/>
    <row r="861" s="34" customFormat="1"/>
    <row r="862" s="34" customFormat="1"/>
    <row r="863" s="34" customFormat="1"/>
    <row r="864" s="34" customFormat="1"/>
    <row r="865" s="34" customFormat="1"/>
    <row r="866" s="34" customFormat="1"/>
    <row r="867" s="34" customFormat="1"/>
    <row r="868" s="34" customFormat="1"/>
    <row r="869" s="34" customFormat="1"/>
    <row r="870" s="34" customFormat="1"/>
    <row r="871" s="34" customFormat="1"/>
    <row r="872" s="34" customFormat="1"/>
    <row r="873" s="34" customFormat="1"/>
    <row r="874" s="34" customFormat="1"/>
    <row r="875" s="34" customFormat="1"/>
    <row r="876" s="34" customFormat="1"/>
    <row r="877" s="34" customFormat="1"/>
    <row r="878" s="34" customFormat="1"/>
    <row r="879" s="34" customFormat="1"/>
    <row r="880" s="34" customFormat="1"/>
    <row r="881" s="34" customFormat="1"/>
    <row r="882" s="34" customFormat="1"/>
    <row r="883" s="34" customFormat="1"/>
    <row r="884" s="34" customFormat="1"/>
    <row r="885" s="34" customFormat="1"/>
    <row r="886" s="34" customFormat="1"/>
    <row r="887" s="34" customFormat="1"/>
    <row r="888" s="34" customFormat="1"/>
    <row r="889" s="34" customFormat="1"/>
    <row r="890" s="34" customFormat="1"/>
    <row r="891" s="34" customFormat="1"/>
    <row r="892" s="34" customFormat="1"/>
    <row r="893" s="34" customFormat="1"/>
    <row r="894" s="34" customFormat="1"/>
    <row r="895" s="34" customFormat="1"/>
    <row r="896" s="34" customFormat="1"/>
    <row r="897" s="34" customFormat="1"/>
    <row r="898" s="34" customFormat="1"/>
    <row r="899" s="34" customFormat="1"/>
    <row r="900" s="34" customFormat="1"/>
    <row r="901" s="34" customFormat="1"/>
    <row r="902" s="34" customFormat="1"/>
    <row r="903" s="34" customFormat="1"/>
    <row r="904" s="34" customFormat="1"/>
    <row r="905" s="34" customFormat="1"/>
    <row r="906" s="34" customFormat="1"/>
    <row r="907" s="34" customFormat="1"/>
    <row r="908" s="34" customFormat="1"/>
    <row r="909" s="34" customFormat="1"/>
    <row r="910" s="34" customFormat="1"/>
    <row r="911" s="34" customFormat="1"/>
    <row r="912" s="34" customFormat="1"/>
    <row r="913" s="34" customFormat="1"/>
    <row r="914" s="34" customFormat="1"/>
    <row r="915" s="34" customFormat="1"/>
    <row r="916" s="34" customFormat="1"/>
    <row r="917" s="34" customFormat="1"/>
    <row r="918" s="34" customFormat="1"/>
    <row r="919" s="34" customFormat="1"/>
    <row r="920" s="34" customFormat="1"/>
    <row r="921" s="34" customFormat="1"/>
    <row r="922" s="34" customFormat="1"/>
    <row r="923" s="34" customFormat="1"/>
    <row r="924" s="34" customFormat="1"/>
    <row r="925" s="34" customFormat="1"/>
    <row r="926" s="34" customFormat="1"/>
    <row r="927" s="34" customFormat="1"/>
    <row r="928" s="34" customFormat="1"/>
    <row r="929" s="34" customFormat="1"/>
    <row r="930" s="34" customFormat="1"/>
    <row r="931" s="34" customFormat="1"/>
    <row r="932" s="34" customFormat="1"/>
    <row r="933" s="34" customFormat="1"/>
    <row r="934" s="34" customFormat="1"/>
    <row r="935" s="34" customFormat="1"/>
    <row r="936" s="34" customFormat="1"/>
    <row r="937" s="34" customFormat="1"/>
    <row r="938" s="34" customFormat="1"/>
    <row r="939" s="34" customFormat="1"/>
    <row r="940" s="34" customFormat="1"/>
    <row r="941" s="34" customFormat="1"/>
    <row r="942" s="34" customFormat="1"/>
    <row r="943" s="34" customFormat="1"/>
    <row r="944" s="34" customFormat="1"/>
    <row r="945" s="34" customFormat="1"/>
    <row r="946" s="34" customFormat="1"/>
    <row r="947" s="34" customFormat="1"/>
    <row r="948" s="34" customFormat="1"/>
    <row r="949" s="34" customFormat="1"/>
    <row r="950" s="34" customFormat="1"/>
    <row r="951" s="34" customFormat="1"/>
    <row r="952" s="34" customFormat="1"/>
    <row r="953" s="34" customFormat="1"/>
    <row r="954" s="34" customFormat="1"/>
    <row r="955" s="34" customFormat="1"/>
    <row r="956" s="34" customFormat="1"/>
    <row r="957" s="34" customFormat="1"/>
    <row r="958" s="34" customFormat="1"/>
    <row r="959" s="34" customFormat="1"/>
    <row r="960" s="34" customFormat="1"/>
    <row r="961" s="34" customFormat="1"/>
    <row r="962" s="34" customFormat="1"/>
    <row r="963" s="34" customFormat="1"/>
    <row r="964" s="34" customFormat="1"/>
    <row r="965" s="34" customFormat="1"/>
    <row r="966" s="34" customFormat="1"/>
    <row r="967" s="34" customFormat="1"/>
    <row r="968" s="34" customFormat="1"/>
    <row r="969" s="34" customFormat="1"/>
    <row r="970" s="34" customFormat="1"/>
    <row r="971" s="34" customFormat="1"/>
    <row r="972" s="34" customFormat="1"/>
    <row r="973" s="34" customFormat="1"/>
    <row r="974" s="34" customFormat="1"/>
    <row r="975" s="34" customFormat="1"/>
    <row r="976" s="34" customFormat="1"/>
    <row r="977" s="34" customFormat="1"/>
    <row r="978" s="34" customFormat="1"/>
    <row r="979" s="34" customFormat="1"/>
    <row r="980" s="34" customFormat="1"/>
    <row r="981" s="34" customFormat="1"/>
    <row r="982" s="34" customFormat="1"/>
    <row r="983" s="34" customFormat="1"/>
    <row r="984" s="34" customFormat="1"/>
    <row r="985" s="34" customFormat="1"/>
    <row r="986" s="34" customFormat="1"/>
    <row r="987" s="34" customFormat="1"/>
    <row r="988" s="34" customFormat="1"/>
    <row r="989" s="34" customFormat="1"/>
    <row r="990" s="34" customFormat="1"/>
    <row r="991" s="34" customFormat="1"/>
    <row r="992" s="34" customFormat="1"/>
    <row r="993" s="34" customFormat="1"/>
    <row r="994" s="34" customFormat="1"/>
    <row r="995" s="34" customFormat="1"/>
    <row r="996" s="34" customFormat="1"/>
    <row r="997" s="34" customFormat="1"/>
    <row r="998" s="34" customFormat="1"/>
    <row r="999" s="34" customFormat="1"/>
    <row r="1000" s="34" customFormat="1"/>
    <row r="1001" s="34" customFormat="1"/>
    <row r="1002" s="34" customFormat="1"/>
    <row r="1003" s="34" customFormat="1"/>
    <row r="1004" s="34" customFormat="1"/>
    <row r="1005" s="34" customFormat="1"/>
    <row r="1006" s="34" customFormat="1"/>
    <row r="1007" s="34" customFormat="1"/>
    <row r="1008" s="34" customFormat="1"/>
    <row r="1009" s="34" customFormat="1"/>
    <row r="1010" s="34" customFormat="1"/>
    <row r="1011" s="34" customFormat="1"/>
    <row r="1012" s="34" customFormat="1"/>
    <row r="1013" s="34" customFormat="1"/>
    <row r="1014" s="34" customFormat="1"/>
    <row r="1015" s="34" customFormat="1"/>
    <row r="1016" s="34" customFormat="1"/>
    <row r="1017" s="34" customFormat="1"/>
    <row r="1018" s="34" customFormat="1"/>
    <row r="1019" s="34" customFormat="1"/>
    <row r="1020" s="34" customFormat="1"/>
    <row r="1021" s="34" customFormat="1"/>
    <row r="1022" s="34" customFormat="1"/>
    <row r="1023" s="34" customFormat="1"/>
    <row r="1024" s="34" customFormat="1"/>
    <row r="1025" s="34" customFormat="1"/>
    <row r="1026" s="34" customFormat="1"/>
    <row r="1027" s="34" customFormat="1"/>
    <row r="1028" s="34" customFormat="1"/>
    <row r="1029" s="34" customFormat="1"/>
    <row r="1030" s="34" customFormat="1"/>
    <row r="1031" s="34" customFormat="1"/>
    <row r="1032" s="34" customFormat="1"/>
    <row r="1033" s="34" customFormat="1"/>
    <row r="1034" s="34" customFormat="1"/>
    <row r="1035" s="34" customFormat="1"/>
    <row r="1036" s="34" customFormat="1"/>
    <row r="1037" s="34" customFormat="1"/>
    <row r="1038" s="34" customFormat="1"/>
    <row r="1039" s="34" customFormat="1"/>
    <row r="1040" s="34" customFormat="1"/>
    <row r="1041" s="34" customFormat="1"/>
    <row r="1042" s="34" customFormat="1"/>
    <row r="1043" s="34" customFormat="1"/>
    <row r="1044" s="34" customFormat="1"/>
    <row r="1045" s="34" customFormat="1"/>
    <row r="1046" s="34" customFormat="1"/>
    <row r="1047" s="34" customFormat="1"/>
    <row r="1048" s="34" customFormat="1"/>
    <row r="1049" s="34" customFormat="1"/>
    <row r="1050" s="34" customFormat="1"/>
    <row r="1051" s="34" customFormat="1"/>
    <row r="1052" s="34" customFormat="1"/>
    <row r="1053" s="34" customFormat="1"/>
    <row r="1054" s="34" customFormat="1"/>
    <row r="1055" s="34" customFormat="1"/>
    <row r="1056" s="34" customFormat="1"/>
    <row r="1057" s="34" customFormat="1"/>
    <row r="1058" s="34" customFormat="1"/>
    <row r="1059" s="34" customFormat="1"/>
    <row r="1060" s="34" customFormat="1"/>
    <row r="1061" s="34" customFormat="1"/>
    <row r="1062" s="34" customFormat="1"/>
    <row r="1063" s="34" customFormat="1"/>
    <row r="1064" s="34" customFormat="1"/>
    <row r="1065" s="34" customFormat="1"/>
    <row r="1066" s="34" customFormat="1"/>
    <row r="1067" s="34" customFormat="1"/>
    <row r="1068" s="34" customFormat="1"/>
    <row r="1069" s="34" customFormat="1"/>
    <row r="1070" s="34" customFormat="1"/>
    <row r="1071" s="34" customFormat="1"/>
    <row r="1072" s="34" customFormat="1"/>
    <row r="1073" s="34" customFormat="1"/>
    <row r="1074" s="34" customFormat="1"/>
    <row r="1075" s="34" customFormat="1"/>
    <row r="1076" s="34" customFormat="1"/>
    <row r="1077" s="34" customFormat="1"/>
    <row r="1078" s="34" customFormat="1"/>
    <row r="1079" s="34" customFormat="1"/>
    <row r="1080" s="34" customFormat="1"/>
    <row r="1081" s="34" customFormat="1"/>
    <row r="1082" s="34" customFormat="1"/>
    <row r="1083" s="34" customFormat="1"/>
    <row r="1084" s="34" customFormat="1"/>
    <row r="1085" s="34" customFormat="1"/>
    <row r="1086" s="34" customFormat="1"/>
    <row r="1087" s="34" customFormat="1"/>
    <row r="1088" s="34" customFormat="1"/>
    <row r="1089" s="34" customFormat="1"/>
    <row r="1090" s="34" customFormat="1"/>
    <row r="1091" s="34" customFormat="1"/>
    <row r="1092" s="34" customFormat="1"/>
    <row r="1093" s="34" customFormat="1"/>
    <row r="1094" s="34" customFormat="1"/>
    <row r="1095" s="34" customFormat="1"/>
    <row r="1096" s="34" customFormat="1"/>
    <row r="1097" s="34" customFormat="1"/>
    <row r="1098" s="34" customFormat="1"/>
    <row r="1099" s="34" customFormat="1"/>
    <row r="1100" s="34" customFormat="1"/>
    <row r="1101" s="34" customFormat="1"/>
    <row r="1102" s="34" customFormat="1"/>
    <row r="1103" s="34" customFormat="1"/>
    <row r="1104" s="34" customFormat="1"/>
    <row r="1105" s="34" customFormat="1"/>
    <row r="1106" s="34" customFormat="1"/>
    <row r="1107" s="34" customFormat="1"/>
    <row r="1108" s="34" customFormat="1"/>
    <row r="1109" s="34" customFormat="1"/>
    <row r="1110" s="34" customFormat="1"/>
    <row r="1111" s="34" customFormat="1"/>
    <row r="1112" s="34" customFormat="1"/>
    <row r="1113" s="34" customFormat="1"/>
    <row r="1114" s="34" customFormat="1"/>
    <row r="1115" s="34" customFormat="1"/>
    <row r="1116" s="34" customFormat="1"/>
    <row r="1117" s="34" customFormat="1"/>
    <row r="1118" s="34" customFormat="1"/>
    <row r="1119" s="34" customFormat="1"/>
    <row r="1120" s="34" customFormat="1"/>
    <row r="1121" s="34" customFormat="1"/>
    <row r="1122" s="34" customFormat="1"/>
    <row r="1123" s="34" customFormat="1"/>
    <row r="1124" s="34" customFormat="1"/>
    <row r="1125" s="34" customFormat="1"/>
    <row r="1126" s="34" customFormat="1"/>
    <row r="1127" s="34" customFormat="1"/>
    <row r="1128" s="34" customFormat="1"/>
    <row r="1129" s="34" customFormat="1"/>
    <row r="1130" s="34" customFormat="1"/>
    <row r="1131" s="34" customFormat="1"/>
    <row r="1132" s="34" customFormat="1"/>
    <row r="1133" s="34" customFormat="1"/>
    <row r="1134" s="34" customFormat="1"/>
    <row r="1135" s="34" customFormat="1"/>
    <row r="1136" s="34" customFormat="1"/>
    <row r="1137" s="34" customFormat="1"/>
    <row r="1138" s="34" customFormat="1"/>
    <row r="1139" s="34" customFormat="1"/>
    <row r="1140" s="34" customFormat="1"/>
    <row r="1141" s="34" customFormat="1"/>
    <row r="1142" s="34" customFormat="1"/>
    <row r="1143" s="34" customFormat="1"/>
    <row r="1144" s="34" customFormat="1"/>
    <row r="1145" s="34" customFormat="1"/>
    <row r="1146" s="34" customFormat="1"/>
    <row r="1147" s="34" customFormat="1"/>
    <row r="1148" s="34" customFormat="1"/>
    <row r="1149" s="34" customFormat="1"/>
    <row r="1150" s="34" customFormat="1"/>
    <row r="1151" s="34" customFormat="1"/>
    <row r="1152" s="34" customFormat="1"/>
    <row r="1153" s="34" customFormat="1"/>
    <row r="1154" s="34" customFormat="1"/>
    <row r="1155" s="34" customFormat="1"/>
    <row r="1156" s="34" customFormat="1"/>
    <row r="1157" s="34" customFormat="1"/>
    <row r="1158" s="34" customFormat="1"/>
    <row r="1159" s="34" customFormat="1"/>
    <row r="1160" s="34" customFormat="1"/>
    <row r="1161" s="34" customFormat="1"/>
    <row r="1162" s="34" customFormat="1"/>
    <row r="1163" s="34" customFormat="1"/>
    <row r="1164" s="34" customFormat="1"/>
    <row r="1165" s="34" customFormat="1"/>
    <row r="1166" s="34" customFormat="1"/>
    <row r="1167" s="34" customFormat="1"/>
    <row r="1168" s="34" customFormat="1"/>
    <row r="1169" s="34" customFormat="1"/>
    <row r="1170" s="34" customFormat="1"/>
    <row r="1171" s="34" customFormat="1"/>
    <row r="1172" s="34" customFormat="1"/>
    <row r="1173" s="34" customFormat="1"/>
    <row r="1174" s="34" customFormat="1"/>
    <row r="1175" s="34" customFormat="1"/>
    <row r="1176" s="34" customFormat="1"/>
    <row r="1177" s="34" customFormat="1"/>
    <row r="1178" s="34" customFormat="1"/>
    <row r="1179" s="34" customFormat="1"/>
    <row r="1180" s="34" customFormat="1"/>
    <row r="1181" s="34" customFormat="1"/>
    <row r="1182" s="34" customFormat="1"/>
    <row r="1183" s="34" customFormat="1"/>
    <row r="1184" s="34" customFormat="1"/>
    <row r="1185" s="34" customFormat="1"/>
    <row r="1186" s="34" customFormat="1"/>
    <row r="1187" s="34" customFormat="1"/>
    <row r="1188" s="34" customFormat="1"/>
    <row r="1189" s="34" customFormat="1"/>
    <row r="1190" s="34" customFormat="1"/>
    <row r="1191" s="34" customFormat="1"/>
    <row r="1192" s="34" customFormat="1"/>
    <row r="1193" s="34" customFormat="1"/>
    <row r="1194" s="34" customFormat="1"/>
    <row r="1195" s="34" customFormat="1"/>
    <row r="1196" s="34" customFormat="1"/>
    <row r="1197" s="34" customFormat="1"/>
    <row r="1198" s="34" customFormat="1"/>
    <row r="1199" s="34" customFormat="1"/>
    <row r="1200" s="34" customFormat="1"/>
    <row r="1201" s="34" customFormat="1"/>
    <row r="1202" s="34" customFormat="1"/>
    <row r="1203" s="34" customFormat="1"/>
    <row r="1204" s="34" customFormat="1"/>
    <row r="1205" s="34" customFormat="1"/>
    <row r="1206" s="34" customFormat="1"/>
    <row r="1207" s="34" customFormat="1"/>
    <row r="1208" s="34" customFormat="1"/>
    <row r="1209" s="34" customFormat="1"/>
    <row r="1210" s="34" customFormat="1"/>
    <row r="1211" s="34" customFormat="1"/>
    <row r="1212" s="34" customFormat="1"/>
    <row r="1213" s="34" customFormat="1"/>
    <row r="1214" s="34" customFormat="1"/>
    <row r="1215" s="34" customFormat="1"/>
    <row r="1216" s="34" customFormat="1"/>
    <row r="1217" s="34" customFormat="1"/>
    <row r="1218" s="34" customFormat="1"/>
    <row r="1219" s="34" customFormat="1"/>
    <row r="1220" s="34" customFormat="1"/>
    <row r="1221" s="34" customFormat="1"/>
    <row r="1222" s="34" customFormat="1"/>
    <row r="1223" s="34" customFormat="1"/>
    <row r="1224" s="34" customFormat="1"/>
    <row r="1225" s="34" customFormat="1"/>
    <row r="1226" s="34" customFormat="1"/>
    <row r="1227" s="34" customFormat="1"/>
    <row r="1228" s="34" customFormat="1"/>
    <row r="1229" s="34" customFormat="1"/>
    <row r="1230" s="34" customFormat="1"/>
    <row r="1231" s="34" customFormat="1"/>
    <row r="1232" s="34" customFormat="1"/>
    <row r="1233" s="34" customFormat="1"/>
    <row r="1234" s="34" customFormat="1"/>
    <row r="1235" s="34" customFormat="1"/>
    <row r="1236" s="34" customFormat="1"/>
    <row r="1237" s="34" customFormat="1"/>
    <row r="1238" s="34" customFormat="1"/>
    <row r="1239" s="34" customFormat="1"/>
    <row r="1240" s="34" customFormat="1"/>
    <row r="1241" s="34" customFormat="1"/>
    <row r="1242" s="34" customFormat="1"/>
    <row r="1243" s="34" customFormat="1"/>
    <row r="1244" s="34" customFormat="1"/>
    <row r="1245" s="34" customFormat="1"/>
    <row r="1246" s="34" customFormat="1"/>
    <row r="1247" s="34" customFormat="1"/>
    <row r="1248" s="34" customFormat="1"/>
    <row r="1249" s="34" customFormat="1"/>
    <row r="1250" s="34" customFormat="1"/>
    <row r="1251" s="34" customFormat="1"/>
    <row r="1252" s="34" customFormat="1"/>
    <row r="1253" s="34" customFormat="1"/>
    <row r="1254" s="34" customFormat="1"/>
    <row r="1255" s="34" customFormat="1"/>
    <row r="1256" s="34" customFormat="1"/>
    <row r="1257" s="34" customFormat="1"/>
    <row r="1258" s="34" customFormat="1"/>
    <row r="1259" s="34" customFormat="1"/>
    <row r="1260" s="34" customFormat="1"/>
    <row r="1261" s="34" customFormat="1"/>
    <row r="1262" s="34" customFormat="1"/>
    <row r="1263" s="34" customFormat="1"/>
    <row r="1264" s="34" customFormat="1"/>
    <row r="1265" s="34" customFormat="1"/>
    <row r="1266" s="34" customFormat="1"/>
    <row r="1267" s="34" customFormat="1"/>
    <row r="1268" s="34" customFormat="1"/>
    <row r="1269" s="34" customFormat="1"/>
    <row r="1270" s="34" customFormat="1"/>
    <row r="1271" s="34" customFormat="1"/>
    <row r="1272" s="34" customFormat="1"/>
    <row r="1273" s="34" customFormat="1"/>
    <row r="1274" s="34" customFormat="1"/>
    <row r="1275" s="34" customFormat="1"/>
    <row r="1276" s="34" customFormat="1"/>
    <row r="1277" s="34" customFormat="1"/>
    <row r="1278" s="34" customFormat="1"/>
    <row r="1279" s="34" customFormat="1"/>
    <row r="1280" s="34" customFormat="1"/>
    <row r="1281" s="34" customFormat="1"/>
    <row r="1282" s="34" customFormat="1"/>
    <row r="1283" s="34" customFormat="1"/>
    <row r="1284" s="34" customFormat="1"/>
    <row r="1285" s="34" customFormat="1"/>
    <row r="1286" s="34" customFormat="1"/>
    <row r="1287" s="34" customFormat="1"/>
    <row r="1288" s="34" customFormat="1"/>
    <row r="1289" s="34" customFormat="1"/>
    <row r="1290" s="34" customFormat="1"/>
    <row r="1291" s="34" customFormat="1"/>
    <row r="1292" s="34" customFormat="1"/>
    <row r="1293" s="34" customFormat="1"/>
    <row r="1294" s="34" customFormat="1"/>
    <row r="1295" s="34" customFormat="1"/>
    <row r="1296" s="34" customFormat="1"/>
    <row r="1297" s="34" customFormat="1"/>
    <row r="1298" s="34" customFormat="1"/>
    <row r="1299" s="34" customFormat="1"/>
    <row r="1300" s="34" customFormat="1"/>
    <row r="1301" s="34" customFormat="1"/>
    <row r="1302" s="34" customFormat="1"/>
    <row r="1303" s="34" customFormat="1"/>
    <row r="1304" s="34" customFormat="1"/>
    <row r="1305" s="34" customFormat="1"/>
    <row r="1306" s="34" customFormat="1"/>
    <row r="1307" s="34" customFormat="1"/>
    <row r="1308" s="34" customFormat="1"/>
    <row r="1309" s="34" customFormat="1"/>
    <row r="1310" s="34" customFormat="1"/>
    <row r="1311" s="34" customFormat="1"/>
    <row r="1312" s="34" customFormat="1"/>
    <row r="1313" s="34" customFormat="1"/>
    <row r="1314" s="34" customFormat="1"/>
    <row r="1315" s="34" customFormat="1"/>
    <row r="1316" s="34" customFormat="1"/>
    <row r="1317" s="34" customFormat="1"/>
    <row r="1318" s="34" customFormat="1"/>
    <row r="1319" s="34" customFormat="1"/>
    <row r="1320" s="34" customFormat="1"/>
    <row r="1321" s="34" customFormat="1"/>
    <row r="1322" s="34" customFormat="1"/>
    <row r="1323" s="34" customFormat="1"/>
    <row r="1324" s="34" customFormat="1"/>
    <row r="1325" s="34" customFormat="1"/>
    <row r="1326" s="34" customFormat="1"/>
    <row r="1327" s="34" customFormat="1"/>
    <row r="1328" s="34" customFormat="1"/>
    <row r="1329" s="34" customFormat="1"/>
    <row r="1330" s="34" customFormat="1"/>
    <row r="1331" s="34" customFormat="1"/>
    <row r="1332" s="34" customFormat="1"/>
    <row r="1333" s="34" customFormat="1"/>
    <row r="1334" s="34" customFormat="1"/>
    <row r="1335" s="34" customFormat="1"/>
    <row r="1336" s="34" customFormat="1"/>
    <row r="1337" s="34" customFormat="1"/>
    <row r="1338" s="34" customFormat="1"/>
    <row r="1339" s="34" customFormat="1"/>
    <row r="1340" s="34" customFormat="1"/>
    <row r="1341" s="34" customFormat="1"/>
    <row r="1342" s="34" customFormat="1"/>
    <row r="1343" s="34" customFormat="1"/>
    <row r="1344" s="34" customFormat="1"/>
    <row r="1345" s="34" customFormat="1"/>
    <row r="1346" s="34" customFormat="1"/>
    <row r="1347" s="34" customFormat="1"/>
    <row r="1348" s="34" customFormat="1"/>
    <row r="1349" s="34" customFormat="1"/>
    <row r="1350" s="34" customFormat="1"/>
    <row r="1351" s="34" customFormat="1"/>
    <row r="1352" s="34" customFormat="1"/>
    <row r="1353" s="34" customFormat="1"/>
    <row r="1354" s="34" customFormat="1"/>
    <row r="1355" s="34" customFormat="1"/>
    <row r="1356" s="34" customFormat="1"/>
    <row r="1357" s="34" customFormat="1"/>
    <row r="1358" s="34" customFormat="1"/>
    <row r="1359" s="34" customFormat="1"/>
    <row r="1360" s="34" customFormat="1"/>
    <row r="1361" s="34" customFormat="1"/>
    <row r="1362" s="34" customFormat="1"/>
    <row r="1363" s="34" customFormat="1"/>
    <row r="1364" s="34" customFormat="1"/>
    <row r="1365" s="34" customFormat="1"/>
    <row r="1366" s="34" customFormat="1"/>
    <row r="1367" s="34" customFormat="1"/>
    <row r="1368" s="34" customFormat="1"/>
    <row r="1369" s="34" customFormat="1"/>
    <row r="1370" s="34" customFormat="1"/>
    <row r="1371" s="34" customFormat="1"/>
    <row r="1372" s="34" customFormat="1"/>
    <row r="1373" s="34" customFormat="1"/>
    <row r="1374" s="34" customFormat="1"/>
    <row r="1375" s="34" customFormat="1"/>
    <row r="1376" s="34" customFormat="1"/>
    <row r="1377" s="34" customFormat="1"/>
    <row r="1378" s="34" customFormat="1"/>
    <row r="1379" s="34" customFormat="1"/>
    <row r="1380" s="34" customFormat="1"/>
    <row r="1381" s="34" customFormat="1"/>
    <row r="1382" s="34" customFormat="1"/>
    <row r="1383" s="34" customFormat="1"/>
    <row r="1384" s="34" customFormat="1"/>
    <row r="1385" s="34" customFormat="1"/>
    <row r="1386" s="34" customFormat="1"/>
    <row r="1387" s="34" customFormat="1"/>
    <row r="1388" s="34" customFormat="1"/>
    <row r="1389" s="34" customFormat="1"/>
    <row r="1390" s="34" customFormat="1"/>
    <row r="1391" s="34" customFormat="1"/>
    <row r="1392" s="34" customFormat="1"/>
    <row r="1393" s="34" customFormat="1"/>
    <row r="1394" s="34" customFormat="1"/>
    <row r="1395" s="34" customFormat="1"/>
    <row r="1396" s="34" customFormat="1"/>
    <row r="1397" s="34" customFormat="1"/>
    <row r="1398" s="34" customFormat="1"/>
    <row r="1399" s="34" customFormat="1"/>
    <row r="1400" s="34" customFormat="1"/>
    <row r="1401" s="34" customFormat="1"/>
    <row r="1402" s="34" customFormat="1"/>
    <row r="1403" s="34" customFormat="1"/>
    <row r="1404" s="34" customFormat="1"/>
    <row r="1405" s="34" customFormat="1"/>
    <row r="1406" s="34" customFormat="1"/>
    <row r="1407" s="34" customFormat="1"/>
    <row r="1408" s="34" customFormat="1"/>
    <row r="1409" s="34" customFormat="1"/>
    <row r="1410" s="34" customFormat="1"/>
    <row r="1411" s="34" customFormat="1"/>
    <row r="1412" s="34" customFormat="1"/>
    <row r="1413" s="34" customFormat="1"/>
    <row r="1414" s="34" customFormat="1"/>
    <row r="1415" s="34" customFormat="1"/>
    <row r="1416" s="34" customFormat="1"/>
    <row r="1417" s="34" customFormat="1"/>
    <row r="1418" s="34" customFormat="1"/>
    <row r="1419" s="34" customFormat="1"/>
    <row r="1420" s="34" customFormat="1"/>
    <row r="1421" s="34" customFormat="1"/>
    <row r="1422" s="34" customFormat="1"/>
    <row r="1423" s="34" customFormat="1"/>
    <row r="1424" s="34" customFormat="1"/>
    <row r="1425" s="34" customFormat="1"/>
    <row r="1426" s="34" customFormat="1"/>
    <row r="1427" s="34" customFormat="1"/>
    <row r="1428" s="34" customFormat="1"/>
    <row r="1429" s="34" customFormat="1"/>
    <row r="1430" s="34" customFormat="1"/>
    <row r="1431" s="34" customFormat="1"/>
    <row r="1432" s="34" customFormat="1"/>
    <row r="1433" s="34" customFormat="1"/>
    <row r="1434" s="34" customFormat="1"/>
    <row r="1435" s="34" customFormat="1"/>
    <row r="1436" s="34" customFormat="1"/>
    <row r="1437" s="34" customFormat="1"/>
    <row r="1438" s="34" customFormat="1"/>
    <row r="1439" s="34" customFormat="1"/>
    <row r="1440" s="34" customFormat="1"/>
    <row r="1441" s="34" customFormat="1"/>
    <row r="1442" s="34" customFormat="1"/>
    <row r="1443" s="34" customFormat="1"/>
    <row r="1444" s="34" customFormat="1"/>
    <row r="1445" s="34" customFormat="1"/>
    <row r="1446" s="34" customFormat="1"/>
    <row r="1447" s="34" customFormat="1"/>
    <row r="1448" s="34" customFormat="1"/>
    <row r="1449" s="34" customFormat="1"/>
    <row r="1450" s="34" customFormat="1"/>
    <row r="1451" s="34" customFormat="1"/>
    <row r="1452" s="34" customFormat="1"/>
    <row r="1453" s="34" customFormat="1"/>
    <row r="1454" s="34" customFormat="1"/>
    <row r="1455" s="34" customFormat="1"/>
    <row r="1456" s="34" customFormat="1"/>
    <row r="1457" s="34" customFormat="1"/>
    <row r="1458" s="34" customFormat="1"/>
    <row r="1459" s="34" customFormat="1"/>
    <row r="1460" s="34" customFormat="1"/>
    <row r="1461" s="34" customFormat="1"/>
    <row r="1462" s="34" customFormat="1"/>
    <row r="1463" s="34" customFormat="1"/>
    <row r="1464" s="34" customFormat="1"/>
    <row r="1465" s="34" customFormat="1"/>
    <row r="1466" s="34" customFormat="1"/>
    <row r="1467" s="34" customFormat="1"/>
    <row r="1468" s="34" customFormat="1"/>
    <row r="1469" s="34" customFormat="1"/>
    <row r="1470" s="34" customFormat="1"/>
    <row r="1471" s="34" customFormat="1"/>
    <row r="1472" s="34" customFormat="1"/>
    <row r="1473" s="34" customFormat="1"/>
    <row r="1474" s="34" customFormat="1"/>
    <row r="1475" s="34" customFormat="1"/>
    <row r="1476" s="34" customFormat="1"/>
    <row r="1477" s="34" customFormat="1"/>
    <row r="1478" s="34" customFormat="1"/>
    <row r="1479" s="34" customFormat="1"/>
    <row r="1480" s="34" customFormat="1"/>
    <row r="1481" s="34" customFormat="1"/>
    <row r="1482" s="34" customFormat="1"/>
    <row r="1483" s="34" customFormat="1"/>
    <row r="1484" s="34" customFormat="1"/>
    <row r="1485" s="34" customFormat="1"/>
    <row r="1486" s="34" customFormat="1"/>
    <row r="1487" s="34" customFormat="1"/>
    <row r="1488" s="34" customFormat="1"/>
    <row r="1489" s="34" customFormat="1"/>
    <row r="1490" s="34" customFormat="1"/>
    <row r="1491" s="34" customFormat="1"/>
    <row r="1492" s="34" customFormat="1"/>
    <row r="1493" s="34" customFormat="1"/>
    <row r="1494" s="34" customFormat="1"/>
    <row r="1495" s="34" customFormat="1"/>
    <row r="1496" s="34" customFormat="1"/>
    <row r="1497" s="34" customFormat="1"/>
    <row r="1498" s="34" customFormat="1"/>
    <row r="1499" s="34" customFormat="1"/>
    <row r="1500" s="34" customFormat="1"/>
    <row r="1501" s="34" customFormat="1"/>
    <row r="1502" s="34" customFormat="1"/>
    <row r="1503" s="34" customFormat="1"/>
    <row r="1504" s="34" customFormat="1"/>
    <row r="1505" s="34" customFormat="1"/>
    <row r="1506" s="34" customFormat="1"/>
    <row r="1507" s="34" customFormat="1"/>
    <row r="1508" s="34" customFormat="1"/>
    <row r="1509" s="34" customFormat="1"/>
    <row r="1510" s="34" customFormat="1"/>
    <row r="1511" s="34" customFormat="1"/>
    <row r="1512" s="34" customFormat="1"/>
    <row r="1513" s="34" customFormat="1"/>
    <row r="1514" s="34" customFormat="1"/>
    <row r="1515" s="34" customFormat="1"/>
    <row r="1516" s="34" customFormat="1"/>
    <row r="1517" s="34" customFormat="1"/>
    <row r="1518" s="34" customFormat="1"/>
    <row r="1519" s="34" customFormat="1"/>
    <row r="1520" s="34" customFormat="1"/>
    <row r="1521" s="34" customFormat="1"/>
    <row r="1522" s="34" customFormat="1"/>
    <row r="1523" s="34" customFormat="1"/>
    <row r="1524" s="34" customFormat="1"/>
    <row r="1525" s="34" customFormat="1"/>
    <row r="1526" s="34" customFormat="1"/>
    <row r="1527" s="34" customFormat="1"/>
    <row r="1528" s="34" customFormat="1"/>
    <row r="1529" s="34" customFormat="1"/>
    <row r="1530" s="34" customFormat="1"/>
    <row r="1531" s="34" customFormat="1"/>
    <row r="1532" s="34" customFormat="1"/>
    <row r="1533" s="34" customFormat="1"/>
    <row r="1534" s="34" customFormat="1"/>
    <row r="1535" s="34" customFormat="1"/>
    <row r="1536" s="34" customFormat="1"/>
    <row r="1537" s="34" customFormat="1"/>
    <row r="1538" s="34" customFormat="1"/>
    <row r="1539" s="34" customFormat="1"/>
    <row r="1540" s="34" customFormat="1"/>
    <row r="1541" s="34" customFormat="1"/>
    <row r="1542" s="34" customFormat="1"/>
    <row r="1543" s="34" customFormat="1"/>
    <row r="1544" s="34" customFormat="1"/>
    <row r="1545" s="34" customFormat="1"/>
    <row r="1546" s="34" customFormat="1"/>
    <row r="1547" s="34" customFormat="1"/>
    <row r="1548" s="34" customFormat="1"/>
    <row r="1549" s="34" customFormat="1"/>
    <row r="1550" s="34" customFormat="1"/>
    <row r="1551" s="34" customFormat="1"/>
    <row r="1552" s="34" customFormat="1"/>
    <row r="1553" s="34" customFormat="1"/>
    <row r="1554" s="34" customFormat="1"/>
    <row r="1555" s="34" customFormat="1"/>
    <row r="1556" s="34" customFormat="1"/>
    <row r="1557" s="34" customFormat="1"/>
    <row r="1558" s="34" customFormat="1"/>
    <row r="1559" s="34" customFormat="1"/>
    <row r="1560" s="34" customFormat="1"/>
    <row r="1561" s="34" customFormat="1"/>
    <row r="1562" s="34" customFormat="1"/>
    <row r="1563" s="34" customFormat="1"/>
    <row r="1564" s="34" customFormat="1"/>
    <row r="1565" s="34" customFormat="1"/>
    <row r="1566" s="34" customFormat="1"/>
    <row r="1567" s="34" customFormat="1"/>
    <row r="1568" s="34" customFormat="1"/>
    <row r="1569" s="34" customFormat="1"/>
    <row r="1570" s="34" customFormat="1"/>
    <row r="1571" s="34" customFormat="1"/>
    <row r="1572" s="34" customFormat="1"/>
    <row r="1573" s="34" customFormat="1"/>
    <row r="1574" s="34" customFormat="1"/>
    <row r="1575" s="34" customFormat="1"/>
    <row r="1576" s="34" customFormat="1"/>
    <row r="1577" s="34" customFormat="1"/>
    <row r="1578" s="34" customFormat="1"/>
    <row r="1579" s="34" customFormat="1"/>
    <row r="1580" s="34" customFormat="1"/>
    <row r="1581" s="34" customFormat="1"/>
    <row r="1582" s="34" customFormat="1"/>
    <row r="1583" s="34" customFormat="1"/>
    <row r="1584" s="34" customFormat="1"/>
    <row r="1585" s="34" customFormat="1"/>
    <row r="1586" s="34" customFormat="1"/>
    <row r="1587" s="34" customFormat="1"/>
    <row r="1588" s="34" customFormat="1"/>
    <row r="1589" s="34" customFormat="1"/>
    <row r="1590" s="34" customFormat="1"/>
    <row r="1591" s="34" customFormat="1"/>
    <row r="1592" s="34" customFormat="1"/>
    <row r="1593" s="34" customFormat="1"/>
    <row r="1594" s="34" customFormat="1"/>
    <row r="1595" s="34" customFormat="1"/>
    <row r="1596" s="34" customFormat="1"/>
    <row r="1597" s="34" customFormat="1"/>
    <row r="1598" s="34" customFormat="1"/>
    <row r="1599" s="34" customFormat="1"/>
    <row r="1600" s="34" customFormat="1"/>
    <row r="1601" s="34" customFormat="1"/>
    <row r="1602" s="34" customFormat="1"/>
    <row r="1603" s="34" customFormat="1"/>
    <row r="1604" s="34" customFormat="1"/>
    <row r="1605" s="34" customFormat="1"/>
    <row r="1606" s="34" customFormat="1"/>
    <row r="1607" s="34" customFormat="1"/>
    <row r="1608" s="34" customFormat="1"/>
    <row r="1609" s="34" customFormat="1"/>
    <row r="1610" s="34" customFormat="1"/>
    <row r="1611" s="34" customFormat="1"/>
    <row r="1612" s="34" customFormat="1"/>
    <row r="1613" s="34" customFormat="1"/>
    <row r="1614" s="34" customFormat="1"/>
    <row r="1615" s="34" customFormat="1"/>
    <row r="1616" s="34" customFormat="1"/>
    <row r="1617" s="34" customFormat="1"/>
    <row r="1618" s="34" customFormat="1"/>
    <row r="1619" s="34" customFormat="1"/>
    <row r="1620" s="34" customFormat="1"/>
    <row r="1621" s="34" customFormat="1"/>
    <row r="1622" s="34" customFormat="1"/>
    <row r="1623" s="34" customFormat="1"/>
    <row r="1624" s="34" customFormat="1"/>
    <row r="1625" s="34" customFormat="1"/>
    <row r="1626" s="34" customFormat="1"/>
    <row r="1627" s="34" customFormat="1"/>
    <row r="1628" s="34" customFormat="1"/>
    <row r="1629" s="34" customFormat="1"/>
    <row r="1630" s="34" customFormat="1"/>
    <row r="1631" s="34" customFormat="1"/>
    <row r="1632" s="34" customFormat="1"/>
    <row r="1633" s="34" customFormat="1"/>
    <row r="1634" s="34" customFormat="1"/>
    <row r="1635" s="34" customFormat="1"/>
    <row r="1636" s="34" customFormat="1"/>
    <row r="1637" s="34" customFormat="1"/>
    <row r="1638" s="34" customFormat="1"/>
    <row r="1639" s="34" customFormat="1"/>
    <row r="1640" s="34" customFormat="1"/>
    <row r="1641" s="34" customFormat="1"/>
    <row r="1642" s="34" customFormat="1"/>
    <row r="1643" s="34" customFormat="1"/>
    <row r="1644" s="34" customFormat="1"/>
    <row r="1645" s="34" customFormat="1"/>
    <row r="1646" s="34" customFormat="1"/>
    <row r="1647" s="34" customFormat="1"/>
    <row r="1648" s="34" customFormat="1"/>
    <row r="1649" s="34" customFormat="1"/>
    <row r="1650" s="34" customFormat="1"/>
    <row r="1651" s="34" customFormat="1"/>
    <row r="1652" s="34" customFormat="1"/>
    <row r="1653" s="34" customFormat="1"/>
    <row r="1654" s="34" customFormat="1"/>
    <row r="1655" s="34" customFormat="1"/>
    <row r="1656" s="34" customFormat="1"/>
    <row r="1657" s="34" customFormat="1"/>
    <row r="1658" s="34" customFormat="1"/>
    <row r="1659" s="34" customFormat="1"/>
    <row r="1660" s="34" customFormat="1"/>
    <row r="1661" s="34" customFormat="1"/>
    <row r="1662" s="34" customFormat="1"/>
    <row r="1663" s="34" customFormat="1"/>
    <row r="1664" s="34" customFormat="1"/>
    <row r="1665" s="34" customFormat="1"/>
    <row r="1666" s="34" customFormat="1"/>
    <row r="1667" s="34" customFormat="1"/>
    <row r="1668" s="34" customFormat="1"/>
    <row r="1669" s="34" customFormat="1"/>
    <row r="1670" s="34" customFormat="1"/>
    <row r="1671" s="34" customFormat="1"/>
    <row r="1672" s="34" customFormat="1"/>
    <row r="1673" s="34" customFormat="1"/>
    <row r="1674" s="34" customFormat="1"/>
    <row r="1675" s="34" customFormat="1"/>
    <row r="1676" s="34" customFormat="1"/>
    <row r="1677" s="34" customFormat="1"/>
    <row r="1678" s="34" customFormat="1"/>
    <row r="1679" s="34" customFormat="1"/>
    <row r="1680" s="34" customFormat="1"/>
    <row r="1681" s="34" customFormat="1"/>
    <row r="1682" s="34" customFormat="1"/>
    <row r="1683" s="34" customFormat="1"/>
    <row r="1684" s="34" customFormat="1"/>
    <row r="1685" s="34" customFormat="1"/>
    <row r="1686" s="34" customFormat="1"/>
    <row r="1687" s="34" customFormat="1"/>
    <row r="1688" s="34" customFormat="1"/>
    <row r="1689" s="34" customFormat="1"/>
    <row r="1690" s="34" customFormat="1"/>
    <row r="1691" s="34" customFormat="1"/>
    <row r="1692" s="34" customFormat="1"/>
    <row r="1693" s="34" customFormat="1"/>
    <row r="1694" s="34" customFormat="1"/>
    <row r="1695" s="34" customFormat="1"/>
    <row r="1696" s="34" customFormat="1"/>
    <row r="1697" s="34" customFormat="1"/>
    <row r="1698" s="34" customFormat="1"/>
    <row r="1699" s="34" customFormat="1"/>
    <row r="1700" s="34" customFormat="1"/>
    <row r="1701" s="34" customFormat="1"/>
    <row r="1702" s="34" customFormat="1"/>
    <row r="1703" s="34" customFormat="1"/>
    <row r="1704" s="34" customFormat="1"/>
    <row r="1705" s="34" customFormat="1"/>
    <row r="1706" s="34" customFormat="1"/>
    <row r="1707" s="34" customFormat="1"/>
    <row r="1708" s="34" customFormat="1"/>
    <row r="1709" s="34" customFormat="1"/>
    <row r="1710" s="34" customFormat="1"/>
    <row r="1711" s="34" customFormat="1"/>
    <row r="1712" s="34" customFormat="1"/>
    <row r="1713" s="34" customFormat="1"/>
    <row r="1714" s="34" customFormat="1"/>
    <row r="1715" s="34" customFormat="1"/>
    <row r="1716" s="34" customFormat="1"/>
    <row r="1717" s="34" customFormat="1"/>
    <row r="1718" s="34" customFormat="1"/>
    <row r="1719" s="34" customFormat="1"/>
    <row r="1720" s="34" customFormat="1"/>
    <row r="1721" s="34" customFormat="1"/>
    <row r="1722" s="34" customFormat="1"/>
    <row r="1723" s="34" customFormat="1"/>
    <row r="1724" s="34" customFormat="1"/>
    <row r="1725" s="34" customFormat="1"/>
    <row r="1726" s="34" customFormat="1"/>
    <row r="1727" s="34" customFormat="1"/>
    <row r="1728" s="34" customFormat="1"/>
    <row r="1729" s="34" customFormat="1"/>
    <row r="1730" s="34" customFormat="1"/>
    <row r="1731" s="34" customFormat="1"/>
    <row r="1732" s="34" customFormat="1"/>
    <row r="1733" s="34" customFormat="1"/>
    <row r="1734" s="34" customFormat="1"/>
    <row r="1735" s="34" customFormat="1"/>
    <row r="1736" s="34" customFormat="1"/>
    <row r="1737" s="34" customFormat="1"/>
    <row r="1738" s="34" customFormat="1"/>
    <row r="1739" s="34" customFormat="1"/>
    <row r="1740" s="34" customFormat="1"/>
    <row r="1741" s="34" customFormat="1"/>
    <row r="1742" s="34" customFormat="1"/>
    <row r="1743" s="34" customFormat="1"/>
    <row r="1744" s="34" customFormat="1"/>
    <row r="1745" s="34" customFormat="1"/>
    <row r="1746" s="34" customFormat="1"/>
    <row r="1747" s="34" customFormat="1"/>
    <row r="1748" s="34" customFormat="1"/>
    <row r="1749" s="34" customFormat="1"/>
    <row r="1750" s="34" customFormat="1"/>
    <row r="1751" s="34" customFormat="1"/>
    <row r="1752" s="34" customFormat="1"/>
    <row r="1753" s="34" customFormat="1"/>
    <row r="1754" s="34" customFormat="1"/>
    <row r="1755" s="34" customFormat="1"/>
    <row r="1756" s="34" customFormat="1"/>
    <row r="1757" s="34" customFormat="1"/>
    <row r="1758" s="34" customFormat="1"/>
    <row r="1759" s="34" customFormat="1"/>
    <row r="1760" s="34" customFormat="1"/>
    <row r="1761" s="34" customFormat="1"/>
    <row r="1762" s="34" customFormat="1"/>
    <row r="1763" s="34" customFormat="1"/>
    <row r="1764" s="34" customFormat="1"/>
    <row r="1765" s="34" customFormat="1"/>
    <row r="1766" s="34" customFormat="1"/>
    <row r="1767" s="34" customFormat="1"/>
    <row r="1768" s="34" customFormat="1"/>
    <row r="1769" s="34" customFormat="1"/>
    <row r="1770" s="34" customFormat="1"/>
    <row r="1771" s="34" customFormat="1"/>
    <row r="1772" s="34" customFormat="1"/>
    <row r="1773" s="34" customFormat="1"/>
    <row r="1774" s="34" customFormat="1"/>
    <row r="1775" s="34" customFormat="1"/>
    <row r="1776" s="34" customFormat="1"/>
    <row r="1777" s="34" customFormat="1"/>
    <row r="1778" s="34" customFormat="1"/>
    <row r="1779" s="34" customFormat="1"/>
    <row r="1780" s="34" customFormat="1"/>
    <row r="1781" s="34" customFormat="1"/>
    <row r="1782" s="34" customFormat="1"/>
    <row r="1783" s="34" customFormat="1"/>
    <row r="1784" s="34" customFormat="1"/>
    <row r="1785" s="34" customFormat="1"/>
    <row r="1786" s="34" customFormat="1"/>
    <row r="1787" s="34" customFormat="1"/>
    <row r="1788" s="34" customFormat="1"/>
    <row r="1789" s="34" customFormat="1"/>
    <row r="1790" s="34" customFormat="1"/>
    <row r="1791" s="34" customFormat="1"/>
    <row r="1792" s="34" customFormat="1"/>
    <row r="1793" s="34" customFormat="1"/>
    <row r="1794" s="34" customFormat="1"/>
    <row r="1795" s="34" customFormat="1"/>
    <row r="1796" s="34" customFormat="1"/>
    <row r="1797" s="34" customFormat="1"/>
    <row r="1798" s="34" customFormat="1"/>
    <row r="1799" s="34" customFormat="1"/>
    <row r="1800" s="34" customFormat="1"/>
    <row r="1801" s="34" customFormat="1"/>
    <row r="1802" s="34" customFormat="1"/>
    <row r="1803" s="34" customFormat="1"/>
    <row r="1804" s="34" customFormat="1"/>
    <row r="1805" s="34" customFormat="1"/>
    <row r="1806" s="34" customFormat="1"/>
    <row r="1807" s="34" customFormat="1"/>
    <row r="1808" s="34" customFormat="1"/>
    <row r="1809" s="34" customFormat="1"/>
    <row r="1810" s="34" customFormat="1"/>
    <row r="1811" s="34" customFormat="1"/>
    <row r="1812" s="34" customFormat="1"/>
    <row r="1813" s="34" customFormat="1"/>
    <row r="1814" s="34" customFormat="1"/>
    <row r="1815" s="34" customFormat="1"/>
    <row r="1816" s="34" customFormat="1"/>
    <row r="1817" s="34" customFormat="1"/>
    <row r="1818" s="34" customFormat="1"/>
    <row r="1819" s="34" customFormat="1"/>
    <row r="1820" s="34" customFormat="1"/>
    <row r="1821" s="34" customFormat="1"/>
    <row r="1822" s="34" customFormat="1"/>
    <row r="1823" s="34" customFormat="1"/>
    <row r="1824" s="34" customFormat="1"/>
    <row r="1825" s="34" customFormat="1"/>
    <row r="1826" s="34" customFormat="1"/>
    <row r="1827" s="34" customFormat="1"/>
    <row r="1828" s="34" customFormat="1"/>
    <row r="1829" s="34" customFormat="1"/>
    <row r="1830" s="34" customFormat="1"/>
    <row r="1831" s="34" customFormat="1"/>
    <row r="1832" s="34" customFormat="1"/>
    <row r="1833" s="34" customFormat="1"/>
    <row r="1834" s="34" customFormat="1"/>
    <row r="1835" s="34" customFormat="1"/>
    <row r="1836" s="34" customFormat="1"/>
    <row r="1837" s="34" customFormat="1"/>
    <row r="1838" s="34" customFormat="1"/>
    <row r="1839" s="34" customFormat="1"/>
    <row r="1840" s="34" customFormat="1"/>
    <row r="1841" s="34" customFormat="1"/>
    <row r="1842" s="34" customFormat="1"/>
    <row r="1843" s="34" customFormat="1"/>
    <row r="1844" s="34" customFormat="1"/>
    <row r="1845" s="34" customFormat="1"/>
    <row r="1846" s="34" customFormat="1"/>
    <row r="1847" s="34" customFormat="1"/>
    <row r="1848" s="34" customFormat="1"/>
    <row r="1849" s="34" customFormat="1"/>
    <row r="1850" s="34" customFormat="1"/>
    <row r="1851" s="34" customFormat="1"/>
    <row r="1852" s="34" customFormat="1"/>
    <row r="1853" s="34" customFormat="1"/>
    <row r="1854" s="34" customFormat="1"/>
    <row r="1855" s="34" customFormat="1"/>
    <row r="1856" s="34" customFormat="1"/>
    <row r="1857" s="34" customFormat="1"/>
    <row r="1858" s="34" customFormat="1"/>
    <row r="1859" s="34" customFormat="1"/>
    <row r="1860" s="34" customFormat="1"/>
    <row r="1861" s="34" customFormat="1"/>
    <row r="1862" s="34" customFormat="1"/>
    <row r="1863" s="34" customFormat="1"/>
    <row r="1864" s="34" customFormat="1"/>
    <row r="1865" s="34" customFormat="1"/>
    <row r="1866" s="34" customFormat="1"/>
    <row r="1867" s="34" customFormat="1"/>
    <row r="1868" s="34" customFormat="1"/>
    <row r="1869" s="34" customFormat="1"/>
    <row r="1870" s="34" customFormat="1"/>
    <row r="1871" s="34" customFormat="1"/>
    <row r="1872" s="34" customFormat="1"/>
    <row r="1873" s="34" customFormat="1"/>
    <row r="1874" s="34" customFormat="1"/>
    <row r="1875" s="34" customFormat="1"/>
    <row r="1876" s="34" customFormat="1"/>
    <row r="1877" s="34" customFormat="1"/>
    <row r="1878" s="34" customFormat="1"/>
    <row r="1879" s="34" customFormat="1"/>
    <row r="1880" s="34" customFormat="1"/>
    <row r="1881" s="34" customFormat="1"/>
    <row r="1882" s="34" customFormat="1"/>
    <row r="1883" s="34" customFormat="1"/>
    <row r="1884" s="34" customFormat="1"/>
    <row r="1885" s="34" customFormat="1"/>
    <row r="1886" s="34" customFormat="1"/>
    <row r="1887" s="34" customFormat="1"/>
    <row r="1888" s="34" customFormat="1"/>
    <row r="1889" s="34" customFormat="1"/>
    <row r="1890" s="34" customFormat="1"/>
    <row r="1891" s="34" customFormat="1"/>
    <row r="1892" s="34" customFormat="1"/>
    <row r="1893" s="34" customFormat="1"/>
    <row r="1894" s="34" customFormat="1"/>
    <row r="1895" s="34" customFormat="1"/>
    <row r="1896" s="34" customFormat="1"/>
    <row r="1897" s="34" customFormat="1"/>
    <row r="1898" s="34" customFormat="1"/>
    <row r="1899" s="34" customFormat="1"/>
    <row r="1900" s="34" customFormat="1"/>
    <row r="1901" s="34" customFormat="1"/>
    <row r="1902" s="34" customFormat="1"/>
    <row r="1903" s="34" customFormat="1"/>
    <row r="1904" s="34" customFormat="1"/>
    <row r="1905" s="34" customFormat="1"/>
    <row r="1906" s="34" customFormat="1"/>
    <row r="1907" s="34" customFormat="1"/>
    <row r="1908" s="34" customFormat="1"/>
    <row r="1909" s="34" customFormat="1"/>
    <row r="1910" s="34" customFormat="1"/>
    <row r="1911" s="34" customFormat="1"/>
    <row r="1912" s="34" customFormat="1"/>
    <row r="1913" s="34" customFormat="1"/>
    <row r="1914" s="34" customFormat="1"/>
    <row r="1915" s="34" customFormat="1"/>
    <row r="1916" s="34" customFormat="1"/>
    <row r="1917" s="34" customFormat="1"/>
    <row r="1918" s="34" customFormat="1"/>
    <row r="1919" s="34" customFormat="1"/>
    <row r="1920" s="34" customFormat="1"/>
    <row r="1921" s="34" customFormat="1"/>
    <row r="1922" s="34" customFormat="1"/>
    <row r="1923" s="34" customFormat="1"/>
    <row r="1924" s="34" customFormat="1"/>
    <row r="1925" s="34" customFormat="1"/>
    <row r="1926" s="34" customFormat="1"/>
    <row r="1927" s="34" customFormat="1"/>
    <row r="1928" s="34" customFormat="1"/>
    <row r="1929" s="34" customFormat="1"/>
    <row r="1930" s="34" customFormat="1"/>
    <row r="1931" s="34" customFormat="1"/>
    <row r="1932" s="34" customFormat="1"/>
    <row r="1933" s="34" customFormat="1"/>
    <row r="1934" s="34" customFormat="1"/>
    <row r="1935" s="34" customFormat="1"/>
    <row r="1936" s="34" customFormat="1"/>
    <row r="1937" s="34" customFormat="1"/>
    <row r="1938" s="34" customFormat="1"/>
    <row r="1939" s="34" customFormat="1"/>
    <row r="1940" s="34" customFormat="1"/>
    <row r="1941" s="34" customFormat="1"/>
    <row r="1942" s="34" customFormat="1"/>
    <row r="1943" s="34" customFormat="1"/>
    <row r="1944" s="34" customFormat="1"/>
    <row r="1945" s="34" customFormat="1"/>
    <row r="1946" s="34" customFormat="1"/>
    <row r="1947" s="34" customFormat="1"/>
    <row r="1948" s="34" customFormat="1"/>
    <row r="1949" s="34" customFormat="1"/>
    <row r="1950" s="34" customFormat="1"/>
    <row r="1951" s="34" customFormat="1"/>
    <row r="1952" s="34" customFormat="1"/>
    <row r="1953" s="34" customFormat="1"/>
    <row r="1954" s="34" customFormat="1"/>
    <row r="1955" s="34" customFormat="1"/>
    <row r="1956" s="34" customFormat="1"/>
    <row r="1957" s="34" customFormat="1"/>
    <row r="1958" s="34" customFormat="1"/>
    <row r="1959" s="34" customFormat="1"/>
    <row r="1960" s="34" customFormat="1"/>
    <row r="1961" s="34" customFormat="1"/>
    <row r="1962" s="34" customFormat="1"/>
    <row r="1963" s="34" customFormat="1"/>
    <row r="1964" s="34" customFormat="1"/>
    <row r="1965" s="34" customFormat="1"/>
    <row r="1966" s="34" customFormat="1"/>
    <row r="1967" s="34" customFormat="1"/>
    <row r="1968" s="34" customFormat="1"/>
    <row r="1969" s="34" customFormat="1"/>
    <row r="1970" s="34" customFormat="1"/>
    <row r="1971" s="34" customFormat="1"/>
    <row r="1972" s="34" customFormat="1"/>
    <row r="1973" s="34" customFormat="1"/>
    <row r="1974" s="34" customFormat="1"/>
    <row r="1975" s="34" customFormat="1"/>
    <row r="1976" s="34" customFormat="1"/>
    <row r="1977" s="34" customFormat="1"/>
    <row r="1978" s="34" customFormat="1"/>
    <row r="1979" s="34" customFormat="1"/>
    <row r="1980" s="34" customFormat="1"/>
    <row r="1981" s="34" customFormat="1"/>
    <row r="1982" s="34" customFormat="1"/>
    <row r="1983" s="34" customFormat="1"/>
    <row r="1984" s="34" customFormat="1"/>
    <row r="1985" s="34" customFormat="1"/>
    <row r="1986" s="34" customFormat="1"/>
    <row r="1987" s="34" customFormat="1"/>
    <row r="1988" s="34" customFormat="1"/>
    <row r="1989" s="34" customFormat="1"/>
    <row r="1990" s="34" customFormat="1"/>
    <row r="1991" s="34" customFormat="1"/>
    <row r="1992" s="34" customFormat="1"/>
    <row r="1993" s="34" customFormat="1"/>
    <row r="1994" s="34" customFormat="1"/>
    <row r="1995" s="34" customFormat="1"/>
    <row r="1996" s="34" customFormat="1"/>
    <row r="1997" s="34" customFormat="1"/>
    <row r="1998" s="34" customFormat="1"/>
    <row r="1999" s="34" customFormat="1"/>
    <row r="2000" s="34" customFormat="1"/>
    <row r="2001" s="34" customFormat="1"/>
    <row r="2002" s="34" customFormat="1"/>
    <row r="2003" s="34" customFormat="1"/>
    <row r="2004" s="34" customFormat="1"/>
    <row r="2005" s="34" customFormat="1"/>
    <row r="2006" s="34" customFormat="1"/>
    <row r="2007" s="34" customFormat="1"/>
    <row r="2008" s="34" customFormat="1"/>
    <row r="2009" s="34" customFormat="1"/>
    <row r="2010" s="34" customFormat="1"/>
    <row r="2011" s="34" customFormat="1"/>
    <row r="2012" s="34" customFormat="1"/>
    <row r="2013" s="34" customFormat="1"/>
    <row r="2014" s="34" customFormat="1"/>
    <row r="2015" s="34" customFormat="1"/>
    <row r="2016" s="34" customFormat="1"/>
    <row r="2017" s="34" customFormat="1"/>
    <row r="2018" s="34" customFormat="1"/>
    <row r="2019" s="34" customFormat="1"/>
    <row r="2020" s="34" customFormat="1"/>
    <row r="2021" s="34" customFormat="1"/>
    <row r="2022" s="34" customFormat="1"/>
    <row r="2023" s="34" customFormat="1"/>
    <row r="2024" s="34" customFormat="1"/>
    <row r="2025" s="34" customFormat="1"/>
    <row r="2026" s="34" customFormat="1"/>
    <row r="2027" s="34" customFormat="1"/>
    <row r="2028" s="34" customFormat="1"/>
    <row r="2029" s="34" customFormat="1"/>
    <row r="2030" s="34" customFormat="1"/>
    <row r="2031" s="34" customFormat="1"/>
    <row r="2032" s="34" customFormat="1"/>
    <row r="2033" s="34" customFormat="1"/>
    <row r="2034" s="34" customFormat="1"/>
    <row r="2035" s="34" customFormat="1"/>
    <row r="2036" s="34" customFormat="1"/>
    <row r="2037" s="34" customFormat="1"/>
    <row r="2038" s="34" customFormat="1"/>
    <row r="2039" s="34" customFormat="1"/>
    <row r="2040" s="34" customFormat="1"/>
    <row r="2041" s="34" customFormat="1"/>
    <row r="2042" s="34" customFormat="1"/>
    <row r="2043" s="34" customFormat="1"/>
    <row r="2044" s="34" customFormat="1"/>
    <row r="2045" s="34" customFormat="1"/>
    <row r="2046" s="34" customFormat="1"/>
    <row r="2047" s="34" customFormat="1"/>
    <row r="2048" s="34" customFormat="1"/>
    <row r="2049" s="34" customFormat="1"/>
    <row r="2050" s="34" customFormat="1"/>
    <row r="2051" s="34" customFormat="1"/>
    <row r="2052" s="34" customFormat="1"/>
    <row r="2053" s="34" customFormat="1"/>
    <row r="2054" s="34" customFormat="1"/>
    <row r="2055" s="34" customFormat="1"/>
    <row r="2056" s="34" customFormat="1"/>
    <row r="2057" s="34" customFormat="1"/>
    <row r="2058" s="34" customFormat="1"/>
    <row r="2059" s="34" customFormat="1"/>
    <row r="2060" s="34" customFormat="1"/>
    <row r="2061" s="34" customFormat="1"/>
    <row r="2062" s="34" customFormat="1"/>
    <row r="2063" s="34" customFormat="1"/>
    <row r="2064" s="34" customFormat="1"/>
    <row r="2065" s="34" customFormat="1"/>
    <row r="2066" s="34" customFormat="1"/>
    <row r="2067" s="34" customFormat="1"/>
    <row r="2068" s="34" customFormat="1"/>
    <row r="2069" s="34" customFormat="1"/>
    <row r="2070" s="34" customFormat="1"/>
    <row r="2071" s="34" customFormat="1"/>
    <row r="2072" s="34" customFormat="1"/>
    <row r="2073" s="34" customFormat="1"/>
    <row r="2074" s="34" customFormat="1"/>
    <row r="2075" s="34" customFormat="1"/>
    <row r="2076" s="34" customFormat="1"/>
    <row r="2077" s="34" customFormat="1"/>
    <row r="2078" s="34" customFormat="1"/>
    <row r="2079" s="34" customFormat="1"/>
    <row r="2080" s="34" customFormat="1"/>
    <row r="2081" s="34" customFormat="1"/>
    <row r="2082" s="34" customFormat="1"/>
    <row r="2083" s="34" customFormat="1"/>
    <row r="2084" s="34" customFormat="1"/>
    <row r="2085" s="34" customFormat="1"/>
    <row r="2086" s="34" customFormat="1"/>
    <row r="2087" s="34" customFormat="1"/>
    <row r="2088" s="34" customFormat="1"/>
    <row r="2089" s="34" customFormat="1"/>
    <row r="2090" s="34" customFormat="1"/>
    <row r="2091" s="34" customFormat="1"/>
    <row r="2092" s="34" customFormat="1"/>
    <row r="2093" s="34" customFormat="1"/>
    <row r="2094" s="34" customFormat="1"/>
    <row r="2095" s="34" customFormat="1"/>
    <row r="2096" s="34" customFormat="1"/>
    <row r="2097" s="34" customFormat="1"/>
    <row r="2098" s="34" customFormat="1"/>
    <row r="2099" s="34" customFormat="1"/>
    <row r="2100" s="34" customFormat="1"/>
    <row r="2101" s="34" customFormat="1"/>
    <row r="2102" s="34" customFormat="1"/>
    <row r="2103" s="34" customFormat="1"/>
    <row r="2104" s="34" customFormat="1"/>
    <row r="2105" s="34" customFormat="1"/>
    <row r="2106" s="34" customFormat="1"/>
    <row r="2107" s="34" customFormat="1"/>
    <row r="2108" s="34" customFormat="1"/>
    <row r="2109" s="34" customFormat="1"/>
    <row r="2110" s="34" customFormat="1"/>
    <row r="2111" s="34" customFormat="1"/>
    <row r="2112" s="34" customFormat="1"/>
    <row r="2113" s="34" customFormat="1"/>
    <row r="2114" s="34" customFormat="1"/>
    <row r="2115" s="34" customFormat="1"/>
    <row r="2116" s="34" customFormat="1"/>
    <row r="2117" s="34" customFormat="1"/>
    <row r="2118" s="34" customFormat="1"/>
    <row r="2119" s="34" customFormat="1"/>
    <row r="2120" s="34" customFormat="1"/>
    <row r="2121" s="34" customFormat="1"/>
    <row r="2122" s="34" customFormat="1"/>
    <row r="2123" s="34" customFormat="1"/>
    <row r="2124" s="34" customFormat="1"/>
    <row r="2125" s="34" customFormat="1"/>
    <row r="2126" s="34" customFormat="1"/>
    <row r="2127" s="34" customFormat="1"/>
    <row r="2128" s="34" customFormat="1"/>
    <row r="2129" s="34" customFormat="1"/>
    <row r="2130" s="34" customFormat="1"/>
    <row r="2131" s="34" customFormat="1"/>
    <row r="2132" s="34" customFormat="1"/>
    <row r="2133" s="34" customFormat="1"/>
    <row r="2134" s="34" customFormat="1"/>
    <row r="2135" s="34" customFormat="1"/>
    <row r="2136" s="34" customFormat="1"/>
    <row r="2137" s="34" customFormat="1"/>
    <row r="2138" s="34" customFormat="1"/>
    <row r="2139" s="34" customFormat="1"/>
    <row r="2140" s="34" customFormat="1"/>
    <row r="2141" s="34" customFormat="1"/>
    <row r="2142" s="34" customFormat="1"/>
    <row r="2143" s="34" customFormat="1"/>
    <row r="2144" s="34" customFormat="1"/>
    <row r="2145" s="34" customFormat="1"/>
    <row r="2146" s="34" customFormat="1"/>
    <row r="2147" s="34" customFormat="1"/>
    <row r="2148" s="34" customFormat="1"/>
    <row r="2149" s="34" customFormat="1"/>
    <row r="2150" s="34" customFormat="1"/>
    <row r="2151" s="34" customFormat="1"/>
    <row r="2152" s="34" customFormat="1"/>
    <row r="2153" s="34" customFormat="1"/>
    <row r="2154" s="34" customFormat="1"/>
    <row r="2155" s="34" customFormat="1"/>
    <row r="2156" s="34" customFormat="1"/>
    <row r="2157" s="34" customFormat="1"/>
    <row r="2158" s="34" customFormat="1"/>
    <row r="2159" s="34" customFormat="1"/>
    <row r="2160" s="34" customFormat="1"/>
    <row r="2161" s="34" customFormat="1"/>
    <row r="2162" s="34" customFormat="1"/>
    <row r="2163" s="34" customFormat="1"/>
    <row r="2164" s="34" customFormat="1"/>
    <row r="2165" s="34" customFormat="1"/>
    <row r="2166" s="34" customFormat="1"/>
    <row r="2167" s="34" customFormat="1"/>
    <row r="2168" s="34" customFormat="1"/>
    <row r="2169" s="34" customFormat="1"/>
    <row r="2170" s="34" customFormat="1"/>
    <row r="2171" s="34" customFormat="1"/>
    <row r="2172" s="34" customFormat="1"/>
    <row r="2173" s="34" customFormat="1"/>
    <row r="2174" s="34" customFormat="1"/>
    <row r="2175" s="34" customFormat="1"/>
    <row r="2176" s="34" customFormat="1"/>
    <row r="2177" s="34" customFormat="1"/>
    <row r="2178" s="34" customFormat="1"/>
    <row r="2179" s="34" customFormat="1"/>
    <row r="2180" s="34" customFormat="1"/>
    <row r="2181" s="34" customFormat="1"/>
    <row r="2182" s="34" customFormat="1"/>
    <row r="2183" s="34" customFormat="1"/>
    <row r="2184" s="34" customFormat="1"/>
    <row r="2185" s="34" customFormat="1"/>
    <row r="2186" s="34" customFormat="1"/>
    <row r="2187" s="34" customFormat="1"/>
    <row r="2188" s="34" customFormat="1"/>
    <row r="2189" s="34" customFormat="1"/>
    <row r="2190" s="34" customFormat="1"/>
    <row r="2191" s="34" customFormat="1"/>
    <row r="2192" s="34" customFormat="1"/>
    <row r="2193" s="34" customFormat="1"/>
    <row r="2194" s="34" customFormat="1"/>
    <row r="2195" s="34" customFormat="1"/>
    <row r="2196" s="34" customFormat="1"/>
    <row r="2197" s="34" customFormat="1"/>
    <row r="2198" s="34" customFormat="1"/>
    <row r="2199" s="34" customFormat="1"/>
    <row r="2200" s="34" customFormat="1"/>
    <row r="2201" s="34" customFormat="1"/>
    <row r="2202" s="34" customFormat="1"/>
    <row r="2203" s="34" customFormat="1"/>
    <row r="2204" s="34" customFormat="1"/>
    <row r="2205" s="34" customFormat="1"/>
    <row r="2206" s="34" customFormat="1"/>
    <row r="2207" s="34" customFormat="1"/>
    <row r="2208" s="34" customFormat="1"/>
    <row r="2209" s="34" customFormat="1"/>
    <row r="2210" s="34" customFormat="1"/>
    <row r="2211" s="34" customFormat="1"/>
    <row r="2212" s="34" customFormat="1"/>
    <row r="2213" s="34" customFormat="1"/>
    <row r="2214" s="34" customFormat="1"/>
    <row r="2215" s="34" customFormat="1"/>
    <row r="2216" s="34" customFormat="1"/>
    <row r="2217" s="34" customFormat="1"/>
    <row r="2218" s="34" customFormat="1"/>
    <row r="2219" s="34" customFormat="1"/>
    <row r="2220" s="34" customFormat="1"/>
    <row r="2221" s="34" customFormat="1"/>
    <row r="2222" s="34" customFormat="1"/>
    <row r="2223" s="34" customFormat="1"/>
    <row r="2224" s="34" customFormat="1"/>
  </sheetData>
  <sheetProtection password="8B10" sheet="1" objects="1" scenarios="1"/>
  <mergeCells count="12">
    <mergeCell ref="B28:C28"/>
    <mergeCell ref="B29:C29"/>
    <mergeCell ref="B31:C31"/>
    <mergeCell ref="D26:F26"/>
    <mergeCell ref="G26:I26"/>
    <mergeCell ref="J26:L26"/>
    <mergeCell ref="E2:F2"/>
    <mergeCell ref="E3:F3"/>
    <mergeCell ref="E4:F4"/>
    <mergeCell ref="E5:F5"/>
    <mergeCell ref="E6:F6"/>
    <mergeCell ref="E7:F7"/>
  </mergeCells>
  <phoneticPr fontId="2" type="noConversion"/>
  <hyperlinks>
    <hyperlink ref="D16" r:id="rId1"/>
    <hyperlink ref="D19" r:id="rId2"/>
    <hyperlink ref="D22" r:id="rId3"/>
    <hyperlink ref="D23" r:id="rId4"/>
  </hyperlinks>
  <pageMargins left="0.70866141732283472" right="0.70866141732283472" top="1.0236220472440944" bottom="1.0236220472440944" header="0.39370078740157483" footer="0.39370078740157483"/>
  <pageSetup paperSize="9" scale="81" orientation="landscape" r:id="rId5"/>
  <headerFooter alignWithMargins="0">
    <oddFooter>&amp;L&amp;"Frutiger 57Cn,Standard"&amp;8
Santander Consumer Bank AG
Santander-Platz 1
41061 Mönchengladbach
Tel.: +49 180 / 5556 - 499
Fax.: +49 180 / 5556 - 498</oddFooter>
  </headerFooter>
  <drawing r:id="rId6"/>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S5668"/>
  <sheetViews>
    <sheetView view="pageBreakPreview" zoomScale="70" zoomScaleNormal="75" zoomScaleSheetLayoutView="70" workbookViewId="0">
      <selection activeCell="B3" sqref="B3"/>
    </sheetView>
  </sheetViews>
  <sheetFormatPr defaultRowHeight="12.75"/>
  <cols>
    <col min="1" max="1" width="1.28515625" style="31" customWidth="1"/>
    <col min="2" max="2" width="26" style="31" customWidth="1"/>
    <col min="3" max="3" width="14.85546875" style="31" bestFit="1" customWidth="1"/>
    <col min="4" max="4" width="19" style="31" customWidth="1"/>
    <col min="5" max="5" width="22.5703125" style="31" bestFit="1" customWidth="1"/>
    <col min="6" max="6" width="15.28515625" style="31" customWidth="1"/>
    <col min="7" max="8" width="13.28515625" style="31" customWidth="1"/>
    <col min="9" max="9" width="16" style="31" customWidth="1"/>
    <col min="10" max="10" width="12.5703125" style="31" customWidth="1"/>
    <col min="11" max="11" width="15" style="31" customWidth="1"/>
    <col min="12" max="12" width="1.28515625" style="31" customWidth="1"/>
    <col min="13" max="13" width="4.28515625" style="31" customWidth="1"/>
    <col min="14" max="14" width="22" style="31" customWidth="1"/>
    <col min="15" max="15" width="18.5703125" style="31" customWidth="1"/>
    <col min="16" max="16" width="17.28515625" style="31" customWidth="1"/>
    <col min="17" max="18" width="19" style="31" customWidth="1"/>
    <col min="19" max="256" width="11.42578125" style="31" customWidth="1"/>
    <col min="257" max="16384" width="9.140625" style="31"/>
  </cols>
  <sheetData>
    <row r="1" spans="1:19" ht="6" customHeight="1">
      <c r="A1" s="35"/>
      <c r="B1" s="36"/>
      <c r="C1" s="36"/>
      <c r="D1" s="36"/>
      <c r="E1" s="36"/>
      <c r="F1" s="36"/>
      <c r="G1" s="36"/>
      <c r="H1" s="36"/>
      <c r="I1" s="36"/>
      <c r="J1" s="36"/>
      <c r="K1" s="36"/>
      <c r="L1" s="37"/>
      <c r="N1" s="34"/>
      <c r="O1" s="34"/>
      <c r="P1" s="34"/>
      <c r="Q1" s="34"/>
      <c r="R1" s="34"/>
      <c r="S1" s="34"/>
    </row>
    <row r="2" spans="1:19" s="27" customFormat="1" ht="18">
      <c r="A2" s="5"/>
      <c r="B2" s="7" t="s">
        <v>198</v>
      </c>
      <c r="C2" s="7"/>
      <c r="D2" s="28"/>
      <c r="E2" s="108" t="s">
        <v>54</v>
      </c>
      <c r="F2" s="109"/>
      <c r="G2" s="110">
        <f>'Cover Sheet'!F2</f>
        <v>41191</v>
      </c>
      <c r="H2" s="110"/>
      <c r="I2" s="109"/>
      <c r="J2" s="109"/>
      <c r="K2" s="111"/>
      <c r="L2" s="88"/>
      <c r="N2" s="28"/>
      <c r="O2" s="34"/>
      <c r="P2" s="372"/>
      <c r="Q2" s="34"/>
      <c r="R2" s="34"/>
      <c r="S2" s="34"/>
    </row>
    <row r="3" spans="1:19" s="27" customFormat="1" ht="18">
      <c r="A3" s="5"/>
      <c r="B3" s="7" t="str">
        <f>'Cover Sheet'!B3</f>
        <v>Monthly Investor Report</v>
      </c>
      <c r="C3" s="7"/>
      <c r="D3" s="28"/>
      <c r="E3" s="112" t="s">
        <v>4</v>
      </c>
      <c r="F3" s="113"/>
      <c r="G3" s="114">
        <f>'Cover Sheet'!F3</f>
        <v>41197</v>
      </c>
      <c r="H3" s="114"/>
      <c r="I3" s="113"/>
      <c r="J3" s="113"/>
      <c r="K3" s="115"/>
      <c r="L3" s="90"/>
      <c r="N3" s="28"/>
      <c r="O3" s="34"/>
      <c r="P3" s="372"/>
      <c r="Q3" s="34"/>
      <c r="R3" s="34"/>
      <c r="S3" s="34"/>
    </row>
    <row r="4" spans="1:19" s="27" customFormat="1">
      <c r="A4" s="5"/>
      <c r="B4" s="42"/>
      <c r="C4" s="12"/>
      <c r="D4" s="28"/>
      <c r="E4" s="112" t="s">
        <v>5</v>
      </c>
      <c r="F4" s="113"/>
      <c r="G4" s="122">
        <f>'Cover Sheet'!F4</f>
        <v>27</v>
      </c>
      <c r="H4" s="122"/>
      <c r="I4" s="113"/>
      <c r="J4" s="117"/>
      <c r="K4" s="555"/>
      <c r="L4" s="88"/>
      <c r="N4" s="28"/>
      <c r="O4" s="34"/>
      <c r="P4" s="45"/>
      <c r="Q4" s="34"/>
      <c r="R4" s="28"/>
      <c r="S4" s="34"/>
    </row>
    <row r="5" spans="1:19" s="27" customFormat="1" ht="18">
      <c r="A5" s="5"/>
      <c r="B5" s="105" t="s">
        <v>409</v>
      </c>
      <c r="C5" s="14"/>
      <c r="D5" s="28"/>
      <c r="E5" s="112" t="s">
        <v>3</v>
      </c>
      <c r="F5" s="113"/>
      <c r="G5" s="123">
        <f>'Cover Sheet'!F5</f>
        <v>41197</v>
      </c>
      <c r="H5" s="123"/>
      <c r="I5" s="113"/>
      <c r="J5" s="117"/>
      <c r="K5" s="555"/>
      <c r="L5" s="90"/>
      <c r="N5" s="28"/>
      <c r="O5" s="34"/>
      <c r="P5" s="373"/>
      <c r="Q5" s="34"/>
      <c r="R5" s="28"/>
      <c r="S5" s="34"/>
    </row>
    <row r="6" spans="1:19" s="27" customFormat="1" ht="15" customHeight="1">
      <c r="A6" s="5"/>
      <c r="B6" s="43"/>
      <c r="C6" s="89"/>
      <c r="D6" s="28"/>
      <c r="E6" s="552" t="str">
        <f>'Cover Sheet'!D6</f>
        <v>Interest Period</v>
      </c>
      <c r="F6" s="114" t="s">
        <v>38</v>
      </c>
      <c r="G6" s="114">
        <f>'Cover Sheet'!F6</f>
        <v>41164</v>
      </c>
      <c r="H6" s="114" t="s">
        <v>6</v>
      </c>
      <c r="I6" s="114">
        <f>'Cover Sheet'!H6</f>
        <v>41197</v>
      </c>
      <c r="J6" s="114" t="str">
        <f>'Cover Sheet'!I6</f>
        <v>=</v>
      </c>
      <c r="K6" s="546" t="str">
        <f>'Cover Sheet'!J6</f>
        <v>33 days</v>
      </c>
      <c r="L6" s="90"/>
      <c r="N6" s="28"/>
      <c r="O6" s="45"/>
      <c r="P6" s="372"/>
      <c r="Q6" s="45"/>
      <c r="R6" s="372"/>
      <c r="S6" s="34"/>
    </row>
    <row r="7" spans="1:19" s="27" customFormat="1">
      <c r="A7" s="5"/>
      <c r="B7" s="4"/>
      <c r="C7" s="4"/>
      <c r="D7" s="28"/>
      <c r="E7" s="553" t="str">
        <f>'Cover Sheet'!D7</f>
        <v>Collection Period</v>
      </c>
      <c r="F7" s="121" t="s">
        <v>38</v>
      </c>
      <c r="G7" s="121" t="str">
        <f>'Cover Sheet'!F7</f>
        <v>01.09.2012</v>
      </c>
      <c r="H7" s="121" t="s">
        <v>6</v>
      </c>
      <c r="I7" s="121">
        <f>'Cover Sheet'!H7</f>
        <v>41182</v>
      </c>
      <c r="J7" s="121"/>
      <c r="K7" s="554"/>
      <c r="L7" s="90"/>
      <c r="N7" s="28"/>
      <c r="O7" s="34"/>
      <c r="P7" s="374"/>
      <c r="Q7" s="45"/>
      <c r="R7" s="372"/>
      <c r="S7" s="34"/>
    </row>
    <row r="8" spans="1:19" s="27" customFormat="1">
      <c r="A8" s="5"/>
      <c r="B8" s="4"/>
      <c r="C8" s="4"/>
      <c r="D8" s="34"/>
      <c r="E8" s="44"/>
      <c r="F8" s="44"/>
      <c r="G8" s="45"/>
      <c r="H8" s="45"/>
      <c r="I8" s="372"/>
      <c r="J8" s="34"/>
      <c r="K8" s="34"/>
      <c r="L8" s="90"/>
      <c r="N8" s="34"/>
      <c r="O8" s="44"/>
      <c r="P8" s="45"/>
      <c r="Q8" s="44"/>
      <c r="R8" s="34"/>
      <c r="S8" s="34"/>
    </row>
    <row r="9" spans="1:19" s="27" customFormat="1">
      <c r="A9" s="5"/>
      <c r="B9" s="4"/>
      <c r="C9" s="4"/>
      <c r="D9" s="4"/>
      <c r="E9" s="4"/>
      <c r="F9" s="4"/>
      <c r="G9" s="4"/>
      <c r="H9" s="4"/>
      <c r="I9" s="4"/>
      <c r="J9" s="4"/>
      <c r="K9" s="4"/>
      <c r="L9" s="8"/>
      <c r="N9" s="34"/>
      <c r="O9" s="34"/>
      <c r="P9" s="34"/>
      <c r="Q9" s="34"/>
      <c r="R9" s="34"/>
      <c r="S9" s="34"/>
    </row>
    <row r="10" spans="1:19" s="27" customFormat="1">
      <c r="A10" s="5"/>
      <c r="B10" s="4"/>
      <c r="C10" s="4"/>
      <c r="D10" s="4"/>
      <c r="E10" s="4"/>
      <c r="F10" s="4"/>
      <c r="G10" s="18"/>
      <c r="H10" s="18"/>
      <c r="I10" s="4"/>
      <c r="J10" s="4"/>
      <c r="K10" s="4"/>
      <c r="L10" s="8"/>
      <c r="N10" s="34"/>
      <c r="O10" s="34"/>
      <c r="P10" s="102"/>
      <c r="Q10" s="34"/>
      <c r="R10" s="34"/>
      <c r="S10" s="34"/>
    </row>
    <row r="11" spans="1:19" s="27" customFormat="1" ht="18">
      <c r="A11" s="5"/>
      <c r="B11" s="125"/>
      <c r="C11" s="4"/>
      <c r="D11" s="4"/>
      <c r="E11" s="4"/>
      <c r="F11" s="4"/>
      <c r="G11" s="34"/>
      <c r="H11" s="34"/>
      <c r="I11" s="100"/>
      <c r="J11" s="100"/>
      <c r="K11" s="100"/>
      <c r="L11" s="8"/>
      <c r="N11" s="156"/>
      <c r="O11" s="156"/>
      <c r="P11" s="156"/>
      <c r="Q11" s="156"/>
      <c r="R11" s="137"/>
      <c r="S11" s="34"/>
    </row>
    <row r="12" spans="1:19" s="27" customFormat="1">
      <c r="A12" s="5"/>
      <c r="B12" s="4"/>
      <c r="C12" s="4"/>
      <c r="D12" s="4"/>
      <c r="E12" s="4"/>
      <c r="F12" s="4"/>
      <c r="G12" s="34"/>
      <c r="H12" s="34"/>
      <c r="I12" s="100"/>
      <c r="J12" s="100"/>
      <c r="K12" s="100"/>
      <c r="L12" s="8"/>
      <c r="N12" s="156"/>
      <c r="O12" s="156"/>
      <c r="P12" s="156"/>
      <c r="Q12" s="156"/>
      <c r="R12" s="137"/>
      <c r="S12" s="34"/>
    </row>
    <row r="13" spans="1:19" ht="64.5" customHeight="1">
      <c r="A13" s="40"/>
      <c r="B13" s="850" t="s">
        <v>1</v>
      </c>
      <c r="C13" s="850"/>
      <c r="D13" s="850"/>
      <c r="E13" s="850"/>
      <c r="F13" s="850"/>
      <c r="G13" s="850"/>
      <c r="H13" s="850"/>
      <c r="I13" s="850"/>
      <c r="J13" s="850"/>
      <c r="K13" s="538"/>
      <c r="L13" s="41"/>
      <c r="N13" s="156"/>
      <c r="O13" s="536"/>
      <c r="P13" s="156"/>
      <c r="Q13" s="156"/>
      <c r="R13" s="141"/>
      <c r="S13" s="34"/>
    </row>
    <row r="14" spans="1:19" ht="12.75" customHeight="1">
      <c r="A14" s="40"/>
      <c r="B14" s="585"/>
      <c r="C14" s="585"/>
      <c r="D14" s="585"/>
      <c r="E14" s="585"/>
      <c r="F14" s="585"/>
      <c r="G14" s="585"/>
      <c r="H14" s="585"/>
      <c r="I14" s="585"/>
      <c r="J14" s="585"/>
      <c r="K14" s="582"/>
      <c r="L14" s="41"/>
      <c r="N14" s="156"/>
      <c r="O14" s="536"/>
      <c r="P14" s="156"/>
      <c r="Q14" s="156"/>
      <c r="R14" s="141"/>
      <c r="S14" s="34"/>
    </row>
    <row r="15" spans="1:19">
      <c r="A15" s="40"/>
      <c r="B15" s="582" t="s">
        <v>0</v>
      </c>
      <c r="C15" s="585"/>
      <c r="D15" s="585"/>
      <c r="E15" s="585"/>
      <c r="F15" s="585"/>
      <c r="G15" s="585"/>
      <c r="H15" s="585"/>
      <c r="I15" s="585"/>
      <c r="J15" s="585"/>
      <c r="K15" s="582"/>
      <c r="L15" s="41"/>
      <c r="N15" s="156"/>
      <c r="O15" s="536"/>
      <c r="P15" s="156"/>
      <c r="Q15" s="156"/>
      <c r="R15" s="141"/>
      <c r="S15" s="34"/>
    </row>
    <row r="16" spans="1:19">
      <c r="A16" s="40"/>
      <c r="B16" s="582"/>
      <c r="C16" s="584"/>
      <c r="D16" s="584"/>
      <c r="E16" s="584"/>
      <c r="F16" s="584"/>
      <c r="G16" s="584"/>
      <c r="H16" s="584"/>
      <c r="I16" s="584"/>
      <c r="J16" s="584"/>
      <c r="K16" s="582"/>
      <c r="L16" s="41"/>
      <c r="N16" s="156"/>
      <c r="O16" s="536"/>
      <c r="P16" s="156"/>
      <c r="Q16" s="156"/>
      <c r="R16" s="141"/>
      <c r="S16" s="34"/>
    </row>
    <row r="17" spans="1:19" ht="39" customHeight="1">
      <c r="A17" s="40"/>
      <c r="B17" s="850" t="s">
        <v>473</v>
      </c>
      <c r="C17" s="850"/>
      <c r="D17" s="850"/>
      <c r="E17" s="850"/>
      <c r="F17" s="850"/>
      <c r="G17" s="850"/>
      <c r="H17" s="850"/>
      <c r="I17" s="850"/>
      <c r="J17" s="850"/>
      <c r="K17" s="582"/>
      <c r="L17" s="41"/>
      <c r="N17" s="156"/>
      <c r="O17" s="536"/>
      <c r="P17" s="156"/>
      <c r="Q17" s="156"/>
      <c r="R17" s="141"/>
      <c r="S17" s="34"/>
    </row>
    <row r="18" spans="1:19">
      <c r="A18" s="40"/>
      <c r="B18" s="582"/>
      <c r="C18" s="584"/>
      <c r="D18" s="584"/>
      <c r="E18" s="584"/>
      <c r="F18" s="584"/>
      <c r="G18" s="584"/>
      <c r="H18" s="584"/>
      <c r="I18" s="584"/>
      <c r="J18" s="584"/>
      <c r="K18" s="582"/>
      <c r="L18" s="41"/>
      <c r="N18" s="156"/>
      <c r="O18" s="536"/>
      <c r="P18" s="156"/>
      <c r="Q18" s="156"/>
      <c r="R18" s="344"/>
      <c r="S18" s="34"/>
    </row>
    <row r="19" spans="1:19" ht="52.5" customHeight="1">
      <c r="A19" s="40"/>
      <c r="B19" s="850" t="s">
        <v>474</v>
      </c>
      <c r="C19" s="850"/>
      <c r="D19" s="850"/>
      <c r="E19" s="850"/>
      <c r="F19" s="850"/>
      <c r="G19" s="850"/>
      <c r="H19" s="850"/>
      <c r="I19" s="850"/>
      <c r="J19" s="850"/>
      <c r="K19" s="582"/>
      <c r="L19" s="41"/>
      <c r="N19" s="156"/>
      <c r="O19" s="536"/>
      <c r="P19" s="156"/>
      <c r="Q19" s="156"/>
      <c r="R19" s="344"/>
      <c r="S19" s="34"/>
    </row>
    <row r="20" spans="1:19">
      <c r="A20" s="40"/>
      <c r="B20" s="582"/>
      <c r="C20" s="584"/>
      <c r="D20" s="584"/>
      <c r="E20" s="584"/>
      <c r="F20" s="584"/>
      <c r="G20" s="584"/>
      <c r="H20" s="584"/>
      <c r="I20" s="584"/>
      <c r="J20" s="584"/>
      <c r="K20" s="582"/>
      <c r="L20" s="41"/>
      <c r="N20" s="156"/>
      <c r="O20" s="536"/>
      <c r="P20" s="156"/>
      <c r="Q20" s="156"/>
      <c r="R20" s="344"/>
      <c r="S20" s="34"/>
    </row>
    <row r="21" spans="1:19" ht="78" customHeight="1">
      <c r="A21" s="40"/>
      <c r="B21" s="850" t="s">
        <v>475</v>
      </c>
      <c r="C21" s="850"/>
      <c r="D21" s="850"/>
      <c r="E21" s="850"/>
      <c r="F21" s="850"/>
      <c r="G21" s="850"/>
      <c r="H21" s="850"/>
      <c r="I21" s="850"/>
      <c r="J21" s="850"/>
      <c r="K21" s="582"/>
      <c r="L21" s="41"/>
      <c r="N21" s="156"/>
      <c r="O21" s="536"/>
      <c r="P21" s="156"/>
      <c r="Q21" s="156"/>
      <c r="R21" s="148"/>
      <c r="S21" s="34"/>
    </row>
    <row r="22" spans="1:19">
      <c r="A22" s="40"/>
      <c r="B22" s="582"/>
      <c r="C22" s="584"/>
      <c r="D22" s="584"/>
      <c r="E22" s="584"/>
      <c r="F22" s="584"/>
      <c r="G22" s="584"/>
      <c r="H22" s="584"/>
      <c r="I22" s="584"/>
      <c r="J22" s="584"/>
      <c r="K22" s="582"/>
      <c r="L22" s="41"/>
      <c r="N22" s="156"/>
      <c r="O22" s="536"/>
      <c r="P22" s="156"/>
      <c r="Q22" s="156"/>
      <c r="R22" s="148"/>
      <c r="S22" s="34"/>
    </row>
    <row r="23" spans="1:19" ht="55.5" customHeight="1">
      <c r="A23" s="40"/>
      <c r="B23" s="850" t="s">
        <v>476</v>
      </c>
      <c r="C23" s="850"/>
      <c r="D23" s="850"/>
      <c r="E23" s="850"/>
      <c r="F23" s="850"/>
      <c r="G23" s="850"/>
      <c r="H23" s="850"/>
      <c r="I23" s="850"/>
      <c r="J23" s="850"/>
      <c r="K23" s="582"/>
      <c r="L23" s="41"/>
      <c r="N23" s="156"/>
      <c r="O23" s="536"/>
      <c r="P23" s="156"/>
      <c r="Q23" s="156"/>
      <c r="R23" s="34"/>
      <c r="S23" s="34"/>
    </row>
    <row r="24" spans="1:19">
      <c r="A24" s="40"/>
      <c r="B24" s="582"/>
      <c r="C24" s="584"/>
      <c r="D24" s="584"/>
      <c r="E24" s="584"/>
      <c r="F24" s="584"/>
      <c r="G24" s="584"/>
      <c r="H24" s="584"/>
      <c r="I24" s="584"/>
      <c r="J24" s="584"/>
      <c r="K24" s="582"/>
      <c r="L24" s="41"/>
      <c r="N24" s="156"/>
      <c r="O24" s="536"/>
      <c r="P24" s="156"/>
      <c r="Q24" s="156"/>
      <c r="R24" s="34"/>
      <c r="S24" s="34"/>
    </row>
    <row r="25" spans="1:19">
      <c r="A25" s="40"/>
      <c r="B25" s="34"/>
      <c r="C25" s="537"/>
      <c r="D25" s="536"/>
      <c r="E25" s="158"/>
      <c r="F25" s="158"/>
      <c r="G25" s="141"/>
      <c r="H25" s="538"/>
      <c r="I25" s="158"/>
      <c r="J25" s="141"/>
      <c r="K25" s="538"/>
      <c r="L25" s="41"/>
      <c r="N25" s="156"/>
      <c r="O25" s="536"/>
      <c r="P25" s="156"/>
      <c r="Q25" s="156"/>
      <c r="R25" s="34"/>
      <c r="S25" s="34"/>
    </row>
    <row r="26" spans="1:19">
      <c r="A26" s="60"/>
      <c r="B26" s="61"/>
      <c r="C26" s="539"/>
      <c r="D26" s="540"/>
      <c r="E26" s="172"/>
      <c r="F26" s="172"/>
      <c r="G26" s="171"/>
      <c r="H26" s="541"/>
      <c r="I26" s="172"/>
      <c r="J26" s="171"/>
      <c r="K26" s="541"/>
      <c r="L26" s="79"/>
      <c r="N26" s="156"/>
      <c r="O26" s="536"/>
      <c r="P26" s="156"/>
      <c r="Q26" s="156"/>
      <c r="R26" s="34"/>
      <c r="S26" s="34"/>
    </row>
    <row r="27" spans="1:19">
      <c r="A27" s="34"/>
      <c r="B27" s="34"/>
      <c r="C27" s="537"/>
      <c r="D27" s="536"/>
      <c r="E27" s="158"/>
      <c r="F27" s="158"/>
      <c r="G27" s="141"/>
      <c r="H27" s="538"/>
      <c r="I27" s="158"/>
      <c r="J27" s="141"/>
      <c r="K27" s="538"/>
      <c r="L27" s="34"/>
      <c r="N27" s="156"/>
      <c r="O27" s="536"/>
      <c r="P27" s="156"/>
      <c r="Q27" s="156"/>
      <c r="R27" s="34"/>
      <c r="S27" s="34"/>
    </row>
    <row r="28" spans="1:19">
      <c r="A28" s="34"/>
      <c r="B28" s="34"/>
      <c r="C28" s="537"/>
      <c r="D28" s="536"/>
      <c r="E28" s="158"/>
      <c r="F28" s="158"/>
      <c r="G28" s="141"/>
      <c r="H28" s="538"/>
      <c r="I28" s="158"/>
      <c r="J28" s="141"/>
      <c r="K28" s="538"/>
      <c r="L28" s="34"/>
      <c r="N28" s="156"/>
      <c r="O28" s="536"/>
      <c r="P28" s="156"/>
      <c r="Q28" s="156"/>
      <c r="R28" s="34"/>
      <c r="S28" s="34"/>
    </row>
    <row r="29" spans="1:19">
      <c r="A29" s="34"/>
      <c r="B29" s="34"/>
      <c r="C29" s="537"/>
      <c r="D29" s="536"/>
      <c r="E29" s="158"/>
      <c r="F29" s="158"/>
      <c r="G29" s="141"/>
      <c r="H29" s="538"/>
      <c r="I29" s="158"/>
      <c r="J29" s="141"/>
      <c r="K29" s="538"/>
      <c r="L29" s="34"/>
      <c r="N29" s="156"/>
      <c r="O29" s="536"/>
      <c r="P29" s="156"/>
      <c r="Q29" s="156"/>
      <c r="R29" s="34"/>
      <c r="S29" s="34"/>
    </row>
    <row r="30" spans="1:19">
      <c r="A30" s="34"/>
      <c r="B30" s="34"/>
      <c r="C30" s="537"/>
      <c r="D30" s="536"/>
      <c r="E30" s="158"/>
      <c r="F30" s="158"/>
      <c r="G30" s="141"/>
      <c r="H30" s="538"/>
      <c r="I30" s="158"/>
      <c r="J30" s="141"/>
      <c r="K30" s="538"/>
      <c r="L30" s="34"/>
      <c r="N30" s="156"/>
      <c r="O30" s="156"/>
      <c r="P30" s="156"/>
      <c r="Q30" s="156"/>
      <c r="R30" s="34"/>
      <c r="S30" s="34"/>
    </row>
    <row r="31" spans="1:19">
      <c r="A31" s="34"/>
      <c r="B31" s="34"/>
      <c r="C31" s="537"/>
      <c r="D31" s="536"/>
      <c r="E31" s="158"/>
      <c r="F31" s="158"/>
      <c r="G31" s="141"/>
      <c r="H31" s="538"/>
      <c r="I31" s="158"/>
      <c r="J31" s="141"/>
      <c r="K31" s="538"/>
      <c r="L31" s="34"/>
      <c r="N31" s="156"/>
      <c r="O31" s="156"/>
      <c r="P31" s="156"/>
      <c r="Q31" s="156"/>
      <c r="R31" s="34"/>
      <c r="S31" s="34"/>
    </row>
    <row r="32" spans="1:19">
      <c r="A32" s="34"/>
      <c r="B32" s="34"/>
      <c r="C32" s="537"/>
      <c r="D32" s="536"/>
      <c r="E32" s="158"/>
      <c r="F32" s="158"/>
      <c r="G32" s="141"/>
      <c r="H32" s="538"/>
      <c r="I32" s="158"/>
      <c r="J32" s="141"/>
      <c r="K32" s="538"/>
      <c r="L32" s="34"/>
      <c r="N32" s="156"/>
      <c r="O32" s="156"/>
      <c r="P32" s="156"/>
      <c r="Q32" s="156"/>
      <c r="R32" s="34"/>
      <c r="S32" s="34"/>
    </row>
    <row r="33" spans="1:19">
      <c r="A33" s="34"/>
      <c r="B33" s="34"/>
      <c r="C33" s="537"/>
      <c r="D33" s="536"/>
      <c r="E33" s="158"/>
      <c r="F33" s="158"/>
      <c r="G33" s="141"/>
      <c r="H33" s="538"/>
      <c r="I33" s="158"/>
      <c r="J33" s="141"/>
      <c r="K33" s="538"/>
      <c r="L33" s="34"/>
      <c r="N33" s="156"/>
      <c r="O33" s="156"/>
      <c r="P33" s="156"/>
      <c r="Q33" s="156"/>
      <c r="R33" s="34"/>
      <c r="S33" s="34"/>
    </row>
    <row r="34" spans="1:19">
      <c r="A34" s="34"/>
      <c r="B34" s="34"/>
      <c r="C34" s="537"/>
      <c r="D34" s="536"/>
      <c r="E34" s="158"/>
      <c r="F34" s="158"/>
      <c r="G34" s="141"/>
      <c r="H34" s="538"/>
      <c r="I34" s="158"/>
      <c r="J34" s="141"/>
      <c r="K34" s="538"/>
      <c r="L34" s="34"/>
      <c r="N34" s="156"/>
      <c r="O34" s="156"/>
      <c r="P34" s="156"/>
      <c r="Q34" s="156"/>
      <c r="R34" s="34"/>
      <c r="S34" s="34"/>
    </row>
    <row r="35" spans="1:19">
      <c r="A35" s="34"/>
      <c r="B35" s="34"/>
      <c r="C35" s="537"/>
      <c r="D35" s="536"/>
      <c r="E35" s="158"/>
      <c r="F35" s="158"/>
      <c r="G35" s="141"/>
      <c r="H35" s="538"/>
      <c r="I35" s="158"/>
      <c r="J35" s="141"/>
      <c r="K35" s="538"/>
      <c r="L35" s="34"/>
      <c r="N35" s="156"/>
      <c r="O35" s="156"/>
      <c r="P35" s="156"/>
      <c r="Q35" s="156"/>
      <c r="R35" s="34"/>
      <c r="S35" s="34"/>
    </row>
    <row r="36" spans="1:19">
      <c r="A36" s="34"/>
      <c r="B36" s="34"/>
      <c r="C36" s="537"/>
      <c r="D36" s="536"/>
      <c r="E36" s="158"/>
      <c r="F36" s="158"/>
      <c r="G36" s="141"/>
      <c r="H36" s="538"/>
      <c r="I36" s="158"/>
      <c r="J36" s="141"/>
      <c r="K36" s="538"/>
      <c r="L36" s="34"/>
      <c r="N36" s="156"/>
      <c r="O36" s="156"/>
      <c r="P36" s="156"/>
      <c r="Q36" s="156"/>
      <c r="R36" s="34"/>
      <c r="S36" s="34"/>
    </row>
    <row r="37" spans="1:19">
      <c r="A37" s="34"/>
      <c r="B37" s="34"/>
      <c r="C37" s="537"/>
      <c r="D37" s="536"/>
      <c r="E37" s="158"/>
      <c r="F37" s="158"/>
      <c r="G37" s="141"/>
      <c r="H37" s="538"/>
      <c r="I37" s="158"/>
      <c r="J37" s="141"/>
      <c r="K37" s="538"/>
      <c r="L37" s="34"/>
      <c r="N37" s="156"/>
      <c r="O37" s="156"/>
      <c r="P37" s="156"/>
      <c r="Q37" s="156"/>
      <c r="R37" s="34"/>
      <c r="S37" s="34"/>
    </row>
    <row r="38" spans="1:19">
      <c r="A38" s="34"/>
      <c r="B38" s="34"/>
      <c r="C38" s="537"/>
      <c r="D38" s="536"/>
      <c r="E38" s="158"/>
      <c r="F38" s="158"/>
      <c r="G38" s="141"/>
      <c r="H38" s="538"/>
      <c r="I38" s="158"/>
      <c r="J38" s="141"/>
      <c r="K38" s="538"/>
      <c r="L38" s="34"/>
      <c r="N38" s="156"/>
      <c r="O38" s="156"/>
      <c r="P38" s="156"/>
      <c r="Q38" s="156"/>
      <c r="R38" s="34"/>
      <c r="S38" s="34"/>
    </row>
    <row r="39" spans="1:19">
      <c r="A39" s="34"/>
      <c r="B39" s="34"/>
      <c r="C39" s="537"/>
      <c r="D39" s="536"/>
      <c r="E39" s="158"/>
      <c r="F39" s="158"/>
      <c r="G39" s="141"/>
      <c r="H39" s="538"/>
      <c r="I39" s="158"/>
      <c r="J39" s="141"/>
      <c r="K39" s="538"/>
      <c r="L39" s="34"/>
      <c r="N39" s="156"/>
      <c r="O39" s="156"/>
      <c r="P39" s="156"/>
      <c r="Q39" s="156"/>
      <c r="R39" s="34"/>
      <c r="S39" s="34"/>
    </row>
    <row r="40" spans="1:19">
      <c r="A40" s="34"/>
      <c r="B40" s="34"/>
      <c r="C40" s="537"/>
      <c r="D40" s="536"/>
      <c r="E40" s="158"/>
      <c r="F40" s="158"/>
      <c r="G40" s="141"/>
      <c r="H40" s="538"/>
      <c r="I40" s="158"/>
      <c r="J40" s="141"/>
      <c r="K40" s="538"/>
      <c r="L40" s="34"/>
      <c r="N40" s="156"/>
      <c r="O40" s="156"/>
      <c r="P40" s="156"/>
      <c r="Q40" s="156"/>
      <c r="R40" s="34"/>
      <c r="S40" s="34"/>
    </row>
    <row r="41" spans="1:19">
      <c r="A41" s="34"/>
      <c r="B41" s="34"/>
      <c r="C41" s="537"/>
      <c r="D41" s="536"/>
      <c r="E41" s="158"/>
      <c r="F41" s="158"/>
      <c r="G41" s="141"/>
      <c r="H41" s="538"/>
      <c r="I41" s="158"/>
      <c r="J41" s="141"/>
      <c r="K41" s="538"/>
      <c r="L41" s="34"/>
      <c r="N41" s="156"/>
      <c r="O41" s="156"/>
      <c r="P41" s="156"/>
      <c r="Q41" s="156"/>
      <c r="R41" s="34"/>
      <c r="S41" s="34"/>
    </row>
    <row r="42" spans="1:19">
      <c r="A42" s="34"/>
      <c r="B42" s="34"/>
      <c r="C42" s="537"/>
      <c r="D42" s="536"/>
      <c r="E42" s="158"/>
      <c r="F42" s="158"/>
      <c r="G42" s="141"/>
      <c r="H42" s="538"/>
      <c r="I42" s="158"/>
      <c r="J42" s="141"/>
      <c r="K42" s="538"/>
      <c r="L42" s="34"/>
      <c r="N42" s="156"/>
      <c r="O42" s="156"/>
      <c r="P42" s="156"/>
      <c r="Q42" s="156"/>
      <c r="R42" s="34"/>
      <c r="S42" s="34"/>
    </row>
    <row r="43" spans="1:19">
      <c r="A43" s="34"/>
      <c r="B43" s="34"/>
      <c r="C43" s="537"/>
      <c r="D43" s="536"/>
      <c r="E43" s="158"/>
      <c r="F43" s="158"/>
      <c r="G43" s="141"/>
      <c r="H43" s="538"/>
      <c r="I43" s="158"/>
      <c r="J43" s="141"/>
      <c r="K43" s="538"/>
      <c r="L43" s="34"/>
      <c r="N43" s="156"/>
      <c r="O43" s="156"/>
      <c r="P43" s="156"/>
      <c r="Q43" s="156"/>
      <c r="R43" s="34"/>
      <c r="S43" s="34"/>
    </row>
    <row r="44" spans="1:19">
      <c r="A44" s="34"/>
      <c r="B44" s="34"/>
      <c r="C44" s="537"/>
      <c r="D44" s="536"/>
      <c r="E44" s="158"/>
      <c r="F44" s="158"/>
      <c r="G44" s="141"/>
      <c r="H44" s="538"/>
      <c r="I44" s="158"/>
      <c r="J44" s="141"/>
      <c r="K44" s="538"/>
      <c r="L44" s="34"/>
      <c r="N44" s="156"/>
      <c r="O44" s="156"/>
      <c r="P44" s="156"/>
      <c r="Q44" s="156"/>
      <c r="R44" s="34"/>
      <c r="S44" s="34"/>
    </row>
    <row r="45" spans="1:19">
      <c r="A45" s="34"/>
      <c r="B45" s="34"/>
      <c r="C45" s="537"/>
      <c r="D45" s="536"/>
      <c r="E45" s="158"/>
      <c r="F45" s="158"/>
      <c r="G45" s="141"/>
      <c r="H45" s="538"/>
      <c r="I45" s="158"/>
      <c r="J45" s="141"/>
      <c r="K45" s="538"/>
      <c r="L45" s="34"/>
      <c r="N45" s="156"/>
      <c r="O45" s="156"/>
      <c r="P45" s="156"/>
      <c r="Q45" s="156"/>
      <c r="R45" s="34"/>
      <c r="S45" s="34"/>
    </row>
    <row r="46" spans="1:19">
      <c r="A46" s="34"/>
      <c r="B46" s="34"/>
      <c r="C46" s="537"/>
      <c r="D46" s="536"/>
      <c r="E46" s="158"/>
      <c r="F46" s="158"/>
      <c r="G46" s="141"/>
      <c r="H46" s="538"/>
      <c r="I46" s="158"/>
      <c r="J46" s="141"/>
      <c r="K46" s="538"/>
      <c r="L46" s="34"/>
      <c r="N46" s="156"/>
      <c r="O46" s="156"/>
      <c r="P46" s="156"/>
      <c r="Q46" s="156"/>
      <c r="R46" s="34"/>
      <c r="S46" s="34"/>
    </row>
    <row r="47" spans="1:19">
      <c r="A47" s="34"/>
      <c r="B47" s="34"/>
      <c r="C47" s="537"/>
      <c r="D47" s="536"/>
      <c r="E47" s="158"/>
      <c r="F47" s="158"/>
      <c r="G47" s="141"/>
      <c r="H47" s="538"/>
      <c r="I47" s="158"/>
      <c r="J47" s="141"/>
      <c r="K47" s="538"/>
      <c r="L47" s="34"/>
      <c r="N47" s="156"/>
      <c r="O47" s="156"/>
      <c r="P47" s="156"/>
      <c r="Q47" s="156"/>
      <c r="R47" s="34"/>
      <c r="S47" s="34"/>
    </row>
    <row r="48" spans="1:19">
      <c r="A48" s="34"/>
      <c r="B48" s="34"/>
      <c r="C48" s="537"/>
      <c r="D48" s="536"/>
      <c r="E48" s="158"/>
      <c r="F48" s="158"/>
      <c r="G48" s="141"/>
      <c r="H48" s="538"/>
      <c r="I48" s="158"/>
      <c r="J48" s="141"/>
      <c r="K48" s="538"/>
      <c r="L48" s="34"/>
      <c r="N48" s="156"/>
      <c r="O48" s="156"/>
      <c r="P48" s="156"/>
      <c r="Q48" s="156"/>
      <c r="R48" s="34"/>
      <c r="S48" s="34"/>
    </row>
    <row r="49" spans="1:19">
      <c r="A49" s="34"/>
      <c r="B49" s="34"/>
      <c r="C49" s="537"/>
      <c r="D49" s="536"/>
      <c r="E49" s="158"/>
      <c r="F49" s="158"/>
      <c r="G49" s="141"/>
      <c r="H49" s="538"/>
      <c r="I49" s="158"/>
      <c r="J49" s="141"/>
      <c r="K49" s="538"/>
      <c r="L49" s="34"/>
      <c r="N49" s="156"/>
      <c r="O49" s="156"/>
      <c r="P49" s="156"/>
      <c r="Q49" s="156"/>
      <c r="R49" s="34"/>
      <c r="S49" s="34"/>
    </row>
    <row r="50" spans="1:19">
      <c r="A50" s="34"/>
      <c r="B50" s="34"/>
      <c r="C50" s="537"/>
      <c r="D50" s="536"/>
      <c r="E50" s="158"/>
      <c r="F50" s="158"/>
      <c r="G50" s="141"/>
      <c r="H50" s="538"/>
      <c r="I50" s="158"/>
      <c r="J50" s="141"/>
      <c r="K50" s="538"/>
      <c r="L50" s="34"/>
      <c r="N50" s="156"/>
      <c r="O50" s="156"/>
      <c r="P50" s="156"/>
      <c r="Q50" s="156"/>
      <c r="R50" s="34"/>
      <c r="S50" s="34"/>
    </row>
    <row r="51" spans="1:19">
      <c r="A51" s="34"/>
      <c r="B51" s="34"/>
      <c r="C51" s="537"/>
      <c r="D51" s="536"/>
      <c r="E51" s="158"/>
      <c r="F51" s="158"/>
      <c r="G51" s="141"/>
      <c r="H51" s="538"/>
      <c r="I51" s="158"/>
      <c r="J51" s="141"/>
      <c r="K51" s="538"/>
      <c r="L51" s="34"/>
      <c r="N51" s="156"/>
      <c r="O51" s="156"/>
      <c r="P51" s="156"/>
      <c r="Q51" s="156"/>
      <c r="R51" s="34"/>
      <c r="S51" s="34"/>
    </row>
    <row r="52" spans="1:19">
      <c r="A52" s="34"/>
      <c r="B52" s="34"/>
      <c r="C52" s="537"/>
      <c r="D52" s="536"/>
      <c r="E52" s="158"/>
      <c r="F52" s="158"/>
      <c r="G52" s="141"/>
      <c r="H52" s="538"/>
      <c r="I52" s="158"/>
      <c r="J52" s="141"/>
      <c r="K52" s="538"/>
      <c r="L52" s="34"/>
      <c r="N52" s="156"/>
      <c r="O52" s="156"/>
      <c r="P52" s="156"/>
      <c r="Q52" s="156"/>
      <c r="R52" s="34"/>
      <c r="S52" s="34"/>
    </row>
    <row r="53" spans="1:19">
      <c r="A53" s="34"/>
      <c r="B53" s="34"/>
      <c r="C53" s="537"/>
      <c r="D53" s="536"/>
      <c r="E53" s="158"/>
      <c r="F53" s="158"/>
      <c r="G53" s="141"/>
      <c r="H53" s="538"/>
      <c r="I53" s="158"/>
      <c r="J53" s="141"/>
      <c r="K53" s="538"/>
      <c r="L53" s="34"/>
      <c r="N53" s="156"/>
      <c r="O53" s="156"/>
      <c r="P53" s="156"/>
      <c r="Q53" s="156"/>
      <c r="R53" s="34"/>
      <c r="S53" s="34"/>
    </row>
    <row r="54" spans="1:19">
      <c r="A54" s="34"/>
      <c r="B54" s="34"/>
      <c r="C54" s="537"/>
      <c r="D54" s="536"/>
      <c r="E54" s="158"/>
      <c r="F54" s="158"/>
      <c r="G54" s="141"/>
      <c r="H54" s="538"/>
      <c r="I54" s="158"/>
      <c r="J54" s="141"/>
      <c r="K54" s="538"/>
      <c r="L54" s="34"/>
      <c r="N54" s="156"/>
      <c r="O54" s="156"/>
      <c r="P54" s="156"/>
      <c r="Q54" s="156"/>
      <c r="R54" s="34"/>
      <c r="S54" s="34"/>
    </row>
    <row r="55" spans="1:19">
      <c r="A55" s="34"/>
      <c r="B55" s="34"/>
      <c r="C55" s="537"/>
      <c r="D55" s="536"/>
      <c r="E55" s="158"/>
      <c r="F55" s="158"/>
      <c r="G55" s="141"/>
      <c r="H55" s="538"/>
      <c r="I55" s="158"/>
      <c r="J55" s="141"/>
      <c r="K55" s="538"/>
      <c r="L55" s="34"/>
      <c r="N55" s="156"/>
      <c r="O55" s="156"/>
      <c r="P55" s="156"/>
      <c r="Q55" s="156"/>
      <c r="R55" s="34"/>
      <c r="S55" s="34"/>
    </row>
    <row r="56" spans="1:19">
      <c r="A56" s="34"/>
      <c r="B56" s="34"/>
      <c r="C56" s="537"/>
      <c r="D56" s="536"/>
      <c r="E56" s="158"/>
      <c r="F56" s="158"/>
      <c r="G56" s="141"/>
      <c r="H56" s="538"/>
      <c r="I56" s="158"/>
      <c r="J56" s="141"/>
      <c r="K56" s="538"/>
      <c r="L56" s="34"/>
      <c r="N56" s="156"/>
      <c r="O56" s="156"/>
      <c r="P56" s="156"/>
      <c r="Q56" s="156"/>
      <c r="R56" s="34"/>
      <c r="S56" s="34"/>
    </row>
    <row r="57" spans="1:19">
      <c r="A57" s="34"/>
      <c r="B57" s="34"/>
      <c r="C57" s="537"/>
      <c r="D57" s="536"/>
      <c r="E57" s="158"/>
      <c r="F57" s="158"/>
      <c r="G57" s="141"/>
      <c r="H57" s="538"/>
      <c r="I57" s="158"/>
      <c r="J57" s="141"/>
      <c r="K57" s="538"/>
      <c r="L57" s="34"/>
      <c r="N57" s="156"/>
      <c r="O57" s="156"/>
      <c r="P57" s="156"/>
      <c r="Q57" s="156"/>
      <c r="R57" s="34"/>
      <c r="S57" s="34"/>
    </row>
    <row r="58" spans="1:19">
      <c r="A58" s="34"/>
      <c r="B58" s="34"/>
      <c r="C58" s="537"/>
      <c r="D58" s="536"/>
      <c r="E58" s="158"/>
      <c r="F58" s="158"/>
      <c r="G58" s="141"/>
      <c r="H58" s="538"/>
      <c r="I58" s="158"/>
      <c r="J58" s="141"/>
      <c r="K58" s="538"/>
      <c r="L58" s="34"/>
      <c r="N58" s="156"/>
      <c r="O58" s="156"/>
      <c r="P58" s="156"/>
      <c r="Q58" s="156"/>
      <c r="R58" s="34"/>
      <c r="S58" s="34"/>
    </row>
    <row r="59" spans="1:19">
      <c r="A59" s="34"/>
      <c r="B59" s="34"/>
      <c r="C59" s="537"/>
      <c r="D59" s="536"/>
      <c r="E59" s="158"/>
      <c r="F59" s="158"/>
      <c r="G59" s="141"/>
      <c r="H59" s="538"/>
      <c r="I59" s="158"/>
      <c r="J59" s="141"/>
      <c r="K59" s="538"/>
      <c r="L59" s="34"/>
      <c r="N59" s="34"/>
      <c r="O59" s="34"/>
      <c r="P59" s="34"/>
      <c r="Q59" s="34"/>
      <c r="R59" s="34"/>
      <c r="S59" s="34"/>
    </row>
    <row r="60" spans="1:19">
      <c r="A60" s="34"/>
      <c r="B60" s="34"/>
      <c r="C60" s="34"/>
      <c r="D60" s="34"/>
      <c r="E60" s="34"/>
      <c r="F60" s="34"/>
      <c r="G60" s="34"/>
      <c r="H60" s="34"/>
      <c r="I60" s="34"/>
      <c r="J60" s="34"/>
      <c r="K60" s="34"/>
      <c r="L60" s="34"/>
      <c r="N60" s="34"/>
      <c r="O60" s="34"/>
      <c r="P60" s="34"/>
      <c r="Q60" s="34"/>
      <c r="R60" s="34"/>
      <c r="S60" s="34"/>
    </row>
    <row r="61" spans="1:19">
      <c r="N61" s="34"/>
      <c r="O61" s="34"/>
      <c r="P61" s="34"/>
      <c r="Q61" s="34"/>
      <c r="R61" s="34"/>
      <c r="S61" s="34"/>
    </row>
    <row r="62" spans="1:19">
      <c r="N62" s="34"/>
      <c r="O62" s="34"/>
      <c r="P62" s="34"/>
      <c r="Q62" s="34"/>
      <c r="R62" s="34"/>
      <c r="S62" s="34"/>
    </row>
    <row r="63" spans="1:19">
      <c r="N63" s="34"/>
      <c r="O63" s="34"/>
      <c r="P63" s="34"/>
      <c r="Q63" s="34"/>
      <c r="R63" s="34"/>
      <c r="S63" s="34"/>
    </row>
    <row r="64" spans="1:19">
      <c r="N64" s="34"/>
      <c r="O64" s="34"/>
      <c r="P64" s="34"/>
      <c r="Q64" s="34"/>
      <c r="R64" s="34"/>
      <c r="S64" s="34"/>
    </row>
    <row r="65" spans="14:19">
      <c r="N65" s="34"/>
      <c r="O65" s="34"/>
      <c r="P65" s="34"/>
      <c r="Q65" s="34"/>
      <c r="R65" s="34"/>
      <c r="S65" s="34"/>
    </row>
    <row r="66" spans="14:19">
      <c r="N66" s="34"/>
      <c r="O66" s="34"/>
      <c r="P66" s="34"/>
      <c r="Q66" s="34"/>
      <c r="R66" s="34"/>
      <c r="S66" s="34"/>
    </row>
    <row r="67" spans="14:19">
      <c r="N67" s="34"/>
      <c r="O67" s="34"/>
      <c r="P67" s="34"/>
      <c r="Q67" s="34"/>
      <c r="R67" s="34"/>
      <c r="S67" s="34"/>
    </row>
    <row r="68" spans="14:19">
      <c r="N68" s="34"/>
      <c r="O68" s="34"/>
      <c r="P68" s="34"/>
      <c r="Q68" s="34"/>
      <c r="R68" s="34"/>
      <c r="S68" s="34"/>
    </row>
    <row r="69" spans="14:19">
      <c r="N69" s="34"/>
      <c r="O69" s="34"/>
      <c r="P69" s="34"/>
      <c r="Q69" s="34"/>
      <c r="R69" s="34"/>
      <c r="S69" s="34"/>
    </row>
    <row r="70" spans="14:19">
      <c r="N70" s="34"/>
      <c r="O70" s="34"/>
      <c r="P70" s="34"/>
      <c r="Q70" s="34"/>
      <c r="R70" s="34"/>
      <c r="S70" s="34"/>
    </row>
    <row r="71" spans="14:19">
      <c r="N71" s="34"/>
      <c r="O71" s="34"/>
      <c r="P71" s="34"/>
      <c r="Q71" s="34"/>
      <c r="R71" s="34"/>
      <c r="S71" s="34"/>
    </row>
    <row r="72" spans="14:19">
      <c r="N72" s="34"/>
      <c r="O72" s="34"/>
      <c r="P72" s="34"/>
      <c r="Q72" s="34"/>
      <c r="R72" s="34"/>
      <c r="S72" s="34"/>
    </row>
    <row r="73" spans="14:19">
      <c r="N73" s="34"/>
      <c r="O73" s="34"/>
      <c r="P73" s="34"/>
      <c r="Q73" s="34"/>
      <c r="R73" s="34"/>
      <c r="S73" s="34"/>
    </row>
    <row r="74" spans="14:19">
      <c r="N74" s="34"/>
      <c r="O74" s="34"/>
      <c r="P74" s="34"/>
      <c r="Q74" s="34"/>
      <c r="R74" s="34"/>
      <c r="S74" s="34"/>
    </row>
    <row r="75" spans="14:19">
      <c r="N75" s="34"/>
      <c r="O75" s="34"/>
      <c r="P75" s="34"/>
      <c r="Q75" s="34"/>
      <c r="R75" s="34"/>
      <c r="S75" s="34"/>
    </row>
    <row r="76" spans="14:19">
      <c r="N76" s="34"/>
      <c r="O76" s="34"/>
      <c r="P76" s="34"/>
      <c r="Q76" s="34"/>
      <c r="R76" s="34"/>
      <c r="S76" s="34"/>
    </row>
    <row r="77" spans="14:19">
      <c r="N77" s="34"/>
      <c r="O77" s="34"/>
      <c r="P77" s="34"/>
      <c r="Q77" s="34"/>
      <c r="R77" s="34"/>
      <c r="S77" s="34"/>
    </row>
    <row r="78" spans="14:19">
      <c r="N78" s="34"/>
      <c r="O78" s="34"/>
      <c r="P78" s="34"/>
      <c r="Q78" s="34"/>
      <c r="R78" s="34"/>
      <c r="S78" s="34"/>
    </row>
    <row r="79" spans="14:19">
      <c r="N79" s="34"/>
      <c r="O79" s="34"/>
      <c r="P79" s="34"/>
      <c r="Q79" s="34"/>
      <c r="R79" s="34"/>
      <c r="S79" s="34"/>
    </row>
    <row r="80" spans="14:19">
      <c r="N80" s="34"/>
      <c r="O80" s="34"/>
      <c r="P80" s="34"/>
      <c r="Q80" s="34"/>
      <c r="R80" s="34"/>
      <c r="S80" s="34"/>
    </row>
    <row r="81" spans="14:19">
      <c r="N81" s="34"/>
      <c r="O81" s="34"/>
      <c r="P81" s="34"/>
      <c r="Q81" s="34"/>
      <c r="R81" s="34"/>
      <c r="S81" s="34"/>
    </row>
    <row r="82" spans="14:19">
      <c r="N82" s="34"/>
      <c r="O82" s="34"/>
      <c r="P82" s="34"/>
      <c r="Q82" s="34"/>
      <c r="R82" s="34"/>
      <c r="S82" s="34"/>
    </row>
    <row r="83" spans="14:19">
      <c r="N83" s="34"/>
      <c r="O83" s="34"/>
      <c r="P83" s="34"/>
      <c r="Q83" s="34"/>
      <c r="R83" s="34"/>
      <c r="S83" s="34"/>
    </row>
    <row r="84" spans="14:19">
      <c r="N84" s="34"/>
      <c r="O84" s="34"/>
      <c r="P84" s="34"/>
      <c r="Q84" s="34"/>
      <c r="R84" s="34"/>
      <c r="S84" s="34"/>
    </row>
    <row r="85" spans="14:19">
      <c r="N85" s="34"/>
      <c r="O85" s="34"/>
      <c r="P85" s="34"/>
      <c r="Q85" s="34"/>
      <c r="R85" s="34"/>
      <c r="S85" s="34"/>
    </row>
    <row r="86" spans="14:19">
      <c r="N86" s="34"/>
      <c r="O86" s="34"/>
      <c r="P86" s="34"/>
      <c r="Q86" s="34"/>
      <c r="R86" s="34"/>
      <c r="S86" s="34"/>
    </row>
    <row r="87" spans="14:19">
      <c r="N87" s="34"/>
      <c r="O87" s="34"/>
      <c r="P87" s="34"/>
      <c r="Q87" s="34"/>
      <c r="R87" s="34"/>
      <c r="S87" s="34"/>
    </row>
    <row r="88" spans="14:19">
      <c r="N88" s="34"/>
      <c r="O88" s="34"/>
      <c r="P88" s="34"/>
      <c r="Q88" s="34"/>
      <c r="R88" s="34"/>
      <c r="S88" s="34"/>
    </row>
    <row r="89" spans="14:19">
      <c r="N89" s="34"/>
      <c r="O89" s="34"/>
      <c r="P89" s="34"/>
      <c r="Q89" s="34"/>
      <c r="R89" s="34"/>
      <c r="S89" s="34"/>
    </row>
    <row r="90" spans="14:19">
      <c r="N90" s="34"/>
      <c r="O90" s="34"/>
      <c r="P90" s="34"/>
      <c r="Q90" s="34"/>
      <c r="R90" s="34"/>
      <c r="S90" s="34"/>
    </row>
    <row r="91" spans="14:19">
      <c r="N91" s="34"/>
      <c r="O91" s="34"/>
      <c r="P91" s="34"/>
      <c r="Q91" s="34"/>
      <c r="R91" s="34"/>
      <c r="S91" s="34"/>
    </row>
    <row r="92" spans="14:19">
      <c r="N92" s="34"/>
      <c r="O92" s="34"/>
      <c r="P92" s="34"/>
      <c r="Q92" s="34"/>
      <c r="R92" s="34"/>
      <c r="S92" s="34"/>
    </row>
    <row r="93" spans="14:19">
      <c r="N93" s="34"/>
      <c r="O93" s="34"/>
      <c r="P93" s="34"/>
      <c r="Q93" s="34"/>
      <c r="R93" s="34"/>
      <c r="S93" s="34"/>
    </row>
    <row r="94" spans="14:19">
      <c r="N94" s="34"/>
      <c r="O94" s="34"/>
      <c r="P94" s="34"/>
      <c r="Q94" s="34"/>
      <c r="R94" s="34"/>
      <c r="S94" s="34"/>
    </row>
    <row r="95" spans="14:19">
      <c r="N95" s="34"/>
      <c r="O95" s="34"/>
      <c r="P95" s="34"/>
      <c r="Q95" s="34"/>
      <c r="R95" s="34"/>
      <c r="S95" s="34"/>
    </row>
    <row r="96" spans="14:19">
      <c r="N96" s="34"/>
      <c r="O96" s="34"/>
      <c r="P96" s="34"/>
      <c r="Q96" s="34"/>
      <c r="R96" s="34"/>
      <c r="S96" s="34"/>
    </row>
    <row r="97" spans="14:19">
      <c r="N97" s="34"/>
      <c r="O97" s="34"/>
      <c r="P97" s="34"/>
      <c r="Q97" s="34"/>
      <c r="R97" s="34"/>
      <c r="S97" s="34"/>
    </row>
    <row r="98" spans="14:19">
      <c r="N98" s="34"/>
      <c r="O98" s="34"/>
      <c r="P98" s="34"/>
      <c r="Q98" s="34"/>
      <c r="R98" s="34"/>
      <c r="S98" s="34"/>
    </row>
    <row r="99" spans="14:19">
      <c r="N99" s="34"/>
      <c r="O99" s="34"/>
      <c r="P99" s="34"/>
      <c r="Q99" s="34"/>
      <c r="R99" s="34"/>
      <c r="S99" s="34"/>
    </row>
    <row r="100" spans="14:19">
      <c r="N100" s="34"/>
      <c r="O100" s="34"/>
      <c r="P100" s="34"/>
      <c r="Q100" s="34"/>
      <c r="R100" s="34"/>
      <c r="S100" s="34"/>
    </row>
    <row r="101" spans="14:19">
      <c r="N101" s="34"/>
      <c r="O101" s="34"/>
      <c r="P101" s="34"/>
      <c r="Q101" s="34"/>
      <c r="R101" s="34"/>
      <c r="S101" s="34"/>
    </row>
    <row r="102" spans="14:19">
      <c r="N102" s="34"/>
      <c r="O102" s="34"/>
      <c r="P102" s="34"/>
      <c r="Q102" s="34"/>
      <c r="R102" s="34"/>
      <c r="S102" s="34"/>
    </row>
    <row r="103" spans="14:19">
      <c r="N103" s="34"/>
      <c r="O103" s="34"/>
      <c r="P103" s="34"/>
      <c r="Q103" s="34"/>
      <c r="R103" s="34"/>
      <c r="S103" s="34"/>
    </row>
    <row r="104" spans="14:19">
      <c r="N104" s="34"/>
      <c r="O104" s="34"/>
      <c r="P104" s="34"/>
      <c r="Q104" s="34"/>
      <c r="R104" s="34"/>
      <c r="S104" s="34"/>
    </row>
    <row r="105" spans="14:19">
      <c r="N105" s="34"/>
      <c r="O105" s="34"/>
      <c r="P105" s="34"/>
      <c r="Q105" s="34"/>
      <c r="R105" s="34"/>
      <c r="S105" s="34"/>
    </row>
    <row r="106" spans="14:19">
      <c r="N106" s="34"/>
      <c r="O106" s="34"/>
      <c r="P106" s="34"/>
      <c r="Q106" s="34"/>
      <c r="R106" s="34"/>
      <c r="S106" s="34"/>
    </row>
    <row r="107" spans="14:19">
      <c r="N107" s="34"/>
      <c r="O107" s="34"/>
      <c r="P107" s="34"/>
      <c r="Q107" s="34"/>
      <c r="R107" s="34"/>
      <c r="S107" s="34"/>
    </row>
    <row r="108" spans="14:19">
      <c r="N108" s="34"/>
      <c r="O108" s="34"/>
      <c r="P108" s="34"/>
      <c r="Q108" s="34"/>
      <c r="R108" s="34"/>
      <c r="S108" s="34"/>
    </row>
    <row r="109" spans="14:19">
      <c r="N109" s="34"/>
      <c r="O109" s="34"/>
      <c r="P109" s="34"/>
      <c r="Q109" s="34"/>
      <c r="R109" s="34"/>
      <c r="S109" s="34"/>
    </row>
    <row r="110" spans="14:19">
      <c r="N110" s="34"/>
      <c r="O110" s="34"/>
      <c r="P110" s="34"/>
      <c r="Q110" s="34"/>
      <c r="R110" s="34"/>
      <c r="S110" s="34"/>
    </row>
    <row r="111" spans="14:19">
      <c r="N111" s="34"/>
      <c r="O111" s="34"/>
      <c r="P111" s="34"/>
      <c r="Q111" s="34"/>
      <c r="R111" s="34"/>
      <c r="S111" s="34"/>
    </row>
    <row r="112" spans="14:19">
      <c r="N112" s="34"/>
      <c r="O112" s="34"/>
      <c r="P112" s="34"/>
      <c r="Q112" s="34"/>
      <c r="R112" s="34"/>
      <c r="S112" s="34"/>
    </row>
    <row r="113" spans="14:19">
      <c r="N113" s="34"/>
      <c r="O113" s="34"/>
      <c r="P113" s="34"/>
      <c r="Q113" s="34"/>
      <c r="R113" s="34"/>
      <c r="S113" s="34"/>
    </row>
    <row r="114" spans="14:19">
      <c r="N114" s="34"/>
      <c r="O114" s="34"/>
      <c r="P114" s="34"/>
      <c r="Q114" s="34"/>
      <c r="R114" s="34"/>
      <c r="S114" s="34"/>
    </row>
    <row r="115" spans="14:19">
      <c r="N115" s="34"/>
      <c r="O115" s="34"/>
      <c r="P115" s="34"/>
      <c r="Q115" s="34"/>
      <c r="R115" s="34"/>
      <c r="S115" s="34"/>
    </row>
    <row r="116" spans="14:19">
      <c r="N116" s="34"/>
      <c r="O116" s="34"/>
      <c r="P116" s="34"/>
      <c r="Q116" s="34"/>
      <c r="R116" s="34"/>
      <c r="S116" s="34"/>
    </row>
    <row r="117" spans="14:19">
      <c r="N117" s="34"/>
      <c r="O117" s="34"/>
      <c r="P117" s="34"/>
      <c r="Q117" s="34"/>
      <c r="R117" s="34"/>
      <c r="S117" s="34"/>
    </row>
    <row r="118" spans="14:19">
      <c r="N118" s="34"/>
      <c r="O118" s="34"/>
      <c r="P118" s="34"/>
      <c r="Q118" s="34"/>
      <c r="R118" s="34"/>
      <c r="S118" s="34"/>
    </row>
    <row r="119" spans="14:19">
      <c r="N119" s="34"/>
      <c r="O119" s="34"/>
      <c r="P119" s="34"/>
      <c r="Q119" s="34"/>
      <c r="R119" s="34"/>
      <c r="S119" s="34"/>
    </row>
    <row r="120" spans="14:19">
      <c r="N120" s="34"/>
      <c r="O120" s="34"/>
      <c r="P120" s="34"/>
      <c r="Q120" s="34"/>
      <c r="R120" s="34"/>
      <c r="S120" s="34"/>
    </row>
    <row r="121" spans="14:19">
      <c r="N121" s="34"/>
      <c r="O121" s="34"/>
      <c r="P121" s="34"/>
      <c r="Q121" s="34"/>
      <c r="R121" s="34"/>
      <c r="S121" s="34"/>
    </row>
    <row r="122" spans="14:19">
      <c r="N122" s="34"/>
      <c r="O122" s="34"/>
      <c r="P122" s="34"/>
      <c r="Q122" s="34"/>
      <c r="R122" s="34"/>
      <c r="S122" s="34"/>
    </row>
    <row r="123" spans="14:19">
      <c r="N123" s="34"/>
      <c r="O123" s="34"/>
      <c r="P123" s="34"/>
      <c r="Q123" s="34"/>
      <c r="R123" s="34"/>
      <c r="S123" s="34"/>
    </row>
    <row r="124" spans="14:19">
      <c r="N124" s="34"/>
      <c r="O124" s="34"/>
      <c r="P124" s="34"/>
      <c r="Q124" s="34"/>
      <c r="R124" s="34"/>
      <c r="S124" s="34"/>
    </row>
    <row r="125" spans="14:19">
      <c r="N125" s="34"/>
      <c r="O125" s="34"/>
      <c r="P125" s="34"/>
      <c r="Q125" s="34"/>
      <c r="R125" s="34"/>
      <c r="S125" s="34"/>
    </row>
    <row r="126" spans="14:19">
      <c r="N126" s="34"/>
      <c r="O126" s="34"/>
      <c r="P126" s="34"/>
      <c r="Q126" s="34"/>
      <c r="R126" s="34"/>
      <c r="S126" s="34"/>
    </row>
    <row r="127" spans="14:19">
      <c r="N127" s="34"/>
      <c r="O127" s="34"/>
      <c r="P127" s="34"/>
      <c r="Q127" s="34"/>
      <c r="R127" s="34"/>
      <c r="S127" s="34"/>
    </row>
    <row r="128" spans="14:19">
      <c r="N128" s="34"/>
      <c r="O128" s="34"/>
      <c r="P128" s="34"/>
      <c r="Q128" s="34"/>
      <c r="R128" s="34"/>
      <c r="S128" s="34"/>
    </row>
    <row r="129" spans="14:19">
      <c r="N129" s="34"/>
      <c r="O129" s="34"/>
      <c r="P129" s="34"/>
      <c r="Q129" s="34"/>
      <c r="R129" s="34"/>
      <c r="S129" s="34"/>
    </row>
    <row r="130" spans="14:19">
      <c r="N130" s="34"/>
      <c r="O130" s="34"/>
      <c r="P130" s="34"/>
      <c r="Q130" s="34"/>
      <c r="R130" s="34"/>
      <c r="S130" s="34"/>
    </row>
    <row r="131" spans="14:19">
      <c r="N131" s="34"/>
      <c r="O131" s="34"/>
      <c r="P131" s="34"/>
      <c r="Q131" s="34"/>
      <c r="R131" s="34"/>
      <c r="S131" s="34"/>
    </row>
    <row r="132" spans="14:19">
      <c r="N132" s="34"/>
      <c r="O132" s="34"/>
      <c r="P132" s="34"/>
      <c r="Q132" s="34"/>
      <c r="R132" s="34"/>
      <c r="S132" s="34"/>
    </row>
    <row r="133" spans="14:19">
      <c r="N133" s="34"/>
      <c r="O133" s="34"/>
      <c r="P133" s="34"/>
      <c r="Q133" s="34"/>
      <c r="R133" s="34"/>
      <c r="S133" s="34"/>
    </row>
    <row r="134" spans="14:19">
      <c r="N134" s="34"/>
      <c r="O134" s="34"/>
      <c r="P134" s="34"/>
      <c r="Q134" s="34"/>
      <c r="R134" s="34"/>
      <c r="S134" s="34"/>
    </row>
    <row r="135" spans="14:19">
      <c r="N135" s="34"/>
      <c r="O135" s="34"/>
      <c r="P135" s="34"/>
      <c r="Q135" s="34"/>
      <c r="R135" s="34"/>
      <c r="S135" s="34"/>
    </row>
    <row r="136" spans="14:19">
      <c r="N136" s="34"/>
      <c r="O136" s="34"/>
      <c r="P136" s="34"/>
      <c r="Q136" s="34"/>
      <c r="R136" s="34"/>
      <c r="S136" s="34"/>
    </row>
    <row r="137" spans="14:19">
      <c r="N137" s="34"/>
      <c r="O137" s="34"/>
      <c r="P137" s="34"/>
      <c r="Q137" s="34"/>
      <c r="R137" s="34"/>
      <c r="S137" s="34"/>
    </row>
    <row r="138" spans="14:19">
      <c r="N138" s="34"/>
      <c r="O138" s="34"/>
      <c r="P138" s="34"/>
      <c r="Q138" s="34"/>
      <c r="R138" s="34"/>
      <c r="S138" s="34"/>
    </row>
    <row r="139" spans="14:19">
      <c r="N139" s="34"/>
      <c r="O139" s="34"/>
      <c r="P139" s="34"/>
      <c r="Q139" s="34"/>
      <c r="R139" s="34"/>
      <c r="S139" s="34"/>
    </row>
    <row r="140" spans="14:19">
      <c r="N140" s="34"/>
      <c r="O140" s="34"/>
      <c r="P140" s="34"/>
      <c r="Q140" s="34"/>
      <c r="R140" s="34"/>
      <c r="S140" s="34"/>
    </row>
    <row r="141" spans="14:19">
      <c r="N141" s="34"/>
      <c r="O141" s="34"/>
      <c r="P141" s="34"/>
      <c r="Q141" s="34"/>
      <c r="R141" s="34"/>
      <c r="S141" s="34"/>
    </row>
    <row r="142" spans="14:19">
      <c r="N142" s="34"/>
      <c r="O142" s="34"/>
      <c r="P142" s="34"/>
      <c r="Q142" s="34"/>
      <c r="R142" s="34"/>
      <c r="S142" s="34"/>
    </row>
    <row r="143" spans="14:19">
      <c r="N143" s="34"/>
      <c r="O143" s="34"/>
      <c r="P143" s="34"/>
      <c r="Q143" s="34"/>
      <c r="R143" s="34"/>
      <c r="S143" s="34"/>
    </row>
    <row r="144" spans="14:19">
      <c r="N144" s="34"/>
      <c r="O144" s="34"/>
      <c r="P144" s="34"/>
      <c r="Q144" s="34"/>
      <c r="R144" s="34"/>
      <c r="S144" s="34"/>
    </row>
    <row r="145" spans="14:19">
      <c r="N145" s="34"/>
      <c r="O145" s="34"/>
      <c r="P145" s="34"/>
      <c r="Q145" s="34"/>
      <c r="R145" s="34"/>
      <c r="S145" s="34"/>
    </row>
    <row r="146" spans="14:19">
      <c r="N146" s="34"/>
      <c r="O146" s="34"/>
      <c r="P146" s="34"/>
      <c r="Q146" s="34"/>
      <c r="R146" s="34"/>
      <c r="S146" s="34"/>
    </row>
    <row r="147" spans="14:19">
      <c r="N147" s="34"/>
      <c r="O147" s="34"/>
      <c r="P147" s="34"/>
      <c r="Q147" s="34"/>
      <c r="R147" s="34"/>
      <c r="S147" s="34"/>
    </row>
    <row r="148" spans="14:19">
      <c r="N148" s="34"/>
      <c r="O148" s="34"/>
      <c r="P148" s="34"/>
      <c r="Q148" s="34"/>
      <c r="R148" s="34"/>
      <c r="S148" s="34"/>
    </row>
    <row r="149" spans="14:19">
      <c r="N149" s="34"/>
      <c r="O149" s="34"/>
      <c r="P149" s="34"/>
      <c r="Q149" s="34"/>
      <c r="R149" s="34"/>
      <c r="S149" s="34"/>
    </row>
    <row r="150" spans="14:19">
      <c r="N150" s="34"/>
      <c r="O150" s="34"/>
      <c r="P150" s="34"/>
      <c r="Q150" s="34"/>
      <c r="R150" s="34"/>
      <c r="S150" s="34"/>
    </row>
    <row r="151" spans="14:19">
      <c r="N151" s="34"/>
      <c r="O151" s="34"/>
      <c r="P151" s="34"/>
      <c r="Q151" s="34"/>
      <c r="R151" s="34"/>
      <c r="S151" s="34"/>
    </row>
    <row r="152" spans="14:19">
      <c r="N152" s="34"/>
      <c r="O152" s="34"/>
      <c r="P152" s="34"/>
      <c r="Q152" s="34"/>
      <c r="R152" s="34"/>
      <c r="S152" s="34"/>
    </row>
    <row r="153" spans="14:19">
      <c r="N153" s="34"/>
      <c r="O153" s="34"/>
      <c r="P153" s="34"/>
      <c r="Q153" s="34"/>
      <c r="R153" s="34"/>
      <c r="S153" s="34"/>
    </row>
    <row r="154" spans="14:19">
      <c r="N154" s="34"/>
      <c r="O154" s="34"/>
      <c r="P154" s="34"/>
      <c r="Q154" s="34"/>
      <c r="R154" s="34"/>
      <c r="S154" s="34"/>
    </row>
    <row r="155" spans="14:19">
      <c r="N155" s="34"/>
      <c r="O155" s="34"/>
      <c r="P155" s="34"/>
      <c r="Q155" s="34"/>
      <c r="R155" s="34"/>
      <c r="S155" s="34"/>
    </row>
    <row r="156" spans="14:19">
      <c r="N156" s="34"/>
      <c r="O156" s="34"/>
      <c r="P156" s="34"/>
      <c r="Q156" s="34"/>
      <c r="R156" s="34"/>
      <c r="S156" s="34"/>
    </row>
    <row r="157" spans="14:19">
      <c r="N157" s="34"/>
      <c r="O157" s="34"/>
      <c r="P157" s="34"/>
      <c r="Q157" s="34"/>
      <c r="R157" s="34"/>
      <c r="S157" s="34"/>
    </row>
    <row r="158" spans="14:19">
      <c r="N158" s="34"/>
      <c r="O158" s="34"/>
      <c r="P158" s="34"/>
      <c r="Q158" s="34"/>
      <c r="R158" s="34"/>
      <c r="S158" s="34"/>
    </row>
    <row r="159" spans="14:19">
      <c r="N159" s="34"/>
      <c r="O159" s="34"/>
      <c r="P159" s="34"/>
      <c r="Q159" s="34"/>
      <c r="R159" s="34"/>
      <c r="S159" s="34"/>
    </row>
    <row r="160" spans="14:19">
      <c r="N160" s="34"/>
      <c r="O160" s="34"/>
      <c r="P160" s="34"/>
      <c r="Q160" s="34"/>
      <c r="R160" s="34"/>
      <c r="S160" s="34"/>
    </row>
    <row r="161" spans="14:19">
      <c r="N161" s="34"/>
      <c r="O161" s="34"/>
      <c r="P161" s="34"/>
      <c r="Q161" s="34"/>
      <c r="R161" s="34"/>
      <c r="S161" s="34"/>
    </row>
    <row r="162" spans="14:19">
      <c r="N162" s="34"/>
      <c r="O162" s="34"/>
      <c r="P162" s="34"/>
      <c r="Q162" s="34"/>
      <c r="R162" s="34"/>
      <c r="S162" s="34"/>
    </row>
    <row r="163" spans="14:19">
      <c r="N163" s="34"/>
      <c r="O163" s="34"/>
      <c r="P163" s="34"/>
      <c r="Q163" s="34"/>
      <c r="R163" s="34"/>
      <c r="S163" s="34"/>
    </row>
    <row r="164" spans="14:19">
      <c r="N164" s="34"/>
      <c r="O164" s="34"/>
      <c r="P164" s="34"/>
      <c r="Q164" s="34"/>
      <c r="R164" s="34"/>
      <c r="S164" s="34"/>
    </row>
    <row r="165" spans="14:19">
      <c r="N165" s="34"/>
      <c r="O165" s="34"/>
      <c r="P165" s="34"/>
      <c r="Q165" s="34"/>
      <c r="R165" s="34"/>
      <c r="S165" s="34"/>
    </row>
    <row r="166" spans="14:19">
      <c r="N166" s="34"/>
      <c r="O166" s="34"/>
      <c r="P166" s="34"/>
      <c r="Q166" s="34"/>
      <c r="R166" s="34"/>
      <c r="S166" s="34"/>
    </row>
    <row r="167" spans="14:19">
      <c r="N167" s="34"/>
      <c r="O167" s="34"/>
      <c r="P167" s="34"/>
      <c r="Q167" s="34"/>
      <c r="R167" s="34"/>
      <c r="S167" s="34"/>
    </row>
    <row r="168" spans="14:19">
      <c r="N168" s="34"/>
      <c r="O168" s="34"/>
      <c r="P168" s="34"/>
      <c r="Q168" s="34"/>
      <c r="R168" s="34"/>
      <c r="S168" s="34"/>
    </row>
    <row r="169" spans="14:19">
      <c r="N169" s="34"/>
      <c r="O169" s="34"/>
      <c r="P169" s="34"/>
      <c r="Q169" s="34"/>
      <c r="R169" s="34"/>
      <c r="S169" s="34"/>
    </row>
    <row r="170" spans="14:19">
      <c r="N170" s="34"/>
      <c r="O170" s="34"/>
      <c r="P170" s="34"/>
      <c r="Q170" s="34"/>
      <c r="R170" s="34"/>
      <c r="S170" s="34"/>
    </row>
    <row r="171" spans="14:19">
      <c r="N171" s="34"/>
      <c r="O171" s="34"/>
      <c r="P171" s="34"/>
      <c r="Q171" s="34"/>
      <c r="R171" s="34"/>
      <c r="S171" s="34"/>
    </row>
    <row r="172" spans="14:19">
      <c r="N172" s="34"/>
      <c r="O172" s="34"/>
      <c r="P172" s="34"/>
      <c r="Q172" s="34"/>
      <c r="R172" s="34"/>
      <c r="S172" s="34"/>
    </row>
    <row r="173" spans="14:19">
      <c r="N173" s="34"/>
      <c r="O173" s="34"/>
      <c r="P173" s="34"/>
      <c r="Q173" s="34"/>
      <c r="R173" s="34"/>
      <c r="S173" s="34"/>
    </row>
    <row r="174" spans="14:19">
      <c r="N174" s="34"/>
      <c r="O174" s="34"/>
      <c r="P174" s="34"/>
      <c r="Q174" s="34"/>
      <c r="R174" s="34"/>
      <c r="S174" s="34"/>
    </row>
    <row r="175" spans="14:19">
      <c r="N175" s="34"/>
      <c r="O175" s="34"/>
      <c r="P175" s="34"/>
      <c r="Q175" s="34"/>
      <c r="R175" s="34"/>
      <c r="S175" s="34"/>
    </row>
    <row r="176" spans="14:19">
      <c r="N176" s="34"/>
      <c r="O176" s="34"/>
      <c r="P176" s="34"/>
      <c r="Q176" s="34"/>
      <c r="R176" s="34"/>
      <c r="S176" s="34"/>
    </row>
    <row r="177" spans="14:19">
      <c r="N177" s="34"/>
      <c r="O177" s="34"/>
      <c r="P177" s="34"/>
      <c r="Q177" s="34"/>
      <c r="R177" s="34"/>
      <c r="S177" s="34"/>
    </row>
    <row r="178" spans="14:19">
      <c r="N178" s="34"/>
      <c r="O178" s="34"/>
      <c r="P178" s="34"/>
      <c r="Q178" s="34"/>
      <c r="R178" s="34"/>
      <c r="S178" s="34"/>
    </row>
    <row r="179" spans="14:19">
      <c r="N179" s="34"/>
      <c r="O179" s="34"/>
      <c r="P179" s="34"/>
      <c r="Q179" s="34"/>
      <c r="R179" s="34"/>
      <c r="S179" s="34"/>
    </row>
    <row r="180" spans="14:19">
      <c r="N180" s="34"/>
      <c r="O180" s="34"/>
      <c r="P180" s="34"/>
      <c r="Q180" s="34"/>
      <c r="R180" s="34"/>
      <c r="S180" s="34"/>
    </row>
    <row r="181" spans="14:19">
      <c r="N181" s="34"/>
      <c r="O181" s="34"/>
      <c r="P181" s="34"/>
      <c r="Q181" s="34"/>
      <c r="R181" s="34"/>
      <c r="S181" s="34"/>
    </row>
    <row r="182" spans="14:19">
      <c r="N182" s="34"/>
      <c r="O182" s="34"/>
      <c r="P182" s="34"/>
      <c r="Q182" s="34"/>
      <c r="R182" s="34"/>
      <c r="S182" s="34"/>
    </row>
    <row r="183" spans="14:19">
      <c r="N183" s="34"/>
      <c r="O183" s="34"/>
      <c r="P183" s="34"/>
      <c r="Q183" s="34"/>
      <c r="R183" s="34"/>
      <c r="S183" s="34"/>
    </row>
    <row r="184" spans="14:19">
      <c r="N184" s="34"/>
      <c r="O184" s="34"/>
      <c r="P184" s="34"/>
      <c r="Q184" s="34"/>
      <c r="R184" s="34"/>
      <c r="S184" s="34"/>
    </row>
    <row r="185" spans="14:19">
      <c r="N185" s="34"/>
      <c r="O185" s="34"/>
      <c r="P185" s="34"/>
      <c r="Q185" s="34"/>
      <c r="R185" s="34"/>
      <c r="S185" s="34"/>
    </row>
    <row r="186" spans="14:19">
      <c r="N186" s="34"/>
      <c r="O186" s="34"/>
      <c r="P186" s="34"/>
      <c r="Q186" s="34"/>
      <c r="R186" s="34"/>
      <c r="S186" s="34"/>
    </row>
    <row r="187" spans="14:19">
      <c r="N187" s="34"/>
      <c r="O187" s="34"/>
      <c r="P187" s="34"/>
      <c r="Q187" s="34"/>
      <c r="R187" s="34"/>
      <c r="S187" s="34"/>
    </row>
    <row r="188" spans="14:19">
      <c r="N188" s="34"/>
      <c r="O188" s="34"/>
      <c r="P188" s="34"/>
      <c r="Q188" s="34"/>
      <c r="R188" s="34"/>
      <c r="S188" s="34"/>
    </row>
    <row r="189" spans="14:19">
      <c r="N189" s="34"/>
      <c r="O189" s="34"/>
      <c r="P189" s="34"/>
      <c r="Q189" s="34"/>
      <c r="R189" s="34"/>
      <c r="S189" s="34"/>
    </row>
    <row r="190" spans="14:19">
      <c r="N190" s="34"/>
      <c r="O190" s="34"/>
      <c r="P190" s="34"/>
      <c r="Q190" s="34"/>
      <c r="R190" s="34"/>
      <c r="S190" s="34"/>
    </row>
    <row r="191" spans="14:19">
      <c r="N191" s="34"/>
      <c r="O191" s="34"/>
      <c r="P191" s="34"/>
      <c r="Q191" s="34"/>
      <c r="R191" s="34"/>
      <c r="S191" s="34"/>
    </row>
    <row r="192" spans="14:19">
      <c r="N192" s="34"/>
      <c r="O192" s="34"/>
      <c r="P192" s="34"/>
      <c r="Q192" s="34"/>
      <c r="R192" s="34"/>
      <c r="S192" s="34"/>
    </row>
    <row r="193" spans="14:19">
      <c r="N193" s="34"/>
      <c r="O193" s="34"/>
      <c r="P193" s="34"/>
      <c r="Q193" s="34"/>
      <c r="R193" s="34"/>
      <c r="S193" s="34"/>
    </row>
    <row r="194" spans="14:19">
      <c r="N194" s="34"/>
      <c r="O194" s="34"/>
      <c r="P194" s="34"/>
      <c r="Q194" s="34"/>
      <c r="R194" s="34"/>
      <c r="S194" s="34"/>
    </row>
    <row r="195" spans="14:19">
      <c r="N195" s="34"/>
      <c r="O195" s="34"/>
      <c r="P195" s="34"/>
      <c r="Q195" s="34"/>
      <c r="R195" s="34"/>
      <c r="S195" s="34"/>
    </row>
    <row r="196" spans="14:19">
      <c r="N196" s="34"/>
      <c r="O196" s="34"/>
      <c r="P196" s="34"/>
      <c r="Q196" s="34"/>
      <c r="R196" s="34"/>
      <c r="S196" s="34"/>
    </row>
    <row r="197" spans="14:19">
      <c r="N197" s="34"/>
      <c r="O197" s="34"/>
      <c r="P197" s="34"/>
      <c r="Q197" s="34"/>
      <c r="R197" s="34"/>
      <c r="S197" s="34"/>
    </row>
    <row r="198" spans="14:19">
      <c r="N198" s="34"/>
      <c r="O198" s="34"/>
      <c r="P198" s="34"/>
      <c r="Q198" s="34"/>
      <c r="R198" s="34"/>
      <c r="S198" s="34"/>
    </row>
    <row r="199" spans="14:19">
      <c r="N199" s="34"/>
      <c r="O199" s="34"/>
      <c r="P199" s="34"/>
      <c r="Q199" s="34"/>
      <c r="R199" s="34"/>
      <c r="S199" s="34"/>
    </row>
    <row r="200" spans="14:19">
      <c r="N200" s="34"/>
      <c r="O200" s="34"/>
      <c r="P200" s="34"/>
      <c r="Q200" s="34"/>
      <c r="R200" s="34"/>
      <c r="S200" s="34"/>
    </row>
    <row r="201" spans="14:19">
      <c r="N201" s="34"/>
      <c r="O201" s="34"/>
      <c r="P201" s="34"/>
      <c r="Q201" s="34"/>
      <c r="R201" s="34"/>
      <c r="S201" s="34"/>
    </row>
    <row r="202" spans="14:19">
      <c r="N202" s="34"/>
      <c r="O202" s="34"/>
      <c r="P202" s="34"/>
      <c r="Q202" s="34"/>
      <c r="R202" s="34"/>
      <c r="S202" s="34"/>
    </row>
    <row r="203" spans="14:19">
      <c r="N203" s="34"/>
      <c r="O203" s="34"/>
      <c r="P203" s="34"/>
      <c r="Q203" s="34"/>
      <c r="R203" s="34"/>
      <c r="S203" s="34"/>
    </row>
    <row r="204" spans="14:19">
      <c r="N204" s="34"/>
      <c r="O204" s="34"/>
      <c r="P204" s="34"/>
      <c r="Q204" s="34"/>
      <c r="R204" s="34"/>
      <c r="S204" s="34"/>
    </row>
    <row r="205" spans="14:19">
      <c r="N205" s="34"/>
      <c r="O205" s="34"/>
      <c r="P205" s="34"/>
      <c r="Q205" s="34"/>
      <c r="R205" s="34"/>
      <c r="S205" s="34"/>
    </row>
    <row r="206" spans="14:19">
      <c r="N206" s="34"/>
      <c r="O206" s="34"/>
      <c r="P206" s="34"/>
      <c r="Q206" s="34"/>
      <c r="R206" s="34"/>
      <c r="S206" s="34"/>
    </row>
    <row r="207" spans="14:19">
      <c r="N207" s="34"/>
      <c r="O207" s="34"/>
      <c r="P207" s="34"/>
      <c r="Q207" s="34"/>
      <c r="R207" s="34"/>
      <c r="S207" s="34"/>
    </row>
    <row r="208" spans="14:19">
      <c r="N208" s="34"/>
      <c r="O208" s="34"/>
      <c r="P208" s="34"/>
      <c r="Q208" s="34"/>
      <c r="R208" s="34"/>
      <c r="S208" s="34"/>
    </row>
    <row r="209" spans="14:19">
      <c r="N209" s="34"/>
      <c r="O209" s="34"/>
      <c r="P209" s="34"/>
      <c r="Q209" s="34"/>
      <c r="R209" s="34"/>
      <c r="S209" s="34"/>
    </row>
    <row r="210" spans="14:19">
      <c r="N210" s="34"/>
      <c r="O210" s="34"/>
      <c r="P210" s="34"/>
      <c r="Q210" s="34"/>
      <c r="R210" s="34"/>
      <c r="S210" s="34"/>
    </row>
    <row r="211" spans="14:19">
      <c r="N211" s="34"/>
      <c r="O211" s="34"/>
      <c r="P211" s="34"/>
      <c r="Q211" s="34"/>
      <c r="R211" s="34"/>
      <c r="S211" s="34"/>
    </row>
    <row r="212" spans="14:19">
      <c r="N212" s="34"/>
      <c r="O212" s="34"/>
      <c r="P212" s="34"/>
      <c r="Q212" s="34"/>
      <c r="R212" s="34"/>
      <c r="S212" s="34"/>
    </row>
    <row r="213" spans="14:19">
      <c r="N213" s="34"/>
      <c r="O213" s="34"/>
      <c r="P213" s="34"/>
      <c r="Q213" s="34"/>
      <c r="R213" s="34"/>
      <c r="S213" s="34"/>
    </row>
    <row r="214" spans="14:19">
      <c r="N214" s="34"/>
      <c r="O214" s="34"/>
      <c r="P214" s="34"/>
      <c r="Q214" s="34"/>
      <c r="R214" s="34"/>
      <c r="S214" s="34"/>
    </row>
    <row r="215" spans="14:19">
      <c r="N215" s="34"/>
      <c r="O215" s="34"/>
      <c r="P215" s="34"/>
      <c r="Q215" s="34"/>
      <c r="R215" s="34"/>
      <c r="S215" s="34"/>
    </row>
    <row r="216" spans="14:19">
      <c r="N216" s="34"/>
      <c r="O216" s="34"/>
      <c r="P216" s="34"/>
      <c r="Q216" s="34"/>
      <c r="R216" s="34"/>
      <c r="S216" s="34"/>
    </row>
    <row r="217" spans="14:19">
      <c r="N217" s="34"/>
      <c r="O217" s="34"/>
      <c r="P217" s="34"/>
      <c r="Q217" s="34"/>
      <c r="R217" s="34"/>
      <c r="S217" s="34"/>
    </row>
    <row r="218" spans="14:19">
      <c r="N218" s="34"/>
      <c r="O218" s="34"/>
      <c r="P218" s="34"/>
      <c r="Q218" s="34"/>
      <c r="R218" s="34"/>
      <c r="S218" s="34"/>
    </row>
    <row r="219" spans="14:19">
      <c r="N219" s="34"/>
      <c r="O219" s="34"/>
      <c r="P219" s="34"/>
      <c r="Q219" s="34"/>
      <c r="R219" s="34"/>
      <c r="S219" s="34"/>
    </row>
    <row r="220" spans="14:19">
      <c r="N220" s="34"/>
      <c r="O220" s="34"/>
      <c r="P220" s="34"/>
      <c r="Q220" s="34"/>
      <c r="R220" s="34"/>
      <c r="S220" s="34"/>
    </row>
    <row r="221" spans="14:19">
      <c r="N221" s="34"/>
      <c r="O221" s="34"/>
      <c r="P221" s="34"/>
      <c r="Q221" s="34"/>
      <c r="R221" s="34"/>
      <c r="S221" s="34"/>
    </row>
    <row r="222" spans="14:19">
      <c r="N222" s="34"/>
      <c r="O222" s="34"/>
      <c r="P222" s="34"/>
      <c r="Q222" s="34"/>
      <c r="R222" s="34"/>
      <c r="S222" s="34"/>
    </row>
    <row r="223" spans="14:19">
      <c r="N223" s="34"/>
      <c r="O223" s="34"/>
      <c r="P223" s="34"/>
      <c r="Q223" s="34"/>
      <c r="R223" s="34"/>
      <c r="S223" s="34"/>
    </row>
    <row r="224" spans="14:19">
      <c r="N224" s="34"/>
      <c r="O224" s="34"/>
      <c r="P224" s="34"/>
      <c r="Q224" s="34"/>
      <c r="R224" s="34"/>
      <c r="S224" s="34"/>
    </row>
    <row r="225" spans="14:19">
      <c r="N225" s="34"/>
      <c r="O225" s="34"/>
      <c r="P225" s="34"/>
      <c r="Q225" s="34"/>
      <c r="R225" s="34"/>
      <c r="S225" s="34"/>
    </row>
    <row r="226" spans="14:19">
      <c r="N226" s="34"/>
      <c r="O226" s="34"/>
      <c r="P226" s="34"/>
      <c r="Q226" s="34"/>
      <c r="R226" s="34"/>
      <c r="S226" s="34"/>
    </row>
    <row r="227" spans="14:19">
      <c r="N227" s="34"/>
      <c r="O227" s="34"/>
      <c r="P227" s="34"/>
      <c r="Q227" s="34"/>
      <c r="R227" s="34"/>
      <c r="S227" s="34"/>
    </row>
    <row r="228" spans="14:19">
      <c r="N228" s="34"/>
      <c r="O228" s="34"/>
      <c r="P228" s="34"/>
      <c r="Q228" s="34"/>
      <c r="R228" s="34"/>
      <c r="S228" s="34"/>
    </row>
    <row r="229" spans="14:19">
      <c r="N229" s="34"/>
      <c r="O229" s="34"/>
      <c r="P229" s="34"/>
      <c r="Q229" s="34"/>
      <c r="R229" s="34"/>
      <c r="S229" s="34"/>
    </row>
    <row r="230" spans="14:19">
      <c r="N230" s="34"/>
      <c r="O230" s="34"/>
      <c r="P230" s="34"/>
      <c r="Q230" s="34"/>
      <c r="R230" s="34"/>
      <c r="S230" s="34"/>
    </row>
    <row r="231" spans="14:19">
      <c r="N231" s="34"/>
      <c r="O231" s="34"/>
      <c r="P231" s="34"/>
      <c r="Q231" s="34"/>
      <c r="R231" s="34"/>
      <c r="S231" s="34"/>
    </row>
    <row r="232" spans="14:19">
      <c r="N232" s="34"/>
      <c r="O232" s="34"/>
      <c r="P232" s="34"/>
      <c r="Q232" s="34"/>
      <c r="R232" s="34"/>
      <c r="S232" s="34"/>
    </row>
    <row r="233" spans="14:19">
      <c r="N233" s="34"/>
      <c r="O233" s="34"/>
      <c r="P233" s="34"/>
      <c r="Q233" s="34"/>
      <c r="R233" s="34"/>
      <c r="S233" s="34"/>
    </row>
    <row r="234" spans="14:19">
      <c r="N234" s="34"/>
      <c r="O234" s="34"/>
      <c r="P234" s="34"/>
      <c r="Q234" s="34"/>
      <c r="R234" s="34"/>
      <c r="S234" s="34"/>
    </row>
    <row r="235" spans="14:19">
      <c r="N235" s="34"/>
      <c r="O235" s="34"/>
      <c r="P235" s="34"/>
      <c r="Q235" s="34"/>
      <c r="R235" s="34"/>
      <c r="S235" s="34"/>
    </row>
    <row r="236" spans="14:19">
      <c r="N236" s="34"/>
      <c r="O236" s="34"/>
      <c r="P236" s="34"/>
      <c r="Q236" s="34"/>
      <c r="R236" s="34"/>
      <c r="S236" s="34"/>
    </row>
    <row r="237" spans="14:19">
      <c r="N237" s="34"/>
      <c r="O237" s="34"/>
      <c r="P237" s="34"/>
      <c r="Q237" s="34"/>
      <c r="R237" s="34"/>
      <c r="S237" s="34"/>
    </row>
    <row r="238" spans="14:19">
      <c r="N238" s="34"/>
      <c r="O238" s="34"/>
      <c r="P238" s="34"/>
      <c r="Q238" s="34"/>
      <c r="R238" s="34"/>
      <c r="S238" s="34"/>
    </row>
    <row r="239" spans="14:19">
      <c r="N239" s="34"/>
      <c r="O239" s="34"/>
      <c r="P239" s="34"/>
      <c r="Q239" s="34"/>
      <c r="R239" s="34"/>
      <c r="S239" s="34"/>
    </row>
    <row r="240" spans="14:19">
      <c r="N240" s="34"/>
      <c r="O240" s="34"/>
      <c r="P240" s="34"/>
      <c r="Q240" s="34"/>
      <c r="R240" s="34"/>
      <c r="S240" s="34"/>
    </row>
    <row r="241" spans="14:19">
      <c r="N241" s="34"/>
      <c r="O241" s="34"/>
      <c r="P241" s="34"/>
      <c r="Q241" s="34"/>
      <c r="R241" s="34"/>
      <c r="S241" s="34"/>
    </row>
    <row r="242" spans="14:19">
      <c r="N242" s="34"/>
      <c r="O242" s="34"/>
      <c r="P242" s="34"/>
      <c r="Q242" s="34"/>
      <c r="R242" s="34"/>
      <c r="S242" s="34"/>
    </row>
    <row r="243" spans="14:19">
      <c r="N243" s="34"/>
      <c r="O243" s="34"/>
      <c r="P243" s="34"/>
      <c r="Q243" s="34"/>
      <c r="R243" s="34"/>
      <c r="S243" s="34"/>
    </row>
    <row r="244" spans="14:19">
      <c r="N244" s="34"/>
      <c r="O244" s="34"/>
      <c r="P244" s="34"/>
      <c r="Q244" s="34"/>
      <c r="R244" s="34"/>
      <c r="S244" s="34"/>
    </row>
    <row r="245" spans="14:19">
      <c r="N245" s="34"/>
      <c r="O245" s="34"/>
      <c r="P245" s="34"/>
      <c r="Q245" s="34"/>
      <c r="R245" s="34"/>
      <c r="S245" s="34"/>
    </row>
    <row r="246" spans="14:19">
      <c r="N246" s="34"/>
      <c r="O246" s="34"/>
      <c r="P246" s="34"/>
      <c r="Q246" s="34"/>
      <c r="R246" s="34"/>
      <c r="S246" s="34"/>
    </row>
    <row r="247" spans="14:19">
      <c r="N247" s="34"/>
      <c r="O247" s="34"/>
      <c r="P247" s="34"/>
      <c r="Q247" s="34"/>
      <c r="R247" s="34"/>
      <c r="S247" s="34"/>
    </row>
    <row r="248" spans="14:19">
      <c r="N248" s="34"/>
      <c r="O248" s="34"/>
      <c r="P248" s="34"/>
      <c r="Q248" s="34"/>
      <c r="R248" s="34"/>
      <c r="S248" s="34"/>
    </row>
    <row r="249" spans="14:19">
      <c r="N249" s="34"/>
      <c r="O249" s="34"/>
      <c r="P249" s="34"/>
      <c r="Q249" s="34"/>
      <c r="R249" s="34"/>
      <c r="S249" s="34"/>
    </row>
    <row r="250" spans="14:19">
      <c r="N250" s="34"/>
      <c r="O250" s="34"/>
      <c r="P250" s="34"/>
      <c r="Q250" s="34"/>
      <c r="R250" s="34"/>
      <c r="S250" s="34"/>
    </row>
    <row r="251" spans="14:19">
      <c r="N251" s="34"/>
      <c r="O251" s="34"/>
      <c r="P251" s="34"/>
      <c r="Q251" s="34"/>
      <c r="R251" s="34"/>
      <c r="S251" s="34"/>
    </row>
    <row r="252" spans="14:19">
      <c r="N252" s="34"/>
      <c r="O252" s="34"/>
      <c r="P252" s="34"/>
      <c r="Q252" s="34"/>
      <c r="R252" s="34"/>
      <c r="S252" s="34"/>
    </row>
    <row r="253" spans="14:19">
      <c r="N253" s="34"/>
      <c r="O253" s="34"/>
      <c r="P253" s="34"/>
      <c r="Q253" s="34"/>
      <c r="R253" s="34"/>
      <c r="S253" s="34"/>
    </row>
    <row r="254" spans="14:19">
      <c r="N254" s="34"/>
      <c r="O254" s="34"/>
      <c r="P254" s="34"/>
      <c r="Q254" s="34"/>
      <c r="R254" s="34"/>
      <c r="S254" s="34"/>
    </row>
    <row r="255" spans="14:19">
      <c r="N255" s="34"/>
      <c r="O255" s="34"/>
      <c r="P255" s="34"/>
      <c r="Q255" s="34"/>
      <c r="R255" s="34"/>
      <c r="S255" s="34"/>
    </row>
    <row r="256" spans="14:19">
      <c r="N256" s="34"/>
      <c r="O256" s="34"/>
      <c r="P256" s="34"/>
      <c r="Q256" s="34"/>
      <c r="R256" s="34"/>
      <c r="S256" s="34"/>
    </row>
    <row r="257" spans="14:19">
      <c r="N257" s="34"/>
      <c r="O257" s="34"/>
      <c r="P257" s="34"/>
      <c r="Q257" s="34"/>
      <c r="R257" s="34"/>
      <c r="S257" s="34"/>
    </row>
    <row r="258" spans="14:19">
      <c r="N258" s="34"/>
      <c r="O258" s="34"/>
      <c r="P258" s="34"/>
      <c r="Q258" s="34"/>
      <c r="R258" s="34"/>
      <c r="S258" s="34"/>
    </row>
    <row r="259" spans="14:19">
      <c r="N259" s="34"/>
      <c r="O259" s="34"/>
      <c r="P259" s="34"/>
      <c r="Q259" s="34"/>
      <c r="R259" s="34"/>
      <c r="S259" s="34"/>
    </row>
    <row r="260" spans="14:19">
      <c r="N260" s="34"/>
      <c r="O260" s="34"/>
      <c r="P260" s="34"/>
      <c r="Q260" s="34"/>
      <c r="R260" s="34"/>
      <c r="S260" s="34"/>
    </row>
    <row r="261" spans="14:19">
      <c r="N261" s="34"/>
      <c r="O261" s="34"/>
      <c r="P261" s="34"/>
      <c r="Q261" s="34"/>
      <c r="R261" s="34"/>
      <c r="S261" s="34"/>
    </row>
    <row r="262" spans="14:19">
      <c r="N262" s="34"/>
      <c r="O262" s="34"/>
      <c r="P262" s="34"/>
      <c r="Q262" s="34"/>
      <c r="R262" s="34"/>
      <c r="S262" s="34"/>
    </row>
    <row r="263" spans="14:19">
      <c r="N263" s="34"/>
      <c r="O263" s="34"/>
      <c r="P263" s="34"/>
      <c r="Q263" s="34"/>
      <c r="R263" s="34"/>
      <c r="S263" s="34"/>
    </row>
    <row r="264" spans="14:19">
      <c r="N264" s="34"/>
      <c r="O264" s="34"/>
      <c r="P264" s="34"/>
      <c r="Q264" s="34"/>
      <c r="R264" s="34"/>
      <c r="S264" s="34"/>
    </row>
    <row r="265" spans="14:19">
      <c r="N265" s="34"/>
      <c r="O265" s="34"/>
      <c r="P265" s="34"/>
      <c r="Q265" s="34"/>
      <c r="R265" s="34"/>
      <c r="S265" s="34"/>
    </row>
    <row r="266" spans="14:19">
      <c r="N266" s="34"/>
      <c r="O266" s="34"/>
      <c r="P266" s="34"/>
      <c r="Q266" s="34"/>
      <c r="R266" s="34"/>
      <c r="S266" s="34"/>
    </row>
    <row r="267" spans="14:19">
      <c r="N267" s="34"/>
      <c r="O267" s="34"/>
      <c r="P267" s="34"/>
      <c r="Q267" s="34"/>
      <c r="R267" s="34"/>
      <c r="S267" s="34"/>
    </row>
    <row r="268" spans="14:19">
      <c r="N268" s="34"/>
      <c r="O268" s="34"/>
      <c r="P268" s="34"/>
      <c r="Q268" s="34"/>
      <c r="R268" s="34"/>
      <c r="S268" s="34"/>
    </row>
    <row r="269" spans="14:19">
      <c r="N269" s="34"/>
      <c r="O269" s="34"/>
      <c r="P269" s="34"/>
      <c r="Q269" s="34"/>
      <c r="R269" s="34"/>
      <c r="S269" s="34"/>
    </row>
    <row r="270" spans="14:19">
      <c r="N270" s="34"/>
      <c r="O270" s="34"/>
      <c r="P270" s="34"/>
      <c r="Q270" s="34"/>
      <c r="R270" s="34"/>
      <c r="S270" s="34"/>
    </row>
    <row r="271" spans="14:19">
      <c r="N271" s="34"/>
      <c r="O271" s="34"/>
      <c r="P271" s="34"/>
      <c r="Q271" s="34"/>
      <c r="R271" s="34"/>
      <c r="S271" s="34"/>
    </row>
    <row r="272" spans="14:19">
      <c r="N272" s="34"/>
      <c r="O272" s="34"/>
      <c r="P272" s="34"/>
      <c r="Q272" s="34"/>
      <c r="R272" s="34"/>
      <c r="S272" s="34"/>
    </row>
    <row r="273" spans="14:19">
      <c r="N273" s="34"/>
      <c r="O273" s="34"/>
      <c r="P273" s="34"/>
      <c r="Q273" s="34"/>
      <c r="R273" s="34"/>
      <c r="S273" s="34"/>
    </row>
    <row r="274" spans="14:19">
      <c r="N274" s="34"/>
      <c r="O274" s="34"/>
      <c r="P274" s="34"/>
      <c r="Q274" s="34"/>
      <c r="R274" s="34"/>
      <c r="S274" s="34"/>
    </row>
    <row r="275" spans="14:19">
      <c r="N275" s="34"/>
      <c r="O275" s="34"/>
      <c r="P275" s="34"/>
      <c r="Q275" s="34"/>
      <c r="R275" s="34"/>
      <c r="S275" s="34"/>
    </row>
    <row r="276" spans="14:19">
      <c r="N276" s="34"/>
      <c r="O276" s="34"/>
      <c r="P276" s="34"/>
      <c r="Q276" s="34"/>
      <c r="R276" s="34"/>
      <c r="S276" s="34"/>
    </row>
    <row r="277" spans="14:19">
      <c r="N277" s="34"/>
      <c r="O277" s="34"/>
      <c r="P277" s="34"/>
      <c r="Q277" s="34"/>
      <c r="R277" s="34"/>
      <c r="S277" s="34"/>
    </row>
    <row r="278" spans="14:19">
      <c r="N278" s="34"/>
      <c r="O278" s="34"/>
      <c r="P278" s="34"/>
      <c r="Q278" s="34"/>
      <c r="R278" s="34"/>
      <c r="S278" s="34"/>
    </row>
    <row r="279" spans="14:19">
      <c r="N279" s="34"/>
      <c r="O279" s="34"/>
      <c r="P279" s="34"/>
      <c r="Q279" s="34"/>
      <c r="R279" s="34"/>
      <c r="S279" s="34"/>
    </row>
    <row r="280" spans="14:19">
      <c r="N280" s="34"/>
      <c r="O280" s="34"/>
      <c r="P280" s="34"/>
      <c r="Q280" s="34"/>
      <c r="R280" s="34"/>
      <c r="S280" s="34"/>
    </row>
    <row r="281" spans="14:19">
      <c r="N281" s="34"/>
      <c r="O281" s="34"/>
      <c r="P281" s="34"/>
      <c r="Q281" s="34"/>
      <c r="R281" s="34"/>
      <c r="S281" s="34"/>
    </row>
    <row r="282" spans="14:19">
      <c r="N282" s="34"/>
      <c r="O282" s="34"/>
      <c r="P282" s="34"/>
      <c r="Q282" s="34"/>
      <c r="R282" s="34"/>
      <c r="S282" s="34"/>
    </row>
    <row r="283" spans="14:19">
      <c r="N283" s="34"/>
      <c r="O283" s="34"/>
      <c r="P283" s="34"/>
      <c r="Q283" s="34"/>
      <c r="R283" s="34"/>
      <c r="S283" s="34"/>
    </row>
    <row r="284" spans="14:19">
      <c r="N284" s="34"/>
      <c r="O284" s="34"/>
      <c r="P284" s="34"/>
      <c r="Q284" s="34"/>
      <c r="R284" s="34"/>
      <c r="S284" s="34"/>
    </row>
    <row r="285" spans="14:19">
      <c r="N285" s="34"/>
      <c r="O285" s="34"/>
      <c r="P285" s="34"/>
      <c r="Q285" s="34"/>
      <c r="R285" s="34"/>
      <c r="S285" s="34"/>
    </row>
    <row r="286" spans="14:19">
      <c r="N286" s="34"/>
      <c r="O286" s="34"/>
      <c r="P286" s="34"/>
      <c r="Q286" s="34"/>
      <c r="R286" s="34"/>
      <c r="S286" s="34"/>
    </row>
    <row r="287" spans="14:19">
      <c r="N287" s="34"/>
      <c r="O287" s="34"/>
      <c r="P287" s="34"/>
      <c r="Q287" s="34"/>
      <c r="R287" s="34"/>
      <c r="S287" s="34"/>
    </row>
    <row r="288" spans="14:19">
      <c r="N288" s="34"/>
      <c r="O288" s="34"/>
      <c r="P288" s="34"/>
      <c r="Q288" s="34"/>
      <c r="R288" s="34"/>
      <c r="S288" s="34"/>
    </row>
    <row r="289" spans="14:19">
      <c r="N289" s="34"/>
      <c r="O289" s="34"/>
      <c r="P289" s="34"/>
      <c r="Q289" s="34"/>
      <c r="R289" s="34"/>
      <c r="S289" s="34"/>
    </row>
    <row r="290" spans="14:19">
      <c r="N290" s="34"/>
      <c r="O290" s="34"/>
      <c r="P290" s="34"/>
      <c r="Q290" s="34"/>
      <c r="R290" s="34"/>
      <c r="S290" s="34"/>
    </row>
    <row r="291" spans="14:19">
      <c r="N291" s="34"/>
      <c r="O291" s="34"/>
      <c r="P291" s="34"/>
      <c r="Q291" s="34"/>
      <c r="R291" s="34"/>
      <c r="S291" s="34"/>
    </row>
    <row r="292" spans="14:19">
      <c r="N292" s="34"/>
      <c r="O292" s="34"/>
      <c r="P292" s="34"/>
      <c r="Q292" s="34"/>
      <c r="R292" s="34"/>
      <c r="S292" s="34"/>
    </row>
    <row r="293" spans="14:19">
      <c r="N293" s="34"/>
      <c r="O293" s="34"/>
      <c r="P293" s="34"/>
      <c r="Q293" s="34"/>
      <c r="R293" s="34"/>
      <c r="S293" s="34"/>
    </row>
    <row r="294" spans="14:19">
      <c r="N294" s="34"/>
      <c r="O294" s="34"/>
      <c r="P294" s="34"/>
      <c r="Q294" s="34"/>
      <c r="R294" s="34"/>
      <c r="S294" s="34"/>
    </row>
    <row r="295" spans="14:19">
      <c r="N295" s="34"/>
      <c r="O295" s="34"/>
      <c r="P295" s="34"/>
      <c r="Q295" s="34"/>
      <c r="R295" s="34"/>
      <c r="S295" s="34"/>
    </row>
    <row r="296" spans="14:19">
      <c r="N296" s="34"/>
      <c r="O296" s="34"/>
      <c r="P296" s="34"/>
      <c r="Q296" s="34"/>
      <c r="R296" s="34"/>
      <c r="S296" s="34"/>
    </row>
    <row r="297" spans="14:19">
      <c r="N297" s="34"/>
      <c r="O297" s="34"/>
      <c r="P297" s="34"/>
      <c r="Q297" s="34"/>
      <c r="R297" s="34"/>
      <c r="S297" s="34"/>
    </row>
    <row r="298" spans="14:19">
      <c r="N298" s="34"/>
      <c r="O298" s="34"/>
      <c r="P298" s="34"/>
      <c r="Q298" s="34"/>
      <c r="R298" s="34"/>
      <c r="S298" s="34"/>
    </row>
    <row r="299" spans="14:19">
      <c r="N299" s="34"/>
      <c r="O299" s="34"/>
      <c r="P299" s="34"/>
      <c r="Q299" s="34"/>
      <c r="R299" s="34"/>
      <c r="S299" s="34"/>
    </row>
    <row r="300" spans="14:19">
      <c r="N300" s="34"/>
      <c r="O300" s="34"/>
      <c r="P300" s="34"/>
      <c r="Q300" s="34"/>
      <c r="R300" s="34"/>
      <c r="S300" s="34"/>
    </row>
    <row r="301" spans="14:19">
      <c r="N301" s="34"/>
      <c r="O301" s="34"/>
      <c r="P301" s="34"/>
      <c r="Q301" s="34"/>
      <c r="R301" s="34"/>
      <c r="S301" s="34"/>
    </row>
    <row r="302" spans="14:19">
      <c r="N302" s="34"/>
      <c r="O302" s="34"/>
      <c r="P302" s="34"/>
      <c r="Q302" s="34"/>
      <c r="R302" s="34"/>
      <c r="S302" s="34"/>
    </row>
    <row r="303" spans="14:19">
      <c r="N303" s="34"/>
      <c r="O303" s="34"/>
      <c r="P303" s="34"/>
      <c r="Q303" s="34"/>
      <c r="R303" s="34"/>
      <c r="S303" s="34"/>
    </row>
    <row r="304" spans="14:19">
      <c r="N304" s="34"/>
      <c r="O304" s="34"/>
      <c r="P304" s="34"/>
      <c r="Q304" s="34"/>
      <c r="R304" s="34"/>
      <c r="S304" s="34"/>
    </row>
    <row r="305" spans="14:19">
      <c r="N305" s="34"/>
      <c r="O305" s="34"/>
      <c r="P305" s="34"/>
      <c r="Q305" s="34"/>
      <c r="R305" s="34"/>
      <c r="S305" s="34"/>
    </row>
    <row r="306" spans="14:19">
      <c r="N306" s="34"/>
      <c r="O306" s="34"/>
      <c r="P306" s="34"/>
      <c r="Q306" s="34"/>
      <c r="R306" s="34"/>
      <c r="S306" s="34"/>
    </row>
    <row r="307" spans="14:19">
      <c r="N307" s="34"/>
      <c r="O307" s="34"/>
      <c r="P307" s="34"/>
      <c r="Q307" s="34"/>
      <c r="R307" s="34"/>
      <c r="S307" s="34"/>
    </row>
    <row r="308" spans="14:19">
      <c r="N308" s="34"/>
      <c r="O308" s="34"/>
      <c r="P308" s="34"/>
      <c r="Q308" s="34"/>
      <c r="R308" s="34"/>
      <c r="S308" s="34"/>
    </row>
    <row r="309" spans="14:19">
      <c r="N309" s="34"/>
      <c r="O309" s="34"/>
      <c r="P309" s="34"/>
      <c r="Q309" s="34"/>
      <c r="R309" s="34"/>
      <c r="S309" s="34"/>
    </row>
    <row r="310" spans="14:19">
      <c r="N310" s="34"/>
      <c r="O310" s="34"/>
      <c r="P310" s="34"/>
      <c r="Q310" s="34"/>
      <c r="R310" s="34"/>
      <c r="S310" s="34"/>
    </row>
    <row r="311" spans="14:19">
      <c r="N311" s="34"/>
      <c r="O311" s="34"/>
      <c r="P311" s="34"/>
      <c r="Q311" s="34"/>
      <c r="R311" s="34"/>
      <c r="S311" s="34"/>
    </row>
    <row r="312" spans="14:19">
      <c r="N312" s="34"/>
      <c r="O312" s="34"/>
      <c r="P312" s="34"/>
      <c r="Q312" s="34"/>
      <c r="R312" s="34"/>
      <c r="S312" s="34"/>
    </row>
    <row r="313" spans="14:19">
      <c r="N313" s="34"/>
      <c r="O313" s="34"/>
      <c r="P313" s="34"/>
      <c r="Q313" s="34"/>
      <c r="R313" s="34"/>
      <c r="S313" s="34"/>
    </row>
    <row r="314" spans="14:19">
      <c r="N314" s="34"/>
      <c r="O314" s="34"/>
      <c r="P314" s="34"/>
      <c r="Q314" s="34"/>
      <c r="R314" s="34"/>
      <c r="S314" s="34"/>
    </row>
    <row r="315" spans="14:19">
      <c r="N315" s="34"/>
      <c r="O315" s="34"/>
      <c r="P315" s="34"/>
      <c r="Q315" s="34"/>
      <c r="R315" s="34"/>
      <c r="S315" s="34"/>
    </row>
    <row r="316" spans="14:19">
      <c r="N316" s="34"/>
      <c r="O316" s="34"/>
      <c r="P316" s="34"/>
      <c r="Q316" s="34"/>
      <c r="R316" s="34"/>
      <c r="S316" s="34"/>
    </row>
    <row r="317" spans="14:19">
      <c r="N317" s="34"/>
      <c r="O317" s="34"/>
      <c r="P317" s="34"/>
      <c r="Q317" s="34"/>
      <c r="R317" s="34"/>
      <c r="S317" s="34"/>
    </row>
    <row r="318" spans="14:19">
      <c r="N318" s="34"/>
      <c r="O318" s="34"/>
      <c r="P318" s="34"/>
      <c r="Q318" s="34"/>
      <c r="R318" s="34"/>
      <c r="S318" s="34"/>
    </row>
    <row r="319" spans="14:19">
      <c r="N319" s="34"/>
      <c r="O319" s="34"/>
      <c r="P319" s="34"/>
      <c r="Q319" s="34"/>
      <c r="R319" s="34"/>
      <c r="S319" s="34"/>
    </row>
    <row r="320" spans="14:19">
      <c r="N320" s="34"/>
      <c r="O320" s="34"/>
      <c r="P320" s="34"/>
      <c r="Q320" s="34"/>
      <c r="R320" s="34"/>
      <c r="S320" s="34"/>
    </row>
    <row r="321" spans="14:19">
      <c r="N321" s="34"/>
      <c r="O321" s="34"/>
      <c r="P321" s="34"/>
      <c r="Q321" s="34"/>
      <c r="R321" s="34"/>
      <c r="S321" s="34"/>
    </row>
    <row r="322" spans="14:19">
      <c r="N322" s="34"/>
      <c r="O322" s="34"/>
      <c r="P322" s="34"/>
      <c r="Q322" s="34"/>
      <c r="R322" s="34"/>
      <c r="S322" s="34"/>
    </row>
    <row r="323" spans="14:19">
      <c r="N323" s="34"/>
      <c r="O323" s="34"/>
      <c r="P323" s="34"/>
      <c r="Q323" s="34"/>
      <c r="R323" s="34"/>
      <c r="S323" s="34"/>
    </row>
    <row r="324" spans="14:19">
      <c r="N324" s="34"/>
      <c r="O324" s="34"/>
      <c r="P324" s="34"/>
      <c r="Q324" s="34"/>
      <c r="R324" s="34"/>
      <c r="S324" s="34"/>
    </row>
    <row r="325" spans="14:19">
      <c r="N325" s="34"/>
      <c r="O325" s="34"/>
      <c r="P325" s="34"/>
      <c r="Q325" s="34"/>
      <c r="R325" s="34"/>
      <c r="S325" s="34"/>
    </row>
    <row r="326" spans="14:19">
      <c r="N326" s="34"/>
      <c r="O326" s="34"/>
      <c r="P326" s="34"/>
      <c r="Q326" s="34"/>
      <c r="R326" s="34"/>
      <c r="S326" s="34"/>
    </row>
    <row r="327" spans="14:19">
      <c r="N327" s="34"/>
      <c r="O327" s="34"/>
      <c r="P327" s="34"/>
      <c r="Q327" s="34"/>
      <c r="R327" s="34"/>
      <c r="S327" s="34"/>
    </row>
    <row r="328" spans="14:19">
      <c r="N328" s="34"/>
      <c r="O328" s="34"/>
      <c r="P328" s="34"/>
      <c r="Q328" s="34"/>
      <c r="R328" s="34"/>
      <c r="S328" s="34"/>
    </row>
    <row r="329" spans="14:19">
      <c r="N329" s="34"/>
      <c r="O329" s="34"/>
      <c r="P329" s="34"/>
      <c r="Q329" s="34"/>
      <c r="R329" s="34"/>
      <c r="S329" s="34"/>
    </row>
    <row r="330" spans="14:19">
      <c r="N330" s="34"/>
      <c r="O330" s="34"/>
      <c r="P330" s="34"/>
      <c r="Q330" s="34"/>
      <c r="R330" s="34"/>
      <c r="S330" s="34"/>
    </row>
    <row r="331" spans="14:19">
      <c r="N331" s="34"/>
      <c r="O331" s="34"/>
      <c r="P331" s="34"/>
      <c r="Q331" s="34"/>
      <c r="R331" s="34"/>
      <c r="S331" s="34"/>
    </row>
    <row r="332" spans="14:19">
      <c r="N332" s="34"/>
      <c r="O332" s="34"/>
      <c r="P332" s="34"/>
      <c r="Q332" s="34"/>
      <c r="R332" s="34"/>
      <c r="S332" s="34"/>
    </row>
    <row r="333" spans="14:19">
      <c r="N333" s="34"/>
      <c r="O333" s="34"/>
      <c r="P333" s="34"/>
      <c r="Q333" s="34"/>
      <c r="R333" s="34"/>
      <c r="S333" s="34"/>
    </row>
    <row r="334" spans="14:19">
      <c r="N334" s="34"/>
      <c r="O334" s="34"/>
      <c r="P334" s="34"/>
      <c r="Q334" s="34"/>
      <c r="R334" s="34"/>
      <c r="S334" s="34"/>
    </row>
    <row r="335" spans="14:19">
      <c r="N335" s="34"/>
      <c r="O335" s="34"/>
      <c r="P335" s="34"/>
      <c r="Q335" s="34"/>
      <c r="R335" s="34"/>
      <c r="S335" s="34"/>
    </row>
    <row r="336" spans="14:19">
      <c r="N336" s="34"/>
      <c r="O336" s="34"/>
      <c r="P336" s="34"/>
      <c r="Q336" s="34"/>
      <c r="R336" s="34"/>
      <c r="S336" s="34"/>
    </row>
    <row r="337" spans="14:19">
      <c r="N337" s="34"/>
      <c r="O337" s="34"/>
      <c r="P337" s="34"/>
      <c r="Q337" s="34"/>
      <c r="R337" s="34"/>
      <c r="S337" s="34"/>
    </row>
    <row r="338" spans="14:19">
      <c r="N338" s="34"/>
      <c r="O338" s="34"/>
      <c r="P338" s="34"/>
      <c r="Q338" s="34"/>
      <c r="R338" s="34"/>
      <c r="S338" s="34"/>
    </row>
    <row r="339" spans="14:19">
      <c r="N339" s="34"/>
      <c r="O339" s="34"/>
      <c r="P339" s="34"/>
      <c r="Q339" s="34"/>
      <c r="R339" s="34"/>
      <c r="S339" s="34"/>
    </row>
    <row r="340" spans="14:19">
      <c r="N340" s="34"/>
      <c r="O340" s="34"/>
      <c r="P340" s="34"/>
      <c r="Q340" s="34"/>
      <c r="R340" s="34"/>
      <c r="S340" s="34"/>
    </row>
    <row r="341" spans="14:19">
      <c r="N341" s="34"/>
      <c r="O341" s="34"/>
      <c r="P341" s="34"/>
      <c r="Q341" s="34"/>
      <c r="R341" s="34"/>
      <c r="S341" s="34"/>
    </row>
    <row r="342" spans="14:19">
      <c r="N342" s="34"/>
      <c r="O342" s="34"/>
      <c r="P342" s="34"/>
      <c r="Q342" s="34"/>
      <c r="R342" s="34"/>
      <c r="S342" s="34"/>
    </row>
    <row r="343" spans="14:19">
      <c r="N343" s="34"/>
      <c r="O343" s="34"/>
      <c r="P343" s="34"/>
      <c r="Q343" s="34"/>
      <c r="R343" s="34"/>
      <c r="S343" s="34"/>
    </row>
    <row r="344" spans="14:19">
      <c r="N344" s="34"/>
      <c r="O344" s="34"/>
      <c r="P344" s="34"/>
      <c r="Q344" s="34"/>
      <c r="R344" s="34"/>
      <c r="S344" s="34"/>
    </row>
    <row r="345" spans="14:19">
      <c r="N345" s="34"/>
      <c r="O345" s="34"/>
      <c r="P345" s="34"/>
      <c r="Q345" s="34"/>
      <c r="R345" s="34"/>
      <c r="S345" s="34"/>
    </row>
    <row r="346" spans="14:19">
      <c r="N346" s="34"/>
      <c r="O346" s="34"/>
      <c r="P346" s="34"/>
      <c r="Q346" s="34"/>
      <c r="R346" s="34"/>
      <c r="S346" s="34"/>
    </row>
    <row r="347" spans="14:19">
      <c r="N347" s="34"/>
      <c r="O347" s="34"/>
      <c r="P347" s="34"/>
      <c r="Q347" s="34"/>
      <c r="R347" s="34"/>
      <c r="S347" s="34"/>
    </row>
    <row r="348" spans="14:19">
      <c r="N348" s="34"/>
      <c r="O348" s="34"/>
      <c r="P348" s="34"/>
      <c r="Q348" s="34"/>
      <c r="R348" s="34"/>
      <c r="S348" s="34"/>
    </row>
    <row r="349" spans="14:19">
      <c r="N349" s="34"/>
      <c r="O349" s="34"/>
      <c r="P349" s="34"/>
      <c r="Q349" s="34"/>
      <c r="R349" s="34"/>
      <c r="S349" s="34"/>
    </row>
    <row r="350" spans="14:19">
      <c r="N350" s="34"/>
      <c r="O350" s="34"/>
      <c r="P350" s="34"/>
      <c r="Q350" s="34"/>
      <c r="R350" s="34"/>
      <c r="S350" s="34"/>
    </row>
    <row r="351" spans="14:19">
      <c r="N351" s="34"/>
      <c r="O351" s="34"/>
      <c r="P351" s="34"/>
      <c r="Q351" s="34"/>
      <c r="R351" s="34"/>
      <c r="S351" s="34"/>
    </row>
    <row r="352" spans="14:19">
      <c r="N352" s="34"/>
      <c r="O352" s="34"/>
      <c r="P352" s="34"/>
      <c r="Q352" s="34"/>
      <c r="R352" s="34"/>
      <c r="S352" s="34"/>
    </row>
    <row r="353" spans="14:19">
      <c r="N353" s="34"/>
      <c r="O353" s="34"/>
      <c r="P353" s="34"/>
      <c r="Q353" s="34"/>
      <c r="R353" s="34"/>
      <c r="S353" s="34"/>
    </row>
    <row r="354" spans="14:19">
      <c r="N354" s="34"/>
      <c r="O354" s="34"/>
      <c r="P354" s="34"/>
      <c r="Q354" s="34"/>
      <c r="R354" s="34"/>
      <c r="S354" s="34"/>
    </row>
    <row r="355" spans="14:19">
      <c r="N355" s="34"/>
      <c r="O355" s="34"/>
      <c r="P355" s="34"/>
      <c r="Q355" s="34"/>
      <c r="R355" s="34"/>
      <c r="S355" s="34"/>
    </row>
    <row r="356" spans="14:19">
      <c r="N356" s="34"/>
      <c r="O356" s="34"/>
      <c r="P356" s="34"/>
      <c r="Q356" s="34"/>
      <c r="R356" s="34"/>
      <c r="S356" s="34"/>
    </row>
    <row r="357" spans="14:19">
      <c r="N357" s="34"/>
      <c r="O357" s="34"/>
      <c r="P357" s="34"/>
      <c r="Q357" s="34"/>
      <c r="R357" s="34"/>
      <c r="S357" s="34"/>
    </row>
    <row r="358" spans="14:19">
      <c r="N358" s="34"/>
      <c r="O358" s="34"/>
      <c r="P358" s="34"/>
      <c r="Q358" s="34"/>
      <c r="R358" s="34"/>
      <c r="S358" s="34"/>
    </row>
    <row r="359" spans="14:19">
      <c r="N359" s="34"/>
      <c r="O359" s="34"/>
      <c r="P359" s="34"/>
      <c r="Q359" s="34"/>
      <c r="R359" s="34"/>
      <c r="S359" s="34"/>
    </row>
    <row r="360" spans="14:19">
      <c r="N360" s="34"/>
      <c r="O360" s="34"/>
      <c r="P360" s="34"/>
      <c r="Q360" s="34"/>
      <c r="R360" s="34"/>
      <c r="S360" s="34"/>
    </row>
    <row r="361" spans="14:19">
      <c r="N361" s="34"/>
      <c r="O361" s="34"/>
      <c r="P361" s="34"/>
      <c r="Q361" s="34"/>
      <c r="R361" s="34"/>
      <c r="S361" s="34"/>
    </row>
    <row r="362" spans="14:19">
      <c r="N362" s="34"/>
      <c r="O362" s="34"/>
      <c r="P362" s="34"/>
      <c r="Q362" s="34"/>
      <c r="R362" s="34"/>
      <c r="S362" s="34"/>
    </row>
    <row r="363" spans="14:19">
      <c r="N363" s="34"/>
      <c r="O363" s="34"/>
      <c r="P363" s="34"/>
      <c r="Q363" s="34"/>
      <c r="R363" s="34"/>
      <c r="S363" s="34"/>
    </row>
    <row r="364" spans="14:19">
      <c r="N364" s="34"/>
      <c r="O364" s="34"/>
      <c r="P364" s="34"/>
      <c r="Q364" s="34"/>
      <c r="R364" s="34"/>
      <c r="S364" s="34"/>
    </row>
    <row r="365" spans="14:19">
      <c r="N365" s="34"/>
      <c r="O365" s="34"/>
      <c r="P365" s="34"/>
      <c r="Q365" s="34"/>
      <c r="R365" s="34"/>
      <c r="S365" s="34"/>
    </row>
    <row r="366" spans="14:19">
      <c r="N366" s="34"/>
      <c r="O366" s="34"/>
      <c r="P366" s="34"/>
      <c r="Q366" s="34"/>
      <c r="R366" s="34"/>
      <c r="S366" s="34"/>
    </row>
    <row r="367" spans="14:19">
      <c r="N367" s="34"/>
      <c r="O367" s="34"/>
      <c r="P367" s="34"/>
      <c r="Q367" s="34"/>
      <c r="R367" s="34"/>
      <c r="S367" s="34"/>
    </row>
    <row r="368" spans="14:19">
      <c r="N368" s="34"/>
      <c r="O368" s="34"/>
      <c r="P368" s="34"/>
      <c r="Q368" s="34"/>
      <c r="R368" s="34"/>
      <c r="S368" s="34"/>
    </row>
    <row r="369" spans="14:19">
      <c r="N369" s="34"/>
      <c r="O369" s="34"/>
      <c r="P369" s="34"/>
      <c r="Q369" s="34"/>
      <c r="R369" s="34"/>
      <c r="S369" s="34"/>
    </row>
    <row r="370" spans="14:19">
      <c r="N370" s="34"/>
      <c r="O370" s="34"/>
      <c r="P370" s="34"/>
      <c r="Q370" s="34"/>
      <c r="R370" s="34"/>
      <c r="S370" s="34"/>
    </row>
    <row r="371" spans="14:19">
      <c r="N371" s="34"/>
      <c r="O371" s="34"/>
      <c r="P371" s="34"/>
      <c r="Q371" s="34"/>
      <c r="R371" s="34"/>
      <c r="S371" s="34"/>
    </row>
    <row r="372" spans="14:19">
      <c r="N372" s="34"/>
      <c r="O372" s="34"/>
      <c r="P372" s="34"/>
      <c r="Q372" s="34"/>
      <c r="R372" s="34"/>
      <c r="S372" s="34"/>
    </row>
    <row r="373" spans="14:19">
      <c r="N373" s="34"/>
      <c r="O373" s="34"/>
      <c r="P373" s="34"/>
      <c r="Q373" s="34"/>
      <c r="R373" s="34"/>
      <c r="S373" s="34"/>
    </row>
    <row r="374" spans="14:19">
      <c r="N374" s="34"/>
      <c r="O374" s="34"/>
      <c r="P374" s="34"/>
      <c r="Q374" s="34"/>
      <c r="R374" s="34"/>
      <c r="S374" s="34"/>
    </row>
    <row r="375" spans="14:19">
      <c r="N375" s="34"/>
      <c r="O375" s="34"/>
      <c r="P375" s="34"/>
      <c r="Q375" s="34"/>
      <c r="R375" s="34"/>
      <c r="S375" s="34"/>
    </row>
    <row r="376" spans="14:19">
      <c r="N376" s="34"/>
      <c r="O376" s="34"/>
      <c r="P376" s="34"/>
      <c r="Q376" s="34"/>
      <c r="R376" s="34"/>
      <c r="S376" s="34"/>
    </row>
    <row r="377" spans="14:19">
      <c r="N377" s="34"/>
      <c r="O377" s="34"/>
      <c r="P377" s="34"/>
      <c r="Q377" s="34"/>
      <c r="R377" s="34"/>
      <c r="S377" s="34"/>
    </row>
    <row r="378" spans="14:19">
      <c r="N378" s="34"/>
      <c r="O378" s="34"/>
      <c r="P378" s="34"/>
      <c r="Q378" s="34"/>
      <c r="R378" s="34"/>
      <c r="S378" s="34"/>
    </row>
    <row r="379" spans="14:19">
      <c r="N379" s="34"/>
      <c r="O379" s="34"/>
      <c r="P379" s="34"/>
      <c r="Q379" s="34"/>
      <c r="R379" s="34"/>
      <c r="S379" s="34"/>
    </row>
    <row r="380" spans="14:19">
      <c r="N380" s="34"/>
      <c r="O380" s="34"/>
      <c r="P380" s="34"/>
      <c r="Q380" s="34"/>
      <c r="R380" s="34"/>
      <c r="S380" s="34"/>
    </row>
    <row r="381" spans="14:19">
      <c r="N381" s="34"/>
      <c r="O381" s="34"/>
      <c r="P381" s="34"/>
      <c r="Q381" s="34"/>
      <c r="R381" s="34"/>
      <c r="S381" s="34"/>
    </row>
    <row r="382" spans="14:19">
      <c r="N382" s="34"/>
      <c r="O382" s="34"/>
      <c r="P382" s="34"/>
      <c r="Q382" s="34"/>
      <c r="R382" s="34"/>
      <c r="S382" s="34"/>
    </row>
    <row r="383" spans="14:19">
      <c r="N383" s="34"/>
      <c r="O383" s="34"/>
      <c r="P383" s="34"/>
      <c r="Q383" s="34"/>
      <c r="R383" s="34"/>
      <c r="S383" s="34"/>
    </row>
    <row r="384" spans="14:19">
      <c r="N384" s="34"/>
      <c r="O384" s="34"/>
      <c r="P384" s="34"/>
      <c r="Q384" s="34"/>
      <c r="R384" s="34"/>
      <c r="S384" s="34"/>
    </row>
    <row r="385" spans="14:19">
      <c r="N385" s="34"/>
      <c r="O385" s="34"/>
      <c r="P385" s="34"/>
      <c r="Q385" s="34"/>
      <c r="R385" s="34"/>
      <c r="S385" s="34"/>
    </row>
    <row r="386" spans="14:19">
      <c r="N386" s="34"/>
      <c r="O386" s="34"/>
      <c r="P386" s="34"/>
      <c r="Q386" s="34"/>
      <c r="R386" s="34"/>
      <c r="S386" s="34"/>
    </row>
    <row r="387" spans="14:19">
      <c r="N387" s="34"/>
      <c r="O387" s="34"/>
      <c r="P387" s="34"/>
      <c r="Q387" s="34"/>
      <c r="R387" s="34"/>
      <c r="S387" s="34"/>
    </row>
    <row r="388" spans="14:19">
      <c r="N388" s="34"/>
      <c r="O388" s="34"/>
      <c r="P388" s="34"/>
      <c r="Q388" s="34"/>
      <c r="R388" s="34"/>
      <c r="S388" s="34"/>
    </row>
    <row r="389" spans="14:19">
      <c r="N389" s="34"/>
      <c r="O389" s="34"/>
      <c r="P389" s="34"/>
      <c r="Q389" s="34"/>
      <c r="R389" s="34"/>
      <c r="S389" s="34"/>
    </row>
    <row r="390" spans="14:19">
      <c r="N390" s="34"/>
      <c r="O390" s="34"/>
      <c r="P390" s="34"/>
      <c r="Q390" s="34"/>
      <c r="R390" s="34"/>
      <c r="S390" s="34"/>
    </row>
    <row r="391" spans="14:19">
      <c r="N391" s="34"/>
      <c r="O391" s="34"/>
      <c r="P391" s="34"/>
      <c r="Q391" s="34"/>
      <c r="R391" s="34"/>
      <c r="S391" s="34"/>
    </row>
    <row r="392" spans="14:19">
      <c r="N392" s="34"/>
      <c r="O392" s="34"/>
      <c r="P392" s="34"/>
      <c r="Q392" s="34"/>
      <c r="R392" s="34"/>
      <c r="S392" s="34"/>
    </row>
    <row r="393" spans="14:19">
      <c r="N393" s="34"/>
      <c r="O393" s="34"/>
      <c r="P393" s="34"/>
      <c r="Q393" s="34"/>
      <c r="R393" s="34"/>
      <c r="S393" s="34"/>
    </row>
    <row r="394" spans="14:19">
      <c r="N394" s="34"/>
      <c r="O394" s="34"/>
      <c r="P394" s="34"/>
      <c r="Q394" s="34"/>
      <c r="R394" s="34"/>
      <c r="S394" s="34"/>
    </row>
    <row r="395" spans="14:19">
      <c r="N395" s="34"/>
      <c r="O395" s="34"/>
      <c r="P395" s="34"/>
      <c r="Q395" s="34"/>
      <c r="R395" s="34"/>
      <c r="S395" s="34"/>
    </row>
    <row r="396" spans="14:19">
      <c r="N396" s="34"/>
      <c r="O396" s="34"/>
      <c r="P396" s="34"/>
      <c r="Q396" s="34"/>
      <c r="R396" s="34"/>
      <c r="S396" s="34"/>
    </row>
    <row r="397" spans="14:19">
      <c r="N397" s="34"/>
      <c r="O397" s="34"/>
      <c r="P397" s="34"/>
      <c r="Q397" s="34"/>
      <c r="R397" s="34"/>
      <c r="S397" s="34"/>
    </row>
    <row r="398" spans="14:19">
      <c r="N398" s="34"/>
      <c r="O398" s="34"/>
      <c r="P398" s="34"/>
      <c r="Q398" s="34"/>
      <c r="R398" s="34"/>
      <c r="S398" s="34"/>
    </row>
    <row r="399" spans="14:19">
      <c r="N399" s="34"/>
      <c r="O399" s="34"/>
      <c r="P399" s="34"/>
      <c r="Q399" s="34"/>
      <c r="R399" s="34"/>
      <c r="S399" s="34"/>
    </row>
    <row r="400" spans="14:19">
      <c r="N400" s="34"/>
      <c r="O400" s="34"/>
      <c r="P400" s="34"/>
      <c r="Q400" s="34"/>
      <c r="R400" s="34"/>
      <c r="S400" s="34"/>
    </row>
    <row r="401" spans="14:19">
      <c r="N401" s="34"/>
      <c r="O401" s="34"/>
      <c r="P401" s="34"/>
      <c r="Q401" s="34"/>
      <c r="R401" s="34"/>
      <c r="S401" s="34"/>
    </row>
    <row r="402" spans="14:19">
      <c r="N402" s="34"/>
      <c r="O402" s="34"/>
      <c r="P402" s="34"/>
      <c r="Q402" s="34"/>
      <c r="R402" s="34"/>
      <c r="S402" s="34"/>
    </row>
    <row r="403" spans="14:19">
      <c r="N403" s="34"/>
      <c r="O403" s="34"/>
      <c r="P403" s="34"/>
      <c r="Q403" s="34"/>
      <c r="R403" s="34"/>
      <c r="S403" s="34"/>
    </row>
    <row r="404" spans="14:19">
      <c r="N404" s="34"/>
      <c r="O404" s="34"/>
      <c r="P404" s="34"/>
      <c r="Q404" s="34"/>
      <c r="R404" s="34"/>
      <c r="S404" s="34"/>
    </row>
    <row r="405" spans="14:19">
      <c r="N405" s="34"/>
      <c r="O405" s="34"/>
      <c r="P405" s="34"/>
      <c r="Q405" s="34"/>
      <c r="R405" s="34"/>
      <c r="S405" s="34"/>
    </row>
    <row r="406" spans="14:19">
      <c r="N406" s="34"/>
      <c r="O406" s="34"/>
      <c r="P406" s="34"/>
      <c r="Q406" s="34"/>
      <c r="R406" s="34"/>
      <c r="S406" s="34"/>
    </row>
    <row r="407" spans="14:19">
      <c r="N407" s="34"/>
      <c r="O407" s="34"/>
      <c r="P407" s="34"/>
      <c r="Q407" s="34"/>
      <c r="R407" s="34"/>
      <c r="S407" s="34"/>
    </row>
    <row r="408" spans="14:19">
      <c r="N408" s="34"/>
      <c r="O408" s="34"/>
      <c r="P408" s="34"/>
      <c r="Q408" s="34"/>
      <c r="R408" s="34"/>
      <c r="S408" s="34"/>
    </row>
    <row r="409" spans="14:19">
      <c r="N409" s="34"/>
      <c r="O409" s="34"/>
      <c r="P409" s="34"/>
      <c r="Q409" s="34"/>
      <c r="R409" s="34"/>
      <c r="S409" s="34"/>
    </row>
    <row r="410" spans="14:19">
      <c r="N410" s="34"/>
      <c r="O410" s="34"/>
      <c r="P410" s="34"/>
      <c r="Q410" s="34"/>
      <c r="R410" s="34"/>
      <c r="S410" s="34"/>
    </row>
    <row r="411" spans="14:19">
      <c r="N411" s="34"/>
      <c r="O411" s="34"/>
      <c r="P411" s="34"/>
      <c r="Q411" s="34"/>
      <c r="R411" s="34"/>
      <c r="S411" s="34"/>
    </row>
    <row r="412" spans="14:19">
      <c r="N412" s="34"/>
      <c r="O412" s="34"/>
      <c r="P412" s="34"/>
      <c r="Q412" s="34"/>
      <c r="R412" s="34"/>
      <c r="S412" s="34"/>
    </row>
    <row r="413" spans="14:19">
      <c r="N413" s="34"/>
      <c r="O413" s="34"/>
      <c r="P413" s="34"/>
      <c r="Q413" s="34"/>
      <c r="R413" s="34"/>
      <c r="S413" s="34"/>
    </row>
    <row r="414" spans="14:19">
      <c r="N414" s="34"/>
      <c r="O414" s="34"/>
      <c r="P414" s="34"/>
      <c r="Q414" s="34"/>
      <c r="R414" s="34"/>
      <c r="S414" s="34"/>
    </row>
    <row r="415" spans="14:19">
      <c r="N415" s="34"/>
      <c r="O415" s="34"/>
      <c r="P415" s="34"/>
      <c r="Q415" s="34"/>
      <c r="R415" s="34"/>
      <c r="S415" s="34"/>
    </row>
    <row r="416" spans="14:19">
      <c r="N416" s="34"/>
      <c r="O416" s="34"/>
      <c r="P416" s="34"/>
      <c r="Q416" s="34"/>
      <c r="R416" s="34"/>
      <c r="S416" s="34"/>
    </row>
    <row r="417" spans="14:19">
      <c r="N417" s="34"/>
      <c r="O417" s="34"/>
      <c r="P417" s="34"/>
      <c r="Q417" s="34"/>
      <c r="R417" s="34"/>
      <c r="S417" s="34"/>
    </row>
    <row r="418" spans="14:19">
      <c r="N418" s="34"/>
      <c r="O418" s="34"/>
      <c r="P418" s="34"/>
      <c r="Q418" s="34"/>
      <c r="R418" s="34"/>
      <c r="S418" s="34"/>
    </row>
    <row r="419" spans="14:19">
      <c r="N419" s="34"/>
      <c r="O419" s="34"/>
      <c r="P419" s="34"/>
      <c r="Q419" s="34"/>
      <c r="R419" s="34"/>
      <c r="S419" s="34"/>
    </row>
    <row r="420" spans="14:19">
      <c r="N420" s="34"/>
      <c r="O420" s="34"/>
      <c r="P420" s="34"/>
      <c r="Q420" s="34"/>
      <c r="R420" s="34"/>
      <c r="S420" s="34"/>
    </row>
    <row r="421" spans="14:19">
      <c r="N421" s="34"/>
      <c r="O421" s="34"/>
      <c r="P421" s="34"/>
      <c r="Q421" s="34"/>
      <c r="R421" s="34"/>
      <c r="S421" s="34"/>
    </row>
    <row r="422" spans="14:19">
      <c r="N422" s="34"/>
      <c r="O422" s="34"/>
      <c r="P422" s="34"/>
      <c r="Q422" s="34"/>
      <c r="R422" s="34"/>
      <c r="S422" s="34"/>
    </row>
    <row r="423" spans="14:19">
      <c r="N423" s="34"/>
      <c r="O423" s="34"/>
      <c r="P423" s="34"/>
      <c r="Q423" s="34"/>
      <c r="R423" s="34"/>
      <c r="S423" s="34"/>
    </row>
    <row r="424" spans="14:19">
      <c r="N424" s="34"/>
      <c r="O424" s="34"/>
      <c r="P424" s="34"/>
      <c r="Q424" s="34"/>
      <c r="R424" s="34"/>
      <c r="S424" s="34"/>
    </row>
    <row r="425" spans="14:19">
      <c r="N425" s="34"/>
      <c r="O425" s="34"/>
      <c r="P425" s="34"/>
      <c r="Q425" s="34"/>
      <c r="R425" s="34"/>
      <c r="S425" s="34"/>
    </row>
    <row r="426" spans="14:19">
      <c r="N426" s="34"/>
      <c r="O426" s="34"/>
      <c r="P426" s="34"/>
      <c r="Q426" s="34"/>
      <c r="R426" s="34"/>
      <c r="S426" s="34"/>
    </row>
    <row r="427" spans="14:19">
      <c r="N427" s="34"/>
      <c r="O427" s="34"/>
      <c r="P427" s="34"/>
      <c r="Q427" s="34"/>
      <c r="R427" s="34"/>
      <c r="S427" s="34"/>
    </row>
    <row r="428" spans="14:19">
      <c r="N428" s="34"/>
      <c r="O428" s="34"/>
      <c r="P428" s="34"/>
      <c r="Q428" s="34"/>
      <c r="R428" s="34"/>
      <c r="S428" s="34"/>
    </row>
    <row r="429" spans="14:19">
      <c r="N429" s="34"/>
      <c r="O429" s="34"/>
      <c r="P429" s="34"/>
      <c r="Q429" s="34"/>
      <c r="R429" s="34"/>
      <c r="S429" s="34"/>
    </row>
    <row r="430" spans="14:19">
      <c r="N430" s="34"/>
      <c r="O430" s="34"/>
      <c r="P430" s="34"/>
      <c r="Q430" s="34"/>
      <c r="R430" s="34"/>
      <c r="S430" s="34"/>
    </row>
    <row r="431" spans="14:19">
      <c r="N431" s="34"/>
      <c r="O431" s="34"/>
      <c r="P431" s="34"/>
      <c r="Q431" s="34"/>
      <c r="R431" s="34"/>
      <c r="S431" s="34"/>
    </row>
    <row r="432" spans="14:19">
      <c r="N432" s="34"/>
      <c r="O432" s="34"/>
      <c r="P432" s="34"/>
      <c r="Q432" s="34"/>
      <c r="R432" s="34"/>
      <c r="S432" s="34"/>
    </row>
    <row r="433" spans="14:19">
      <c r="N433" s="34"/>
      <c r="O433" s="34"/>
      <c r="P433" s="34"/>
      <c r="Q433" s="34"/>
      <c r="R433" s="34"/>
      <c r="S433" s="34"/>
    </row>
    <row r="434" spans="14:19">
      <c r="N434" s="34"/>
      <c r="O434" s="34"/>
      <c r="P434" s="34"/>
      <c r="Q434" s="34"/>
      <c r="R434" s="34"/>
      <c r="S434" s="34"/>
    </row>
    <row r="435" spans="14:19">
      <c r="N435" s="34"/>
      <c r="O435" s="34"/>
      <c r="P435" s="34"/>
      <c r="Q435" s="34"/>
      <c r="R435" s="34"/>
      <c r="S435" s="34"/>
    </row>
    <row r="436" spans="14:19">
      <c r="N436" s="34"/>
      <c r="O436" s="34"/>
      <c r="P436" s="34"/>
      <c r="Q436" s="34"/>
      <c r="R436" s="34"/>
      <c r="S436" s="34"/>
    </row>
    <row r="437" spans="14:19">
      <c r="N437" s="34"/>
      <c r="O437" s="34"/>
      <c r="P437" s="34"/>
      <c r="Q437" s="34"/>
      <c r="R437" s="34"/>
      <c r="S437" s="34"/>
    </row>
    <row r="438" spans="14:19">
      <c r="N438" s="34"/>
      <c r="O438" s="34"/>
      <c r="P438" s="34"/>
      <c r="Q438" s="34"/>
      <c r="R438" s="34"/>
      <c r="S438" s="34"/>
    </row>
    <row r="439" spans="14:19">
      <c r="N439" s="34"/>
      <c r="O439" s="34"/>
      <c r="P439" s="34"/>
      <c r="Q439" s="34"/>
      <c r="R439" s="34"/>
      <c r="S439" s="34"/>
    </row>
    <row r="440" spans="14:19">
      <c r="N440" s="34"/>
      <c r="O440" s="34"/>
      <c r="P440" s="34"/>
      <c r="Q440" s="34"/>
      <c r="R440" s="34"/>
      <c r="S440" s="34"/>
    </row>
    <row r="441" spans="14:19">
      <c r="N441" s="34"/>
      <c r="O441" s="34"/>
      <c r="P441" s="34"/>
      <c r="Q441" s="34"/>
      <c r="R441" s="34"/>
      <c r="S441" s="34"/>
    </row>
    <row r="442" spans="14:19">
      <c r="N442" s="34"/>
      <c r="O442" s="34"/>
      <c r="P442" s="34"/>
      <c r="Q442" s="34"/>
      <c r="R442" s="34"/>
      <c r="S442" s="34"/>
    </row>
    <row r="443" spans="14:19">
      <c r="N443" s="34"/>
      <c r="O443" s="34"/>
      <c r="P443" s="34"/>
      <c r="Q443" s="34"/>
      <c r="R443" s="34"/>
      <c r="S443" s="34"/>
    </row>
    <row r="444" spans="14:19">
      <c r="N444" s="34"/>
      <c r="O444" s="34"/>
      <c r="P444" s="34"/>
      <c r="Q444" s="34"/>
      <c r="R444" s="34"/>
      <c r="S444" s="34"/>
    </row>
    <row r="445" spans="14:19">
      <c r="N445" s="34"/>
      <c r="O445" s="34"/>
      <c r="P445" s="34"/>
      <c r="Q445" s="34"/>
      <c r="R445" s="34"/>
      <c r="S445" s="34"/>
    </row>
    <row r="446" spans="14:19">
      <c r="N446" s="34"/>
      <c r="O446" s="34"/>
      <c r="P446" s="34"/>
      <c r="Q446" s="34"/>
      <c r="R446" s="34"/>
      <c r="S446" s="34"/>
    </row>
    <row r="447" spans="14:19">
      <c r="N447" s="34"/>
      <c r="O447" s="34"/>
      <c r="P447" s="34"/>
      <c r="Q447" s="34"/>
      <c r="R447" s="34"/>
      <c r="S447" s="34"/>
    </row>
    <row r="448" spans="14:19">
      <c r="N448" s="34"/>
      <c r="O448" s="34"/>
      <c r="P448" s="34"/>
      <c r="Q448" s="34"/>
      <c r="R448" s="34"/>
      <c r="S448" s="34"/>
    </row>
    <row r="449" spans="14:19">
      <c r="N449" s="34"/>
      <c r="O449" s="34"/>
      <c r="P449" s="34"/>
      <c r="Q449" s="34"/>
      <c r="R449" s="34"/>
      <c r="S449" s="34"/>
    </row>
    <row r="450" spans="14:19">
      <c r="N450" s="34"/>
      <c r="O450" s="34"/>
      <c r="P450" s="34"/>
      <c r="Q450" s="34"/>
      <c r="R450" s="34"/>
      <c r="S450" s="34"/>
    </row>
    <row r="451" spans="14:19">
      <c r="N451" s="34"/>
      <c r="O451" s="34"/>
      <c r="P451" s="34"/>
      <c r="Q451" s="34"/>
      <c r="R451" s="34"/>
      <c r="S451" s="34"/>
    </row>
    <row r="452" spans="14:19">
      <c r="N452" s="34"/>
      <c r="O452" s="34"/>
      <c r="P452" s="34"/>
      <c r="Q452" s="34"/>
      <c r="R452" s="34"/>
      <c r="S452" s="34"/>
    </row>
    <row r="453" spans="14:19">
      <c r="N453" s="34"/>
      <c r="O453" s="34"/>
      <c r="P453" s="34"/>
      <c r="Q453" s="34"/>
      <c r="R453" s="34"/>
      <c r="S453" s="34"/>
    </row>
    <row r="454" spans="14:19">
      <c r="N454" s="34"/>
      <c r="O454" s="34"/>
      <c r="P454" s="34"/>
      <c r="Q454" s="34"/>
      <c r="R454" s="34"/>
      <c r="S454" s="34"/>
    </row>
    <row r="455" spans="14:19">
      <c r="N455" s="34"/>
      <c r="O455" s="34"/>
      <c r="P455" s="34"/>
      <c r="Q455" s="34"/>
      <c r="R455" s="34"/>
      <c r="S455" s="34"/>
    </row>
    <row r="456" spans="14:19">
      <c r="N456" s="34"/>
      <c r="O456" s="34"/>
      <c r="P456" s="34"/>
      <c r="Q456" s="34"/>
      <c r="R456" s="34"/>
      <c r="S456" s="34"/>
    </row>
    <row r="457" spans="14:19">
      <c r="N457" s="34"/>
      <c r="O457" s="34"/>
      <c r="P457" s="34"/>
      <c r="Q457" s="34"/>
      <c r="R457" s="34"/>
      <c r="S457" s="34"/>
    </row>
    <row r="458" spans="14:19">
      <c r="N458" s="34"/>
      <c r="O458" s="34"/>
      <c r="P458" s="34"/>
      <c r="Q458" s="34"/>
      <c r="R458" s="34"/>
      <c r="S458" s="34"/>
    </row>
    <row r="459" spans="14:19">
      <c r="N459" s="34"/>
      <c r="O459" s="34"/>
      <c r="P459" s="34"/>
      <c r="Q459" s="34"/>
      <c r="R459" s="34"/>
      <c r="S459" s="34"/>
    </row>
    <row r="460" spans="14:19">
      <c r="N460" s="34"/>
      <c r="O460" s="34"/>
      <c r="P460" s="34"/>
      <c r="Q460" s="34"/>
      <c r="R460" s="34"/>
      <c r="S460" s="34"/>
    </row>
    <row r="461" spans="14:19">
      <c r="N461" s="34"/>
      <c r="O461" s="34"/>
      <c r="P461" s="34"/>
      <c r="Q461" s="34"/>
      <c r="R461" s="34"/>
      <c r="S461" s="34"/>
    </row>
    <row r="462" spans="14:19">
      <c r="N462" s="34"/>
      <c r="O462" s="34"/>
      <c r="P462" s="34"/>
      <c r="Q462" s="34"/>
      <c r="R462" s="34"/>
      <c r="S462" s="34"/>
    </row>
    <row r="463" spans="14:19">
      <c r="N463" s="34"/>
      <c r="O463" s="34"/>
      <c r="P463" s="34"/>
      <c r="Q463" s="34"/>
      <c r="R463" s="34"/>
      <c r="S463" s="34"/>
    </row>
    <row r="464" spans="14:19">
      <c r="N464" s="34"/>
      <c r="O464" s="34"/>
      <c r="P464" s="34"/>
      <c r="Q464" s="34"/>
      <c r="R464" s="34"/>
      <c r="S464" s="34"/>
    </row>
    <row r="465" spans="14:19">
      <c r="N465" s="34"/>
      <c r="O465" s="34"/>
      <c r="P465" s="34"/>
      <c r="Q465" s="34"/>
      <c r="R465" s="34"/>
      <c r="S465" s="34"/>
    </row>
    <row r="466" spans="14:19">
      <c r="N466" s="34"/>
      <c r="O466" s="34"/>
      <c r="P466" s="34"/>
      <c r="Q466" s="34"/>
      <c r="R466" s="34"/>
      <c r="S466" s="34"/>
    </row>
    <row r="467" spans="14:19">
      <c r="N467" s="34"/>
      <c r="O467" s="34"/>
      <c r="P467" s="34"/>
      <c r="Q467" s="34"/>
      <c r="R467" s="34"/>
      <c r="S467" s="34"/>
    </row>
    <row r="468" spans="14:19">
      <c r="N468" s="34"/>
      <c r="O468" s="34"/>
      <c r="P468" s="34"/>
      <c r="Q468" s="34"/>
      <c r="R468" s="34"/>
      <c r="S468" s="34"/>
    </row>
    <row r="469" spans="14:19">
      <c r="N469" s="34"/>
      <c r="O469" s="34"/>
      <c r="P469" s="34"/>
      <c r="Q469" s="34"/>
      <c r="R469" s="34"/>
      <c r="S469" s="34"/>
    </row>
    <row r="470" spans="14:19">
      <c r="N470" s="34"/>
      <c r="O470" s="34"/>
      <c r="P470" s="34"/>
      <c r="Q470" s="34"/>
      <c r="R470" s="34"/>
      <c r="S470" s="34"/>
    </row>
    <row r="471" spans="14:19">
      <c r="N471" s="34"/>
      <c r="O471" s="34"/>
      <c r="P471" s="34"/>
      <c r="Q471" s="34"/>
      <c r="R471" s="34"/>
      <c r="S471" s="34"/>
    </row>
    <row r="472" spans="14:19">
      <c r="N472" s="34"/>
      <c r="O472" s="34"/>
      <c r="P472" s="34"/>
      <c r="Q472" s="34"/>
      <c r="R472" s="34"/>
      <c r="S472" s="34"/>
    </row>
    <row r="473" spans="14:19">
      <c r="N473" s="34"/>
      <c r="O473" s="34"/>
      <c r="P473" s="34"/>
      <c r="Q473" s="34"/>
      <c r="R473" s="34"/>
      <c r="S473" s="34"/>
    </row>
    <row r="474" spans="14:19">
      <c r="N474" s="34"/>
      <c r="O474" s="34"/>
      <c r="P474" s="34"/>
      <c r="Q474" s="34"/>
      <c r="R474" s="34"/>
      <c r="S474" s="34"/>
    </row>
    <row r="475" spans="14:19">
      <c r="N475" s="34"/>
      <c r="O475" s="34"/>
      <c r="P475" s="34"/>
      <c r="Q475" s="34"/>
      <c r="R475" s="34"/>
      <c r="S475" s="34"/>
    </row>
    <row r="476" spans="14:19">
      <c r="N476" s="34"/>
      <c r="O476" s="34"/>
      <c r="P476" s="34"/>
      <c r="Q476" s="34"/>
      <c r="R476" s="34"/>
      <c r="S476" s="34"/>
    </row>
    <row r="477" spans="14:19">
      <c r="N477" s="34"/>
      <c r="O477" s="34"/>
      <c r="P477" s="34"/>
      <c r="Q477" s="34"/>
      <c r="R477" s="34"/>
      <c r="S477" s="34"/>
    </row>
    <row r="478" spans="14:19">
      <c r="N478" s="34"/>
      <c r="O478" s="34"/>
      <c r="P478" s="34"/>
      <c r="Q478" s="34"/>
      <c r="R478" s="34"/>
      <c r="S478" s="34"/>
    </row>
    <row r="479" spans="14:19">
      <c r="N479" s="34"/>
      <c r="O479" s="34"/>
      <c r="P479" s="34"/>
      <c r="Q479" s="34"/>
      <c r="R479" s="34"/>
      <c r="S479" s="34"/>
    </row>
    <row r="480" spans="14:19">
      <c r="N480" s="34"/>
      <c r="O480" s="34"/>
      <c r="P480" s="34"/>
      <c r="Q480" s="34"/>
      <c r="R480" s="34"/>
      <c r="S480" s="34"/>
    </row>
    <row r="481" spans="14:19">
      <c r="N481" s="34"/>
      <c r="O481" s="34"/>
      <c r="P481" s="34"/>
      <c r="Q481" s="34"/>
      <c r="R481" s="34"/>
      <c r="S481" s="34"/>
    </row>
    <row r="482" spans="14:19">
      <c r="N482" s="34"/>
      <c r="O482" s="34"/>
      <c r="P482" s="34"/>
      <c r="Q482" s="34"/>
      <c r="R482" s="34"/>
      <c r="S482" s="34"/>
    </row>
    <row r="483" spans="14:19">
      <c r="N483" s="34"/>
      <c r="O483" s="34"/>
      <c r="P483" s="34"/>
      <c r="Q483" s="34"/>
      <c r="R483" s="34"/>
      <c r="S483" s="34"/>
    </row>
    <row r="484" spans="14:19">
      <c r="N484" s="34"/>
      <c r="O484" s="34"/>
      <c r="P484" s="34"/>
      <c r="Q484" s="34"/>
      <c r="R484" s="34"/>
      <c r="S484" s="34"/>
    </row>
    <row r="485" spans="14:19">
      <c r="N485" s="34"/>
      <c r="O485" s="34"/>
      <c r="P485" s="34"/>
      <c r="Q485" s="34"/>
      <c r="R485" s="34"/>
      <c r="S485" s="34"/>
    </row>
    <row r="486" spans="14:19">
      <c r="N486" s="34"/>
      <c r="O486" s="34"/>
      <c r="P486" s="34"/>
      <c r="Q486" s="34"/>
      <c r="R486" s="34"/>
      <c r="S486" s="34"/>
    </row>
    <row r="487" spans="14:19">
      <c r="N487" s="34"/>
      <c r="O487" s="34"/>
      <c r="P487" s="34"/>
      <c r="Q487" s="34"/>
      <c r="R487" s="34"/>
      <c r="S487" s="34"/>
    </row>
    <row r="488" spans="14:19">
      <c r="N488" s="34"/>
      <c r="O488" s="34"/>
      <c r="P488" s="34"/>
      <c r="Q488" s="34"/>
      <c r="R488" s="34"/>
      <c r="S488" s="34"/>
    </row>
    <row r="489" spans="14:19">
      <c r="N489" s="34"/>
      <c r="O489" s="34"/>
      <c r="P489" s="34"/>
      <c r="Q489" s="34"/>
      <c r="R489" s="34"/>
      <c r="S489" s="34"/>
    </row>
    <row r="490" spans="14:19">
      <c r="N490" s="34"/>
      <c r="O490" s="34"/>
      <c r="P490" s="34"/>
      <c r="Q490" s="34"/>
      <c r="R490" s="34"/>
      <c r="S490" s="34"/>
    </row>
    <row r="491" spans="14:19">
      <c r="N491" s="34"/>
      <c r="O491" s="34"/>
      <c r="P491" s="34"/>
      <c r="Q491" s="34"/>
      <c r="R491" s="34"/>
      <c r="S491" s="34"/>
    </row>
    <row r="492" spans="14:19">
      <c r="N492" s="34"/>
      <c r="O492" s="34"/>
      <c r="P492" s="34"/>
      <c r="Q492" s="34"/>
      <c r="R492" s="34"/>
      <c r="S492" s="34"/>
    </row>
    <row r="493" spans="14:19">
      <c r="N493" s="34"/>
      <c r="O493" s="34"/>
      <c r="P493" s="34"/>
      <c r="Q493" s="34"/>
      <c r="R493" s="34"/>
      <c r="S493" s="34"/>
    </row>
    <row r="494" spans="14:19">
      <c r="N494" s="34"/>
      <c r="O494" s="34"/>
      <c r="P494" s="34"/>
      <c r="Q494" s="34"/>
      <c r="R494" s="34"/>
      <c r="S494" s="34"/>
    </row>
    <row r="495" spans="14:19">
      <c r="N495" s="34"/>
      <c r="O495" s="34"/>
      <c r="P495" s="34"/>
      <c r="Q495" s="34"/>
      <c r="R495" s="34"/>
      <c r="S495" s="34"/>
    </row>
    <row r="496" spans="14:19">
      <c r="N496" s="34"/>
      <c r="O496" s="34"/>
      <c r="P496" s="34"/>
      <c r="Q496" s="34"/>
      <c r="R496" s="34"/>
      <c r="S496" s="34"/>
    </row>
    <row r="497" spans="14:19">
      <c r="N497" s="34"/>
      <c r="O497" s="34"/>
      <c r="P497" s="34"/>
      <c r="Q497" s="34"/>
      <c r="R497" s="34"/>
      <c r="S497" s="34"/>
    </row>
    <row r="498" spans="14:19">
      <c r="N498" s="34"/>
      <c r="O498" s="34"/>
      <c r="P498" s="34"/>
      <c r="Q498" s="34"/>
      <c r="R498" s="34"/>
      <c r="S498" s="34"/>
    </row>
    <row r="499" spans="14:19">
      <c r="N499" s="34"/>
      <c r="O499" s="34"/>
      <c r="P499" s="34"/>
      <c r="Q499" s="34"/>
      <c r="R499" s="34"/>
      <c r="S499" s="34"/>
    </row>
    <row r="500" spans="14:19">
      <c r="N500" s="34"/>
      <c r="O500" s="34"/>
      <c r="P500" s="34"/>
      <c r="Q500" s="34"/>
      <c r="R500" s="34"/>
      <c r="S500" s="34"/>
    </row>
    <row r="501" spans="14:19">
      <c r="N501" s="34"/>
      <c r="O501" s="34"/>
      <c r="P501" s="34"/>
      <c r="Q501" s="34"/>
      <c r="R501" s="34"/>
      <c r="S501" s="34"/>
    </row>
    <row r="502" spans="14:19">
      <c r="N502" s="34"/>
      <c r="O502" s="34"/>
      <c r="P502" s="34"/>
      <c r="Q502" s="34"/>
      <c r="R502" s="34"/>
      <c r="S502" s="34"/>
    </row>
    <row r="503" spans="14:19">
      <c r="N503" s="34"/>
      <c r="O503" s="34"/>
      <c r="P503" s="34"/>
      <c r="Q503" s="34"/>
      <c r="R503" s="34"/>
      <c r="S503" s="34"/>
    </row>
    <row r="504" spans="14:19">
      <c r="N504" s="34"/>
      <c r="O504" s="34"/>
      <c r="P504" s="34"/>
      <c r="Q504" s="34"/>
      <c r="R504" s="34"/>
      <c r="S504" s="34"/>
    </row>
    <row r="505" spans="14:19">
      <c r="N505" s="34"/>
      <c r="O505" s="34"/>
      <c r="P505" s="34"/>
      <c r="Q505" s="34"/>
      <c r="R505" s="34"/>
      <c r="S505" s="34"/>
    </row>
    <row r="506" spans="14:19">
      <c r="N506" s="34"/>
      <c r="O506" s="34"/>
      <c r="P506" s="34"/>
      <c r="Q506" s="34"/>
      <c r="R506" s="34"/>
      <c r="S506" s="34"/>
    </row>
    <row r="507" spans="14:19">
      <c r="N507" s="34"/>
      <c r="O507" s="34"/>
      <c r="P507" s="34"/>
      <c r="Q507" s="34"/>
      <c r="R507" s="34"/>
      <c r="S507" s="34"/>
    </row>
    <row r="508" spans="14:19">
      <c r="N508" s="34"/>
      <c r="O508" s="34"/>
      <c r="P508" s="34"/>
      <c r="Q508" s="34"/>
      <c r="R508" s="34"/>
      <c r="S508" s="34"/>
    </row>
    <row r="509" spans="14:19">
      <c r="N509" s="34"/>
      <c r="O509" s="34"/>
      <c r="P509" s="34"/>
      <c r="Q509" s="34"/>
      <c r="R509" s="34"/>
      <c r="S509" s="34"/>
    </row>
    <row r="510" spans="14:19">
      <c r="N510" s="34"/>
      <c r="O510" s="34"/>
      <c r="P510" s="34"/>
      <c r="Q510" s="34"/>
      <c r="R510" s="34"/>
      <c r="S510" s="34"/>
    </row>
    <row r="511" spans="14:19">
      <c r="N511" s="34"/>
      <c r="O511" s="34"/>
      <c r="P511" s="34"/>
      <c r="Q511" s="34"/>
      <c r="R511" s="34"/>
      <c r="S511" s="34"/>
    </row>
    <row r="512" spans="14:19">
      <c r="N512" s="34"/>
      <c r="O512" s="34"/>
      <c r="P512" s="34"/>
      <c r="Q512" s="34"/>
      <c r="R512" s="34"/>
      <c r="S512" s="34"/>
    </row>
    <row r="513" spans="14:19">
      <c r="N513" s="34"/>
      <c r="O513" s="34"/>
      <c r="P513" s="34"/>
      <c r="Q513" s="34"/>
      <c r="R513" s="34"/>
      <c r="S513" s="34"/>
    </row>
    <row r="514" spans="14:19">
      <c r="N514" s="34"/>
      <c r="O514" s="34"/>
      <c r="P514" s="34"/>
      <c r="Q514" s="34"/>
      <c r="R514" s="34"/>
      <c r="S514" s="34"/>
    </row>
    <row r="515" spans="14:19">
      <c r="N515" s="34"/>
      <c r="O515" s="34"/>
      <c r="P515" s="34"/>
      <c r="Q515" s="34"/>
      <c r="R515" s="34"/>
      <c r="S515" s="34"/>
    </row>
    <row r="516" spans="14:19">
      <c r="N516" s="34"/>
      <c r="O516" s="34"/>
      <c r="P516" s="34"/>
      <c r="Q516" s="34"/>
      <c r="R516" s="34"/>
      <c r="S516" s="34"/>
    </row>
    <row r="517" spans="14:19">
      <c r="N517" s="34"/>
      <c r="O517" s="34"/>
      <c r="P517" s="34"/>
      <c r="Q517" s="34"/>
      <c r="R517" s="34"/>
      <c r="S517" s="34"/>
    </row>
    <row r="518" spans="14:19">
      <c r="N518" s="34"/>
      <c r="O518" s="34"/>
      <c r="P518" s="34"/>
      <c r="Q518" s="34"/>
      <c r="R518" s="34"/>
      <c r="S518" s="34"/>
    </row>
    <row r="519" spans="14:19">
      <c r="N519" s="34"/>
      <c r="O519" s="34"/>
      <c r="P519" s="34"/>
      <c r="Q519" s="34"/>
      <c r="R519" s="34"/>
      <c r="S519" s="34"/>
    </row>
    <row r="520" spans="14:19">
      <c r="N520" s="34"/>
      <c r="O520" s="34"/>
      <c r="P520" s="34"/>
      <c r="Q520" s="34"/>
      <c r="R520" s="34"/>
      <c r="S520" s="34"/>
    </row>
    <row r="521" spans="14:19">
      <c r="N521" s="34"/>
      <c r="O521" s="34"/>
      <c r="P521" s="34"/>
      <c r="Q521" s="34"/>
      <c r="R521" s="34"/>
      <c r="S521" s="34"/>
    </row>
    <row r="522" spans="14:19">
      <c r="N522" s="34"/>
      <c r="O522" s="34"/>
      <c r="P522" s="34"/>
      <c r="Q522" s="34"/>
      <c r="R522" s="34"/>
      <c r="S522" s="34"/>
    </row>
    <row r="523" spans="14:19">
      <c r="N523" s="34"/>
      <c r="O523" s="34"/>
      <c r="P523" s="34"/>
      <c r="Q523" s="34"/>
      <c r="R523" s="34"/>
      <c r="S523" s="34"/>
    </row>
    <row r="524" spans="14:19">
      <c r="N524" s="34"/>
      <c r="O524" s="34"/>
      <c r="P524" s="34"/>
      <c r="Q524" s="34"/>
      <c r="R524" s="34"/>
      <c r="S524" s="34"/>
    </row>
    <row r="525" spans="14:19">
      <c r="N525" s="34"/>
      <c r="O525" s="34"/>
      <c r="P525" s="34"/>
      <c r="Q525" s="34"/>
      <c r="R525" s="34"/>
      <c r="S525" s="34"/>
    </row>
    <row r="526" spans="14:19">
      <c r="N526" s="34"/>
      <c r="O526" s="34"/>
      <c r="P526" s="34"/>
      <c r="Q526" s="34"/>
      <c r="R526" s="34"/>
      <c r="S526" s="34"/>
    </row>
    <row r="527" spans="14:19">
      <c r="N527" s="34"/>
      <c r="O527" s="34"/>
      <c r="P527" s="34"/>
      <c r="Q527" s="34"/>
      <c r="R527" s="34"/>
      <c r="S527" s="34"/>
    </row>
    <row r="528" spans="14:19">
      <c r="N528" s="34"/>
      <c r="O528" s="34"/>
      <c r="P528" s="34"/>
      <c r="Q528" s="34"/>
      <c r="R528" s="34"/>
      <c r="S528" s="34"/>
    </row>
    <row r="529" spans="14:19">
      <c r="N529" s="34"/>
      <c r="O529" s="34"/>
      <c r="P529" s="34"/>
      <c r="Q529" s="34"/>
      <c r="R529" s="34"/>
      <c r="S529" s="34"/>
    </row>
    <row r="530" spans="14:19">
      <c r="N530" s="34"/>
      <c r="O530" s="34"/>
      <c r="P530" s="34"/>
      <c r="Q530" s="34"/>
      <c r="R530" s="34"/>
      <c r="S530" s="34"/>
    </row>
    <row r="531" spans="14:19">
      <c r="N531" s="34"/>
      <c r="O531" s="34"/>
      <c r="P531" s="34"/>
      <c r="Q531" s="34"/>
      <c r="R531" s="34"/>
      <c r="S531" s="34"/>
    </row>
    <row r="532" spans="14:19">
      <c r="N532" s="34"/>
      <c r="O532" s="34"/>
      <c r="P532" s="34"/>
      <c r="Q532" s="34"/>
      <c r="R532" s="34"/>
      <c r="S532" s="34"/>
    </row>
    <row r="533" spans="14:19">
      <c r="N533" s="34"/>
      <c r="O533" s="34"/>
      <c r="P533" s="34"/>
      <c r="Q533" s="34"/>
      <c r="R533" s="34"/>
      <c r="S533" s="34"/>
    </row>
    <row r="534" spans="14:19">
      <c r="N534" s="34"/>
      <c r="O534" s="34"/>
      <c r="P534" s="34"/>
      <c r="Q534" s="34"/>
      <c r="R534" s="34"/>
      <c r="S534" s="34"/>
    </row>
    <row r="535" spans="14:19">
      <c r="N535" s="34"/>
      <c r="O535" s="34"/>
      <c r="P535" s="34"/>
      <c r="Q535" s="34"/>
      <c r="R535" s="34"/>
      <c r="S535" s="34"/>
    </row>
    <row r="536" spans="14:19">
      <c r="N536" s="34"/>
      <c r="O536" s="34"/>
      <c r="P536" s="34"/>
      <c r="Q536" s="34"/>
      <c r="R536" s="34"/>
      <c r="S536" s="34"/>
    </row>
    <row r="537" spans="14:19">
      <c r="N537" s="34"/>
      <c r="O537" s="34"/>
      <c r="P537" s="34"/>
      <c r="Q537" s="34"/>
      <c r="R537" s="34"/>
      <c r="S537" s="34"/>
    </row>
    <row r="538" spans="14:19">
      <c r="N538" s="34"/>
      <c r="O538" s="34"/>
      <c r="P538" s="34"/>
      <c r="Q538" s="34"/>
      <c r="R538" s="34"/>
      <c r="S538" s="34"/>
    </row>
    <row r="539" spans="14:19">
      <c r="N539" s="34"/>
      <c r="O539" s="34"/>
      <c r="P539" s="34"/>
      <c r="Q539" s="34"/>
      <c r="R539" s="34"/>
      <c r="S539" s="34"/>
    </row>
    <row r="540" spans="14:19">
      <c r="N540" s="34"/>
      <c r="O540" s="34"/>
      <c r="P540" s="34"/>
      <c r="Q540" s="34"/>
      <c r="R540" s="34"/>
      <c r="S540" s="34"/>
    </row>
    <row r="541" spans="14:19">
      <c r="N541" s="34"/>
      <c r="O541" s="34"/>
      <c r="P541" s="34"/>
      <c r="Q541" s="34"/>
      <c r="R541" s="34"/>
      <c r="S541" s="34"/>
    </row>
    <row r="542" spans="14:19">
      <c r="N542" s="34"/>
      <c r="O542" s="34"/>
      <c r="P542" s="34"/>
      <c r="Q542" s="34"/>
      <c r="R542" s="34"/>
      <c r="S542" s="34"/>
    </row>
    <row r="543" spans="14:19">
      <c r="N543" s="34"/>
      <c r="O543" s="34"/>
      <c r="P543" s="34"/>
      <c r="Q543" s="34"/>
      <c r="R543" s="34"/>
      <c r="S543" s="34"/>
    </row>
    <row r="544" spans="14:19">
      <c r="N544" s="34"/>
      <c r="O544" s="34"/>
      <c r="P544" s="34"/>
      <c r="Q544" s="34"/>
      <c r="R544" s="34"/>
      <c r="S544" s="34"/>
    </row>
    <row r="545" spans="14:19">
      <c r="N545" s="34"/>
      <c r="O545" s="34"/>
      <c r="P545" s="34"/>
      <c r="Q545" s="34"/>
      <c r="R545" s="34"/>
      <c r="S545" s="34"/>
    </row>
    <row r="546" spans="14:19">
      <c r="N546" s="34"/>
      <c r="O546" s="34"/>
      <c r="P546" s="34"/>
      <c r="Q546" s="34"/>
      <c r="R546" s="34"/>
      <c r="S546" s="34"/>
    </row>
    <row r="547" spans="14:19">
      <c r="N547" s="34"/>
      <c r="O547" s="34"/>
      <c r="P547" s="34"/>
      <c r="Q547" s="34"/>
      <c r="R547" s="34"/>
      <c r="S547" s="34"/>
    </row>
    <row r="548" spans="14:19">
      <c r="N548" s="34"/>
      <c r="O548" s="34"/>
      <c r="P548" s="34"/>
      <c r="Q548" s="34"/>
      <c r="R548" s="34"/>
      <c r="S548" s="34"/>
    </row>
    <row r="549" spans="14:19">
      <c r="N549" s="34"/>
      <c r="O549" s="34"/>
      <c r="P549" s="34"/>
      <c r="Q549" s="34"/>
      <c r="R549" s="34"/>
      <c r="S549" s="34"/>
    </row>
    <row r="550" spans="14:19">
      <c r="N550" s="34"/>
      <c r="O550" s="34"/>
      <c r="P550" s="34"/>
      <c r="Q550" s="34"/>
      <c r="R550" s="34"/>
      <c r="S550" s="34"/>
    </row>
    <row r="551" spans="14:19">
      <c r="N551" s="34"/>
      <c r="O551" s="34"/>
      <c r="P551" s="34"/>
      <c r="Q551" s="34"/>
      <c r="R551" s="34"/>
      <c r="S551" s="34"/>
    </row>
    <row r="552" spans="14:19">
      <c r="N552" s="34"/>
      <c r="O552" s="34"/>
      <c r="P552" s="34"/>
      <c r="Q552" s="34"/>
      <c r="R552" s="34"/>
      <c r="S552" s="34"/>
    </row>
    <row r="553" spans="14:19">
      <c r="N553" s="34"/>
      <c r="O553" s="34"/>
      <c r="P553" s="34"/>
      <c r="Q553" s="34"/>
      <c r="R553" s="34"/>
      <c r="S553" s="34"/>
    </row>
    <row r="554" spans="14:19">
      <c r="N554" s="34"/>
      <c r="O554" s="34"/>
      <c r="P554" s="34"/>
      <c r="Q554" s="34"/>
      <c r="R554" s="34"/>
      <c r="S554" s="34"/>
    </row>
    <row r="555" spans="14:19">
      <c r="N555" s="34"/>
      <c r="O555" s="34"/>
      <c r="P555" s="34"/>
      <c r="Q555" s="34"/>
      <c r="R555" s="34"/>
      <c r="S555" s="34"/>
    </row>
    <row r="556" spans="14:19">
      <c r="N556" s="34"/>
      <c r="O556" s="34"/>
      <c r="P556" s="34"/>
      <c r="Q556" s="34"/>
      <c r="R556" s="34"/>
      <c r="S556" s="34"/>
    </row>
    <row r="557" spans="14:19">
      <c r="N557" s="34"/>
      <c r="O557" s="34"/>
      <c r="P557" s="34"/>
      <c r="Q557" s="34"/>
      <c r="R557" s="34"/>
      <c r="S557" s="34"/>
    </row>
    <row r="558" spans="14:19">
      <c r="N558" s="34"/>
      <c r="O558" s="34"/>
      <c r="P558" s="34"/>
      <c r="Q558" s="34"/>
      <c r="R558" s="34"/>
      <c r="S558" s="34"/>
    </row>
    <row r="559" spans="14:19">
      <c r="N559" s="34"/>
      <c r="O559" s="34"/>
      <c r="P559" s="34"/>
      <c r="Q559" s="34"/>
      <c r="R559" s="34"/>
      <c r="S559" s="34"/>
    </row>
    <row r="560" spans="14:19">
      <c r="N560" s="34"/>
      <c r="O560" s="34"/>
      <c r="P560" s="34"/>
      <c r="Q560" s="34"/>
      <c r="R560" s="34"/>
      <c r="S560" s="34"/>
    </row>
    <row r="561" spans="14:19">
      <c r="N561" s="34"/>
      <c r="O561" s="34"/>
      <c r="P561" s="34"/>
      <c r="Q561" s="34"/>
      <c r="R561" s="34"/>
      <c r="S561" s="34"/>
    </row>
    <row r="562" spans="14:19">
      <c r="N562" s="34"/>
      <c r="O562" s="34"/>
      <c r="P562" s="34"/>
      <c r="Q562" s="34"/>
      <c r="R562" s="34"/>
      <c r="S562" s="34"/>
    </row>
    <row r="563" spans="14:19">
      <c r="N563" s="34"/>
      <c r="O563" s="34"/>
      <c r="P563" s="34"/>
      <c r="Q563" s="34"/>
      <c r="R563" s="34"/>
      <c r="S563" s="34"/>
    </row>
    <row r="564" spans="14:19">
      <c r="N564" s="34"/>
      <c r="O564" s="34"/>
      <c r="P564" s="34"/>
      <c r="Q564" s="34"/>
      <c r="R564" s="34"/>
      <c r="S564" s="34"/>
    </row>
    <row r="565" spans="14:19">
      <c r="N565" s="34"/>
      <c r="O565" s="34"/>
      <c r="P565" s="34"/>
      <c r="Q565" s="34"/>
      <c r="R565" s="34"/>
      <c r="S565" s="34"/>
    </row>
    <row r="566" spans="14:19">
      <c r="N566" s="34"/>
      <c r="O566" s="34"/>
      <c r="P566" s="34"/>
      <c r="Q566" s="34"/>
      <c r="R566" s="34"/>
      <c r="S566" s="34"/>
    </row>
    <row r="567" spans="14:19">
      <c r="N567" s="34"/>
      <c r="O567" s="34"/>
      <c r="P567" s="34"/>
      <c r="Q567" s="34"/>
      <c r="R567" s="34"/>
      <c r="S567" s="34"/>
    </row>
    <row r="568" spans="14:19">
      <c r="N568" s="34"/>
      <c r="O568" s="34"/>
      <c r="P568" s="34"/>
      <c r="Q568" s="34"/>
      <c r="R568" s="34"/>
      <c r="S568" s="34"/>
    </row>
    <row r="569" spans="14:19">
      <c r="N569" s="34"/>
      <c r="O569" s="34"/>
      <c r="P569" s="34"/>
      <c r="Q569" s="34"/>
      <c r="R569" s="34"/>
      <c r="S569" s="34"/>
    </row>
    <row r="570" spans="14:19">
      <c r="N570" s="34"/>
      <c r="O570" s="34"/>
      <c r="P570" s="34"/>
      <c r="Q570" s="34"/>
      <c r="R570" s="34"/>
      <c r="S570" s="34"/>
    </row>
    <row r="571" spans="14:19">
      <c r="N571" s="34"/>
      <c r="O571" s="34"/>
      <c r="P571" s="34"/>
      <c r="Q571" s="34"/>
      <c r="R571" s="34"/>
      <c r="S571" s="34"/>
    </row>
    <row r="572" spans="14:19">
      <c r="N572" s="34"/>
      <c r="O572" s="34"/>
      <c r="P572" s="34"/>
      <c r="Q572" s="34"/>
      <c r="R572" s="34"/>
      <c r="S572" s="34"/>
    </row>
    <row r="573" spans="14:19">
      <c r="N573" s="34"/>
      <c r="O573" s="34"/>
      <c r="P573" s="34"/>
      <c r="Q573" s="34"/>
      <c r="R573" s="34"/>
      <c r="S573" s="34"/>
    </row>
    <row r="574" spans="14:19">
      <c r="N574" s="34"/>
      <c r="O574" s="34"/>
      <c r="P574" s="34"/>
      <c r="Q574" s="34"/>
      <c r="R574" s="34"/>
      <c r="S574" s="34"/>
    </row>
    <row r="575" spans="14:19">
      <c r="N575" s="34"/>
      <c r="O575" s="34"/>
      <c r="P575" s="34"/>
      <c r="Q575" s="34"/>
      <c r="R575" s="34"/>
      <c r="S575" s="34"/>
    </row>
    <row r="576" spans="14:19">
      <c r="N576" s="34"/>
      <c r="O576" s="34"/>
      <c r="P576" s="34"/>
      <c r="Q576" s="34"/>
      <c r="R576" s="34"/>
      <c r="S576" s="34"/>
    </row>
    <row r="577" spans="14:19">
      <c r="N577" s="34"/>
      <c r="O577" s="34"/>
      <c r="P577" s="34"/>
      <c r="Q577" s="34"/>
      <c r="R577" s="34"/>
      <c r="S577" s="34"/>
    </row>
    <row r="578" spans="14:19">
      <c r="N578" s="34"/>
      <c r="O578" s="34"/>
      <c r="P578" s="34"/>
      <c r="Q578" s="34"/>
      <c r="R578" s="34"/>
      <c r="S578" s="34"/>
    </row>
    <row r="579" spans="14:19">
      <c r="N579" s="34"/>
      <c r="O579" s="34"/>
      <c r="P579" s="34"/>
      <c r="Q579" s="34"/>
      <c r="R579" s="34"/>
      <c r="S579" s="34"/>
    </row>
    <row r="580" spans="14:19">
      <c r="N580" s="34"/>
      <c r="O580" s="34"/>
      <c r="P580" s="34"/>
      <c r="Q580" s="34"/>
      <c r="R580" s="34"/>
      <c r="S580" s="34"/>
    </row>
    <row r="581" spans="14:19">
      <c r="N581" s="34"/>
      <c r="O581" s="34"/>
      <c r="P581" s="34"/>
      <c r="Q581" s="34"/>
      <c r="R581" s="34"/>
      <c r="S581" s="34"/>
    </row>
    <row r="582" spans="14:19">
      <c r="N582" s="34"/>
      <c r="O582" s="34"/>
      <c r="P582" s="34"/>
      <c r="Q582" s="34"/>
      <c r="R582" s="34"/>
      <c r="S582" s="34"/>
    </row>
    <row r="583" spans="14:19">
      <c r="N583" s="34"/>
      <c r="O583" s="34"/>
      <c r="P583" s="34"/>
      <c r="Q583" s="34"/>
      <c r="R583" s="34"/>
      <c r="S583" s="34"/>
    </row>
    <row r="584" spans="14:19">
      <c r="N584" s="34"/>
      <c r="O584" s="34"/>
      <c r="P584" s="34"/>
      <c r="Q584" s="34"/>
      <c r="R584" s="34"/>
      <c r="S584" s="34"/>
    </row>
    <row r="585" spans="14:19">
      <c r="N585" s="34"/>
      <c r="O585" s="34"/>
      <c r="P585" s="34"/>
      <c r="Q585" s="34"/>
      <c r="R585" s="34"/>
      <c r="S585" s="34"/>
    </row>
    <row r="586" spans="14:19">
      <c r="N586" s="34"/>
      <c r="O586" s="34"/>
      <c r="P586" s="34"/>
      <c r="Q586" s="34"/>
      <c r="R586" s="34"/>
      <c r="S586" s="34"/>
    </row>
    <row r="587" spans="14:19">
      <c r="N587" s="34"/>
      <c r="O587" s="34"/>
      <c r="P587" s="34"/>
      <c r="Q587" s="34"/>
      <c r="R587" s="34"/>
      <c r="S587" s="34"/>
    </row>
    <row r="588" spans="14:19">
      <c r="N588" s="34"/>
      <c r="O588" s="34"/>
      <c r="P588" s="34"/>
      <c r="Q588" s="34"/>
      <c r="R588" s="34"/>
      <c r="S588" s="34"/>
    </row>
    <row r="589" spans="14:19">
      <c r="N589" s="34"/>
      <c r="O589" s="34"/>
      <c r="P589" s="34"/>
      <c r="Q589" s="34"/>
      <c r="R589" s="34"/>
      <c r="S589" s="34"/>
    </row>
    <row r="590" spans="14:19">
      <c r="N590" s="34"/>
      <c r="O590" s="34"/>
      <c r="P590" s="34"/>
      <c r="Q590" s="34"/>
      <c r="R590" s="34"/>
      <c r="S590" s="34"/>
    </row>
    <row r="591" spans="14:19">
      <c r="N591" s="34"/>
      <c r="O591" s="34"/>
      <c r="P591" s="34"/>
      <c r="Q591" s="34"/>
      <c r="R591" s="34"/>
      <c r="S591" s="34"/>
    </row>
    <row r="592" spans="14:19">
      <c r="N592" s="34"/>
      <c r="O592" s="34"/>
      <c r="P592" s="34"/>
      <c r="Q592" s="34"/>
      <c r="R592" s="34"/>
      <c r="S592" s="34"/>
    </row>
    <row r="593" spans="14:19">
      <c r="N593" s="34"/>
      <c r="O593" s="34"/>
      <c r="P593" s="34"/>
      <c r="Q593" s="34"/>
      <c r="R593" s="34"/>
      <c r="S593" s="34"/>
    </row>
    <row r="594" spans="14:19">
      <c r="N594" s="34"/>
      <c r="O594" s="34"/>
      <c r="P594" s="34"/>
      <c r="Q594" s="34"/>
      <c r="R594" s="34"/>
      <c r="S594" s="34"/>
    </row>
    <row r="595" spans="14:19">
      <c r="N595" s="34"/>
      <c r="O595" s="34"/>
      <c r="P595" s="34"/>
      <c r="Q595" s="34"/>
      <c r="R595" s="34"/>
      <c r="S595" s="34"/>
    </row>
    <row r="596" spans="14:19">
      <c r="N596" s="34"/>
      <c r="O596" s="34"/>
      <c r="P596" s="34"/>
      <c r="Q596" s="34"/>
      <c r="R596" s="34"/>
      <c r="S596" s="34"/>
    </row>
    <row r="597" spans="14:19">
      <c r="N597" s="34"/>
      <c r="O597" s="34"/>
      <c r="P597" s="34"/>
      <c r="Q597" s="34"/>
      <c r="R597" s="34"/>
      <c r="S597" s="34"/>
    </row>
    <row r="598" spans="14:19">
      <c r="N598" s="34"/>
      <c r="O598" s="34"/>
      <c r="P598" s="34"/>
      <c r="Q598" s="34"/>
      <c r="R598" s="34"/>
      <c r="S598" s="34"/>
    </row>
    <row r="599" spans="14:19">
      <c r="N599" s="34"/>
      <c r="O599" s="34"/>
      <c r="P599" s="34"/>
      <c r="Q599" s="34"/>
      <c r="R599" s="34"/>
      <c r="S599" s="34"/>
    </row>
    <row r="600" spans="14:19">
      <c r="N600" s="34"/>
      <c r="O600" s="34"/>
      <c r="P600" s="34"/>
      <c r="Q600" s="34"/>
      <c r="R600" s="34"/>
      <c r="S600" s="34"/>
    </row>
    <row r="601" spans="14:19">
      <c r="N601" s="34"/>
      <c r="O601" s="34"/>
      <c r="P601" s="34"/>
      <c r="Q601" s="34"/>
      <c r="R601" s="34"/>
      <c r="S601" s="34"/>
    </row>
    <row r="602" spans="14:19">
      <c r="N602" s="34"/>
      <c r="O602" s="34"/>
      <c r="P602" s="34"/>
      <c r="Q602" s="34"/>
      <c r="R602" s="34"/>
      <c r="S602" s="34"/>
    </row>
    <row r="603" spans="14:19">
      <c r="N603" s="34"/>
      <c r="O603" s="34"/>
      <c r="P603" s="34"/>
      <c r="Q603" s="34"/>
      <c r="R603" s="34"/>
      <c r="S603" s="34"/>
    </row>
    <row r="604" spans="14:19">
      <c r="N604" s="34"/>
      <c r="O604" s="34"/>
      <c r="P604" s="34"/>
      <c r="Q604" s="34"/>
      <c r="R604" s="34"/>
      <c r="S604" s="34"/>
    </row>
    <row r="605" spans="14:19">
      <c r="N605" s="34"/>
      <c r="O605" s="34"/>
      <c r="P605" s="34"/>
      <c r="Q605" s="34"/>
      <c r="R605" s="34"/>
      <c r="S605" s="34"/>
    </row>
    <row r="606" spans="14:19">
      <c r="N606" s="34"/>
      <c r="O606" s="34"/>
      <c r="P606" s="34"/>
      <c r="Q606" s="34"/>
      <c r="R606" s="34"/>
      <c r="S606" s="34"/>
    </row>
    <row r="607" spans="14:19">
      <c r="N607" s="34"/>
      <c r="O607" s="34"/>
      <c r="P607" s="34"/>
      <c r="Q607" s="34"/>
      <c r="R607" s="34"/>
      <c r="S607" s="34"/>
    </row>
    <row r="608" spans="14:19">
      <c r="N608" s="34"/>
      <c r="O608" s="34"/>
      <c r="P608" s="34"/>
      <c r="Q608" s="34"/>
      <c r="R608" s="34"/>
      <c r="S608" s="34"/>
    </row>
    <row r="609" spans="14:19">
      <c r="N609" s="34"/>
      <c r="O609" s="34"/>
      <c r="P609" s="34"/>
      <c r="Q609" s="34"/>
      <c r="R609" s="34"/>
      <c r="S609" s="34"/>
    </row>
    <row r="610" spans="14:19">
      <c r="N610" s="34"/>
      <c r="O610" s="34"/>
      <c r="P610" s="34"/>
      <c r="Q610" s="34"/>
      <c r="R610" s="34"/>
      <c r="S610" s="34"/>
    </row>
    <row r="611" spans="14:19">
      <c r="N611" s="34"/>
      <c r="O611" s="34"/>
      <c r="P611" s="34"/>
      <c r="Q611" s="34"/>
      <c r="R611" s="34"/>
      <c r="S611" s="34"/>
    </row>
    <row r="612" spans="14:19">
      <c r="N612" s="34"/>
      <c r="O612" s="34"/>
      <c r="P612" s="34"/>
      <c r="Q612" s="34"/>
      <c r="R612" s="34"/>
      <c r="S612" s="34"/>
    </row>
    <row r="613" spans="14:19">
      <c r="N613" s="34"/>
      <c r="O613" s="34"/>
      <c r="P613" s="34"/>
      <c r="Q613" s="34"/>
      <c r="R613" s="34"/>
      <c r="S613" s="34"/>
    </row>
    <row r="614" spans="14:19">
      <c r="N614" s="34"/>
      <c r="O614" s="34"/>
      <c r="P614" s="34"/>
      <c r="Q614" s="34"/>
      <c r="R614" s="34"/>
      <c r="S614" s="34"/>
    </row>
    <row r="615" spans="14:19">
      <c r="N615" s="34"/>
      <c r="O615" s="34"/>
      <c r="P615" s="34"/>
      <c r="Q615" s="34"/>
      <c r="R615" s="34"/>
      <c r="S615" s="34"/>
    </row>
    <row r="616" spans="14:19">
      <c r="N616" s="34"/>
      <c r="O616" s="34"/>
      <c r="P616" s="34"/>
      <c r="Q616" s="34"/>
      <c r="R616" s="34"/>
      <c r="S616" s="34"/>
    </row>
    <row r="617" spans="14:19">
      <c r="N617" s="34"/>
      <c r="O617" s="34"/>
      <c r="P617" s="34"/>
      <c r="Q617" s="34"/>
      <c r="R617" s="34"/>
      <c r="S617" s="34"/>
    </row>
    <row r="618" spans="14:19">
      <c r="N618" s="34"/>
      <c r="O618" s="34"/>
      <c r="P618" s="34"/>
      <c r="Q618" s="34"/>
      <c r="R618" s="34"/>
      <c r="S618" s="34"/>
    </row>
    <row r="619" spans="14:19">
      <c r="N619" s="34"/>
      <c r="O619" s="34"/>
      <c r="P619" s="34"/>
      <c r="Q619" s="34"/>
      <c r="R619" s="34"/>
      <c r="S619" s="34"/>
    </row>
    <row r="620" spans="14:19">
      <c r="N620" s="34"/>
      <c r="O620" s="34"/>
      <c r="P620" s="34"/>
      <c r="Q620" s="34"/>
      <c r="R620" s="34"/>
      <c r="S620" s="34"/>
    </row>
    <row r="621" spans="14:19">
      <c r="N621" s="34"/>
      <c r="O621" s="34"/>
      <c r="P621" s="34"/>
      <c r="Q621" s="34"/>
      <c r="R621" s="34"/>
      <c r="S621" s="34"/>
    </row>
    <row r="622" spans="14:19">
      <c r="N622" s="34"/>
      <c r="O622" s="34"/>
      <c r="P622" s="34"/>
      <c r="Q622" s="34"/>
      <c r="R622" s="34"/>
      <c r="S622" s="34"/>
    </row>
    <row r="623" spans="14:19">
      <c r="N623" s="34"/>
      <c r="O623" s="34"/>
      <c r="P623" s="34"/>
      <c r="Q623" s="34"/>
      <c r="R623" s="34"/>
      <c r="S623" s="34"/>
    </row>
    <row r="624" spans="14:19">
      <c r="N624" s="34"/>
      <c r="O624" s="34"/>
      <c r="P624" s="34"/>
      <c r="Q624" s="34"/>
      <c r="R624" s="34"/>
      <c r="S624" s="34"/>
    </row>
    <row r="625" spans="14:19">
      <c r="N625" s="34"/>
      <c r="O625" s="34"/>
      <c r="P625" s="34"/>
      <c r="Q625" s="34"/>
      <c r="R625" s="34"/>
      <c r="S625" s="34"/>
    </row>
    <row r="626" spans="14:19">
      <c r="N626" s="34"/>
      <c r="O626" s="34"/>
      <c r="P626" s="34"/>
      <c r="Q626" s="34"/>
      <c r="R626" s="34"/>
      <c r="S626" s="34"/>
    </row>
    <row r="627" spans="14:19">
      <c r="N627" s="34"/>
      <c r="O627" s="34"/>
      <c r="P627" s="34"/>
      <c r="Q627" s="34"/>
      <c r="R627" s="34"/>
      <c r="S627" s="34"/>
    </row>
    <row r="628" spans="14:19">
      <c r="N628" s="34"/>
      <c r="O628" s="34"/>
      <c r="P628" s="34"/>
      <c r="Q628" s="34"/>
      <c r="R628" s="34"/>
      <c r="S628" s="34"/>
    </row>
    <row r="629" spans="14:19">
      <c r="N629" s="34"/>
      <c r="O629" s="34"/>
      <c r="P629" s="34"/>
      <c r="Q629" s="34"/>
      <c r="R629" s="34"/>
      <c r="S629" s="34"/>
    </row>
    <row r="630" spans="14:19">
      <c r="N630" s="34"/>
      <c r="O630" s="34"/>
      <c r="P630" s="34"/>
      <c r="Q630" s="34"/>
      <c r="R630" s="34"/>
      <c r="S630" s="34"/>
    </row>
    <row r="631" spans="14:19">
      <c r="N631" s="34"/>
      <c r="O631" s="34"/>
      <c r="P631" s="34"/>
      <c r="Q631" s="34"/>
      <c r="R631" s="34"/>
      <c r="S631" s="34"/>
    </row>
    <row r="632" spans="14:19">
      <c r="N632" s="34"/>
      <c r="O632" s="34"/>
      <c r="P632" s="34"/>
      <c r="Q632" s="34"/>
      <c r="R632" s="34"/>
      <c r="S632" s="34"/>
    </row>
    <row r="633" spans="14:19">
      <c r="N633" s="34"/>
      <c r="O633" s="34"/>
      <c r="P633" s="34"/>
      <c r="Q633" s="34"/>
      <c r="R633" s="34"/>
      <c r="S633" s="34"/>
    </row>
    <row r="634" spans="14:19">
      <c r="N634" s="34"/>
      <c r="O634" s="34"/>
      <c r="P634" s="34"/>
      <c r="Q634" s="34"/>
      <c r="R634" s="34"/>
      <c r="S634" s="34"/>
    </row>
    <row r="635" spans="14:19">
      <c r="N635" s="34"/>
      <c r="O635" s="34"/>
      <c r="P635" s="34"/>
      <c r="Q635" s="34"/>
      <c r="R635" s="34"/>
      <c r="S635" s="34"/>
    </row>
    <row r="636" spans="14:19">
      <c r="N636" s="34"/>
      <c r="O636" s="34"/>
      <c r="P636" s="34"/>
      <c r="Q636" s="34"/>
      <c r="R636" s="34"/>
      <c r="S636" s="34"/>
    </row>
    <row r="637" spans="14:19">
      <c r="N637" s="34"/>
      <c r="O637" s="34"/>
      <c r="P637" s="34"/>
      <c r="Q637" s="34"/>
      <c r="R637" s="34"/>
      <c r="S637" s="34"/>
    </row>
    <row r="638" spans="14:19">
      <c r="N638" s="34"/>
      <c r="O638" s="34"/>
      <c r="P638" s="34"/>
      <c r="Q638" s="34"/>
      <c r="R638" s="34"/>
      <c r="S638" s="34"/>
    </row>
    <row r="639" spans="14:19">
      <c r="N639" s="34"/>
      <c r="O639" s="34"/>
      <c r="P639" s="34"/>
      <c r="Q639" s="34"/>
      <c r="R639" s="34"/>
      <c r="S639" s="34"/>
    </row>
    <row r="640" spans="14:19">
      <c r="N640" s="34"/>
      <c r="O640" s="34"/>
      <c r="P640" s="34"/>
      <c r="Q640" s="34"/>
      <c r="R640" s="34"/>
      <c r="S640" s="34"/>
    </row>
    <row r="641" spans="14:19">
      <c r="N641" s="34"/>
      <c r="O641" s="34"/>
      <c r="P641" s="34"/>
      <c r="Q641" s="34"/>
      <c r="R641" s="34"/>
      <c r="S641" s="34"/>
    </row>
    <row r="642" spans="14:19">
      <c r="N642" s="34"/>
      <c r="O642" s="34"/>
      <c r="P642" s="34"/>
      <c r="Q642" s="34"/>
      <c r="R642" s="34"/>
      <c r="S642" s="34"/>
    </row>
    <row r="643" spans="14:19">
      <c r="N643" s="34"/>
      <c r="O643" s="34"/>
      <c r="P643" s="34"/>
      <c r="Q643" s="34"/>
      <c r="R643" s="34"/>
      <c r="S643" s="34"/>
    </row>
    <row r="644" spans="14:19">
      <c r="N644" s="34"/>
      <c r="O644" s="34"/>
      <c r="P644" s="34"/>
      <c r="Q644" s="34"/>
      <c r="R644" s="34"/>
      <c r="S644" s="34"/>
    </row>
    <row r="645" spans="14:19">
      <c r="N645" s="34"/>
      <c r="O645" s="34"/>
      <c r="P645" s="34"/>
      <c r="Q645" s="34"/>
      <c r="R645" s="34"/>
      <c r="S645" s="34"/>
    </row>
    <row r="646" spans="14:19">
      <c r="N646" s="34"/>
      <c r="O646" s="34"/>
      <c r="P646" s="34"/>
      <c r="Q646" s="34"/>
      <c r="R646" s="34"/>
      <c r="S646" s="34"/>
    </row>
    <row r="647" spans="14:19">
      <c r="N647" s="34"/>
      <c r="O647" s="34"/>
      <c r="P647" s="34"/>
      <c r="Q647" s="34"/>
      <c r="R647" s="34"/>
      <c r="S647" s="34"/>
    </row>
    <row r="648" spans="14:19">
      <c r="N648" s="34"/>
      <c r="O648" s="34"/>
      <c r="P648" s="34"/>
      <c r="Q648" s="34"/>
      <c r="R648" s="34"/>
      <c r="S648" s="34"/>
    </row>
    <row r="649" spans="14:19">
      <c r="N649" s="34"/>
      <c r="O649" s="34"/>
      <c r="P649" s="34"/>
      <c r="Q649" s="34"/>
      <c r="R649" s="34"/>
      <c r="S649" s="34"/>
    </row>
    <row r="650" spans="14:19">
      <c r="N650" s="34"/>
      <c r="O650" s="34"/>
      <c r="P650" s="34"/>
      <c r="Q650" s="34"/>
      <c r="R650" s="34"/>
      <c r="S650" s="34"/>
    </row>
    <row r="651" spans="14:19">
      <c r="N651" s="34"/>
      <c r="O651" s="34"/>
      <c r="P651" s="34"/>
      <c r="Q651" s="34"/>
      <c r="R651" s="34"/>
      <c r="S651" s="34"/>
    </row>
    <row r="652" spans="14:19">
      <c r="N652" s="34"/>
      <c r="O652" s="34"/>
      <c r="P652" s="34"/>
      <c r="Q652" s="34"/>
      <c r="R652" s="34"/>
      <c r="S652" s="34"/>
    </row>
    <row r="653" spans="14:19">
      <c r="N653" s="34"/>
      <c r="O653" s="34"/>
      <c r="P653" s="34"/>
      <c r="Q653" s="34"/>
      <c r="R653" s="34"/>
      <c r="S653" s="34"/>
    </row>
    <row r="654" spans="14:19">
      <c r="N654" s="34"/>
      <c r="O654" s="34"/>
      <c r="P654" s="34"/>
      <c r="Q654" s="34"/>
      <c r="R654" s="34"/>
      <c r="S654" s="34"/>
    </row>
    <row r="655" spans="14:19">
      <c r="N655" s="34"/>
      <c r="O655" s="34"/>
      <c r="P655" s="34"/>
      <c r="Q655" s="34"/>
      <c r="R655" s="34"/>
      <c r="S655" s="34"/>
    </row>
    <row r="656" spans="14:19">
      <c r="N656" s="34"/>
      <c r="O656" s="34"/>
      <c r="P656" s="34"/>
      <c r="Q656" s="34"/>
      <c r="R656" s="34"/>
      <c r="S656" s="34"/>
    </row>
    <row r="657" spans="14:19">
      <c r="N657" s="34"/>
      <c r="O657" s="34"/>
      <c r="P657" s="34"/>
      <c r="Q657" s="34"/>
      <c r="R657" s="34"/>
      <c r="S657" s="34"/>
    </row>
    <row r="658" spans="14:19">
      <c r="N658" s="34"/>
      <c r="O658" s="34"/>
      <c r="P658" s="34"/>
      <c r="Q658" s="34"/>
      <c r="R658" s="34"/>
      <c r="S658" s="34"/>
    </row>
    <row r="659" spans="14:19">
      <c r="N659" s="34"/>
      <c r="O659" s="34"/>
      <c r="P659" s="34"/>
      <c r="Q659" s="34"/>
      <c r="R659" s="34"/>
      <c r="S659" s="34"/>
    </row>
    <row r="660" spans="14:19">
      <c r="N660" s="34"/>
      <c r="O660" s="34"/>
      <c r="P660" s="34"/>
      <c r="Q660" s="34"/>
      <c r="R660" s="34"/>
      <c r="S660" s="34"/>
    </row>
    <row r="661" spans="14:19">
      <c r="N661" s="34"/>
      <c r="O661" s="34"/>
      <c r="P661" s="34"/>
      <c r="Q661" s="34"/>
      <c r="R661" s="34"/>
      <c r="S661" s="34"/>
    </row>
    <row r="662" spans="14:19">
      <c r="N662" s="34"/>
      <c r="O662" s="34"/>
      <c r="P662" s="34"/>
      <c r="Q662" s="34"/>
      <c r="R662" s="34"/>
      <c r="S662" s="34"/>
    </row>
    <row r="663" spans="14:19">
      <c r="N663" s="34"/>
      <c r="O663" s="34"/>
      <c r="P663" s="34"/>
      <c r="Q663" s="34"/>
      <c r="R663" s="34"/>
      <c r="S663" s="34"/>
    </row>
    <row r="664" spans="14:19">
      <c r="N664" s="34"/>
      <c r="O664" s="34"/>
      <c r="P664" s="34"/>
      <c r="Q664" s="34"/>
      <c r="R664" s="34"/>
      <c r="S664" s="34"/>
    </row>
    <row r="665" spans="14:19">
      <c r="N665" s="34"/>
      <c r="O665" s="34"/>
      <c r="P665" s="34"/>
      <c r="Q665" s="34"/>
      <c r="R665" s="34"/>
      <c r="S665" s="34"/>
    </row>
    <row r="666" spans="14:19">
      <c r="N666" s="34"/>
      <c r="O666" s="34"/>
      <c r="P666" s="34"/>
      <c r="Q666" s="34"/>
      <c r="R666" s="34"/>
      <c r="S666" s="34"/>
    </row>
    <row r="667" spans="14:19">
      <c r="N667" s="34"/>
      <c r="O667" s="34"/>
      <c r="P667" s="34"/>
      <c r="Q667" s="34"/>
      <c r="R667" s="34"/>
      <c r="S667" s="34"/>
    </row>
    <row r="668" spans="14:19">
      <c r="N668" s="34"/>
      <c r="O668" s="34"/>
      <c r="P668" s="34"/>
      <c r="Q668" s="34"/>
      <c r="R668" s="34"/>
      <c r="S668" s="34"/>
    </row>
    <row r="669" spans="14:19">
      <c r="N669" s="34"/>
      <c r="O669" s="34"/>
      <c r="P669" s="34"/>
      <c r="Q669" s="34"/>
      <c r="R669" s="34"/>
      <c r="S669" s="34"/>
    </row>
    <row r="670" spans="14:19">
      <c r="N670" s="34"/>
      <c r="O670" s="34"/>
      <c r="P670" s="34"/>
      <c r="Q670" s="34"/>
      <c r="R670" s="34"/>
      <c r="S670" s="34"/>
    </row>
    <row r="671" spans="14:19">
      <c r="N671" s="34"/>
      <c r="O671" s="34"/>
      <c r="P671" s="34"/>
      <c r="Q671" s="34"/>
      <c r="R671" s="34"/>
      <c r="S671" s="34"/>
    </row>
    <row r="672" spans="14:19">
      <c r="N672" s="34"/>
      <c r="O672" s="34"/>
      <c r="P672" s="34"/>
      <c r="Q672" s="34"/>
      <c r="R672" s="34"/>
      <c r="S672" s="34"/>
    </row>
    <row r="673" spans="14:19">
      <c r="N673" s="34"/>
      <c r="O673" s="34"/>
      <c r="P673" s="34"/>
      <c r="Q673" s="34"/>
      <c r="R673" s="34"/>
      <c r="S673" s="34"/>
    </row>
    <row r="674" spans="14:19">
      <c r="N674" s="34"/>
      <c r="O674" s="34"/>
      <c r="P674" s="34"/>
      <c r="Q674" s="34"/>
      <c r="R674" s="34"/>
      <c r="S674" s="34"/>
    </row>
    <row r="675" spans="14:19">
      <c r="N675" s="34"/>
      <c r="O675" s="34"/>
      <c r="P675" s="34"/>
      <c r="Q675" s="34"/>
      <c r="R675" s="34"/>
      <c r="S675" s="34"/>
    </row>
    <row r="676" spans="14:19">
      <c r="N676" s="34"/>
      <c r="O676" s="34"/>
      <c r="P676" s="34"/>
      <c r="Q676" s="34"/>
      <c r="R676" s="34"/>
      <c r="S676" s="34"/>
    </row>
    <row r="677" spans="14:19">
      <c r="N677" s="34"/>
      <c r="O677" s="34"/>
      <c r="P677" s="34"/>
      <c r="Q677" s="34"/>
      <c r="R677" s="34"/>
      <c r="S677" s="34"/>
    </row>
    <row r="678" spans="14:19">
      <c r="N678" s="34"/>
      <c r="O678" s="34"/>
      <c r="P678" s="34"/>
      <c r="Q678" s="34"/>
      <c r="R678" s="34"/>
      <c r="S678" s="34"/>
    </row>
    <row r="679" spans="14:19">
      <c r="N679" s="34"/>
      <c r="O679" s="34"/>
      <c r="P679" s="34"/>
      <c r="Q679" s="34"/>
      <c r="R679" s="34"/>
      <c r="S679" s="34"/>
    </row>
    <row r="680" spans="14:19">
      <c r="N680" s="34"/>
      <c r="O680" s="34"/>
      <c r="P680" s="34"/>
      <c r="Q680" s="34"/>
      <c r="R680" s="34"/>
      <c r="S680" s="34"/>
    </row>
    <row r="681" spans="14:19">
      <c r="N681" s="34"/>
      <c r="O681" s="34"/>
      <c r="P681" s="34"/>
      <c r="Q681" s="34"/>
      <c r="R681" s="34"/>
      <c r="S681" s="34"/>
    </row>
    <row r="682" spans="14:19">
      <c r="N682" s="34"/>
      <c r="O682" s="34"/>
      <c r="P682" s="34"/>
      <c r="Q682" s="34"/>
      <c r="R682" s="34"/>
      <c r="S682" s="34"/>
    </row>
    <row r="683" spans="14:19">
      <c r="N683" s="34"/>
      <c r="O683" s="34"/>
      <c r="P683" s="34"/>
      <c r="Q683" s="34"/>
      <c r="R683" s="34"/>
      <c r="S683" s="34"/>
    </row>
    <row r="684" spans="14:19">
      <c r="N684" s="34"/>
      <c r="O684" s="34"/>
      <c r="P684" s="34"/>
      <c r="Q684" s="34"/>
      <c r="R684" s="34"/>
      <c r="S684" s="34"/>
    </row>
    <row r="685" spans="14:19">
      <c r="N685" s="34"/>
      <c r="O685" s="34"/>
      <c r="P685" s="34"/>
      <c r="Q685" s="34"/>
      <c r="R685" s="34"/>
      <c r="S685" s="34"/>
    </row>
    <row r="686" spans="14:19">
      <c r="N686" s="34"/>
      <c r="O686" s="34"/>
      <c r="P686" s="34"/>
      <c r="Q686" s="34"/>
      <c r="R686" s="34"/>
      <c r="S686" s="34"/>
    </row>
    <row r="687" spans="14:19">
      <c r="N687" s="34"/>
      <c r="O687" s="34"/>
      <c r="P687" s="34"/>
      <c r="Q687" s="34"/>
      <c r="R687" s="34"/>
      <c r="S687" s="34"/>
    </row>
    <row r="688" spans="14:19">
      <c r="N688" s="34"/>
      <c r="O688" s="34"/>
      <c r="P688" s="34"/>
      <c r="Q688" s="34"/>
      <c r="R688" s="34"/>
      <c r="S688" s="34"/>
    </row>
    <row r="689" spans="14:19">
      <c r="N689" s="34"/>
      <c r="O689" s="34"/>
      <c r="P689" s="34"/>
      <c r="Q689" s="34"/>
      <c r="R689" s="34"/>
      <c r="S689" s="34"/>
    </row>
    <row r="690" spans="14:19">
      <c r="N690" s="34"/>
      <c r="O690" s="34"/>
      <c r="P690" s="34"/>
      <c r="Q690" s="34"/>
      <c r="R690" s="34"/>
      <c r="S690" s="34"/>
    </row>
    <row r="691" spans="14:19">
      <c r="N691" s="34"/>
      <c r="O691" s="34"/>
      <c r="P691" s="34"/>
      <c r="Q691" s="34"/>
      <c r="R691" s="34"/>
      <c r="S691" s="34"/>
    </row>
    <row r="692" spans="14:19">
      <c r="N692" s="34"/>
      <c r="O692" s="34"/>
      <c r="P692" s="34"/>
      <c r="Q692" s="34"/>
      <c r="R692" s="34"/>
      <c r="S692" s="34"/>
    </row>
    <row r="693" spans="14:19">
      <c r="N693" s="34"/>
      <c r="O693" s="34"/>
      <c r="P693" s="34"/>
      <c r="Q693" s="34"/>
      <c r="R693" s="34"/>
      <c r="S693" s="34"/>
    </row>
    <row r="694" spans="14:19">
      <c r="N694" s="34"/>
      <c r="O694" s="34"/>
      <c r="P694" s="34"/>
      <c r="Q694" s="34"/>
      <c r="R694" s="34"/>
      <c r="S694" s="34"/>
    </row>
    <row r="695" spans="14:19">
      <c r="N695" s="34"/>
      <c r="O695" s="34"/>
      <c r="P695" s="34"/>
      <c r="Q695" s="34"/>
      <c r="R695" s="34"/>
      <c r="S695" s="34"/>
    </row>
    <row r="696" spans="14:19">
      <c r="N696" s="34"/>
      <c r="O696" s="34"/>
      <c r="P696" s="34"/>
      <c r="Q696" s="34"/>
      <c r="R696" s="34"/>
      <c r="S696" s="34"/>
    </row>
    <row r="697" spans="14:19">
      <c r="N697" s="34"/>
      <c r="O697" s="34"/>
      <c r="P697" s="34"/>
      <c r="Q697" s="34"/>
      <c r="R697" s="34"/>
      <c r="S697" s="34"/>
    </row>
    <row r="698" spans="14:19">
      <c r="N698" s="34"/>
      <c r="O698" s="34"/>
      <c r="P698" s="34"/>
      <c r="Q698" s="34"/>
      <c r="R698" s="34"/>
      <c r="S698" s="34"/>
    </row>
    <row r="699" spans="14:19">
      <c r="N699" s="34"/>
      <c r="O699" s="34"/>
      <c r="P699" s="34"/>
      <c r="Q699" s="34"/>
      <c r="R699" s="34"/>
      <c r="S699" s="34"/>
    </row>
    <row r="700" spans="14:19">
      <c r="N700" s="34"/>
      <c r="O700" s="34"/>
      <c r="P700" s="34"/>
      <c r="Q700" s="34"/>
      <c r="R700" s="34"/>
      <c r="S700" s="34"/>
    </row>
    <row r="701" spans="14:19">
      <c r="N701" s="34"/>
      <c r="O701" s="34"/>
      <c r="P701" s="34"/>
      <c r="Q701" s="34"/>
      <c r="R701" s="34"/>
      <c r="S701" s="34"/>
    </row>
    <row r="702" spans="14:19">
      <c r="N702" s="34"/>
      <c r="O702" s="34"/>
      <c r="P702" s="34"/>
      <c r="Q702" s="34"/>
      <c r="R702" s="34"/>
      <c r="S702" s="34"/>
    </row>
    <row r="703" spans="14:19">
      <c r="N703" s="34"/>
      <c r="O703" s="34"/>
      <c r="P703" s="34"/>
      <c r="Q703" s="34"/>
      <c r="R703" s="34"/>
      <c r="S703" s="34"/>
    </row>
    <row r="704" spans="14:19">
      <c r="N704" s="34"/>
      <c r="O704" s="34"/>
      <c r="P704" s="34"/>
      <c r="Q704" s="34"/>
      <c r="R704" s="34"/>
      <c r="S704" s="34"/>
    </row>
    <row r="705" spans="14:19">
      <c r="N705" s="34"/>
      <c r="O705" s="34"/>
      <c r="P705" s="34"/>
      <c r="Q705" s="34"/>
      <c r="R705" s="34"/>
      <c r="S705" s="34"/>
    </row>
    <row r="706" spans="14:19">
      <c r="N706" s="34"/>
      <c r="O706" s="34"/>
      <c r="P706" s="34"/>
      <c r="Q706" s="34"/>
      <c r="R706" s="34"/>
      <c r="S706" s="34"/>
    </row>
    <row r="707" spans="14:19">
      <c r="N707" s="34"/>
      <c r="O707" s="34"/>
      <c r="P707" s="34"/>
      <c r="Q707" s="34"/>
      <c r="R707" s="34"/>
      <c r="S707" s="34"/>
    </row>
    <row r="708" spans="14:19">
      <c r="N708" s="34"/>
      <c r="O708" s="34"/>
      <c r="P708" s="34"/>
      <c r="Q708" s="34"/>
      <c r="R708" s="34"/>
      <c r="S708" s="34"/>
    </row>
    <row r="709" spans="14:19">
      <c r="N709" s="34"/>
      <c r="O709" s="34"/>
      <c r="P709" s="34"/>
      <c r="Q709" s="34"/>
      <c r="R709" s="34"/>
      <c r="S709" s="34"/>
    </row>
    <row r="710" spans="14:19">
      <c r="N710" s="34"/>
      <c r="O710" s="34"/>
      <c r="P710" s="34"/>
      <c r="Q710" s="34"/>
      <c r="R710" s="34"/>
      <c r="S710" s="34"/>
    </row>
    <row r="711" spans="14:19">
      <c r="N711" s="34"/>
      <c r="O711" s="34"/>
      <c r="P711" s="34"/>
      <c r="Q711" s="34"/>
      <c r="R711" s="34"/>
      <c r="S711" s="34"/>
    </row>
    <row r="712" spans="14:19">
      <c r="N712" s="34"/>
      <c r="O712" s="34"/>
      <c r="P712" s="34"/>
      <c r="Q712" s="34"/>
      <c r="R712" s="34"/>
      <c r="S712" s="34"/>
    </row>
    <row r="713" spans="14:19">
      <c r="N713" s="34"/>
      <c r="O713" s="34"/>
      <c r="P713" s="34"/>
      <c r="Q713" s="34"/>
      <c r="R713" s="34"/>
      <c r="S713" s="34"/>
    </row>
    <row r="714" spans="14:19">
      <c r="N714" s="34"/>
      <c r="O714" s="34"/>
      <c r="P714" s="34"/>
      <c r="Q714" s="34"/>
      <c r="R714" s="34"/>
      <c r="S714" s="34"/>
    </row>
    <row r="715" spans="14:19">
      <c r="N715" s="34"/>
      <c r="O715" s="34"/>
      <c r="P715" s="34"/>
      <c r="Q715" s="34"/>
      <c r="R715" s="34"/>
      <c r="S715" s="34"/>
    </row>
    <row r="716" spans="14:19">
      <c r="N716" s="34"/>
      <c r="O716" s="34"/>
      <c r="P716" s="34"/>
      <c r="Q716" s="34"/>
      <c r="R716" s="34"/>
      <c r="S716" s="34"/>
    </row>
    <row r="717" spans="14:19">
      <c r="N717" s="34"/>
      <c r="O717" s="34"/>
      <c r="P717" s="34"/>
      <c r="Q717" s="34"/>
      <c r="R717" s="34"/>
      <c r="S717" s="34"/>
    </row>
    <row r="718" spans="14:19">
      <c r="N718" s="34"/>
      <c r="O718" s="34"/>
      <c r="P718" s="34"/>
      <c r="Q718" s="34"/>
      <c r="R718" s="34"/>
      <c r="S718" s="34"/>
    </row>
    <row r="719" spans="14:19">
      <c r="N719" s="34"/>
      <c r="O719" s="34"/>
      <c r="P719" s="34"/>
      <c r="Q719" s="34"/>
      <c r="R719" s="34"/>
      <c r="S719" s="34"/>
    </row>
    <row r="720" spans="14:19">
      <c r="N720" s="34"/>
      <c r="O720" s="34"/>
      <c r="P720" s="34"/>
      <c r="Q720" s="34"/>
      <c r="R720" s="34"/>
      <c r="S720" s="34"/>
    </row>
    <row r="721" spans="14:19">
      <c r="N721" s="34"/>
      <c r="O721" s="34"/>
      <c r="P721" s="34"/>
      <c r="Q721" s="34"/>
      <c r="R721" s="34"/>
      <c r="S721" s="34"/>
    </row>
    <row r="722" spans="14:19">
      <c r="N722" s="34"/>
      <c r="O722" s="34"/>
      <c r="P722" s="34"/>
      <c r="Q722" s="34"/>
      <c r="R722" s="34"/>
      <c r="S722" s="34"/>
    </row>
    <row r="723" spans="14:19">
      <c r="N723" s="34"/>
      <c r="O723" s="34"/>
      <c r="P723" s="34"/>
      <c r="Q723" s="34"/>
      <c r="R723" s="34"/>
      <c r="S723" s="34"/>
    </row>
    <row r="724" spans="14:19">
      <c r="N724" s="34"/>
      <c r="O724" s="34"/>
      <c r="P724" s="34"/>
      <c r="Q724" s="34"/>
      <c r="R724" s="34"/>
      <c r="S724" s="34"/>
    </row>
    <row r="725" spans="14:19">
      <c r="N725" s="34"/>
      <c r="O725" s="34"/>
      <c r="P725" s="34"/>
      <c r="Q725" s="34"/>
      <c r="R725" s="34"/>
      <c r="S725" s="34"/>
    </row>
    <row r="726" spans="14:19">
      <c r="N726" s="34"/>
      <c r="O726" s="34"/>
      <c r="P726" s="34"/>
      <c r="Q726" s="34"/>
      <c r="R726" s="34"/>
      <c r="S726" s="34"/>
    </row>
    <row r="727" spans="14:19">
      <c r="N727" s="34"/>
      <c r="O727" s="34"/>
      <c r="P727" s="34"/>
      <c r="Q727" s="34"/>
      <c r="R727" s="34"/>
      <c r="S727" s="34"/>
    </row>
    <row r="728" spans="14:19">
      <c r="N728" s="34"/>
      <c r="O728" s="34"/>
      <c r="P728" s="34"/>
      <c r="Q728" s="34"/>
      <c r="R728" s="34"/>
      <c r="S728" s="34"/>
    </row>
    <row r="729" spans="14:19">
      <c r="N729" s="34"/>
      <c r="O729" s="34"/>
      <c r="P729" s="34"/>
      <c r="Q729" s="34"/>
      <c r="R729" s="34"/>
      <c r="S729" s="34"/>
    </row>
    <row r="730" spans="14:19">
      <c r="N730" s="34"/>
      <c r="O730" s="34"/>
      <c r="P730" s="34"/>
      <c r="Q730" s="34"/>
      <c r="R730" s="34"/>
      <c r="S730" s="34"/>
    </row>
    <row r="731" spans="14:19">
      <c r="N731" s="34"/>
      <c r="O731" s="34"/>
      <c r="P731" s="34"/>
      <c r="Q731" s="34"/>
      <c r="R731" s="34"/>
      <c r="S731" s="34"/>
    </row>
    <row r="732" spans="14:19">
      <c r="N732" s="34"/>
      <c r="O732" s="34"/>
      <c r="P732" s="34"/>
      <c r="Q732" s="34"/>
      <c r="R732" s="34"/>
      <c r="S732" s="34"/>
    </row>
    <row r="733" spans="14:19">
      <c r="N733" s="34"/>
      <c r="O733" s="34"/>
      <c r="P733" s="34"/>
      <c r="Q733" s="34"/>
      <c r="R733" s="34"/>
      <c r="S733" s="34"/>
    </row>
    <row r="734" spans="14:19">
      <c r="N734" s="34"/>
      <c r="O734" s="34"/>
      <c r="P734" s="34"/>
      <c r="Q734" s="34"/>
      <c r="R734" s="34"/>
      <c r="S734" s="34"/>
    </row>
    <row r="735" spans="14:19">
      <c r="N735" s="34"/>
      <c r="O735" s="34"/>
      <c r="P735" s="34"/>
      <c r="Q735" s="34"/>
      <c r="R735" s="34"/>
      <c r="S735" s="34"/>
    </row>
    <row r="736" spans="14:19">
      <c r="N736" s="34"/>
      <c r="O736" s="34"/>
      <c r="P736" s="34"/>
      <c r="Q736" s="34"/>
      <c r="R736" s="34"/>
      <c r="S736" s="34"/>
    </row>
    <row r="737" spans="14:19">
      <c r="N737" s="34"/>
      <c r="O737" s="34"/>
      <c r="P737" s="34"/>
      <c r="Q737" s="34"/>
      <c r="R737" s="34"/>
      <c r="S737" s="34"/>
    </row>
    <row r="738" spans="14:19">
      <c r="N738" s="34"/>
      <c r="O738" s="34"/>
      <c r="P738" s="34"/>
      <c r="Q738" s="34"/>
      <c r="R738" s="34"/>
      <c r="S738" s="34"/>
    </row>
    <row r="739" spans="14:19">
      <c r="N739" s="34"/>
      <c r="O739" s="34"/>
      <c r="P739" s="34"/>
      <c r="Q739" s="34"/>
      <c r="R739" s="34"/>
      <c r="S739" s="34"/>
    </row>
    <row r="740" spans="14:19">
      <c r="N740" s="34"/>
      <c r="O740" s="34"/>
      <c r="P740" s="34"/>
      <c r="Q740" s="34"/>
      <c r="R740" s="34"/>
      <c r="S740" s="34"/>
    </row>
    <row r="741" spans="14:19">
      <c r="N741" s="34"/>
      <c r="O741" s="34"/>
      <c r="P741" s="34"/>
      <c r="Q741" s="34"/>
      <c r="R741" s="34"/>
      <c r="S741" s="34"/>
    </row>
    <row r="742" spans="14:19">
      <c r="N742" s="34"/>
      <c r="O742" s="34"/>
      <c r="P742" s="34"/>
      <c r="Q742" s="34"/>
      <c r="R742" s="34"/>
      <c r="S742" s="34"/>
    </row>
    <row r="743" spans="14:19">
      <c r="N743" s="34"/>
      <c r="O743" s="34"/>
      <c r="P743" s="34"/>
      <c r="Q743" s="34"/>
      <c r="R743" s="34"/>
      <c r="S743" s="34"/>
    </row>
    <row r="744" spans="14:19">
      <c r="N744" s="34"/>
      <c r="O744" s="34"/>
      <c r="P744" s="34"/>
      <c r="Q744" s="34"/>
      <c r="R744" s="34"/>
      <c r="S744" s="34"/>
    </row>
    <row r="745" spans="14:19">
      <c r="N745" s="34"/>
      <c r="O745" s="34"/>
      <c r="P745" s="34"/>
      <c r="Q745" s="34"/>
      <c r="R745" s="34"/>
      <c r="S745" s="34"/>
    </row>
    <row r="746" spans="14:19">
      <c r="N746" s="34"/>
      <c r="O746" s="34"/>
      <c r="P746" s="34"/>
      <c r="Q746" s="34"/>
      <c r="R746" s="34"/>
      <c r="S746" s="34"/>
    </row>
    <row r="747" spans="14:19">
      <c r="N747" s="34"/>
      <c r="O747" s="34"/>
      <c r="P747" s="34"/>
      <c r="Q747" s="34"/>
      <c r="R747" s="34"/>
      <c r="S747" s="34"/>
    </row>
    <row r="748" spans="14:19">
      <c r="N748" s="34"/>
      <c r="O748" s="34"/>
      <c r="P748" s="34"/>
      <c r="Q748" s="34"/>
      <c r="R748" s="34"/>
      <c r="S748" s="34"/>
    </row>
    <row r="749" spans="14:19">
      <c r="N749" s="34"/>
      <c r="O749" s="34"/>
      <c r="P749" s="34"/>
      <c r="Q749" s="34"/>
      <c r="R749" s="34"/>
      <c r="S749" s="34"/>
    </row>
    <row r="750" spans="14:19">
      <c r="N750" s="34"/>
      <c r="O750" s="34"/>
      <c r="P750" s="34"/>
      <c r="Q750" s="34"/>
      <c r="R750" s="34"/>
      <c r="S750" s="34"/>
    </row>
    <row r="751" spans="14:19">
      <c r="N751" s="34"/>
      <c r="O751" s="34"/>
      <c r="P751" s="34"/>
      <c r="Q751" s="34"/>
      <c r="R751" s="34"/>
      <c r="S751" s="34"/>
    </row>
    <row r="752" spans="14:19">
      <c r="N752" s="34"/>
      <c r="O752" s="34"/>
      <c r="P752" s="34"/>
      <c r="Q752" s="34"/>
      <c r="R752" s="34"/>
      <c r="S752" s="34"/>
    </row>
    <row r="753" spans="14:19">
      <c r="N753" s="34"/>
      <c r="O753" s="34"/>
      <c r="P753" s="34"/>
      <c r="Q753" s="34"/>
      <c r="R753" s="34"/>
      <c r="S753" s="34"/>
    </row>
    <row r="754" spans="14:19">
      <c r="N754" s="34"/>
      <c r="O754" s="34"/>
      <c r="P754" s="34"/>
      <c r="Q754" s="34"/>
      <c r="R754" s="34"/>
      <c r="S754" s="34"/>
    </row>
    <row r="755" spans="14:19">
      <c r="N755" s="34"/>
      <c r="O755" s="34"/>
      <c r="P755" s="34"/>
      <c r="Q755" s="34"/>
      <c r="R755" s="34"/>
      <c r="S755" s="34"/>
    </row>
    <row r="756" spans="14:19">
      <c r="N756" s="34"/>
      <c r="O756" s="34"/>
      <c r="P756" s="34"/>
      <c r="Q756" s="34"/>
      <c r="R756" s="34"/>
      <c r="S756" s="34"/>
    </row>
    <row r="757" spans="14:19">
      <c r="N757" s="34"/>
      <c r="O757" s="34"/>
      <c r="P757" s="34"/>
      <c r="Q757" s="34"/>
      <c r="R757" s="34"/>
      <c r="S757" s="34"/>
    </row>
    <row r="758" spans="14:19">
      <c r="N758" s="34"/>
      <c r="O758" s="34"/>
      <c r="P758" s="34"/>
      <c r="Q758" s="34"/>
      <c r="R758" s="34"/>
      <c r="S758" s="34"/>
    </row>
    <row r="759" spans="14:19">
      <c r="N759" s="34"/>
      <c r="O759" s="34"/>
      <c r="P759" s="34"/>
      <c r="Q759" s="34"/>
      <c r="R759" s="34"/>
      <c r="S759" s="34"/>
    </row>
    <row r="760" spans="14:19">
      <c r="N760" s="34"/>
      <c r="O760" s="34"/>
      <c r="P760" s="34"/>
      <c r="Q760" s="34"/>
      <c r="R760" s="34"/>
      <c r="S760" s="34"/>
    </row>
    <row r="761" spans="14:19">
      <c r="N761" s="34"/>
      <c r="O761" s="34"/>
      <c r="P761" s="34"/>
      <c r="Q761" s="34"/>
      <c r="R761" s="34"/>
      <c r="S761" s="34"/>
    </row>
    <row r="762" spans="14:19">
      <c r="N762" s="34"/>
      <c r="O762" s="34"/>
      <c r="P762" s="34"/>
      <c r="Q762" s="34"/>
      <c r="R762" s="34"/>
      <c r="S762" s="34"/>
    </row>
    <row r="763" spans="14:19">
      <c r="N763" s="34"/>
      <c r="O763" s="34"/>
      <c r="P763" s="34"/>
      <c r="Q763" s="34"/>
      <c r="R763" s="34"/>
      <c r="S763" s="34"/>
    </row>
    <row r="764" spans="14:19">
      <c r="N764" s="34"/>
      <c r="O764" s="34"/>
      <c r="P764" s="34"/>
      <c r="Q764" s="34"/>
      <c r="R764" s="34"/>
      <c r="S764" s="34"/>
    </row>
    <row r="765" spans="14:19">
      <c r="N765" s="34"/>
      <c r="O765" s="34"/>
      <c r="P765" s="34"/>
      <c r="Q765" s="34"/>
      <c r="R765" s="34"/>
      <c r="S765" s="34"/>
    </row>
    <row r="766" spans="14:19">
      <c r="N766" s="34"/>
      <c r="O766" s="34"/>
      <c r="P766" s="34"/>
      <c r="Q766" s="34"/>
      <c r="R766" s="34"/>
      <c r="S766" s="34"/>
    </row>
    <row r="767" spans="14:19">
      <c r="N767" s="34"/>
      <c r="O767" s="34"/>
      <c r="P767" s="34"/>
      <c r="Q767" s="34"/>
      <c r="R767" s="34"/>
      <c r="S767" s="34"/>
    </row>
    <row r="768" spans="14:19">
      <c r="N768" s="34"/>
      <c r="O768" s="34"/>
      <c r="P768" s="34"/>
      <c r="Q768" s="34"/>
      <c r="R768" s="34"/>
      <c r="S768" s="34"/>
    </row>
    <row r="769" spans="14:19">
      <c r="N769" s="34"/>
      <c r="O769" s="34"/>
      <c r="P769" s="34"/>
      <c r="Q769" s="34"/>
      <c r="R769" s="34"/>
      <c r="S769" s="34"/>
    </row>
    <row r="770" spans="14:19">
      <c r="N770" s="34"/>
      <c r="O770" s="34"/>
      <c r="P770" s="34"/>
      <c r="Q770" s="34"/>
      <c r="R770" s="34"/>
      <c r="S770" s="34"/>
    </row>
    <row r="771" spans="14:19">
      <c r="N771" s="34"/>
      <c r="O771" s="34"/>
      <c r="P771" s="34"/>
      <c r="Q771" s="34"/>
      <c r="R771" s="34"/>
      <c r="S771" s="34"/>
    </row>
    <row r="772" spans="14:19">
      <c r="N772" s="34"/>
      <c r="O772" s="34"/>
      <c r="P772" s="34"/>
      <c r="Q772" s="34"/>
      <c r="R772" s="34"/>
      <c r="S772" s="34"/>
    </row>
    <row r="773" spans="14:19">
      <c r="N773" s="34"/>
      <c r="O773" s="34"/>
      <c r="P773" s="34"/>
      <c r="Q773" s="34"/>
      <c r="R773" s="34"/>
      <c r="S773" s="34"/>
    </row>
    <row r="774" spans="14:19">
      <c r="N774" s="34"/>
      <c r="O774" s="34"/>
      <c r="P774" s="34"/>
      <c r="Q774" s="34"/>
      <c r="R774" s="34"/>
      <c r="S774" s="34"/>
    </row>
    <row r="775" spans="14:19">
      <c r="N775" s="34"/>
      <c r="O775" s="34"/>
      <c r="P775" s="34"/>
      <c r="Q775" s="34"/>
      <c r="R775" s="34"/>
      <c r="S775" s="34"/>
    </row>
    <row r="776" spans="14:19">
      <c r="N776" s="34"/>
      <c r="O776" s="34"/>
      <c r="P776" s="34"/>
      <c r="Q776" s="34"/>
      <c r="R776" s="34"/>
      <c r="S776" s="34"/>
    </row>
    <row r="777" spans="14:19">
      <c r="N777" s="34"/>
      <c r="O777" s="34"/>
      <c r="P777" s="34"/>
      <c r="Q777" s="34"/>
      <c r="R777" s="34"/>
      <c r="S777" s="34"/>
    </row>
    <row r="778" spans="14:19">
      <c r="N778" s="34"/>
      <c r="O778" s="34"/>
      <c r="P778" s="34"/>
      <c r="Q778" s="34"/>
      <c r="R778" s="34"/>
      <c r="S778" s="34"/>
    </row>
    <row r="779" spans="14:19">
      <c r="N779" s="34"/>
      <c r="O779" s="34"/>
      <c r="P779" s="34"/>
      <c r="Q779" s="34"/>
      <c r="R779" s="34"/>
      <c r="S779" s="34"/>
    </row>
    <row r="780" spans="14:19">
      <c r="N780" s="34"/>
      <c r="O780" s="34"/>
      <c r="P780" s="34"/>
      <c r="Q780" s="34"/>
      <c r="R780" s="34"/>
      <c r="S780" s="34"/>
    </row>
    <row r="781" spans="14:19">
      <c r="N781" s="34"/>
      <c r="O781" s="34"/>
      <c r="P781" s="34"/>
      <c r="Q781" s="34"/>
      <c r="R781" s="34"/>
      <c r="S781" s="34"/>
    </row>
    <row r="782" spans="14:19">
      <c r="N782" s="34"/>
      <c r="O782" s="34"/>
      <c r="P782" s="34"/>
      <c r="Q782" s="34"/>
      <c r="R782" s="34"/>
      <c r="S782" s="34"/>
    </row>
    <row r="783" spans="14:19">
      <c r="N783" s="34"/>
      <c r="O783" s="34"/>
      <c r="P783" s="34"/>
      <c r="Q783" s="34"/>
      <c r="R783" s="34"/>
      <c r="S783" s="34"/>
    </row>
    <row r="784" spans="14:19">
      <c r="N784" s="34"/>
      <c r="O784" s="34"/>
      <c r="P784" s="34"/>
      <c r="Q784" s="34"/>
      <c r="R784" s="34"/>
      <c r="S784" s="34"/>
    </row>
    <row r="785" spans="14:19">
      <c r="N785" s="34"/>
      <c r="O785" s="34"/>
      <c r="P785" s="34"/>
      <c r="Q785" s="34"/>
      <c r="R785" s="34"/>
      <c r="S785" s="34"/>
    </row>
    <row r="786" spans="14:19">
      <c r="N786" s="34"/>
      <c r="O786" s="34"/>
      <c r="P786" s="34"/>
      <c r="Q786" s="34"/>
      <c r="R786" s="34"/>
      <c r="S786" s="34"/>
    </row>
    <row r="787" spans="14:19">
      <c r="N787" s="34"/>
      <c r="O787" s="34"/>
      <c r="P787" s="34"/>
      <c r="Q787" s="34"/>
      <c r="R787" s="34"/>
      <c r="S787" s="34"/>
    </row>
    <row r="788" spans="14:19">
      <c r="N788" s="34"/>
      <c r="O788" s="34"/>
      <c r="P788" s="34"/>
      <c r="Q788" s="34"/>
      <c r="R788" s="34"/>
      <c r="S788" s="34"/>
    </row>
    <row r="789" spans="14:19">
      <c r="N789" s="34"/>
      <c r="O789" s="34"/>
      <c r="P789" s="34"/>
      <c r="Q789" s="34"/>
      <c r="R789" s="34"/>
      <c r="S789" s="34"/>
    </row>
    <row r="790" spans="14:19">
      <c r="N790" s="34"/>
      <c r="O790" s="34"/>
      <c r="P790" s="34"/>
      <c r="Q790" s="34"/>
      <c r="R790" s="34"/>
      <c r="S790" s="34"/>
    </row>
    <row r="791" spans="14:19">
      <c r="N791" s="34"/>
      <c r="O791" s="34"/>
      <c r="P791" s="34"/>
      <c r="Q791" s="34"/>
      <c r="R791" s="34"/>
      <c r="S791" s="34"/>
    </row>
    <row r="792" spans="14:19">
      <c r="N792" s="34"/>
      <c r="O792" s="34"/>
      <c r="P792" s="34"/>
      <c r="Q792" s="34"/>
      <c r="R792" s="34"/>
      <c r="S792" s="34"/>
    </row>
    <row r="793" spans="14:19">
      <c r="N793" s="34"/>
      <c r="O793" s="34"/>
      <c r="P793" s="34"/>
      <c r="Q793" s="34"/>
      <c r="R793" s="34"/>
      <c r="S793" s="34"/>
    </row>
    <row r="794" spans="14:19">
      <c r="N794" s="34"/>
      <c r="O794" s="34"/>
      <c r="P794" s="34"/>
      <c r="Q794" s="34"/>
      <c r="R794" s="34"/>
      <c r="S794" s="34"/>
    </row>
    <row r="795" spans="14:19">
      <c r="N795" s="34"/>
      <c r="O795" s="34"/>
      <c r="P795" s="34"/>
      <c r="Q795" s="34"/>
      <c r="R795" s="34"/>
      <c r="S795" s="34"/>
    </row>
    <row r="796" spans="14:19">
      <c r="N796" s="34"/>
      <c r="O796" s="34"/>
      <c r="P796" s="34"/>
      <c r="Q796" s="34"/>
      <c r="R796" s="34"/>
      <c r="S796" s="34"/>
    </row>
    <row r="797" spans="14:19">
      <c r="N797" s="34"/>
      <c r="O797" s="34"/>
      <c r="P797" s="34"/>
      <c r="Q797" s="34"/>
      <c r="R797" s="34"/>
      <c r="S797" s="34"/>
    </row>
    <row r="798" spans="14:19">
      <c r="N798" s="34"/>
      <c r="O798" s="34"/>
      <c r="P798" s="34"/>
      <c r="Q798" s="34"/>
      <c r="R798" s="34"/>
      <c r="S798" s="34"/>
    </row>
    <row r="799" spans="14:19">
      <c r="N799" s="34"/>
      <c r="O799" s="34"/>
      <c r="P799" s="34"/>
      <c r="Q799" s="34"/>
      <c r="R799" s="34"/>
      <c r="S799" s="34"/>
    </row>
    <row r="800" spans="14:19">
      <c r="N800" s="34"/>
      <c r="O800" s="34"/>
      <c r="P800" s="34"/>
      <c r="Q800" s="34"/>
      <c r="R800" s="34"/>
      <c r="S800" s="34"/>
    </row>
    <row r="801" spans="14:19">
      <c r="N801" s="34"/>
      <c r="O801" s="34"/>
      <c r="P801" s="34"/>
      <c r="Q801" s="34"/>
      <c r="R801" s="34"/>
      <c r="S801" s="34"/>
    </row>
    <row r="802" spans="14:19">
      <c r="N802" s="34"/>
      <c r="O802" s="34"/>
      <c r="P802" s="34"/>
      <c r="Q802" s="34"/>
      <c r="R802" s="34"/>
      <c r="S802" s="34"/>
    </row>
    <row r="803" spans="14:19">
      <c r="N803" s="34"/>
      <c r="O803" s="34"/>
      <c r="P803" s="34"/>
      <c r="Q803" s="34"/>
      <c r="R803" s="34"/>
      <c r="S803" s="34"/>
    </row>
    <row r="804" spans="14:19">
      <c r="N804" s="34"/>
      <c r="O804" s="34"/>
      <c r="P804" s="34"/>
      <c r="Q804" s="34"/>
      <c r="R804" s="34"/>
      <c r="S804" s="34"/>
    </row>
    <row r="805" spans="14:19">
      <c r="N805" s="34"/>
      <c r="O805" s="34"/>
      <c r="P805" s="34"/>
      <c r="Q805" s="34"/>
      <c r="R805" s="34"/>
      <c r="S805" s="34"/>
    </row>
    <row r="806" spans="14:19">
      <c r="N806" s="34"/>
      <c r="O806" s="34"/>
      <c r="P806" s="34"/>
      <c r="Q806" s="34"/>
      <c r="R806" s="34"/>
      <c r="S806" s="34"/>
    </row>
    <row r="807" spans="14:19">
      <c r="N807" s="34"/>
      <c r="O807" s="34"/>
      <c r="P807" s="34"/>
      <c r="Q807" s="34"/>
      <c r="R807" s="34"/>
      <c r="S807" s="34"/>
    </row>
    <row r="808" spans="14:19">
      <c r="N808" s="34"/>
      <c r="O808" s="34"/>
      <c r="P808" s="34"/>
      <c r="Q808" s="34"/>
      <c r="R808" s="34"/>
      <c r="S808" s="34"/>
    </row>
    <row r="809" spans="14:19">
      <c r="N809" s="34"/>
      <c r="O809" s="34"/>
      <c r="P809" s="34"/>
      <c r="Q809" s="34"/>
      <c r="R809" s="34"/>
      <c r="S809" s="34"/>
    </row>
    <row r="810" spans="14:19">
      <c r="N810" s="34"/>
      <c r="O810" s="34"/>
      <c r="P810" s="34"/>
      <c r="Q810" s="34"/>
      <c r="R810" s="34"/>
      <c r="S810" s="34"/>
    </row>
    <row r="811" spans="14:19">
      <c r="N811" s="34"/>
      <c r="O811" s="34"/>
      <c r="P811" s="34"/>
      <c r="Q811" s="34"/>
      <c r="R811" s="34"/>
      <c r="S811" s="34"/>
    </row>
    <row r="812" spans="14:19">
      <c r="N812" s="34"/>
      <c r="O812" s="34"/>
      <c r="P812" s="34"/>
      <c r="Q812" s="34"/>
      <c r="R812" s="34"/>
      <c r="S812" s="34"/>
    </row>
    <row r="813" spans="14:19">
      <c r="N813" s="34"/>
      <c r="O813" s="34"/>
      <c r="P813" s="34"/>
      <c r="Q813" s="34"/>
      <c r="R813" s="34"/>
      <c r="S813" s="34"/>
    </row>
    <row r="814" spans="14:19">
      <c r="N814" s="34"/>
      <c r="O814" s="34"/>
      <c r="P814" s="34"/>
      <c r="Q814" s="34"/>
      <c r="R814" s="34"/>
      <c r="S814" s="34"/>
    </row>
    <row r="815" spans="14:19">
      <c r="N815" s="34"/>
      <c r="O815" s="34"/>
      <c r="P815" s="34"/>
      <c r="Q815" s="34"/>
      <c r="R815" s="34"/>
      <c r="S815" s="34"/>
    </row>
    <row r="816" spans="14:19">
      <c r="N816" s="34"/>
      <c r="O816" s="34"/>
      <c r="P816" s="34"/>
      <c r="Q816" s="34"/>
      <c r="R816" s="34"/>
      <c r="S816" s="34"/>
    </row>
    <row r="817" spans="14:19">
      <c r="N817" s="34"/>
      <c r="O817" s="34"/>
      <c r="P817" s="34"/>
      <c r="Q817" s="34"/>
      <c r="R817" s="34"/>
      <c r="S817" s="34"/>
    </row>
    <row r="818" spans="14:19">
      <c r="N818" s="34"/>
      <c r="O818" s="34"/>
      <c r="P818" s="34"/>
      <c r="Q818" s="34"/>
      <c r="R818" s="34"/>
      <c r="S818" s="34"/>
    </row>
    <row r="819" spans="14:19">
      <c r="N819" s="34"/>
      <c r="O819" s="34"/>
      <c r="P819" s="34"/>
      <c r="Q819" s="34"/>
      <c r="R819" s="34"/>
      <c r="S819" s="34"/>
    </row>
    <row r="820" spans="14:19">
      <c r="N820" s="34"/>
      <c r="O820" s="34"/>
      <c r="P820" s="34"/>
      <c r="Q820" s="34"/>
      <c r="R820" s="34"/>
      <c r="S820" s="34"/>
    </row>
    <row r="821" spans="14:19">
      <c r="N821" s="34"/>
      <c r="O821" s="34"/>
      <c r="P821" s="34"/>
      <c r="Q821" s="34"/>
      <c r="R821" s="34"/>
      <c r="S821" s="34"/>
    </row>
    <row r="822" spans="14:19">
      <c r="N822" s="34"/>
      <c r="O822" s="34"/>
      <c r="P822" s="34"/>
      <c r="Q822" s="34"/>
      <c r="R822" s="34"/>
      <c r="S822" s="34"/>
    </row>
    <row r="823" spans="14:19">
      <c r="N823" s="34"/>
      <c r="O823" s="34"/>
      <c r="P823" s="34"/>
      <c r="Q823" s="34"/>
      <c r="R823" s="34"/>
      <c r="S823" s="34"/>
    </row>
    <row r="824" spans="14:19">
      <c r="N824" s="34"/>
      <c r="O824" s="34"/>
      <c r="P824" s="34"/>
      <c r="Q824" s="34"/>
      <c r="R824" s="34"/>
      <c r="S824" s="34"/>
    </row>
    <row r="825" spans="14:19">
      <c r="N825" s="34"/>
      <c r="O825" s="34"/>
      <c r="P825" s="34"/>
      <c r="Q825" s="34"/>
      <c r="R825" s="34"/>
      <c r="S825" s="34"/>
    </row>
    <row r="826" spans="14:19">
      <c r="N826" s="34"/>
      <c r="O826" s="34"/>
      <c r="P826" s="34"/>
      <c r="Q826" s="34"/>
      <c r="R826" s="34"/>
      <c r="S826" s="34"/>
    </row>
    <row r="827" spans="14:19">
      <c r="N827" s="34"/>
      <c r="O827" s="34"/>
      <c r="P827" s="34"/>
      <c r="Q827" s="34"/>
      <c r="R827" s="34"/>
      <c r="S827" s="34"/>
    </row>
    <row r="828" spans="14:19">
      <c r="N828" s="34"/>
      <c r="O828" s="34"/>
      <c r="P828" s="34"/>
      <c r="Q828" s="34"/>
      <c r="R828" s="34"/>
      <c r="S828" s="34"/>
    </row>
    <row r="829" spans="14:19">
      <c r="N829" s="34"/>
      <c r="O829" s="34"/>
      <c r="P829" s="34"/>
      <c r="Q829" s="34"/>
      <c r="R829" s="34"/>
      <c r="S829" s="34"/>
    </row>
    <row r="830" spans="14:19">
      <c r="N830" s="34"/>
      <c r="O830" s="34"/>
      <c r="P830" s="34"/>
      <c r="Q830" s="34"/>
      <c r="R830" s="34"/>
      <c r="S830" s="34"/>
    </row>
    <row r="831" spans="14:19">
      <c r="N831" s="34"/>
      <c r="O831" s="34"/>
      <c r="P831" s="34"/>
      <c r="Q831" s="34"/>
      <c r="R831" s="34"/>
      <c r="S831" s="34"/>
    </row>
    <row r="832" spans="14:19">
      <c r="N832" s="34"/>
      <c r="O832" s="34"/>
      <c r="P832" s="34"/>
      <c r="Q832" s="34"/>
      <c r="R832" s="34"/>
      <c r="S832" s="34"/>
    </row>
    <row r="833" spans="14:19">
      <c r="N833" s="34"/>
      <c r="O833" s="34"/>
      <c r="P833" s="34"/>
      <c r="Q833" s="34"/>
      <c r="R833" s="34"/>
      <c r="S833" s="34"/>
    </row>
    <row r="834" spans="14:19">
      <c r="N834" s="34"/>
      <c r="O834" s="34"/>
      <c r="P834" s="34"/>
      <c r="Q834" s="34"/>
      <c r="R834" s="34"/>
      <c r="S834" s="34"/>
    </row>
    <row r="835" spans="14:19">
      <c r="N835" s="34"/>
      <c r="O835" s="34"/>
      <c r="P835" s="34"/>
      <c r="Q835" s="34"/>
      <c r="R835" s="34"/>
      <c r="S835" s="34"/>
    </row>
    <row r="836" spans="14:19">
      <c r="N836" s="34"/>
      <c r="O836" s="34"/>
      <c r="P836" s="34"/>
      <c r="Q836" s="34"/>
      <c r="R836" s="34"/>
      <c r="S836" s="34"/>
    </row>
    <row r="837" spans="14:19">
      <c r="N837" s="34"/>
      <c r="O837" s="34"/>
      <c r="P837" s="34"/>
      <c r="Q837" s="34"/>
      <c r="R837" s="34"/>
      <c r="S837" s="34"/>
    </row>
    <row r="838" spans="14:19">
      <c r="N838" s="34"/>
      <c r="O838" s="34"/>
      <c r="P838" s="34"/>
      <c r="Q838" s="34"/>
      <c r="R838" s="34"/>
      <c r="S838" s="34"/>
    </row>
    <row r="839" spans="14:19">
      <c r="N839" s="34"/>
      <c r="O839" s="34"/>
      <c r="P839" s="34"/>
      <c r="Q839" s="34"/>
      <c r="R839" s="34"/>
      <c r="S839" s="34"/>
    </row>
    <row r="840" spans="14:19">
      <c r="N840" s="34"/>
      <c r="O840" s="34"/>
      <c r="P840" s="34"/>
      <c r="Q840" s="34"/>
      <c r="R840" s="34"/>
      <c r="S840" s="34"/>
    </row>
    <row r="841" spans="14:19">
      <c r="N841" s="34"/>
      <c r="O841" s="34"/>
      <c r="P841" s="34"/>
      <c r="Q841" s="34"/>
      <c r="R841" s="34"/>
      <c r="S841" s="34"/>
    </row>
    <row r="842" spans="14:19">
      <c r="N842" s="34"/>
      <c r="O842" s="34"/>
      <c r="P842" s="34"/>
      <c r="Q842" s="34"/>
      <c r="R842" s="34"/>
      <c r="S842" s="34"/>
    </row>
    <row r="843" spans="14:19">
      <c r="N843" s="34"/>
      <c r="O843" s="34"/>
      <c r="P843" s="34"/>
      <c r="Q843" s="34"/>
      <c r="R843" s="34"/>
      <c r="S843" s="34"/>
    </row>
    <row r="844" spans="14:19">
      <c r="N844" s="34"/>
      <c r="O844" s="34"/>
      <c r="P844" s="34"/>
      <c r="Q844" s="34"/>
      <c r="R844" s="34"/>
      <c r="S844" s="34"/>
    </row>
    <row r="845" spans="14:19">
      <c r="N845" s="34"/>
      <c r="O845" s="34"/>
      <c r="P845" s="34"/>
      <c r="Q845" s="34"/>
      <c r="R845" s="34"/>
      <c r="S845" s="34"/>
    </row>
    <row r="846" spans="14:19">
      <c r="N846" s="34"/>
      <c r="O846" s="34"/>
      <c r="P846" s="34"/>
      <c r="Q846" s="34"/>
      <c r="R846" s="34"/>
      <c r="S846" s="34"/>
    </row>
    <row r="847" spans="14:19">
      <c r="N847" s="34"/>
      <c r="O847" s="34"/>
      <c r="P847" s="34"/>
      <c r="Q847" s="34"/>
      <c r="R847" s="34"/>
      <c r="S847" s="34"/>
    </row>
    <row r="848" spans="14:19">
      <c r="N848" s="34"/>
      <c r="O848" s="34"/>
      <c r="P848" s="34"/>
      <c r="Q848" s="34"/>
      <c r="R848" s="34"/>
      <c r="S848" s="34"/>
    </row>
    <row r="849" spans="14:19">
      <c r="N849" s="34"/>
      <c r="O849" s="34"/>
      <c r="P849" s="34"/>
      <c r="Q849" s="34"/>
      <c r="R849" s="34"/>
      <c r="S849" s="34"/>
    </row>
    <row r="850" spans="14:19">
      <c r="N850" s="34"/>
      <c r="O850" s="34"/>
      <c r="P850" s="34"/>
      <c r="Q850" s="34"/>
      <c r="R850" s="34"/>
      <c r="S850" s="34"/>
    </row>
    <row r="851" spans="14:19">
      <c r="N851" s="34"/>
      <c r="O851" s="34"/>
      <c r="P851" s="34"/>
      <c r="Q851" s="34"/>
      <c r="R851" s="34"/>
      <c r="S851" s="34"/>
    </row>
    <row r="852" spans="14:19">
      <c r="N852" s="34"/>
      <c r="O852" s="34"/>
      <c r="P852" s="34"/>
      <c r="Q852" s="34"/>
      <c r="R852" s="34"/>
      <c r="S852" s="34"/>
    </row>
    <row r="853" spans="14:19">
      <c r="N853" s="34"/>
      <c r="O853" s="34"/>
      <c r="P853" s="34"/>
      <c r="Q853" s="34"/>
      <c r="R853" s="34"/>
      <c r="S853" s="34"/>
    </row>
    <row r="854" spans="14:19">
      <c r="N854" s="34"/>
      <c r="O854" s="34"/>
      <c r="P854" s="34"/>
      <c r="Q854" s="34"/>
      <c r="R854" s="34"/>
      <c r="S854" s="34"/>
    </row>
    <row r="855" spans="14:19">
      <c r="N855" s="34"/>
      <c r="O855" s="34"/>
      <c r="P855" s="34"/>
      <c r="Q855" s="34"/>
      <c r="R855" s="34"/>
      <c r="S855" s="34"/>
    </row>
    <row r="856" spans="14:19">
      <c r="N856" s="34"/>
      <c r="O856" s="34"/>
      <c r="P856" s="34"/>
      <c r="Q856" s="34"/>
      <c r="R856" s="34"/>
      <c r="S856" s="34"/>
    </row>
    <row r="857" spans="14:19">
      <c r="N857" s="34"/>
      <c r="O857" s="34"/>
      <c r="P857" s="34"/>
      <c r="Q857" s="34"/>
      <c r="R857" s="34"/>
      <c r="S857" s="34"/>
    </row>
    <row r="858" spans="14:19">
      <c r="N858" s="34"/>
      <c r="O858" s="34"/>
      <c r="P858" s="34"/>
      <c r="Q858" s="34"/>
      <c r="R858" s="34"/>
      <c r="S858" s="34"/>
    </row>
    <row r="859" spans="14:19">
      <c r="N859" s="34"/>
      <c r="O859" s="34"/>
      <c r="P859" s="34"/>
      <c r="Q859" s="34"/>
      <c r="R859" s="34"/>
      <c r="S859" s="34"/>
    </row>
    <row r="860" spans="14:19">
      <c r="N860" s="34"/>
      <c r="O860" s="34"/>
      <c r="P860" s="34"/>
      <c r="Q860" s="34"/>
      <c r="R860" s="34"/>
      <c r="S860" s="34"/>
    </row>
    <row r="861" spans="14:19">
      <c r="N861" s="34"/>
      <c r="O861" s="34"/>
      <c r="P861" s="34"/>
      <c r="Q861" s="34"/>
      <c r="R861" s="34"/>
      <c r="S861" s="34"/>
    </row>
    <row r="862" spans="14:19">
      <c r="N862" s="34"/>
      <c r="O862" s="34"/>
      <c r="P862" s="34"/>
      <c r="Q862" s="34"/>
      <c r="R862" s="34"/>
      <c r="S862" s="34"/>
    </row>
    <row r="863" spans="14:19">
      <c r="N863" s="34"/>
      <c r="O863" s="34"/>
      <c r="P863" s="34"/>
      <c r="Q863" s="34"/>
      <c r="R863" s="34"/>
      <c r="S863" s="34"/>
    </row>
    <row r="864" spans="14:19">
      <c r="N864" s="34"/>
      <c r="O864" s="34"/>
      <c r="P864" s="34"/>
      <c r="Q864" s="34"/>
      <c r="R864" s="34"/>
      <c r="S864" s="34"/>
    </row>
    <row r="865" spans="14:19">
      <c r="N865" s="34"/>
      <c r="O865" s="34"/>
      <c r="P865" s="34"/>
      <c r="Q865" s="34"/>
      <c r="R865" s="34"/>
      <c r="S865" s="34"/>
    </row>
    <row r="866" spans="14:19">
      <c r="N866" s="34"/>
      <c r="O866" s="34"/>
      <c r="P866" s="34"/>
      <c r="Q866" s="34"/>
      <c r="R866" s="34"/>
      <c r="S866" s="34"/>
    </row>
    <row r="867" spans="14:19">
      <c r="N867" s="34"/>
      <c r="O867" s="34"/>
      <c r="P867" s="34"/>
      <c r="Q867" s="34"/>
      <c r="R867" s="34"/>
      <c r="S867" s="34"/>
    </row>
    <row r="868" spans="14:19">
      <c r="N868" s="34"/>
      <c r="O868" s="34"/>
      <c r="P868" s="34"/>
      <c r="Q868" s="34"/>
      <c r="R868" s="34"/>
      <c r="S868" s="34"/>
    </row>
    <row r="869" spans="14:19">
      <c r="N869" s="34"/>
      <c r="O869" s="34"/>
      <c r="P869" s="34"/>
      <c r="Q869" s="34"/>
      <c r="R869" s="34"/>
      <c r="S869" s="34"/>
    </row>
    <row r="870" spans="14:19">
      <c r="N870" s="34"/>
      <c r="O870" s="34"/>
      <c r="P870" s="34"/>
      <c r="Q870" s="34"/>
      <c r="R870" s="34"/>
      <c r="S870" s="34"/>
    </row>
    <row r="871" spans="14:19">
      <c r="N871" s="34"/>
      <c r="O871" s="34"/>
      <c r="P871" s="34"/>
      <c r="Q871" s="34"/>
      <c r="R871" s="34"/>
      <c r="S871" s="34"/>
    </row>
    <row r="872" spans="14:19">
      <c r="N872" s="34"/>
      <c r="O872" s="34"/>
      <c r="P872" s="34"/>
      <c r="Q872" s="34"/>
      <c r="R872" s="34"/>
      <c r="S872" s="34"/>
    </row>
    <row r="873" spans="14:19">
      <c r="N873" s="34"/>
      <c r="O873" s="34"/>
      <c r="P873" s="34"/>
      <c r="Q873" s="34"/>
      <c r="R873" s="34"/>
      <c r="S873" s="34"/>
    </row>
    <row r="874" spans="14:19">
      <c r="N874" s="34"/>
      <c r="O874" s="34"/>
      <c r="P874" s="34"/>
      <c r="Q874" s="34"/>
      <c r="R874" s="34"/>
      <c r="S874" s="34"/>
    </row>
    <row r="875" spans="14:19">
      <c r="N875" s="34"/>
      <c r="O875" s="34"/>
      <c r="P875" s="34"/>
      <c r="Q875" s="34"/>
      <c r="R875" s="34"/>
      <c r="S875" s="34"/>
    </row>
    <row r="876" spans="14:19">
      <c r="N876" s="34"/>
      <c r="O876" s="34"/>
      <c r="P876" s="34"/>
      <c r="Q876" s="34"/>
      <c r="R876" s="34"/>
      <c r="S876" s="34"/>
    </row>
    <row r="877" spans="14:19">
      <c r="N877" s="34"/>
      <c r="O877" s="34"/>
      <c r="P877" s="34"/>
      <c r="Q877" s="34"/>
      <c r="R877" s="34"/>
      <c r="S877" s="34"/>
    </row>
    <row r="878" spans="14:19">
      <c r="N878" s="34"/>
      <c r="O878" s="34"/>
      <c r="P878" s="34"/>
      <c r="Q878" s="34"/>
      <c r="R878" s="34"/>
      <c r="S878" s="34"/>
    </row>
    <row r="879" spans="14:19">
      <c r="N879" s="34"/>
      <c r="O879" s="34"/>
      <c r="P879" s="34"/>
      <c r="Q879" s="34"/>
      <c r="R879" s="34"/>
      <c r="S879" s="34"/>
    </row>
    <row r="880" spans="14:19">
      <c r="N880" s="34"/>
      <c r="O880" s="34"/>
      <c r="P880" s="34"/>
      <c r="Q880" s="34"/>
      <c r="R880" s="34"/>
      <c r="S880" s="34"/>
    </row>
    <row r="881" spans="14:19">
      <c r="N881" s="34"/>
      <c r="O881" s="34"/>
      <c r="P881" s="34"/>
      <c r="Q881" s="34"/>
      <c r="R881" s="34"/>
      <c r="S881" s="34"/>
    </row>
    <row r="882" spans="14:19">
      <c r="N882" s="34"/>
      <c r="O882" s="34"/>
      <c r="P882" s="34"/>
      <c r="Q882" s="34"/>
      <c r="R882" s="34"/>
      <c r="S882" s="34"/>
    </row>
    <row r="883" spans="14:19">
      <c r="N883" s="34"/>
      <c r="O883" s="34"/>
      <c r="P883" s="34"/>
      <c r="Q883" s="34"/>
      <c r="R883" s="34"/>
      <c r="S883" s="34"/>
    </row>
    <row r="884" spans="14:19">
      <c r="N884" s="34"/>
      <c r="O884" s="34"/>
      <c r="P884" s="34"/>
      <c r="Q884" s="34"/>
      <c r="R884" s="34"/>
      <c r="S884" s="34"/>
    </row>
    <row r="885" spans="14:19">
      <c r="N885" s="34"/>
      <c r="O885" s="34"/>
      <c r="P885" s="34"/>
      <c r="Q885" s="34"/>
      <c r="R885" s="34"/>
      <c r="S885" s="34"/>
    </row>
    <row r="886" spans="14:19">
      <c r="N886" s="34"/>
      <c r="O886" s="34"/>
      <c r="P886" s="34"/>
      <c r="Q886" s="34"/>
      <c r="R886" s="34"/>
      <c r="S886" s="34"/>
    </row>
    <row r="887" spans="14:19">
      <c r="N887" s="34"/>
      <c r="O887" s="34"/>
      <c r="P887" s="34"/>
      <c r="Q887" s="34"/>
      <c r="R887" s="34"/>
      <c r="S887" s="34"/>
    </row>
    <row r="888" spans="14:19">
      <c r="N888" s="34"/>
      <c r="O888" s="34"/>
      <c r="P888" s="34"/>
      <c r="Q888" s="34"/>
      <c r="R888" s="34"/>
      <c r="S888" s="34"/>
    </row>
    <row r="889" spans="14:19">
      <c r="N889" s="34"/>
      <c r="O889" s="34"/>
      <c r="P889" s="34"/>
      <c r="Q889" s="34"/>
      <c r="R889" s="34"/>
      <c r="S889" s="34"/>
    </row>
    <row r="890" spans="14:19">
      <c r="N890" s="34"/>
      <c r="O890" s="34"/>
      <c r="P890" s="34"/>
      <c r="Q890" s="34"/>
      <c r="R890" s="34"/>
      <c r="S890" s="34"/>
    </row>
    <row r="891" spans="14:19">
      <c r="N891" s="34"/>
      <c r="O891" s="34"/>
      <c r="P891" s="34"/>
      <c r="Q891" s="34"/>
      <c r="R891" s="34"/>
      <c r="S891" s="34"/>
    </row>
    <row r="892" spans="14:19">
      <c r="N892" s="34"/>
      <c r="O892" s="34"/>
      <c r="P892" s="34"/>
      <c r="Q892" s="34"/>
      <c r="R892" s="34"/>
      <c r="S892" s="34"/>
    </row>
    <row r="893" spans="14:19">
      <c r="N893" s="34"/>
      <c r="O893" s="34"/>
      <c r="P893" s="34"/>
      <c r="Q893" s="34"/>
      <c r="R893" s="34"/>
      <c r="S893" s="34"/>
    </row>
    <row r="894" spans="14:19">
      <c r="N894" s="34"/>
      <c r="O894" s="34"/>
      <c r="P894" s="34"/>
      <c r="Q894" s="34"/>
      <c r="R894" s="34"/>
      <c r="S894" s="34"/>
    </row>
    <row r="895" spans="14:19">
      <c r="N895" s="34"/>
      <c r="O895" s="34"/>
      <c r="P895" s="34"/>
      <c r="Q895" s="34"/>
      <c r="R895" s="34"/>
      <c r="S895" s="34"/>
    </row>
    <row r="896" spans="14:19">
      <c r="N896" s="34"/>
      <c r="O896" s="34"/>
      <c r="P896" s="34"/>
      <c r="Q896" s="34"/>
      <c r="R896" s="34"/>
      <c r="S896" s="34"/>
    </row>
    <row r="897" spans="14:19">
      <c r="N897" s="34"/>
      <c r="O897" s="34"/>
      <c r="P897" s="34"/>
      <c r="Q897" s="34"/>
      <c r="R897" s="34"/>
      <c r="S897" s="34"/>
    </row>
    <row r="898" spans="14:19">
      <c r="N898" s="34"/>
      <c r="O898" s="34"/>
      <c r="P898" s="34"/>
      <c r="Q898" s="34"/>
      <c r="R898" s="34"/>
      <c r="S898" s="34"/>
    </row>
    <row r="899" spans="14:19">
      <c r="N899" s="34"/>
      <c r="O899" s="34"/>
      <c r="P899" s="34"/>
      <c r="Q899" s="34"/>
      <c r="R899" s="34"/>
      <c r="S899" s="34"/>
    </row>
    <row r="900" spans="14:19">
      <c r="N900" s="34"/>
      <c r="O900" s="34"/>
      <c r="P900" s="34"/>
      <c r="Q900" s="34"/>
      <c r="R900" s="34"/>
      <c r="S900" s="34"/>
    </row>
    <row r="901" spans="14:19">
      <c r="N901" s="34"/>
      <c r="O901" s="34"/>
      <c r="P901" s="34"/>
      <c r="Q901" s="34"/>
      <c r="R901" s="34"/>
      <c r="S901" s="34"/>
    </row>
    <row r="902" spans="14:19">
      <c r="N902" s="34"/>
      <c r="O902" s="34"/>
      <c r="P902" s="34"/>
      <c r="Q902" s="34"/>
      <c r="R902" s="34"/>
      <c r="S902" s="34"/>
    </row>
    <row r="903" spans="14:19">
      <c r="N903" s="34"/>
      <c r="O903" s="34"/>
      <c r="P903" s="34"/>
      <c r="Q903" s="34"/>
      <c r="R903" s="34"/>
      <c r="S903" s="34"/>
    </row>
    <row r="904" spans="14:19">
      <c r="N904" s="34"/>
      <c r="O904" s="34"/>
      <c r="P904" s="34"/>
      <c r="Q904" s="34"/>
      <c r="R904" s="34"/>
      <c r="S904" s="34"/>
    </row>
    <row r="905" spans="14:19">
      <c r="N905" s="34"/>
      <c r="O905" s="34"/>
      <c r="P905" s="34"/>
      <c r="Q905" s="34"/>
      <c r="R905" s="34"/>
      <c r="S905" s="34"/>
    </row>
    <row r="906" spans="14:19">
      <c r="N906" s="34"/>
      <c r="O906" s="34"/>
      <c r="P906" s="34"/>
      <c r="Q906" s="34"/>
      <c r="R906" s="34"/>
      <c r="S906" s="34"/>
    </row>
    <row r="907" spans="14:19">
      <c r="N907" s="34"/>
      <c r="O907" s="34"/>
      <c r="P907" s="34"/>
      <c r="Q907" s="34"/>
      <c r="R907" s="34"/>
      <c r="S907" s="34"/>
    </row>
    <row r="908" spans="14:19">
      <c r="N908" s="34"/>
      <c r="O908" s="34"/>
      <c r="P908" s="34"/>
      <c r="Q908" s="34"/>
      <c r="R908" s="34"/>
      <c r="S908" s="34"/>
    </row>
    <row r="909" spans="14:19">
      <c r="N909" s="34"/>
      <c r="O909" s="34"/>
      <c r="P909" s="34"/>
      <c r="Q909" s="34"/>
      <c r="R909" s="34"/>
      <c r="S909" s="34"/>
    </row>
    <row r="910" spans="14:19">
      <c r="N910" s="34"/>
      <c r="O910" s="34"/>
      <c r="P910" s="34"/>
      <c r="Q910" s="34"/>
      <c r="R910" s="34"/>
      <c r="S910" s="34"/>
    </row>
    <row r="911" spans="14:19">
      <c r="N911" s="34"/>
      <c r="O911" s="34"/>
      <c r="P911" s="34"/>
      <c r="Q911" s="34"/>
      <c r="R911" s="34"/>
      <c r="S911" s="34"/>
    </row>
    <row r="912" spans="14:19">
      <c r="N912" s="34"/>
      <c r="O912" s="34"/>
      <c r="P912" s="34"/>
      <c r="Q912" s="34"/>
      <c r="R912" s="34"/>
      <c r="S912" s="34"/>
    </row>
    <row r="913" spans="14:19">
      <c r="N913" s="34"/>
      <c r="O913" s="34"/>
      <c r="P913" s="34"/>
      <c r="Q913" s="34"/>
      <c r="R913" s="34"/>
      <c r="S913" s="34"/>
    </row>
    <row r="914" spans="14:19">
      <c r="N914" s="34"/>
      <c r="O914" s="34"/>
      <c r="P914" s="34"/>
      <c r="Q914" s="34"/>
      <c r="R914" s="34"/>
      <c r="S914" s="34"/>
    </row>
    <row r="915" spans="14:19">
      <c r="N915" s="34"/>
      <c r="O915" s="34"/>
      <c r="P915" s="34"/>
      <c r="Q915" s="34"/>
      <c r="R915" s="34"/>
      <c r="S915" s="34"/>
    </row>
    <row r="916" spans="14:19">
      <c r="N916" s="34"/>
      <c r="O916" s="34"/>
      <c r="P916" s="34"/>
      <c r="Q916" s="34"/>
      <c r="R916" s="34"/>
      <c r="S916" s="34"/>
    </row>
    <row r="917" spans="14:19">
      <c r="N917" s="34"/>
      <c r="O917" s="34"/>
      <c r="P917" s="34"/>
      <c r="Q917" s="34"/>
      <c r="R917" s="34"/>
      <c r="S917" s="34"/>
    </row>
    <row r="918" spans="14:19">
      <c r="N918" s="34"/>
      <c r="O918" s="34"/>
      <c r="P918" s="34"/>
      <c r="Q918" s="34"/>
      <c r="R918" s="34"/>
      <c r="S918" s="34"/>
    </row>
    <row r="919" spans="14:19">
      <c r="N919" s="34"/>
      <c r="O919" s="34"/>
      <c r="P919" s="34"/>
      <c r="Q919" s="34"/>
      <c r="R919" s="34"/>
      <c r="S919" s="34"/>
    </row>
    <row r="920" spans="14:19">
      <c r="N920" s="34"/>
      <c r="O920" s="34"/>
      <c r="P920" s="34"/>
      <c r="Q920" s="34"/>
      <c r="R920" s="34"/>
      <c r="S920" s="34"/>
    </row>
    <row r="921" spans="14:19">
      <c r="N921" s="34"/>
      <c r="O921" s="34"/>
      <c r="P921" s="34"/>
      <c r="Q921" s="34"/>
      <c r="R921" s="34"/>
      <c r="S921" s="34"/>
    </row>
    <row r="922" spans="14:19">
      <c r="N922" s="34"/>
      <c r="O922" s="34"/>
      <c r="P922" s="34"/>
      <c r="Q922" s="34"/>
      <c r="R922" s="34"/>
      <c r="S922" s="34"/>
    </row>
    <row r="923" spans="14:19">
      <c r="N923" s="34"/>
      <c r="O923" s="34"/>
      <c r="P923" s="34"/>
      <c r="Q923" s="34"/>
      <c r="R923" s="34"/>
      <c r="S923" s="34"/>
    </row>
    <row r="924" spans="14:19">
      <c r="N924" s="34"/>
      <c r="O924" s="34"/>
      <c r="P924" s="34"/>
      <c r="Q924" s="34"/>
      <c r="R924" s="34"/>
      <c r="S924" s="34"/>
    </row>
    <row r="925" spans="14:19">
      <c r="N925" s="34"/>
      <c r="O925" s="34"/>
      <c r="P925" s="34"/>
      <c r="Q925" s="34"/>
      <c r="R925" s="34"/>
      <c r="S925" s="34"/>
    </row>
    <row r="926" spans="14:19">
      <c r="N926" s="34"/>
      <c r="O926" s="34"/>
      <c r="P926" s="34"/>
      <c r="Q926" s="34"/>
      <c r="R926" s="34"/>
      <c r="S926" s="34"/>
    </row>
    <row r="927" spans="14:19">
      <c r="N927" s="34"/>
      <c r="O927" s="34"/>
      <c r="P927" s="34"/>
      <c r="Q927" s="34"/>
      <c r="R927" s="34"/>
      <c r="S927" s="34"/>
    </row>
    <row r="928" spans="14:19">
      <c r="N928" s="34"/>
      <c r="O928" s="34"/>
      <c r="P928" s="34"/>
      <c r="Q928" s="34"/>
      <c r="R928" s="34"/>
      <c r="S928" s="34"/>
    </row>
    <row r="929" spans="14:19">
      <c r="N929" s="34"/>
      <c r="O929" s="34"/>
      <c r="P929" s="34"/>
      <c r="Q929" s="34"/>
      <c r="R929" s="34"/>
      <c r="S929" s="34"/>
    </row>
    <row r="930" spans="14:19">
      <c r="N930" s="34"/>
      <c r="O930" s="34"/>
      <c r="P930" s="34"/>
      <c r="Q930" s="34"/>
      <c r="R930" s="34"/>
      <c r="S930" s="34"/>
    </row>
    <row r="931" spans="14:19">
      <c r="N931" s="34"/>
      <c r="O931" s="34"/>
      <c r="P931" s="34"/>
      <c r="Q931" s="34"/>
      <c r="R931" s="34"/>
      <c r="S931" s="34"/>
    </row>
    <row r="932" spans="14:19">
      <c r="N932" s="34"/>
      <c r="O932" s="34"/>
      <c r="P932" s="34"/>
      <c r="Q932" s="34"/>
      <c r="R932" s="34"/>
      <c r="S932" s="34"/>
    </row>
    <row r="933" spans="14:19">
      <c r="N933" s="34"/>
      <c r="O933" s="34"/>
      <c r="P933" s="34"/>
      <c r="Q933" s="34"/>
      <c r="R933" s="34"/>
      <c r="S933" s="34"/>
    </row>
    <row r="934" spans="14:19">
      <c r="N934" s="34"/>
      <c r="O934" s="34"/>
      <c r="P934" s="34"/>
      <c r="Q934" s="34"/>
      <c r="R934" s="34"/>
      <c r="S934" s="34"/>
    </row>
    <row r="935" spans="14:19">
      <c r="N935" s="34"/>
      <c r="O935" s="34"/>
      <c r="P935" s="34"/>
      <c r="Q935" s="34"/>
      <c r="R935" s="34"/>
      <c r="S935" s="34"/>
    </row>
    <row r="936" spans="14:19">
      <c r="N936" s="34"/>
      <c r="O936" s="34"/>
      <c r="P936" s="34"/>
      <c r="Q936" s="34"/>
      <c r="R936" s="34"/>
      <c r="S936" s="34"/>
    </row>
    <row r="937" spans="14:19">
      <c r="N937" s="34"/>
      <c r="O937" s="34"/>
      <c r="P937" s="34"/>
      <c r="Q937" s="34"/>
      <c r="R937" s="34"/>
      <c r="S937" s="34"/>
    </row>
    <row r="938" spans="14:19">
      <c r="N938" s="34"/>
      <c r="O938" s="34"/>
      <c r="P938" s="34"/>
      <c r="Q938" s="34"/>
      <c r="R938" s="34"/>
      <c r="S938" s="34"/>
    </row>
    <row r="939" spans="14:19">
      <c r="N939" s="34"/>
      <c r="O939" s="34"/>
      <c r="P939" s="34"/>
      <c r="Q939" s="34"/>
      <c r="R939" s="34"/>
      <c r="S939" s="34"/>
    </row>
    <row r="940" spans="14:19">
      <c r="N940" s="34"/>
      <c r="O940" s="34"/>
      <c r="P940" s="34"/>
      <c r="Q940" s="34"/>
      <c r="R940" s="34"/>
      <c r="S940" s="34"/>
    </row>
    <row r="941" spans="14:19">
      <c r="N941" s="34"/>
      <c r="O941" s="34"/>
      <c r="P941" s="34"/>
      <c r="Q941" s="34"/>
      <c r="R941" s="34"/>
      <c r="S941" s="34"/>
    </row>
    <row r="942" spans="14:19">
      <c r="N942" s="34"/>
      <c r="O942" s="34"/>
      <c r="P942" s="34"/>
      <c r="Q942" s="34"/>
      <c r="R942" s="34"/>
      <c r="S942" s="34"/>
    </row>
    <row r="943" spans="14:19">
      <c r="N943" s="34"/>
      <c r="O943" s="34"/>
      <c r="P943" s="34"/>
      <c r="Q943" s="34"/>
      <c r="R943" s="34"/>
      <c r="S943" s="34"/>
    </row>
    <row r="944" spans="14:19">
      <c r="N944" s="34"/>
      <c r="O944" s="34"/>
      <c r="P944" s="34"/>
      <c r="Q944" s="34"/>
      <c r="R944" s="34"/>
      <c r="S944" s="34"/>
    </row>
    <row r="945" spans="14:19">
      <c r="N945" s="34"/>
      <c r="O945" s="34"/>
      <c r="P945" s="34"/>
      <c r="Q945" s="34"/>
      <c r="R945" s="34"/>
      <c r="S945" s="34"/>
    </row>
    <row r="946" spans="14:19">
      <c r="N946" s="34"/>
      <c r="O946" s="34"/>
      <c r="P946" s="34"/>
      <c r="Q946" s="34"/>
      <c r="R946" s="34"/>
      <c r="S946" s="34"/>
    </row>
    <row r="947" spans="14:19">
      <c r="N947" s="34"/>
      <c r="O947" s="34"/>
      <c r="P947" s="34"/>
      <c r="Q947" s="34"/>
      <c r="R947" s="34"/>
      <c r="S947" s="34"/>
    </row>
    <row r="948" spans="14:19">
      <c r="N948" s="34"/>
      <c r="O948" s="34"/>
      <c r="P948" s="34"/>
      <c r="Q948" s="34"/>
      <c r="R948" s="34"/>
      <c r="S948" s="34"/>
    </row>
    <row r="949" spans="14:19">
      <c r="N949" s="34"/>
      <c r="O949" s="34"/>
      <c r="P949" s="34"/>
      <c r="Q949" s="34"/>
      <c r="R949" s="34"/>
      <c r="S949" s="34"/>
    </row>
    <row r="950" spans="14:19">
      <c r="N950" s="34"/>
      <c r="O950" s="34"/>
      <c r="P950" s="34"/>
      <c r="Q950" s="34"/>
      <c r="R950" s="34"/>
      <c r="S950" s="34"/>
    </row>
    <row r="951" spans="14:19">
      <c r="N951" s="34"/>
      <c r="O951" s="34"/>
      <c r="P951" s="34"/>
      <c r="Q951" s="34"/>
      <c r="R951" s="34"/>
      <c r="S951" s="34"/>
    </row>
    <row r="952" spans="14:19">
      <c r="N952" s="34"/>
      <c r="O952" s="34"/>
      <c r="P952" s="34"/>
      <c r="Q952" s="34"/>
      <c r="R952" s="34"/>
      <c r="S952" s="34"/>
    </row>
    <row r="953" spans="14:19">
      <c r="N953" s="34"/>
      <c r="O953" s="34"/>
      <c r="P953" s="34"/>
      <c r="Q953" s="34"/>
      <c r="R953" s="34"/>
      <c r="S953" s="34"/>
    </row>
    <row r="954" spans="14:19">
      <c r="N954" s="34"/>
      <c r="O954" s="34"/>
      <c r="P954" s="34"/>
      <c r="Q954" s="34"/>
      <c r="R954" s="34"/>
      <c r="S954" s="34"/>
    </row>
    <row r="955" spans="14:19">
      <c r="N955" s="34"/>
      <c r="O955" s="34"/>
      <c r="P955" s="34"/>
      <c r="Q955" s="34"/>
      <c r="R955" s="34"/>
      <c r="S955" s="34"/>
    </row>
    <row r="956" spans="14:19">
      <c r="N956" s="34"/>
      <c r="O956" s="34"/>
      <c r="P956" s="34"/>
      <c r="Q956" s="34"/>
      <c r="R956" s="34"/>
      <c r="S956" s="34"/>
    </row>
    <row r="957" spans="14:19">
      <c r="N957" s="34"/>
      <c r="O957" s="34"/>
      <c r="P957" s="34"/>
      <c r="Q957" s="34"/>
      <c r="R957" s="34"/>
      <c r="S957" s="34"/>
    </row>
    <row r="958" spans="14:19">
      <c r="N958" s="34"/>
      <c r="O958" s="34"/>
      <c r="P958" s="34"/>
      <c r="Q958" s="34"/>
      <c r="R958" s="34"/>
      <c r="S958" s="34"/>
    </row>
    <row r="959" spans="14:19">
      <c r="N959" s="34"/>
      <c r="O959" s="34"/>
      <c r="P959" s="34"/>
      <c r="Q959" s="34"/>
      <c r="R959" s="34"/>
      <c r="S959" s="34"/>
    </row>
    <row r="960" spans="14:19">
      <c r="N960" s="34"/>
      <c r="O960" s="34"/>
      <c r="P960" s="34"/>
      <c r="Q960" s="34"/>
      <c r="R960" s="34"/>
      <c r="S960" s="34"/>
    </row>
    <row r="961" spans="14:19">
      <c r="N961" s="34"/>
      <c r="O961" s="34"/>
      <c r="P961" s="34"/>
      <c r="Q961" s="34"/>
      <c r="R961" s="34"/>
      <c r="S961" s="34"/>
    </row>
    <row r="962" spans="14:19">
      <c r="N962" s="34"/>
      <c r="O962" s="34"/>
      <c r="P962" s="34"/>
      <c r="Q962" s="34"/>
      <c r="R962" s="34"/>
      <c r="S962" s="34"/>
    </row>
    <row r="963" spans="14:19">
      <c r="N963" s="34"/>
      <c r="O963" s="34"/>
      <c r="P963" s="34"/>
      <c r="Q963" s="34"/>
      <c r="R963" s="34"/>
      <c r="S963" s="34"/>
    </row>
    <row r="964" spans="14:19">
      <c r="N964" s="34"/>
      <c r="O964" s="34"/>
      <c r="P964" s="34"/>
      <c r="Q964" s="34"/>
      <c r="R964" s="34"/>
      <c r="S964" s="34"/>
    </row>
    <row r="965" spans="14:19">
      <c r="N965" s="34"/>
      <c r="O965" s="34"/>
      <c r="P965" s="34"/>
      <c r="Q965" s="34"/>
      <c r="R965" s="34"/>
      <c r="S965" s="34"/>
    </row>
    <row r="966" spans="14:19">
      <c r="N966" s="34"/>
      <c r="O966" s="34"/>
      <c r="P966" s="34"/>
      <c r="Q966" s="34"/>
      <c r="R966" s="34"/>
      <c r="S966" s="34"/>
    </row>
    <row r="967" spans="14:19">
      <c r="N967" s="34"/>
      <c r="O967" s="34"/>
      <c r="P967" s="34"/>
      <c r="Q967" s="34"/>
      <c r="R967" s="34"/>
      <c r="S967" s="34"/>
    </row>
    <row r="968" spans="14:19">
      <c r="N968" s="34"/>
      <c r="O968" s="34"/>
      <c r="P968" s="34"/>
      <c r="Q968" s="34"/>
      <c r="R968" s="34"/>
      <c r="S968" s="34"/>
    </row>
    <row r="969" spans="14:19">
      <c r="N969" s="34"/>
      <c r="O969" s="34"/>
      <c r="P969" s="34"/>
      <c r="Q969" s="34"/>
      <c r="R969" s="34"/>
      <c r="S969" s="34"/>
    </row>
    <row r="970" spans="14:19">
      <c r="N970" s="34"/>
      <c r="O970" s="34"/>
      <c r="P970" s="34"/>
      <c r="Q970" s="34"/>
      <c r="R970" s="34"/>
      <c r="S970" s="34"/>
    </row>
    <row r="971" spans="14:19">
      <c r="N971" s="34"/>
      <c r="O971" s="34"/>
      <c r="P971" s="34"/>
      <c r="Q971" s="34"/>
      <c r="R971" s="34"/>
      <c r="S971" s="34"/>
    </row>
    <row r="972" spans="14:19">
      <c r="N972" s="34"/>
      <c r="O972" s="34"/>
      <c r="P972" s="34"/>
      <c r="Q972" s="34"/>
      <c r="R972" s="34"/>
      <c r="S972" s="34"/>
    </row>
    <row r="973" spans="14:19">
      <c r="N973" s="34"/>
      <c r="O973" s="34"/>
      <c r="P973" s="34"/>
      <c r="Q973" s="34"/>
      <c r="R973" s="34"/>
      <c r="S973" s="34"/>
    </row>
    <row r="974" spans="14:19">
      <c r="N974" s="34"/>
      <c r="O974" s="34"/>
      <c r="P974" s="34"/>
      <c r="Q974" s="34"/>
      <c r="R974" s="34"/>
      <c r="S974" s="34"/>
    </row>
    <row r="975" spans="14:19">
      <c r="N975" s="34"/>
      <c r="O975" s="34"/>
      <c r="P975" s="34"/>
      <c r="Q975" s="34"/>
      <c r="R975" s="34"/>
      <c r="S975" s="34"/>
    </row>
    <row r="976" spans="14:19">
      <c r="N976" s="34"/>
      <c r="O976" s="34"/>
      <c r="P976" s="34"/>
      <c r="Q976" s="34"/>
      <c r="R976" s="34"/>
      <c r="S976" s="34"/>
    </row>
    <row r="977" spans="14:19">
      <c r="N977" s="34"/>
      <c r="O977" s="34"/>
      <c r="P977" s="34"/>
      <c r="Q977" s="34"/>
      <c r="R977" s="34"/>
      <c r="S977" s="34"/>
    </row>
    <row r="978" spans="14:19">
      <c r="N978" s="34"/>
      <c r="O978" s="34"/>
      <c r="P978" s="34"/>
      <c r="Q978" s="34"/>
      <c r="R978" s="34"/>
      <c r="S978" s="34"/>
    </row>
    <row r="979" spans="14:19">
      <c r="N979" s="34"/>
      <c r="O979" s="34"/>
      <c r="P979" s="34"/>
      <c r="Q979" s="34"/>
      <c r="R979" s="34"/>
      <c r="S979" s="34"/>
    </row>
    <row r="980" spans="14:19">
      <c r="N980" s="34"/>
      <c r="O980" s="34"/>
      <c r="P980" s="34"/>
      <c r="Q980" s="34"/>
      <c r="R980" s="34"/>
      <c r="S980" s="34"/>
    </row>
    <row r="981" spans="14:19">
      <c r="N981" s="34"/>
      <c r="O981" s="34"/>
      <c r="P981" s="34"/>
      <c r="Q981" s="34"/>
      <c r="R981" s="34"/>
      <c r="S981" s="34"/>
    </row>
    <row r="982" spans="14:19">
      <c r="N982" s="34"/>
      <c r="O982" s="34"/>
      <c r="P982" s="34"/>
      <c r="Q982" s="34"/>
      <c r="R982" s="34"/>
      <c r="S982" s="34"/>
    </row>
    <row r="983" spans="14:19">
      <c r="N983" s="34"/>
      <c r="O983" s="34"/>
      <c r="P983" s="34"/>
      <c r="Q983" s="34"/>
      <c r="R983" s="34"/>
      <c r="S983" s="34"/>
    </row>
    <row r="984" spans="14:19">
      <c r="N984" s="34"/>
      <c r="O984" s="34"/>
      <c r="P984" s="34"/>
      <c r="Q984" s="34"/>
      <c r="R984" s="34"/>
      <c r="S984" s="34"/>
    </row>
    <row r="985" spans="14:19">
      <c r="N985" s="34"/>
      <c r="O985" s="34"/>
      <c r="P985" s="34"/>
      <c r="Q985" s="34"/>
      <c r="R985" s="34"/>
      <c r="S985" s="34"/>
    </row>
    <row r="986" spans="14:19">
      <c r="N986" s="34"/>
      <c r="O986" s="34"/>
      <c r="P986" s="34"/>
      <c r="Q986" s="34"/>
      <c r="R986" s="34"/>
      <c r="S986" s="34"/>
    </row>
    <row r="987" spans="14:19">
      <c r="N987" s="34"/>
      <c r="O987" s="34"/>
      <c r="P987" s="34"/>
      <c r="Q987" s="34"/>
      <c r="R987" s="34"/>
      <c r="S987" s="34"/>
    </row>
    <row r="988" spans="14:19">
      <c r="N988" s="34"/>
      <c r="O988" s="34"/>
      <c r="P988" s="34"/>
      <c r="Q988" s="34"/>
      <c r="R988" s="34"/>
      <c r="S988" s="34"/>
    </row>
    <row r="989" spans="14:19">
      <c r="N989" s="34"/>
      <c r="O989" s="34"/>
      <c r="P989" s="34"/>
      <c r="Q989" s="34"/>
      <c r="R989" s="34"/>
      <c r="S989" s="34"/>
    </row>
    <row r="990" spans="14:19">
      <c r="N990" s="34"/>
      <c r="O990" s="34"/>
      <c r="P990" s="34"/>
      <c r="Q990" s="34"/>
      <c r="R990" s="34"/>
      <c r="S990" s="34"/>
    </row>
    <row r="991" spans="14:19">
      <c r="N991" s="34"/>
      <c r="O991" s="34"/>
      <c r="P991" s="34"/>
      <c r="Q991" s="34"/>
      <c r="R991" s="34"/>
      <c r="S991" s="34"/>
    </row>
    <row r="992" spans="14:19">
      <c r="N992" s="34"/>
      <c r="O992" s="34"/>
      <c r="P992" s="34"/>
      <c r="Q992" s="34"/>
      <c r="R992" s="34"/>
      <c r="S992" s="34"/>
    </row>
    <row r="993" spans="14:19">
      <c r="N993" s="34"/>
      <c r="O993" s="34"/>
      <c r="P993" s="34"/>
      <c r="Q993" s="34"/>
      <c r="R993" s="34"/>
      <c r="S993" s="34"/>
    </row>
    <row r="994" spans="14:19">
      <c r="N994" s="34"/>
      <c r="O994" s="34"/>
      <c r="P994" s="34"/>
      <c r="Q994" s="34"/>
      <c r="R994" s="34"/>
      <c r="S994" s="34"/>
    </row>
    <row r="995" spans="14:19">
      <c r="N995" s="34"/>
      <c r="O995" s="34"/>
      <c r="P995" s="34"/>
      <c r="Q995" s="34"/>
      <c r="R995" s="34"/>
      <c r="S995" s="34"/>
    </row>
    <row r="996" spans="14:19">
      <c r="N996" s="34"/>
      <c r="O996" s="34"/>
      <c r="P996" s="34"/>
      <c r="Q996" s="34"/>
      <c r="R996" s="34"/>
      <c r="S996" s="34"/>
    </row>
    <row r="997" spans="14:19">
      <c r="N997" s="34"/>
      <c r="O997" s="34"/>
      <c r="P997" s="34"/>
      <c r="Q997" s="34"/>
      <c r="R997" s="34"/>
      <c r="S997" s="34"/>
    </row>
    <row r="998" spans="14:19">
      <c r="N998" s="34"/>
      <c r="O998" s="34"/>
      <c r="P998" s="34"/>
      <c r="Q998" s="34"/>
      <c r="R998" s="34"/>
      <c r="S998" s="34"/>
    </row>
    <row r="999" spans="14:19">
      <c r="N999" s="34"/>
      <c r="O999" s="34"/>
      <c r="P999" s="34"/>
      <c r="Q999" s="34"/>
      <c r="R999" s="34"/>
      <c r="S999" s="34"/>
    </row>
    <row r="1000" spans="14:19">
      <c r="N1000" s="34"/>
      <c r="O1000" s="34"/>
      <c r="P1000" s="34"/>
      <c r="Q1000" s="34"/>
      <c r="R1000" s="34"/>
      <c r="S1000" s="34"/>
    </row>
    <row r="1001" spans="14:19">
      <c r="N1001" s="34"/>
      <c r="O1001" s="34"/>
      <c r="P1001" s="34"/>
      <c r="Q1001" s="34"/>
      <c r="R1001" s="34"/>
      <c r="S1001" s="34"/>
    </row>
    <row r="1002" spans="14:19">
      <c r="N1002" s="34"/>
      <c r="O1002" s="34"/>
      <c r="P1002" s="34"/>
      <c r="Q1002" s="34"/>
      <c r="R1002" s="34"/>
      <c r="S1002" s="34"/>
    </row>
    <row r="1003" spans="14:19">
      <c r="N1003" s="34"/>
      <c r="O1003" s="34"/>
      <c r="P1003" s="34"/>
      <c r="Q1003" s="34"/>
      <c r="R1003" s="34"/>
      <c r="S1003" s="34"/>
    </row>
    <row r="1004" spans="14:19">
      <c r="N1004" s="34"/>
      <c r="O1004" s="34"/>
      <c r="P1004" s="34"/>
      <c r="Q1004" s="34"/>
      <c r="R1004" s="34"/>
      <c r="S1004" s="34"/>
    </row>
    <row r="1005" spans="14:19">
      <c r="N1005" s="34"/>
      <c r="O1005" s="34"/>
      <c r="P1005" s="34"/>
      <c r="Q1005" s="34"/>
      <c r="R1005" s="34"/>
      <c r="S1005" s="34"/>
    </row>
    <row r="1006" spans="14:19">
      <c r="N1006" s="34"/>
      <c r="O1006" s="34"/>
      <c r="P1006" s="34"/>
      <c r="Q1006" s="34"/>
      <c r="R1006" s="34"/>
      <c r="S1006" s="34"/>
    </row>
    <row r="1007" spans="14:19">
      <c r="N1007" s="34"/>
      <c r="O1007" s="34"/>
      <c r="P1007" s="34"/>
      <c r="Q1007" s="34"/>
      <c r="R1007" s="34"/>
      <c r="S1007" s="34"/>
    </row>
    <row r="1008" spans="14:19">
      <c r="N1008" s="34"/>
      <c r="O1008" s="34"/>
      <c r="P1008" s="34"/>
      <c r="Q1008" s="34"/>
      <c r="R1008" s="34"/>
      <c r="S1008" s="34"/>
    </row>
    <row r="1009" spans="14:19">
      <c r="N1009" s="34"/>
      <c r="O1009" s="34"/>
      <c r="P1009" s="34"/>
      <c r="Q1009" s="34"/>
      <c r="R1009" s="34"/>
      <c r="S1009" s="34"/>
    </row>
    <row r="1010" spans="14:19">
      <c r="N1010" s="34"/>
      <c r="O1010" s="34"/>
      <c r="P1010" s="34"/>
      <c r="Q1010" s="34"/>
      <c r="R1010" s="34"/>
      <c r="S1010" s="34"/>
    </row>
    <row r="1011" spans="14:19">
      <c r="N1011" s="34"/>
      <c r="O1011" s="34"/>
      <c r="P1011" s="34"/>
      <c r="Q1011" s="34"/>
      <c r="R1011" s="34"/>
      <c r="S1011" s="34"/>
    </row>
    <row r="1012" spans="14:19">
      <c r="N1012" s="34"/>
      <c r="O1012" s="34"/>
      <c r="P1012" s="34"/>
      <c r="Q1012" s="34"/>
      <c r="R1012" s="34"/>
      <c r="S1012" s="34"/>
    </row>
    <row r="1013" spans="14:19">
      <c r="N1013" s="34"/>
      <c r="O1013" s="34"/>
      <c r="P1013" s="34"/>
      <c r="Q1013" s="34"/>
      <c r="R1013" s="34"/>
      <c r="S1013" s="34"/>
    </row>
    <row r="1014" spans="14:19">
      <c r="N1014" s="34"/>
      <c r="O1014" s="34"/>
      <c r="P1014" s="34"/>
      <c r="Q1014" s="34"/>
      <c r="R1014" s="34"/>
      <c r="S1014" s="34"/>
    </row>
    <row r="1015" spans="14:19">
      <c r="N1015" s="34"/>
      <c r="O1015" s="34"/>
      <c r="P1015" s="34"/>
      <c r="Q1015" s="34"/>
      <c r="R1015" s="34"/>
      <c r="S1015" s="34"/>
    </row>
    <row r="1016" spans="14:19">
      <c r="N1016" s="34"/>
      <c r="O1016" s="34"/>
      <c r="P1016" s="34"/>
      <c r="Q1016" s="34"/>
      <c r="R1016" s="34"/>
      <c r="S1016" s="34"/>
    </row>
    <row r="1017" spans="14:19">
      <c r="N1017" s="34"/>
      <c r="O1017" s="34"/>
      <c r="P1017" s="34"/>
      <c r="Q1017" s="34"/>
      <c r="R1017" s="34"/>
      <c r="S1017" s="34"/>
    </row>
    <row r="1018" spans="14:19">
      <c r="N1018" s="34"/>
      <c r="O1018" s="34"/>
      <c r="P1018" s="34"/>
      <c r="Q1018" s="34"/>
      <c r="R1018" s="34"/>
      <c r="S1018" s="34"/>
    </row>
    <row r="1019" spans="14:19">
      <c r="N1019" s="34"/>
      <c r="O1019" s="34"/>
      <c r="P1019" s="34"/>
      <c r="Q1019" s="34"/>
      <c r="R1019" s="34"/>
      <c r="S1019" s="34"/>
    </row>
    <row r="1020" spans="14:19">
      <c r="N1020" s="34"/>
      <c r="O1020" s="34"/>
      <c r="P1020" s="34"/>
      <c r="Q1020" s="34"/>
      <c r="R1020" s="34"/>
      <c r="S1020" s="34"/>
    </row>
    <row r="1021" spans="14:19">
      <c r="N1021" s="34"/>
      <c r="O1021" s="34"/>
      <c r="P1021" s="34"/>
      <c r="Q1021" s="34"/>
      <c r="R1021" s="34"/>
      <c r="S1021" s="34"/>
    </row>
    <row r="1022" spans="14:19">
      <c r="N1022" s="34"/>
      <c r="O1022" s="34"/>
      <c r="P1022" s="34"/>
      <c r="Q1022" s="34"/>
      <c r="R1022" s="34"/>
      <c r="S1022" s="34"/>
    </row>
    <row r="1023" spans="14:19">
      <c r="N1023" s="34"/>
      <c r="O1023" s="34"/>
      <c r="P1023" s="34"/>
      <c r="Q1023" s="34"/>
      <c r="R1023" s="34"/>
      <c r="S1023" s="34"/>
    </row>
    <row r="1024" spans="14:19">
      <c r="N1024" s="34"/>
      <c r="O1024" s="34"/>
      <c r="P1024" s="34"/>
      <c r="Q1024" s="34"/>
      <c r="R1024" s="34"/>
      <c r="S1024" s="34"/>
    </row>
    <row r="1025" spans="14:19">
      <c r="N1025" s="34"/>
      <c r="O1025" s="34"/>
      <c r="P1025" s="34"/>
      <c r="Q1025" s="34"/>
      <c r="R1025" s="34"/>
      <c r="S1025" s="34"/>
    </row>
    <row r="1026" spans="14:19">
      <c r="N1026" s="34"/>
      <c r="O1026" s="34"/>
      <c r="P1026" s="34"/>
      <c r="Q1026" s="34"/>
      <c r="R1026" s="34"/>
      <c r="S1026" s="34"/>
    </row>
    <row r="1027" spans="14:19">
      <c r="N1027" s="34"/>
      <c r="O1027" s="34"/>
      <c r="P1027" s="34"/>
      <c r="Q1027" s="34"/>
      <c r="R1027" s="34"/>
      <c r="S1027" s="34"/>
    </row>
    <row r="1028" spans="14:19">
      <c r="N1028" s="34"/>
      <c r="O1028" s="34"/>
      <c r="P1028" s="34"/>
      <c r="Q1028" s="34"/>
      <c r="R1028" s="34"/>
      <c r="S1028" s="34"/>
    </row>
    <row r="1029" spans="14:19">
      <c r="N1029" s="34"/>
      <c r="O1029" s="34"/>
      <c r="P1029" s="34"/>
      <c r="Q1029" s="34"/>
      <c r="R1029" s="34"/>
      <c r="S1029" s="34"/>
    </row>
    <row r="1030" spans="14:19">
      <c r="N1030" s="34"/>
      <c r="O1030" s="34"/>
      <c r="P1030" s="34"/>
      <c r="Q1030" s="34"/>
      <c r="R1030" s="34"/>
      <c r="S1030" s="34"/>
    </row>
    <row r="1031" spans="14:19">
      <c r="N1031" s="34"/>
      <c r="O1031" s="34"/>
      <c r="P1031" s="34"/>
      <c r="Q1031" s="34"/>
      <c r="R1031" s="34"/>
      <c r="S1031" s="34"/>
    </row>
    <row r="1032" spans="14:19">
      <c r="N1032" s="34"/>
      <c r="O1032" s="34"/>
      <c r="P1032" s="34"/>
      <c r="Q1032" s="34"/>
      <c r="R1032" s="34"/>
      <c r="S1032" s="34"/>
    </row>
    <row r="1033" spans="14:19">
      <c r="N1033" s="34"/>
      <c r="O1033" s="34"/>
      <c r="P1033" s="34"/>
      <c r="Q1033" s="34"/>
      <c r="R1033" s="34"/>
      <c r="S1033" s="34"/>
    </row>
    <row r="1034" spans="14:19">
      <c r="N1034" s="34"/>
      <c r="O1034" s="34"/>
      <c r="P1034" s="34"/>
      <c r="Q1034" s="34"/>
      <c r="R1034" s="34"/>
      <c r="S1034" s="34"/>
    </row>
    <row r="1035" spans="14:19">
      <c r="N1035" s="34"/>
      <c r="O1035" s="34"/>
      <c r="P1035" s="34"/>
      <c r="Q1035" s="34"/>
      <c r="R1035" s="34"/>
      <c r="S1035" s="34"/>
    </row>
    <row r="1036" spans="14:19">
      <c r="N1036" s="34"/>
      <c r="O1036" s="34"/>
      <c r="P1036" s="34"/>
      <c r="Q1036" s="34"/>
      <c r="R1036" s="34"/>
      <c r="S1036" s="34"/>
    </row>
    <row r="1037" spans="14:19">
      <c r="N1037" s="34"/>
      <c r="O1037" s="34"/>
      <c r="P1037" s="34"/>
      <c r="Q1037" s="34"/>
      <c r="R1037" s="34"/>
      <c r="S1037" s="34"/>
    </row>
    <row r="1038" spans="14:19">
      <c r="N1038" s="34"/>
      <c r="O1038" s="34"/>
      <c r="P1038" s="34"/>
      <c r="Q1038" s="34"/>
      <c r="R1038" s="34"/>
      <c r="S1038" s="34"/>
    </row>
    <row r="1039" spans="14:19">
      <c r="N1039" s="34"/>
      <c r="O1039" s="34"/>
      <c r="P1039" s="34"/>
      <c r="Q1039" s="34"/>
      <c r="R1039" s="34"/>
      <c r="S1039" s="34"/>
    </row>
    <row r="1040" spans="14:19">
      <c r="N1040" s="34"/>
      <c r="O1040" s="34"/>
      <c r="P1040" s="34"/>
      <c r="Q1040" s="34"/>
      <c r="R1040" s="34"/>
      <c r="S1040" s="34"/>
    </row>
    <row r="1041" spans="14:19">
      <c r="N1041" s="34"/>
      <c r="O1041" s="34"/>
      <c r="P1041" s="34"/>
      <c r="Q1041" s="34"/>
      <c r="R1041" s="34"/>
      <c r="S1041" s="34"/>
    </row>
    <row r="1042" spans="14:19">
      <c r="N1042" s="34"/>
      <c r="O1042" s="34"/>
      <c r="P1042" s="34"/>
      <c r="Q1042" s="34"/>
      <c r="R1042" s="34"/>
      <c r="S1042" s="34"/>
    </row>
    <row r="1043" spans="14:19">
      <c r="N1043" s="34"/>
      <c r="O1043" s="34"/>
      <c r="P1043" s="34"/>
      <c r="Q1043" s="34"/>
      <c r="R1043" s="34"/>
      <c r="S1043" s="34"/>
    </row>
    <row r="1044" spans="14:19">
      <c r="N1044" s="34"/>
      <c r="O1044" s="34"/>
      <c r="P1044" s="34"/>
      <c r="Q1044" s="34"/>
      <c r="R1044" s="34"/>
      <c r="S1044" s="34"/>
    </row>
    <row r="1045" spans="14:19">
      <c r="N1045" s="34"/>
      <c r="O1045" s="34"/>
      <c r="P1045" s="34"/>
      <c r="Q1045" s="34"/>
      <c r="R1045" s="34"/>
      <c r="S1045" s="34"/>
    </row>
    <row r="1046" spans="14:19">
      <c r="N1046" s="34"/>
      <c r="O1046" s="34"/>
      <c r="P1046" s="34"/>
      <c r="Q1046" s="34"/>
      <c r="R1046" s="34"/>
      <c r="S1046" s="34"/>
    </row>
    <row r="1047" spans="14:19">
      <c r="N1047" s="34"/>
      <c r="O1047" s="34"/>
      <c r="P1047" s="34"/>
      <c r="Q1047" s="34"/>
      <c r="R1047" s="34"/>
      <c r="S1047" s="34"/>
    </row>
    <row r="1048" spans="14:19">
      <c r="N1048" s="34"/>
      <c r="O1048" s="34"/>
      <c r="P1048" s="34"/>
      <c r="Q1048" s="34"/>
      <c r="R1048" s="34"/>
      <c r="S1048" s="34"/>
    </row>
    <row r="1049" spans="14:19">
      <c r="N1049" s="34"/>
      <c r="O1049" s="34"/>
      <c r="P1049" s="34"/>
      <c r="Q1049" s="34"/>
      <c r="R1049" s="34"/>
      <c r="S1049" s="34"/>
    </row>
    <row r="1050" spans="14:19">
      <c r="N1050" s="34"/>
      <c r="O1050" s="34"/>
      <c r="P1050" s="34"/>
      <c r="Q1050" s="34"/>
      <c r="R1050" s="34"/>
      <c r="S1050" s="34"/>
    </row>
    <row r="1051" spans="14:19">
      <c r="N1051" s="34"/>
      <c r="O1051" s="34"/>
      <c r="P1051" s="34"/>
      <c r="Q1051" s="34"/>
      <c r="R1051" s="34"/>
      <c r="S1051" s="34"/>
    </row>
    <row r="1052" spans="14:19">
      <c r="N1052" s="34"/>
      <c r="O1052" s="34"/>
      <c r="P1052" s="34"/>
      <c r="Q1052" s="34"/>
      <c r="R1052" s="34"/>
      <c r="S1052" s="34"/>
    </row>
    <row r="1053" spans="14:19">
      <c r="N1053" s="34"/>
      <c r="O1053" s="34"/>
      <c r="P1053" s="34"/>
      <c r="Q1053" s="34"/>
      <c r="R1053" s="34"/>
      <c r="S1053" s="34"/>
    </row>
    <row r="1054" spans="14:19">
      <c r="N1054" s="34"/>
      <c r="O1054" s="34"/>
      <c r="P1054" s="34"/>
      <c r="Q1054" s="34"/>
      <c r="R1054" s="34"/>
      <c r="S1054" s="34"/>
    </row>
    <row r="1055" spans="14:19">
      <c r="N1055" s="34"/>
      <c r="O1055" s="34"/>
      <c r="P1055" s="34"/>
      <c r="Q1055" s="34"/>
      <c r="R1055" s="34"/>
      <c r="S1055" s="34"/>
    </row>
    <row r="1056" spans="14:19">
      <c r="N1056" s="34"/>
      <c r="O1056" s="34"/>
      <c r="P1056" s="34"/>
      <c r="Q1056" s="34"/>
      <c r="R1056" s="34"/>
      <c r="S1056" s="34"/>
    </row>
    <row r="1057" spans="14:19">
      <c r="N1057" s="34"/>
      <c r="O1057" s="34"/>
      <c r="P1057" s="34"/>
      <c r="Q1057" s="34"/>
      <c r="R1057" s="34"/>
      <c r="S1057" s="34"/>
    </row>
    <row r="1058" spans="14:19">
      <c r="N1058" s="34"/>
      <c r="O1058" s="34"/>
      <c r="P1058" s="34"/>
      <c r="Q1058" s="34"/>
      <c r="R1058" s="34"/>
      <c r="S1058" s="34"/>
    </row>
    <row r="1059" spans="14:19">
      <c r="N1059" s="34"/>
      <c r="O1059" s="34"/>
      <c r="P1059" s="34"/>
      <c r="Q1059" s="34"/>
      <c r="R1059" s="34"/>
      <c r="S1059" s="34"/>
    </row>
    <row r="1060" spans="14:19">
      <c r="N1060" s="34"/>
      <c r="O1060" s="34"/>
      <c r="P1060" s="34"/>
      <c r="Q1060" s="34"/>
      <c r="R1060" s="34"/>
      <c r="S1060" s="34"/>
    </row>
    <row r="1061" spans="14:19">
      <c r="N1061" s="34"/>
      <c r="O1061" s="34"/>
      <c r="P1061" s="34"/>
      <c r="Q1061" s="34"/>
      <c r="R1061" s="34"/>
      <c r="S1061" s="34"/>
    </row>
    <row r="1062" spans="14:19">
      <c r="N1062" s="34"/>
      <c r="O1062" s="34"/>
      <c r="P1062" s="34"/>
      <c r="Q1062" s="34"/>
      <c r="R1062" s="34"/>
      <c r="S1062" s="34"/>
    </row>
    <row r="1063" spans="14:19">
      <c r="N1063" s="34"/>
      <c r="O1063" s="34"/>
      <c r="P1063" s="34"/>
      <c r="Q1063" s="34"/>
      <c r="R1063" s="34"/>
      <c r="S1063" s="34"/>
    </row>
    <row r="1064" spans="14:19">
      <c r="N1064" s="34"/>
      <c r="O1064" s="34"/>
      <c r="P1064" s="34"/>
      <c r="Q1064" s="34"/>
      <c r="R1064" s="34"/>
      <c r="S1064" s="34"/>
    </row>
    <row r="1065" spans="14:19">
      <c r="N1065" s="34"/>
      <c r="O1065" s="34"/>
      <c r="P1065" s="34"/>
      <c r="Q1065" s="34"/>
      <c r="R1065" s="34"/>
      <c r="S1065" s="34"/>
    </row>
    <row r="1066" spans="14:19">
      <c r="N1066" s="34"/>
      <c r="O1066" s="34"/>
      <c r="P1066" s="34"/>
      <c r="Q1066" s="34"/>
      <c r="R1066" s="34"/>
      <c r="S1066" s="34"/>
    </row>
    <row r="1067" spans="14:19">
      <c r="N1067" s="34"/>
      <c r="O1067" s="34"/>
      <c r="P1067" s="34"/>
      <c r="Q1067" s="34"/>
      <c r="R1067" s="34"/>
      <c r="S1067" s="34"/>
    </row>
    <row r="1068" spans="14:19">
      <c r="N1068" s="34"/>
      <c r="O1068" s="34"/>
      <c r="P1068" s="34"/>
      <c r="Q1068" s="34"/>
      <c r="R1068" s="34"/>
      <c r="S1068" s="34"/>
    </row>
    <row r="1069" spans="14:19">
      <c r="N1069" s="34"/>
      <c r="O1069" s="34"/>
      <c r="P1069" s="34"/>
      <c r="Q1069" s="34"/>
      <c r="R1069" s="34"/>
      <c r="S1069" s="34"/>
    </row>
    <row r="1070" spans="14:19">
      <c r="N1070" s="34"/>
      <c r="O1070" s="34"/>
      <c r="P1070" s="34"/>
      <c r="Q1070" s="34"/>
      <c r="R1070" s="34"/>
      <c r="S1070" s="34"/>
    </row>
    <row r="1071" spans="14:19">
      <c r="N1071" s="34"/>
      <c r="O1071" s="34"/>
      <c r="P1071" s="34"/>
      <c r="Q1071" s="34"/>
      <c r="R1071" s="34"/>
      <c r="S1071" s="34"/>
    </row>
    <row r="1072" spans="14:19">
      <c r="N1072" s="34"/>
      <c r="O1072" s="34"/>
      <c r="P1072" s="34"/>
      <c r="Q1072" s="34"/>
      <c r="R1072" s="34"/>
      <c r="S1072" s="34"/>
    </row>
    <row r="1073" spans="14:19">
      <c r="N1073" s="34"/>
      <c r="O1073" s="34"/>
      <c r="P1073" s="34"/>
      <c r="Q1073" s="34"/>
      <c r="R1073" s="34"/>
      <c r="S1073" s="34"/>
    </row>
    <row r="1074" spans="14:19">
      <c r="N1074" s="34"/>
      <c r="O1074" s="34"/>
      <c r="P1074" s="34"/>
      <c r="Q1074" s="34"/>
      <c r="R1074" s="34"/>
      <c r="S1074" s="34"/>
    </row>
    <row r="1075" spans="14:19">
      <c r="N1075" s="34"/>
      <c r="O1075" s="34"/>
      <c r="P1075" s="34"/>
      <c r="Q1075" s="34"/>
      <c r="R1075" s="34"/>
      <c r="S1075" s="34"/>
    </row>
    <row r="1076" spans="14:19">
      <c r="N1076" s="34"/>
      <c r="O1076" s="34"/>
      <c r="P1076" s="34"/>
      <c r="Q1076" s="34"/>
      <c r="R1076" s="34"/>
      <c r="S1076" s="34"/>
    </row>
    <row r="1077" spans="14:19">
      <c r="N1077" s="34"/>
      <c r="O1077" s="34"/>
      <c r="P1077" s="34"/>
      <c r="Q1077" s="34"/>
      <c r="R1077" s="34"/>
      <c r="S1077" s="34"/>
    </row>
    <row r="1078" spans="14:19">
      <c r="N1078" s="34"/>
      <c r="O1078" s="34"/>
      <c r="P1078" s="34"/>
      <c r="Q1078" s="34"/>
      <c r="R1078" s="34"/>
      <c r="S1078" s="34"/>
    </row>
    <row r="1079" spans="14:19">
      <c r="N1079" s="34"/>
      <c r="O1079" s="34"/>
      <c r="P1079" s="34"/>
      <c r="Q1079" s="34"/>
      <c r="R1079" s="34"/>
      <c r="S1079" s="34"/>
    </row>
    <row r="1080" spans="14:19">
      <c r="N1080" s="34"/>
      <c r="O1080" s="34"/>
      <c r="P1080" s="34"/>
      <c r="Q1080" s="34"/>
      <c r="R1080" s="34"/>
      <c r="S1080" s="34"/>
    </row>
    <row r="1081" spans="14:19">
      <c r="N1081" s="34"/>
      <c r="O1081" s="34"/>
      <c r="P1081" s="34"/>
      <c r="Q1081" s="34"/>
      <c r="R1081" s="34"/>
      <c r="S1081" s="34"/>
    </row>
    <row r="1082" spans="14:19">
      <c r="N1082" s="34"/>
      <c r="O1082" s="34"/>
      <c r="P1082" s="34"/>
      <c r="Q1082" s="34"/>
      <c r="R1082" s="34"/>
      <c r="S1082" s="34"/>
    </row>
    <row r="1083" spans="14:19">
      <c r="N1083" s="34"/>
      <c r="O1083" s="34"/>
      <c r="P1083" s="34"/>
      <c r="Q1083" s="34"/>
      <c r="R1083" s="34"/>
      <c r="S1083" s="34"/>
    </row>
    <row r="1084" spans="14:19">
      <c r="N1084" s="34"/>
      <c r="O1084" s="34"/>
      <c r="P1084" s="34"/>
      <c r="Q1084" s="34"/>
      <c r="R1084" s="34"/>
      <c r="S1084" s="34"/>
    </row>
    <row r="1085" spans="14:19">
      <c r="N1085" s="34"/>
      <c r="O1085" s="34"/>
      <c r="P1085" s="34"/>
      <c r="Q1085" s="34"/>
      <c r="R1085" s="34"/>
      <c r="S1085" s="34"/>
    </row>
    <row r="1086" spans="14:19">
      <c r="N1086" s="34"/>
      <c r="O1086" s="34"/>
      <c r="P1086" s="34"/>
      <c r="Q1086" s="34"/>
      <c r="R1086" s="34"/>
      <c r="S1086" s="34"/>
    </row>
    <row r="1087" spans="14:19">
      <c r="N1087" s="34"/>
      <c r="O1087" s="34"/>
      <c r="P1087" s="34"/>
      <c r="Q1087" s="34"/>
      <c r="R1087" s="34"/>
      <c r="S1087" s="34"/>
    </row>
    <row r="1088" spans="14:19">
      <c r="N1088" s="34"/>
      <c r="O1088" s="34"/>
      <c r="P1088" s="34"/>
      <c r="Q1088" s="34"/>
      <c r="R1088" s="34"/>
      <c r="S1088" s="34"/>
    </row>
    <row r="1089" spans="14:19">
      <c r="N1089" s="34"/>
      <c r="O1089" s="34"/>
      <c r="P1089" s="34"/>
      <c r="Q1089" s="34"/>
      <c r="R1089" s="34"/>
      <c r="S1089" s="34"/>
    </row>
    <row r="1090" spans="14:19">
      <c r="N1090" s="34"/>
      <c r="O1090" s="34"/>
      <c r="P1090" s="34"/>
      <c r="Q1090" s="34"/>
      <c r="R1090" s="34"/>
      <c r="S1090" s="34"/>
    </row>
    <row r="1091" spans="14:19">
      <c r="N1091" s="34"/>
      <c r="O1091" s="34"/>
      <c r="P1091" s="34"/>
      <c r="Q1091" s="34"/>
      <c r="R1091" s="34"/>
      <c r="S1091" s="34"/>
    </row>
    <row r="1092" spans="14:19">
      <c r="N1092" s="34"/>
      <c r="O1092" s="34"/>
      <c r="P1092" s="34"/>
      <c r="Q1092" s="34"/>
      <c r="R1092" s="34"/>
      <c r="S1092" s="34"/>
    </row>
    <row r="1093" spans="14:19">
      <c r="N1093" s="34"/>
      <c r="O1093" s="34"/>
      <c r="P1093" s="34"/>
      <c r="Q1093" s="34"/>
      <c r="R1093" s="34"/>
      <c r="S1093" s="34"/>
    </row>
    <row r="1094" spans="14:19">
      <c r="N1094" s="34"/>
      <c r="O1094" s="34"/>
      <c r="P1094" s="34"/>
      <c r="Q1094" s="34"/>
      <c r="R1094" s="34"/>
      <c r="S1094" s="34"/>
    </row>
    <row r="1095" spans="14:19">
      <c r="N1095" s="34"/>
      <c r="O1095" s="34"/>
      <c r="P1095" s="34"/>
      <c r="Q1095" s="34"/>
      <c r="R1095" s="34"/>
      <c r="S1095" s="34"/>
    </row>
    <row r="1096" spans="14:19">
      <c r="N1096" s="34"/>
      <c r="O1096" s="34"/>
      <c r="P1096" s="34"/>
      <c r="Q1096" s="34"/>
      <c r="R1096" s="34"/>
      <c r="S1096" s="34"/>
    </row>
    <row r="1097" spans="14:19">
      <c r="N1097" s="34"/>
      <c r="O1097" s="34"/>
      <c r="P1097" s="34"/>
      <c r="Q1097" s="34"/>
      <c r="R1097" s="34"/>
      <c r="S1097" s="34"/>
    </row>
    <row r="1098" spans="14:19">
      <c r="N1098" s="34"/>
      <c r="O1098" s="34"/>
      <c r="P1098" s="34"/>
      <c r="Q1098" s="34"/>
      <c r="R1098" s="34"/>
      <c r="S1098" s="34"/>
    </row>
    <row r="1099" spans="14:19">
      <c r="N1099" s="34"/>
      <c r="O1099" s="34"/>
      <c r="P1099" s="34"/>
      <c r="Q1099" s="34"/>
      <c r="R1099" s="34"/>
      <c r="S1099" s="34"/>
    </row>
    <row r="1100" spans="14:19">
      <c r="N1100" s="34"/>
      <c r="O1100" s="34"/>
      <c r="P1100" s="34"/>
      <c r="Q1100" s="34"/>
      <c r="R1100" s="34"/>
      <c r="S1100" s="34"/>
    </row>
    <row r="1101" spans="14:19">
      <c r="N1101" s="34"/>
      <c r="O1101" s="34"/>
      <c r="P1101" s="34"/>
      <c r="Q1101" s="34"/>
      <c r="R1101" s="34"/>
      <c r="S1101" s="34"/>
    </row>
    <row r="1102" spans="14:19">
      <c r="N1102" s="34"/>
      <c r="O1102" s="34"/>
      <c r="P1102" s="34"/>
      <c r="Q1102" s="34"/>
      <c r="R1102" s="34"/>
      <c r="S1102" s="34"/>
    </row>
    <row r="1103" spans="14:19">
      <c r="N1103" s="34"/>
      <c r="O1103" s="34"/>
      <c r="P1103" s="34"/>
      <c r="Q1103" s="34"/>
      <c r="R1103" s="34"/>
      <c r="S1103" s="34"/>
    </row>
    <row r="1104" spans="14:19">
      <c r="N1104" s="34"/>
      <c r="O1104" s="34"/>
      <c r="P1104" s="34"/>
      <c r="Q1104" s="34"/>
      <c r="R1104" s="34"/>
      <c r="S1104" s="34"/>
    </row>
    <row r="1105" spans="14:19">
      <c r="N1105" s="34"/>
      <c r="O1105" s="34"/>
      <c r="P1105" s="34"/>
      <c r="Q1105" s="34"/>
      <c r="R1105" s="34"/>
      <c r="S1105" s="34"/>
    </row>
    <row r="1106" spans="14:19">
      <c r="N1106" s="34"/>
      <c r="O1106" s="34"/>
      <c r="P1106" s="34"/>
      <c r="Q1106" s="34"/>
      <c r="R1106" s="34"/>
      <c r="S1106" s="34"/>
    </row>
    <row r="1107" spans="14:19">
      <c r="N1107" s="34"/>
      <c r="O1107" s="34"/>
      <c r="P1107" s="34"/>
      <c r="Q1107" s="34"/>
      <c r="R1107" s="34"/>
      <c r="S1107" s="34"/>
    </row>
    <row r="1108" spans="14:19">
      <c r="N1108" s="34"/>
      <c r="O1108" s="34"/>
      <c r="P1108" s="34"/>
      <c r="Q1108" s="34"/>
      <c r="R1108" s="34"/>
      <c r="S1108" s="34"/>
    </row>
    <row r="1109" spans="14:19">
      <c r="N1109" s="34"/>
      <c r="O1109" s="34"/>
      <c r="P1109" s="34"/>
      <c r="Q1109" s="34"/>
      <c r="R1109" s="34"/>
      <c r="S1109" s="34"/>
    </row>
    <row r="1110" spans="14:19">
      <c r="N1110" s="34"/>
      <c r="O1110" s="34"/>
      <c r="P1110" s="34"/>
      <c r="Q1110" s="34"/>
      <c r="R1110" s="34"/>
      <c r="S1110" s="34"/>
    </row>
    <row r="1111" spans="14:19">
      <c r="N1111" s="34"/>
      <c r="O1111" s="34"/>
      <c r="P1111" s="34"/>
      <c r="Q1111" s="34"/>
      <c r="R1111" s="34"/>
      <c r="S1111" s="34"/>
    </row>
    <row r="1112" spans="14:19">
      <c r="N1112" s="34"/>
      <c r="O1112" s="34"/>
      <c r="P1112" s="34"/>
      <c r="Q1112" s="34"/>
      <c r="R1112" s="34"/>
      <c r="S1112" s="34"/>
    </row>
    <row r="1113" spans="14:19">
      <c r="N1113" s="34"/>
      <c r="O1113" s="34"/>
      <c r="P1113" s="34"/>
      <c r="Q1113" s="34"/>
      <c r="R1113" s="34"/>
      <c r="S1113" s="34"/>
    </row>
    <row r="1114" spans="14:19">
      <c r="N1114" s="34"/>
      <c r="O1114" s="34"/>
      <c r="P1114" s="34"/>
      <c r="Q1114" s="34"/>
      <c r="R1114" s="34"/>
      <c r="S1114" s="34"/>
    </row>
    <row r="1115" spans="14:19">
      <c r="N1115" s="34"/>
      <c r="O1115" s="34"/>
      <c r="P1115" s="34"/>
      <c r="Q1115" s="34"/>
      <c r="R1115" s="34"/>
      <c r="S1115" s="34"/>
    </row>
    <row r="1116" spans="14:19">
      <c r="N1116" s="34"/>
      <c r="O1116" s="34"/>
      <c r="P1116" s="34"/>
      <c r="Q1116" s="34"/>
      <c r="R1116" s="34"/>
      <c r="S1116" s="34"/>
    </row>
    <row r="1117" spans="14:19">
      <c r="N1117" s="34"/>
      <c r="O1117" s="34"/>
      <c r="P1117" s="34"/>
      <c r="Q1117" s="34"/>
      <c r="R1117" s="34"/>
      <c r="S1117" s="34"/>
    </row>
    <row r="1118" spans="14:19">
      <c r="N1118" s="34"/>
      <c r="O1118" s="34"/>
      <c r="P1118" s="34"/>
      <c r="Q1118" s="34"/>
      <c r="R1118" s="34"/>
      <c r="S1118" s="34"/>
    </row>
    <row r="1119" spans="14:19">
      <c r="N1119" s="34"/>
      <c r="O1119" s="34"/>
      <c r="P1119" s="34"/>
      <c r="Q1119" s="34"/>
      <c r="R1119" s="34"/>
      <c r="S1119" s="34"/>
    </row>
    <row r="1120" spans="14:19">
      <c r="N1120" s="34"/>
      <c r="O1120" s="34"/>
      <c r="P1120" s="34"/>
      <c r="Q1120" s="34"/>
      <c r="R1120" s="34"/>
      <c r="S1120" s="34"/>
    </row>
    <row r="1121" spans="14:19">
      <c r="N1121" s="34"/>
      <c r="O1121" s="34"/>
      <c r="P1121" s="34"/>
      <c r="Q1121" s="34"/>
      <c r="R1121" s="34"/>
      <c r="S1121" s="34"/>
    </row>
    <row r="1122" spans="14:19">
      <c r="N1122" s="34"/>
      <c r="O1122" s="34"/>
      <c r="P1122" s="34"/>
      <c r="Q1122" s="34"/>
      <c r="R1122" s="34"/>
      <c r="S1122" s="34"/>
    </row>
    <row r="1123" spans="14:19">
      <c r="N1123" s="34"/>
      <c r="O1123" s="34"/>
      <c r="P1123" s="34"/>
      <c r="Q1123" s="34"/>
      <c r="R1123" s="34"/>
      <c r="S1123" s="34"/>
    </row>
    <row r="1124" spans="14:19">
      <c r="N1124" s="34"/>
      <c r="O1124" s="34"/>
      <c r="P1124" s="34"/>
      <c r="Q1124" s="34"/>
      <c r="R1124" s="34"/>
      <c r="S1124" s="34"/>
    </row>
    <row r="1125" spans="14:19">
      <c r="N1125" s="34"/>
      <c r="O1125" s="34"/>
      <c r="P1125" s="34"/>
      <c r="Q1125" s="34"/>
      <c r="R1125" s="34"/>
      <c r="S1125" s="34"/>
    </row>
    <row r="1126" spans="14:19">
      <c r="N1126" s="34"/>
      <c r="O1126" s="34"/>
      <c r="P1126" s="34"/>
      <c r="Q1126" s="34"/>
      <c r="R1126" s="34"/>
      <c r="S1126" s="34"/>
    </row>
    <row r="1127" spans="14:19">
      <c r="N1127" s="34"/>
      <c r="O1127" s="34"/>
      <c r="P1127" s="34"/>
      <c r="Q1127" s="34"/>
      <c r="R1127" s="34"/>
      <c r="S1127" s="34"/>
    </row>
    <row r="1128" spans="14:19">
      <c r="N1128" s="34"/>
      <c r="O1128" s="34"/>
      <c r="P1128" s="34"/>
      <c r="Q1128" s="34"/>
      <c r="R1128" s="34"/>
      <c r="S1128" s="34"/>
    </row>
    <row r="1129" spans="14:19">
      <c r="N1129" s="34"/>
      <c r="O1129" s="34"/>
      <c r="P1129" s="34"/>
      <c r="Q1129" s="34"/>
      <c r="R1129" s="34"/>
      <c r="S1129" s="34"/>
    </row>
    <row r="1130" spans="14:19">
      <c r="N1130" s="34"/>
      <c r="O1130" s="34"/>
      <c r="P1130" s="34"/>
      <c r="Q1130" s="34"/>
      <c r="R1130" s="34"/>
      <c r="S1130" s="34"/>
    </row>
    <row r="1131" spans="14:19">
      <c r="N1131" s="34"/>
      <c r="O1131" s="34"/>
      <c r="P1131" s="34"/>
      <c r="Q1131" s="34"/>
      <c r="R1131" s="34"/>
      <c r="S1131" s="34"/>
    </row>
    <row r="1132" spans="14:19">
      <c r="N1132" s="34"/>
      <c r="O1132" s="34"/>
      <c r="P1132" s="34"/>
      <c r="Q1132" s="34"/>
      <c r="R1132" s="34"/>
      <c r="S1132" s="34"/>
    </row>
    <row r="1133" spans="14:19">
      <c r="N1133" s="34"/>
      <c r="O1133" s="34"/>
      <c r="P1133" s="34"/>
      <c r="Q1133" s="34"/>
      <c r="R1133" s="34"/>
      <c r="S1133" s="34"/>
    </row>
    <row r="1134" spans="14:19">
      <c r="N1134" s="34"/>
      <c r="O1134" s="34"/>
      <c r="P1134" s="34"/>
      <c r="Q1134" s="34"/>
      <c r="R1134" s="34"/>
      <c r="S1134" s="34"/>
    </row>
    <row r="1135" spans="14:19">
      <c r="N1135" s="34"/>
      <c r="O1135" s="34"/>
      <c r="P1135" s="34"/>
      <c r="Q1135" s="34"/>
      <c r="R1135" s="34"/>
      <c r="S1135" s="34"/>
    </row>
    <row r="1136" spans="14:19">
      <c r="N1136" s="34"/>
      <c r="O1136" s="34"/>
      <c r="P1136" s="34"/>
      <c r="Q1136" s="34"/>
      <c r="R1136" s="34"/>
      <c r="S1136" s="34"/>
    </row>
    <row r="1137" spans="14:19">
      <c r="N1137" s="34"/>
      <c r="O1137" s="34"/>
      <c r="P1137" s="34"/>
      <c r="Q1137" s="34"/>
      <c r="R1137" s="34"/>
      <c r="S1137" s="34"/>
    </row>
    <row r="1138" spans="14:19">
      <c r="N1138" s="34"/>
      <c r="O1138" s="34"/>
      <c r="P1138" s="34"/>
      <c r="Q1138" s="34"/>
      <c r="R1138" s="34"/>
      <c r="S1138" s="34"/>
    </row>
    <row r="1139" spans="14:19">
      <c r="N1139" s="34"/>
      <c r="O1139" s="34"/>
      <c r="P1139" s="34"/>
      <c r="Q1139" s="34"/>
      <c r="R1139" s="34"/>
      <c r="S1139" s="34"/>
    </row>
    <row r="1140" spans="14:19">
      <c r="N1140" s="34"/>
      <c r="O1140" s="34"/>
      <c r="P1140" s="34"/>
      <c r="Q1140" s="34"/>
      <c r="R1140" s="34"/>
      <c r="S1140" s="34"/>
    </row>
    <row r="1141" spans="14:19">
      <c r="N1141" s="34"/>
      <c r="O1141" s="34"/>
      <c r="P1141" s="34"/>
      <c r="Q1141" s="34"/>
      <c r="R1141" s="34"/>
      <c r="S1141" s="34"/>
    </row>
    <row r="1142" spans="14:19">
      <c r="N1142" s="34"/>
      <c r="O1142" s="34"/>
      <c r="P1142" s="34"/>
      <c r="Q1142" s="34"/>
      <c r="R1142" s="34"/>
      <c r="S1142" s="34"/>
    </row>
    <row r="1143" spans="14:19">
      <c r="N1143" s="34"/>
      <c r="O1143" s="34"/>
      <c r="P1143" s="34"/>
      <c r="Q1143" s="34"/>
      <c r="R1143" s="34"/>
      <c r="S1143" s="34"/>
    </row>
    <row r="1144" spans="14:19">
      <c r="N1144" s="34"/>
      <c r="O1144" s="34"/>
      <c r="P1144" s="34"/>
      <c r="Q1144" s="34"/>
      <c r="R1144" s="34"/>
      <c r="S1144" s="34"/>
    </row>
    <row r="1145" spans="14:19">
      <c r="N1145" s="34"/>
      <c r="O1145" s="34"/>
      <c r="P1145" s="34"/>
      <c r="Q1145" s="34"/>
      <c r="R1145" s="34"/>
      <c r="S1145" s="34"/>
    </row>
    <row r="1146" spans="14:19">
      <c r="N1146" s="34"/>
      <c r="O1146" s="34"/>
      <c r="P1146" s="34"/>
      <c r="Q1146" s="34"/>
      <c r="R1146" s="34"/>
      <c r="S1146" s="34"/>
    </row>
    <row r="1147" spans="14:19">
      <c r="N1147" s="34"/>
      <c r="O1147" s="34"/>
      <c r="P1147" s="34"/>
      <c r="Q1147" s="34"/>
      <c r="R1147" s="34"/>
      <c r="S1147" s="34"/>
    </row>
    <row r="1148" spans="14:19">
      <c r="N1148" s="34"/>
      <c r="O1148" s="34"/>
      <c r="P1148" s="34"/>
      <c r="Q1148" s="34"/>
      <c r="R1148" s="34"/>
      <c r="S1148" s="34"/>
    </row>
    <row r="1149" spans="14:19">
      <c r="N1149" s="34"/>
      <c r="O1149" s="34"/>
      <c r="P1149" s="34"/>
      <c r="Q1149" s="34"/>
      <c r="R1149" s="34"/>
      <c r="S1149" s="34"/>
    </row>
    <row r="1150" spans="14:19">
      <c r="N1150" s="34"/>
      <c r="O1150" s="34"/>
      <c r="P1150" s="34"/>
      <c r="Q1150" s="34"/>
      <c r="R1150" s="34"/>
      <c r="S1150" s="34"/>
    </row>
    <row r="1151" spans="14:19">
      <c r="N1151" s="34"/>
      <c r="O1151" s="34"/>
      <c r="P1151" s="34"/>
      <c r="Q1151" s="34"/>
      <c r="R1151" s="34"/>
      <c r="S1151" s="34"/>
    </row>
    <row r="1152" spans="14:19">
      <c r="N1152" s="34"/>
      <c r="O1152" s="34"/>
      <c r="P1152" s="34"/>
      <c r="Q1152" s="34"/>
      <c r="R1152" s="34"/>
      <c r="S1152" s="34"/>
    </row>
    <row r="1153" spans="14:19">
      <c r="N1153" s="34"/>
      <c r="O1153" s="34"/>
      <c r="P1153" s="34"/>
      <c r="Q1153" s="34"/>
      <c r="R1153" s="34"/>
      <c r="S1153" s="34"/>
    </row>
    <row r="1154" spans="14:19">
      <c r="N1154" s="34"/>
      <c r="O1154" s="34"/>
      <c r="P1154" s="34"/>
      <c r="Q1154" s="34"/>
      <c r="R1154" s="34"/>
      <c r="S1154" s="34"/>
    </row>
    <row r="1155" spans="14:19">
      <c r="N1155" s="34"/>
      <c r="O1155" s="34"/>
      <c r="P1155" s="34"/>
      <c r="Q1155" s="34"/>
      <c r="R1155" s="34"/>
      <c r="S1155" s="34"/>
    </row>
    <row r="1156" spans="14:19">
      <c r="N1156" s="34"/>
      <c r="O1156" s="34"/>
      <c r="P1156" s="34"/>
      <c r="Q1156" s="34"/>
      <c r="R1156" s="34"/>
      <c r="S1156" s="34"/>
    </row>
    <row r="1157" spans="14:19">
      <c r="N1157" s="34"/>
      <c r="O1157" s="34"/>
      <c r="P1157" s="34"/>
      <c r="Q1157" s="34"/>
      <c r="R1157" s="34"/>
      <c r="S1157" s="34"/>
    </row>
    <row r="1158" spans="14:19">
      <c r="N1158" s="34"/>
      <c r="O1158" s="34"/>
      <c r="P1158" s="34"/>
      <c r="Q1158" s="34"/>
      <c r="R1158" s="34"/>
      <c r="S1158" s="34"/>
    </row>
    <row r="1159" spans="14:19">
      <c r="N1159" s="34"/>
      <c r="O1159" s="34"/>
      <c r="P1159" s="34"/>
      <c r="Q1159" s="34"/>
      <c r="R1159" s="34"/>
      <c r="S1159" s="34"/>
    </row>
    <row r="1160" spans="14:19">
      <c r="N1160" s="34"/>
      <c r="O1160" s="34"/>
      <c r="P1160" s="34"/>
      <c r="Q1160" s="34"/>
      <c r="R1160" s="34"/>
      <c r="S1160" s="34"/>
    </row>
    <row r="1161" spans="14:19">
      <c r="N1161" s="34"/>
      <c r="O1161" s="34"/>
      <c r="P1161" s="34"/>
      <c r="Q1161" s="34"/>
      <c r="R1161" s="34"/>
      <c r="S1161" s="34"/>
    </row>
    <row r="1162" spans="14:19">
      <c r="N1162" s="34"/>
      <c r="O1162" s="34"/>
      <c r="P1162" s="34"/>
      <c r="Q1162" s="34"/>
      <c r="R1162" s="34"/>
      <c r="S1162" s="34"/>
    </row>
    <row r="1163" spans="14:19">
      <c r="N1163" s="34"/>
      <c r="O1163" s="34"/>
      <c r="P1163" s="34"/>
      <c r="Q1163" s="34"/>
      <c r="R1163" s="34"/>
      <c r="S1163" s="34"/>
    </row>
    <row r="1164" spans="14:19">
      <c r="N1164" s="34"/>
      <c r="O1164" s="34"/>
      <c r="P1164" s="34"/>
      <c r="Q1164" s="34"/>
      <c r="R1164" s="34"/>
      <c r="S1164" s="34"/>
    </row>
    <row r="1165" spans="14:19">
      <c r="N1165" s="34"/>
      <c r="O1165" s="34"/>
      <c r="P1165" s="34"/>
      <c r="Q1165" s="34"/>
      <c r="R1165" s="34"/>
      <c r="S1165" s="34"/>
    </row>
    <row r="1166" spans="14:19">
      <c r="N1166" s="34"/>
      <c r="O1166" s="34"/>
      <c r="P1166" s="34"/>
      <c r="Q1166" s="34"/>
      <c r="R1166" s="34"/>
      <c r="S1166" s="34"/>
    </row>
    <row r="1167" spans="14:19">
      <c r="N1167" s="34"/>
      <c r="O1167" s="34"/>
      <c r="P1167" s="34"/>
      <c r="Q1167" s="34"/>
      <c r="R1167" s="34"/>
      <c r="S1167" s="34"/>
    </row>
    <row r="1168" spans="14:19">
      <c r="N1168" s="34"/>
      <c r="O1168" s="34"/>
      <c r="P1168" s="34"/>
      <c r="Q1168" s="34"/>
      <c r="R1168" s="34"/>
      <c r="S1168" s="34"/>
    </row>
    <row r="1169" spans="14:19">
      <c r="N1169" s="34"/>
      <c r="O1169" s="34"/>
      <c r="P1169" s="34"/>
      <c r="Q1169" s="34"/>
      <c r="R1169" s="34"/>
      <c r="S1169" s="34"/>
    </row>
    <row r="1170" spans="14:19">
      <c r="N1170" s="34"/>
      <c r="O1170" s="34"/>
      <c r="P1170" s="34"/>
      <c r="Q1170" s="34"/>
      <c r="R1170" s="34"/>
      <c r="S1170" s="34"/>
    </row>
    <row r="1171" spans="14:19">
      <c r="N1171" s="34"/>
      <c r="O1171" s="34"/>
      <c r="P1171" s="34"/>
      <c r="Q1171" s="34"/>
      <c r="R1171" s="34"/>
      <c r="S1171" s="34"/>
    </row>
    <row r="1172" spans="14:19">
      <c r="N1172" s="34"/>
      <c r="O1172" s="34"/>
      <c r="P1172" s="34"/>
      <c r="Q1172" s="34"/>
      <c r="R1172" s="34"/>
      <c r="S1172" s="34"/>
    </row>
    <row r="1173" spans="14:19">
      <c r="N1173" s="34"/>
      <c r="O1173" s="34"/>
      <c r="P1173" s="34"/>
      <c r="Q1173" s="34"/>
      <c r="R1173" s="34"/>
      <c r="S1173" s="34"/>
    </row>
    <row r="1174" spans="14:19">
      <c r="N1174" s="34"/>
      <c r="O1174" s="34"/>
      <c r="P1174" s="34"/>
      <c r="Q1174" s="34"/>
      <c r="R1174" s="34"/>
      <c r="S1174" s="34"/>
    </row>
    <row r="1175" spans="14:19">
      <c r="N1175" s="34"/>
      <c r="O1175" s="34"/>
      <c r="P1175" s="34"/>
      <c r="Q1175" s="34"/>
      <c r="R1175" s="34"/>
      <c r="S1175" s="34"/>
    </row>
    <row r="1176" spans="14:19">
      <c r="N1176" s="34"/>
      <c r="O1176" s="34"/>
      <c r="P1176" s="34"/>
      <c r="Q1176" s="34"/>
      <c r="R1176" s="34"/>
      <c r="S1176" s="34"/>
    </row>
    <row r="1177" spans="14:19">
      <c r="N1177" s="34"/>
      <c r="O1177" s="34"/>
      <c r="P1177" s="34"/>
      <c r="Q1177" s="34"/>
      <c r="R1177" s="34"/>
      <c r="S1177" s="34"/>
    </row>
    <row r="1178" spans="14:19">
      <c r="N1178" s="34"/>
      <c r="O1178" s="34"/>
      <c r="P1178" s="34"/>
      <c r="Q1178" s="34"/>
      <c r="R1178" s="34"/>
      <c r="S1178" s="34"/>
    </row>
    <row r="1179" spans="14:19">
      <c r="N1179" s="34"/>
      <c r="O1179" s="34"/>
      <c r="P1179" s="34"/>
      <c r="Q1179" s="34"/>
      <c r="R1179" s="34"/>
      <c r="S1179" s="34"/>
    </row>
    <row r="1180" spans="14:19">
      <c r="N1180" s="34"/>
      <c r="O1180" s="34"/>
      <c r="P1180" s="34"/>
      <c r="Q1180" s="34"/>
      <c r="R1180" s="34"/>
      <c r="S1180" s="34"/>
    </row>
    <row r="1181" spans="14:19">
      <c r="N1181" s="34"/>
      <c r="O1181" s="34"/>
      <c r="P1181" s="34"/>
      <c r="Q1181" s="34"/>
      <c r="R1181" s="34"/>
      <c r="S1181" s="34"/>
    </row>
    <row r="1182" spans="14:19">
      <c r="N1182" s="34"/>
      <c r="O1182" s="34"/>
      <c r="P1182" s="34"/>
      <c r="Q1182" s="34"/>
      <c r="R1182" s="34"/>
      <c r="S1182" s="34"/>
    </row>
    <row r="1183" spans="14:19">
      <c r="N1183" s="34"/>
      <c r="O1183" s="34"/>
      <c r="P1183" s="34"/>
      <c r="Q1183" s="34"/>
      <c r="R1183" s="34"/>
      <c r="S1183" s="34"/>
    </row>
    <row r="1184" spans="14:19">
      <c r="N1184" s="34"/>
      <c r="O1184" s="34"/>
      <c r="P1184" s="34"/>
      <c r="Q1184" s="34"/>
      <c r="R1184" s="34"/>
      <c r="S1184" s="34"/>
    </row>
    <row r="1185" spans="14:19">
      <c r="N1185" s="34"/>
      <c r="O1185" s="34"/>
      <c r="P1185" s="34"/>
      <c r="Q1185" s="34"/>
      <c r="R1185" s="34"/>
      <c r="S1185" s="34"/>
    </row>
    <row r="1186" spans="14:19">
      <c r="N1186" s="34"/>
      <c r="O1186" s="34"/>
      <c r="P1186" s="34"/>
      <c r="Q1186" s="34"/>
      <c r="R1186" s="34"/>
      <c r="S1186" s="34"/>
    </row>
    <row r="1187" spans="14:19">
      <c r="N1187" s="34"/>
      <c r="O1187" s="34"/>
      <c r="P1187" s="34"/>
      <c r="Q1187" s="34"/>
      <c r="R1187" s="34"/>
      <c r="S1187" s="34"/>
    </row>
    <row r="1188" spans="14:19">
      <c r="N1188" s="34"/>
      <c r="O1188" s="34"/>
      <c r="P1188" s="34"/>
      <c r="Q1188" s="34"/>
      <c r="R1188" s="34"/>
      <c r="S1188" s="34"/>
    </row>
    <row r="1189" spans="14:19">
      <c r="N1189" s="34"/>
      <c r="O1189" s="34"/>
      <c r="P1189" s="34"/>
      <c r="Q1189" s="34"/>
      <c r="R1189" s="34"/>
      <c r="S1189" s="34"/>
    </row>
    <row r="1190" spans="14:19">
      <c r="N1190" s="34"/>
      <c r="O1190" s="34"/>
      <c r="P1190" s="34"/>
      <c r="Q1190" s="34"/>
      <c r="R1190" s="34"/>
      <c r="S1190" s="34"/>
    </row>
    <row r="1191" spans="14:19">
      <c r="N1191" s="34"/>
      <c r="O1191" s="34"/>
      <c r="P1191" s="34"/>
      <c r="Q1191" s="34"/>
      <c r="R1191" s="34"/>
      <c r="S1191" s="34"/>
    </row>
    <row r="1192" spans="14:19">
      <c r="N1192" s="34"/>
      <c r="O1192" s="34"/>
      <c r="P1192" s="34"/>
      <c r="Q1192" s="34"/>
      <c r="R1192" s="34"/>
      <c r="S1192" s="34"/>
    </row>
    <row r="1193" spans="14:19">
      <c r="N1193" s="34"/>
      <c r="O1193" s="34"/>
      <c r="P1193" s="34"/>
      <c r="Q1193" s="34"/>
      <c r="R1193" s="34"/>
      <c r="S1193" s="34"/>
    </row>
    <row r="1194" spans="14:19">
      <c r="N1194" s="34"/>
      <c r="O1194" s="34"/>
      <c r="P1194" s="34"/>
      <c r="Q1194" s="34"/>
      <c r="R1194" s="34"/>
      <c r="S1194" s="34"/>
    </row>
    <row r="1195" spans="14:19">
      <c r="N1195" s="34"/>
      <c r="O1195" s="34"/>
      <c r="P1195" s="34"/>
      <c r="Q1195" s="34"/>
      <c r="R1195" s="34"/>
      <c r="S1195" s="34"/>
    </row>
    <row r="1196" spans="14:19">
      <c r="N1196" s="34"/>
      <c r="O1196" s="34"/>
      <c r="P1196" s="34"/>
      <c r="Q1196" s="34"/>
      <c r="R1196" s="34"/>
      <c r="S1196" s="34"/>
    </row>
    <row r="1197" spans="14:19">
      <c r="N1197" s="34"/>
      <c r="O1197" s="34"/>
      <c r="P1197" s="34"/>
      <c r="Q1197" s="34"/>
      <c r="R1197" s="34"/>
      <c r="S1197" s="34"/>
    </row>
    <row r="1198" spans="14:19">
      <c r="N1198" s="34"/>
      <c r="O1198" s="34"/>
      <c r="P1198" s="34"/>
      <c r="Q1198" s="34"/>
      <c r="R1198" s="34"/>
      <c r="S1198" s="34"/>
    </row>
    <row r="1199" spans="14:19">
      <c r="N1199" s="34"/>
      <c r="O1199" s="34"/>
      <c r="P1199" s="34"/>
      <c r="Q1199" s="34"/>
      <c r="R1199" s="34"/>
      <c r="S1199" s="34"/>
    </row>
    <row r="1200" spans="14:19">
      <c r="N1200" s="34"/>
      <c r="O1200" s="34"/>
      <c r="P1200" s="34"/>
      <c r="Q1200" s="34"/>
      <c r="R1200" s="34"/>
      <c r="S1200" s="34"/>
    </row>
    <row r="1201" spans="14:19">
      <c r="N1201" s="34"/>
      <c r="O1201" s="34"/>
      <c r="P1201" s="34"/>
      <c r="Q1201" s="34"/>
      <c r="R1201" s="34"/>
      <c r="S1201" s="34"/>
    </row>
    <row r="1202" spans="14:19">
      <c r="N1202" s="34"/>
      <c r="O1202" s="34"/>
      <c r="P1202" s="34"/>
      <c r="Q1202" s="34"/>
      <c r="R1202" s="34"/>
      <c r="S1202" s="34"/>
    </row>
    <row r="1203" spans="14:19">
      <c r="N1203" s="34"/>
      <c r="O1203" s="34"/>
      <c r="P1203" s="34"/>
      <c r="Q1203" s="34"/>
      <c r="R1203" s="34"/>
      <c r="S1203" s="34"/>
    </row>
    <row r="1204" spans="14:19">
      <c r="N1204" s="34"/>
      <c r="O1204" s="34"/>
      <c r="P1204" s="34"/>
      <c r="Q1204" s="34"/>
      <c r="R1204" s="34"/>
      <c r="S1204" s="34"/>
    </row>
    <row r="1205" spans="14:19">
      <c r="N1205" s="34"/>
      <c r="O1205" s="34"/>
      <c r="P1205" s="34"/>
      <c r="Q1205" s="34"/>
      <c r="R1205" s="34"/>
      <c r="S1205" s="34"/>
    </row>
    <row r="1206" spans="14:19">
      <c r="N1206" s="34"/>
      <c r="O1206" s="34"/>
      <c r="P1206" s="34"/>
      <c r="Q1206" s="34"/>
      <c r="R1206" s="34"/>
      <c r="S1206" s="34"/>
    </row>
    <row r="1207" spans="14:19">
      <c r="N1207" s="34"/>
      <c r="O1207" s="34"/>
      <c r="P1207" s="34"/>
      <c r="Q1207" s="34"/>
      <c r="R1207" s="34"/>
      <c r="S1207" s="34"/>
    </row>
    <row r="1208" spans="14:19">
      <c r="N1208" s="34"/>
      <c r="O1208" s="34"/>
      <c r="P1208" s="34"/>
      <c r="Q1208" s="34"/>
      <c r="R1208" s="34"/>
      <c r="S1208" s="34"/>
    </row>
    <row r="1209" spans="14:19">
      <c r="N1209" s="34"/>
      <c r="O1209" s="34"/>
      <c r="P1209" s="34"/>
      <c r="Q1209" s="34"/>
      <c r="R1209" s="34"/>
      <c r="S1209" s="34"/>
    </row>
    <row r="1210" spans="14:19">
      <c r="N1210" s="34"/>
      <c r="O1210" s="34"/>
      <c r="P1210" s="34"/>
      <c r="Q1210" s="34"/>
      <c r="R1210" s="34"/>
      <c r="S1210" s="34"/>
    </row>
    <row r="1211" spans="14:19">
      <c r="N1211" s="34"/>
      <c r="O1211" s="34"/>
      <c r="P1211" s="34"/>
      <c r="Q1211" s="34"/>
      <c r="R1211" s="34"/>
      <c r="S1211" s="34"/>
    </row>
    <row r="1212" spans="14:19">
      <c r="N1212" s="34"/>
      <c r="O1212" s="34"/>
      <c r="P1212" s="34"/>
      <c r="Q1212" s="34"/>
      <c r="R1212" s="34"/>
      <c r="S1212" s="34"/>
    </row>
    <row r="1213" spans="14:19">
      <c r="N1213" s="34"/>
      <c r="O1213" s="34"/>
      <c r="P1213" s="34"/>
      <c r="Q1213" s="34"/>
      <c r="R1213" s="34"/>
      <c r="S1213" s="34"/>
    </row>
    <row r="1214" spans="14:19">
      <c r="N1214" s="34"/>
      <c r="O1214" s="34"/>
      <c r="P1214" s="34"/>
      <c r="Q1214" s="34"/>
      <c r="R1214" s="34"/>
      <c r="S1214" s="34"/>
    </row>
    <row r="1215" spans="14:19">
      <c r="N1215" s="34"/>
      <c r="O1215" s="34"/>
      <c r="P1215" s="34"/>
      <c r="Q1215" s="34"/>
      <c r="R1215" s="34"/>
      <c r="S1215" s="34"/>
    </row>
    <row r="1216" spans="14:19">
      <c r="N1216" s="34"/>
      <c r="O1216" s="34"/>
      <c r="P1216" s="34"/>
      <c r="Q1216" s="34"/>
      <c r="R1216" s="34"/>
      <c r="S1216" s="34"/>
    </row>
    <row r="1217" spans="14:19">
      <c r="N1217" s="34"/>
      <c r="O1217" s="34"/>
      <c r="P1217" s="34"/>
      <c r="Q1217" s="34"/>
      <c r="R1217" s="34"/>
      <c r="S1217" s="34"/>
    </row>
    <row r="1218" spans="14:19">
      <c r="N1218" s="34"/>
      <c r="O1218" s="34"/>
      <c r="P1218" s="34"/>
      <c r="Q1218" s="34"/>
      <c r="R1218" s="34"/>
      <c r="S1218" s="34"/>
    </row>
    <row r="1219" spans="14:19">
      <c r="N1219" s="34"/>
      <c r="O1219" s="34"/>
      <c r="P1219" s="34"/>
      <c r="Q1219" s="34"/>
      <c r="R1219" s="34"/>
      <c r="S1219" s="34"/>
    </row>
    <row r="1220" spans="14:19">
      <c r="N1220" s="34"/>
      <c r="O1220" s="34"/>
      <c r="P1220" s="34"/>
      <c r="Q1220" s="34"/>
      <c r="R1220" s="34"/>
      <c r="S1220" s="34"/>
    </row>
    <row r="1221" spans="14:19">
      <c r="N1221" s="34"/>
      <c r="O1221" s="34"/>
      <c r="P1221" s="34"/>
      <c r="Q1221" s="34"/>
      <c r="R1221" s="34"/>
      <c r="S1221" s="34"/>
    </row>
    <row r="1222" spans="14:19">
      <c r="N1222" s="34"/>
      <c r="O1222" s="34"/>
      <c r="P1222" s="34"/>
      <c r="Q1222" s="34"/>
      <c r="R1222" s="34"/>
      <c r="S1222" s="34"/>
    </row>
    <row r="1223" spans="14:19">
      <c r="N1223" s="34"/>
      <c r="O1223" s="34"/>
      <c r="P1223" s="34"/>
      <c r="Q1223" s="34"/>
      <c r="R1223" s="34"/>
      <c r="S1223" s="34"/>
    </row>
    <row r="1224" spans="14:19">
      <c r="N1224" s="34"/>
      <c r="O1224" s="34"/>
      <c r="P1224" s="34"/>
      <c r="Q1224" s="34"/>
      <c r="R1224" s="34"/>
      <c r="S1224" s="34"/>
    </row>
    <row r="1225" spans="14:19">
      <c r="N1225" s="34"/>
      <c r="O1225" s="34"/>
      <c r="P1225" s="34"/>
      <c r="Q1225" s="34"/>
      <c r="R1225" s="34"/>
      <c r="S1225" s="34"/>
    </row>
    <row r="1226" spans="14:19">
      <c r="N1226" s="34"/>
      <c r="O1226" s="34"/>
      <c r="P1226" s="34"/>
      <c r="Q1226" s="34"/>
      <c r="R1226" s="34"/>
      <c r="S1226" s="34"/>
    </row>
    <row r="1227" spans="14:19">
      <c r="N1227" s="34"/>
      <c r="O1227" s="34"/>
      <c r="P1227" s="34"/>
      <c r="Q1227" s="34"/>
      <c r="R1227" s="34"/>
      <c r="S1227" s="34"/>
    </row>
    <row r="1228" spans="14:19">
      <c r="N1228" s="34"/>
      <c r="O1228" s="34"/>
      <c r="P1228" s="34"/>
      <c r="Q1228" s="34"/>
      <c r="R1228" s="34"/>
      <c r="S1228" s="34"/>
    </row>
    <row r="1229" spans="14:19">
      <c r="N1229" s="34"/>
      <c r="O1229" s="34"/>
      <c r="P1229" s="34"/>
      <c r="Q1229" s="34"/>
      <c r="R1229" s="34"/>
      <c r="S1229" s="34"/>
    </row>
    <row r="1230" spans="14:19">
      <c r="N1230" s="34"/>
      <c r="O1230" s="34"/>
      <c r="P1230" s="34"/>
      <c r="Q1230" s="34"/>
      <c r="R1230" s="34"/>
      <c r="S1230" s="34"/>
    </row>
    <row r="1231" spans="14:19">
      <c r="N1231" s="34"/>
      <c r="O1231" s="34"/>
      <c r="P1231" s="34"/>
      <c r="Q1231" s="34"/>
      <c r="R1231" s="34"/>
      <c r="S1231" s="34"/>
    </row>
    <row r="1232" spans="14:19">
      <c r="N1232" s="34"/>
      <c r="O1232" s="34"/>
      <c r="P1232" s="34"/>
      <c r="Q1232" s="34"/>
      <c r="R1232" s="34"/>
      <c r="S1232" s="34"/>
    </row>
    <row r="1233" spans="14:19">
      <c r="N1233" s="34"/>
      <c r="O1233" s="34"/>
      <c r="P1233" s="34"/>
      <c r="Q1233" s="34"/>
      <c r="R1233" s="34"/>
      <c r="S1233" s="34"/>
    </row>
    <row r="1234" spans="14:19">
      <c r="N1234" s="34"/>
      <c r="O1234" s="34"/>
      <c r="P1234" s="34"/>
      <c r="Q1234" s="34"/>
      <c r="R1234" s="34"/>
      <c r="S1234" s="34"/>
    </row>
    <row r="1235" spans="14:19">
      <c r="N1235" s="34"/>
      <c r="O1235" s="34"/>
      <c r="P1235" s="34"/>
      <c r="Q1235" s="34"/>
      <c r="R1235" s="34"/>
      <c r="S1235" s="34"/>
    </row>
    <row r="1236" spans="14:19">
      <c r="N1236" s="34"/>
      <c r="O1236" s="34"/>
      <c r="P1236" s="34"/>
      <c r="Q1236" s="34"/>
      <c r="R1236" s="34"/>
      <c r="S1236" s="34"/>
    </row>
    <row r="1237" spans="14:19">
      <c r="N1237" s="34"/>
      <c r="O1237" s="34"/>
      <c r="P1237" s="34"/>
      <c r="Q1237" s="34"/>
      <c r="R1237" s="34"/>
      <c r="S1237" s="34"/>
    </row>
    <row r="1238" spans="14:19">
      <c r="N1238" s="34"/>
      <c r="O1238" s="34"/>
      <c r="P1238" s="34"/>
      <c r="Q1238" s="34"/>
      <c r="R1238" s="34"/>
      <c r="S1238" s="34"/>
    </row>
    <row r="1239" spans="14:19">
      <c r="N1239" s="34"/>
      <c r="O1239" s="34"/>
      <c r="P1239" s="34"/>
      <c r="Q1239" s="34"/>
      <c r="R1239" s="34"/>
      <c r="S1239" s="34"/>
    </row>
    <row r="1240" spans="14:19">
      <c r="N1240" s="34"/>
      <c r="O1240" s="34"/>
      <c r="P1240" s="34"/>
      <c r="Q1240" s="34"/>
      <c r="R1240" s="34"/>
      <c r="S1240" s="34"/>
    </row>
    <row r="1241" spans="14:19">
      <c r="N1241" s="34"/>
      <c r="O1241" s="34"/>
      <c r="P1241" s="34"/>
      <c r="Q1241" s="34"/>
      <c r="R1241" s="34"/>
      <c r="S1241" s="34"/>
    </row>
    <row r="1242" spans="14:19">
      <c r="N1242" s="34"/>
      <c r="O1242" s="34"/>
      <c r="P1242" s="34"/>
      <c r="Q1242" s="34"/>
      <c r="R1242" s="34"/>
      <c r="S1242" s="34"/>
    </row>
    <row r="1243" spans="14:19">
      <c r="N1243" s="34"/>
      <c r="O1243" s="34"/>
      <c r="P1243" s="34"/>
      <c r="Q1243" s="34"/>
      <c r="R1243" s="34"/>
      <c r="S1243" s="34"/>
    </row>
    <row r="1244" spans="14:19">
      <c r="N1244" s="34"/>
      <c r="O1244" s="34"/>
      <c r="P1244" s="34"/>
      <c r="Q1244" s="34"/>
      <c r="R1244" s="34"/>
      <c r="S1244" s="34"/>
    </row>
    <row r="1245" spans="14:19">
      <c r="N1245" s="34"/>
      <c r="O1245" s="34"/>
      <c r="P1245" s="34"/>
      <c r="Q1245" s="34"/>
      <c r="R1245" s="34"/>
      <c r="S1245" s="34"/>
    </row>
    <row r="1246" spans="14:19">
      <c r="N1246" s="34"/>
      <c r="O1246" s="34"/>
      <c r="P1246" s="34"/>
      <c r="Q1246" s="34"/>
      <c r="R1246" s="34"/>
      <c r="S1246" s="34"/>
    </row>
    <row r="1247" spans="14:19">
      <c r="N1247" s="34"/>
      <c r="O1247" s="34"/>
      <c r="P1247" s="34"/>
      <c r="Q1247" s="34"/>
      <c r="R1247" s="34"/>
      <c r="S1247" s="34"/>
    </row>
    <row r="1248" spans="14:19">
      <c r="N1248" s="34"/>
      <c r="O1248" s="34"/>
      <c r="P1248" s="34"/>
      <c r="Q1248" s="34"/>
      <c r="R1248" s="34"/>
      <c r="S1248" s="34"/>
    </row>
    <row r="1249" spans="14:19">
      <c r="N1249" s="34"/>
      <c r="O1249" s="34"/>
      <c r="P1249" s="34"/>
      <c r="Q1249" s="34"/>
      <c r="R1249" s="34"/>
      <c r="S1249" s="34"/>
    </row>
    <row r="1250" spans="14:19">
      <c r="N1250" s="34"/>
      <c r="O1250" s="34"/>
      <c r="P1250" s="34"/>
      <c r="Q1250" s="34"/>
      <c r="R1250" s="34"/>
      <c r="S1250" s="34"/>
    </row>
    <row r="1251" spans="14:19">
      <c r="N1251" s="34"/>
      <c r="O1251" s="34"/>
      <c r="P1251" s="34"/>
      <c r="Q1251" s="34"/>
      <c r="R1251" s="34"/>
      <c r="S1251" s="34"/>
    </row>
    <row r="1252" spans="14:19">
      <c r="N1252" s="34"/>
      <c r="O1252" s="34"/>
      <c r="P1252" s="34"/>
      <c r="Q1252" s="34"/>
      <c r="R1252" s="34"/>
      <c r="S1252" s="34"/>
    </row>
    <row r="1253" spans="14:19">
      <c r="N1253" s="34"/>
      <c r="O1253" s="34"/>
      <c r="P1253" s="34"/>
      <c r="Q1253" s="34"/>
      <c r="R1253" s="34"/>
      <c r="S1253" s="34"/>
    </row>
    <row r="1254" spans="14:19">
      <c r="N1254" s="34"/>
      <c r="O1254" s="34"/>
      <c r="P1254" s="34"/>
      <c r="Q1254" s="34"/>
      <c r="R1254" s="34"/>
      <c r="S1254" s="34"/>
    </row>
    <row r="1255" spans="14:19">
      <c r="N1255" s="34"/>
      <c r="O1255" s="34"/>
      <c r="P1255" s="34"/>
      <c r="Q1255" s="34"/>
      <c r="R1255" s="34"/>
      <c r="S1255" s="34"/>
    </row>
    <row r="1256" spans="14:19">
      <c r="N1256" s="34"/>
      <c r="O1256" s="34"/>
      <c r="P1256" s="34"/>
      <c r="Q1256" s="34"/>
      <c r="R1256" s="34"/>
      <c r="S1256" s="34"/>
    </row>
    <row r="1257" spans="14:19">
      <c r="N1257" s="34"/>
      <c r="O1257" s="34"/>
      <c r="P1257" s="34"/>
      <c r="Q1257" s="34"/>
      <c r="R1257" s="34"/>
      <c r="S1257" s="34"/>
    </row>
    <row r="1258" spans="14:19">
      <c r="N1258" s="34"/>
      <c r="O1258" s="34"/>
      <c r="P1258" s="34"/>
      <c r="Q1258" s="34"/>
      <c r="R1258" s="34"/>
      <c r="S1258" s="34"/>
    </row>
    <row r="1259" spans="14:19">
      <c r="N1259" s="34"/>
      <c r="O1259" s="34"/>
      <c r="P1259" s="34"/>
      <c r="Q1259" s="34"/>
      <c r="R1259" s="34"/>
      <c r="S1259" s="34"/>
    </row>
    <row r="1260" spans="14:19">
      <c r="N1260" s="34"/>
      <c r="O1260" s="34"/>
      <c r="P1260" s="34"/>
      <c r="Q1260" s="34"/>
      <c r="R1260" s="34"/>
      <c r="S1260" s="34"/>
    </row>
    <row r="1261" spans="14:19">
      <c r="N1261" s="34"/>
      <c r="O1261" s="34"/>
      <c r="P1261" s="34"/>
      <c r="Q1261" s="34"/>
      <c r="R1261" s="34"/>
      <c r="S1261" s="34"/>
    </row>
    <row r="1262" spans="14:19">
      <c r="N1262" s="34"/>
      <c r="O1262" s="34"/>
      <c r="P1262" s="34"/>
      <c r="Q1262" s="34"/>
      <c r="R1262" s="34"/>
      <c r="S1262" s="34"/>
    </row>
    <row r="1263" spans="14:19">
      <c r="N1263" s="34"/>
      <c r="O1263" s="34"/>
      <c r="P1263" s="34"/>
      <c r="Q1263" s="34"/>
      <c r="R1263" s="34"/>
      <c r="S1263" s="34"/>
    </row>
    <row r="1264" spans="14:19">
      <c r="N1264" s="34"/>
      <c r="O1264" s="34"/>
      <c r="P1264" s="34"/>
      <c r="Q1264" s="34"/>
      <c r="R1264" s="34"/>
      <c r="S1264" s="34"/>
    </row>
    <row r="1265" spans="14:19">
      <c r="N1265" s="34"/>
      <c r="O1265" s="34"/>
      <c r="P1265" s="34"/>
      <c r="Q1265" s="34"/>
      <c r="R1265" s="34"/>
      <c r="S1265" s="34"/>
    </row>
    <row r="1266" spans="14:19">
      <c r="N1266" s="34"/>
      <c r="O1266" s="34"/>
      <c r="P1266" s="34"/>
      <c r="Q1266" s="34"/>
      <c r="R1266" s="34"/>
      <c r="S1266" s="34"/>
    </row>
    <row r="1267" spans="14:19">
      <c r="N1267" s="34"/>
      <c r="O1267" s="34"/>
      <c r="P1267" s="34"/>
      <c r="Q1267" s="34"/>
      <c r="R1267" s="34"/>
      <c r="S1267" s="34"/>
    </row>
    <row r="1268" spans="14:19">
      <c r="N1268" s="34"/>
      <c r="O1268" s="34"/>
      <c r="P1268" s="34"/>
      <c r="Q1268" s="34"/>
      <c r="R1268" s="34"/>
      <c r="S1268" s="34"/>
    </row>
    <row r="1269" spans="14:19">
      <c r="N1269" s="34"/>
      <c r="O1269" s="34"/>
      <c r="P1269" s="34"/>
      <c r="Q1269" s="34"/>
      <c r="R1269" s="34"/>
      <c r="S1269" s="34"/>
    </row>
    <row r="1270" spans="14:19">
      <c r="N1270" s="34"/>
      <c r="O1270" s="34"/>
      <c r="P1270" s="34"/>
      <c r="Q1270" s="34"/>
      <c r="R1270" s="34"/>
      <c r="S1270" s="34"/>
    </row>
    <row r="1271" spans="14:19">
      <c r="N1271" s="34"/>
      <c r="O1271" s="34"/>
      <c r="P1271" s="34"/>
      <c r="Q1271" s="34"/>
      <c r="R1271" s="34"/>
      <c r="S1271" s="34"/>
    </row>
    <row r="1272" spans="14:19">
      <c r="N1272" s="34"/>
      <c r="O1272" s="34"/>
      <c r="P1272" s="34"/>
      <c r="Q1272" s="34"/>
      <c r="R1272" s="34"/>
      <c r="S1272" s="34"/>
    </row>
    <row r="1273" spans="14:19">
      <c r="N1273" s="34"/>
      <c r="O1273" s="34"/>
      <c r="P1273" s="34"/>
      <c r="Q1273" s="34"/>
      <c r="R1273" s="34"/>
      <c r="S1273" s="34"/>
    </row>
    <row r="1274" spans="14:19">
      <c r="N1274" s="34"/>
      <c r="O1274" s="34"/>
      <c r="P1274" s="34"/>
      <c r="Q1274" s="34"/>
      <c r="R1274" s="34"/>
      <c r="S1274" s="34"/>
    </row>
    <row r="1275" spans="14:19">
      <c r="N1275" s="34"/>
      <c r="O1275" s="34"/>
      <c r="P1275" s="34"/>
      <c r="Q1275" s="34"/>
      <c r="R1275" s="34"/>
      <c r="S1275" s="34"/>
    </row>
    <row r="1276" spans="14:19">
      <c r="N1276" s="34"/>
      <c r="O1276" s="34"/>
      <c r="P1276" s="34"/>
      <c r="Q1276" s="34"/>
      <c r="R1276" s="34"/>
      <c r="S1276" s="34"/>
    </row>
    <row r="1277" spans="14:19">
      <c r="N1277" s="34"/>
      <c r="O1277" s="34"/>
      <c r="P1277" s="34"/>
      <c r="Q1277" s="34"/>
      <c r="R1277" s="34"/>
      <c r="S1277" s="34"/>
    </row>
    <row r="1278" spans="14:19">
      <c r="N1278" s="34"/>
      <c r="O1278" s="34"/>
      <c r="P1278" s="34"/>
      <c r="Q1278" s="34"/>
      <c r="R1278" s="34"/>
      <c r="S1278" s="34"/>
    </row>
    <row r="1279" spans="14:19">
      <c r="N1279" s="34"/>
      <c r="O1279" s="34"/>
      <c r="P1279" s="34"/>
      <c r="Q1279" s="34"/>
      <c r="R1279" s="34"/>
      <c r="S1279" s="34"/>
    </row>
    <row r="1280" spans="14:19">
      <c r="N1280" s="34"/>
      <c r="O1280" s="34"/>
      <c r="P1280" s="34"/>
      <c r="Q1280" s="34"/>
      <c r="R1280" s="34"/>
      <c r="S1280" s="34"/>
    </row>
    <row r="1281" spans="14:19">
      <c r="N1281" s="34"/>
      <c r="O1281" s="34"/>
      <c r="P1281" s="34"/>
      <c r="Q1281" s="34"/>
      <c r="R1281" s="34"/>
      <c r="S1281" s="34"/>
    </row>
    <row r="1282" spans="14:19">
      <c r="N1282" s="34"/>
      <c r="O1282" s="34"/>
      <c r="P1282" s="34"/>
      <c r="Q1282" s="34"/>
      <c r="R1282" s="34"/>
      <c r="S1282" s="34"/>
    </row>
    <row r="1283" spans="14:19">
      <c r="N1283" s="34"/>
      <c r="O1283" s="34"/>
      <c r="P1283" s="34"/>
      <c r="Q1283" s="34"/>
      <c r="R1283" s="34"/>
      <c r="S1283" s="34"/>
    </row>
    <row r="1284" spans="14:19">
      <c r="N1284" s="34"/>
      <c r="O1284" s="34"/>
      <c r="P1284" s="34"/>
      <c r="Q1284" s="34"/>
      <c r="R1284" s="34"/>
      <c r="S1284" s="34"/>
    </row>
    <row r="1285" spans="14:19">
      <c r="N1285" s="34"/>
      <c r="O1285" s="34"/>
      <c r="P1285" s="34"/>
      <c r="Q1285" s="34"/>
      <c r="R1285" s="34"/>
      <c r="S1285" s="34"/>
    </row>
    <row r="1286" spans="14:19">
      <c r="N1286" s="34"/>
      <c r="O1286" s="34"/>
      <c r="P1286" s="34"/>
      <c r="Q1286" s="34"/>
      <c r="R1286" s="34"/>
      <c r="S1286" s="34"/>
    </row>
    <row r="1287" spans="14:19">
      <c r="N1287" s="34"/>
      <c r="O1287" s="34"/>
      <c r="P1287" s="34"/>
      <c r="Q1287" s="34"/>
      <c r="R1287" s="34"/>
      <c r="S1287" s="34"/>
    </row>
    <row r="1288" spans="14:19">
      <c r="N1288" s="34"/>
      <c r="O1288" s="34"/>
      <c r="P1288" s="34"/>
      <c r="Q1288" s="34"/>
      <c r="R1288" s="34"/>
      <c r="S1288" s="34"/>
    </row>
    <row r="1289" spans="14:19">
      <c r="N1289" s="34"/>
      <c r="O1289" s="34"/>
      <c r="P1289" s="34"/>
      <c r="Q1289" s="34"/>
      <c r="R1289" s="34"/>
      <c r="S1289" s="34"/>
    </row>
    <row r="1290" spans="14:19">
      <c r="N1290" s="34"/>
      <c r="O1290" s="34"/>
      <c r="P1290" s="34"/>
      <c r="Q1290" s="34"/>
      <c r="R1290" s="34"/>
      <c r="S1290" s="34"/>
    </row>
    <row r="1291" spans="14:19">
      <c r="N1291" s="34"/>
      <c r="O1291" s="34"/>
      <c r="P1291" s="34"/>
      <c r="Q1291" s="34"/>
      <c r="R1291" s="34"/>
      <c r="S1291" s="34"/>
    </row>
    <row r="1292" spans="14:19">
      <c r="N1292" s="34"/>
      <c r="O1292" s="34"/>
      <c r="P1292" s="34"/>
      <c r="Q1292" s="34"/>
      <c r="R1292" s="34"/>
      <c r="S1292" s="34"/>
    </row>
    <row r="1293" spans="14:19">
      <c r="N1293" s="34"/>
      <c r="O1293" s="34"/>
      <c r="P1293" s="34"/>
      <c r="Q1293" s="34"/>
      <c r="R1293" s="34"/>
      <c r="S1293" s="34"/>
    </row>
    <row r="1294" spans="14:19">
      <c r="N1294" s="34"/>
      <c r="O1294" s="34"/>
      <c r="P1294" s="34"/>
      <c r="Q1294" s="34"/>
      <c r="R1294" s="34"/>
      <c r="S1294" s="34"/>
    </row>
    <row r="1295" spans="14:19">
      <c r="N1295" s="34"/>
      <c r="O1295" s="34"/>
      <c r="P1295" s="34"/>
      <c r="Q1295" s="34"/>
      <c r="R1295" s="34"/>
      <c r="S1295" s="34"/>
    </row>
    <row r="1296" spans="14:19">
      <c r="N1296" s="34"/>
      <c r="O1296" s="34"/>
      <c r="P1296" s="34"/>
      <c r="Q1296" s="34"/>
      <c r="R1296" s="34"/>
      <c r="S1296" s="34"/>
    </row>
    <row r="1297" spans="14:19">
      <c r="N1297" s="34"/>
      <c r="O1297" s="34"/>
      <c r="P1297" s="34"/>
      <c r="Q1297" s="34"/>
      <c r="R1297" s="34"/>
      <c r="S1297" s="34"/>
    </row>
    <row r="1298" spans="14:19">
      <c r="N1298" s="34"/>
      <c r="O1298" s="34"/>
      <c r="P1298" s="34"/>
      <c r="Q1298" s="34"/>
      <c r="R1298" s="34"/>
      <c r="S1298" s="34"/>
    </row>
    <row r="1299" spans="14:19">
      <c r="N1299" s="34"/>
      <c r="O1299" s="34"/>
      <c r="P1299" s="34"/>
      <c r="Q1299" s="34"/>
      <c r="R1299" s="34"/>
      <c r="S1299" s="34"/>
    </row>
    <row r="1300" spans="14:19">
      <c r="N1300" s="34"/>
      <c r="O1300" s="34"/>
      <c r="P1300" s="34"/>
      <c r="Q1300" s="34"/>
      <c r="R1300" s="34"/>
      <c r="S1300" s="34"/>
    </row>
    <row r="1301" spans="14:19">
      <c r="N1301" s="34"/>
      <c r="O1301" s="34"/>
      <c r="P1301" s="34"/>
      <c r="Q1301" s="34"/>
      <c r="R1301" s="34"/>
      <c r="S1301" s="34"/>
    </row>
    <row r="1302" spans="14:19">
      <c r="N1302" s="34"/>
      <c r="O1302" s="34"/>
      <c r="P1302" s="34"/>
      <c r="Q1302" s="34"/>
      <c r="R1302" s="34"/>
      <c r="S1302" s="34"/>
    </row>
    <row r="1303" spans="14:19">
      <c r="N1303" s="34"/>
      <c r="O1303" s="34"/>
      <c r="P1303" s="34"/>
      <c r="Q1303" s="34"/>
      <c r="R1303" s="34"/>
      <c r="S1303" s="34"/>
    </row>
    <row r="1304" spans="14:19">
      <c r="N1304" s="34"/>
      <c r="O1304" s="34"/>
      <c r="P1304" s="34"/>
      <c r="Q1304" s="34"/>
      <c r="R1304" s="34"/>
      <c r="S1304" s="34"/>
    </row>
    <row r="1305" spans="14:19">
      <c r="N1305" s="34"/>
      <c r="O1305" s="34"/>
      <c r="P1305" s="34"/>
      <c r="Q1305" s="34"/>
      <c r="R1305" s="34"/>
      <c r="S1305" s="34"/>
    </row>
    <row r="1306" spans="14:19">
      <c r="N1306" s="34"/>
      <c r="O1306" s="34"/>
      <c r="P1306" s="34"/>
      <c r="Q1306" s="34"/>
      <c r="R1306" s="34"/>
      <c r="S1306" s="34"/>
    </row>
    <row r="1307" spans="14:19">
      <c r="N1307" s="34"/>
      <c r="O1307" s="34"/>
      <c r="P1307" s="34"/>
      <c r="Q1307" s="34"/>
      <c r="R1307" s="34"/>
      <c r="S1307" s="34"/>
    </row>
    <row r="1308" spans="14:19">
      <c r="N1308" s="34"/>
      <c r="O1308" s="34"/>
      <c r="P1308" s="34"/>
      <c r="Q1308" s="34"/>
      <c r="R1308" s="34"/>
      <c r="S1308" s="34"/>
    </row>
    <row r="1309" spans="14:19">
      <c r="N1309" s="34"/>
      <c r="O1309" s="34"/>
      <c r="P1309" s="34"/>
      <c r="Q1309" s="34"/>
      <c r="R1309" s="34"/>
      <c r="S1309" s="34"/>
    </row>
    <row r="1310" spans="14:19">
      <c r="N1310" s="34"/>
      <c r="O1310" s="34"/>
      <c r="P1310" s="34"/>
      <c r="Q1310" s="34"/>
      <c r="R1310" s="34"/>
      <c r="S1310" s="34"/>
    </row>
    <row r="1311" spans="14:19">
      <c r="N1311" s="34"/>
      <c r="O1311" s="34"/>
      <c r="P1311" s="34"/>
      <c r="Q1311" s="34"/>
      <c r="R1311" s="34"/>
      <c r="S1311" s="34"/>
    </row>
    <row r="1312" spans="14:19">
      <c r="N1312" s="34"/>
      <c r="O1312" s="34"/>
      <c r="P1312" s="34"/>
      <c r="Q1312" s="34"/>
      <c r="R1312" s="34"/>
      <c r="S1312" s="34"/>
    </row>
    <row r="1313" spans="14:19">
      <c r="N1313" s="34"/>
      <c r="O1313" s="34"/>
      <c r="P1313" s="34"/>
      <c r="Q1313" s="34"/>
      <c r="R1313" s="34"/>
      <c r="S1313" s="34"/>
    </row>
    <row r="1314" spans="14:19">
      <c r="N1314" s="34"/>
      <c r="O1314" s="34"/>
      <c r="P1314" s="34"/>
      <c r="Q1314" s="34"/>
      <c r="R1314" s="34"/>
      <c r="S1314" s="34"/>
    </row>
    <row r="1315" spans="14:19">
      <c r="N1315" s="34"/>
      <c r="O1315" s="34"/>
      <c r="P1315" s="34"/>
      <c r="Q1315" s="34"/>
      <c r="R1315" s="34"/>
      <c r="S1315" s="34"/>
    </row>
    <row r="1316" spans="14:19">
      <c r="N1316" s="34"/>
      <c r="O1316" s="34"/>
      <c r="P1316" s="34"/>
      <c r="Q1316" s="34"/>
      <c r="R1316" s="34"/>
      <c r="S1316" s="34"/>
    </row>
    <row r="1317" spans="14:19">
      <c r="N1317" s="34"/>
      <c r="O1317" s="34"/>
      <c r="P1317" s="34"/>
      <c r="Q1317" s="34"/>
      <c r="R1317" s="34"/>
      <c r="S1317" s="34"/>
    </row>
    <row r="1318" spans="14:19">
      <c r="N1318" s="34"/>
      <c r="O1318" s="34"/>
      <c r="P1318" s="34"/>
      <c r="Q1318" s="34"/>
      <c r="R1318" s="34"/>
      <c r="S1318" s="34"/>
    </row>
    <row r="1319" spans="14:19">
      <c r="N1319" s="34"/>
      <c r="O1319" s="34"/>
      <c r="P1319" s="34"/>
      <c r="Q1319" s="34"/>
      <c r="R1319" s="34"/>
      <c r="S1319" s="34"/>
    </row>
    <row r="1320" spans="14:19">
      <c r="N1320" s="34"/>
      <c r="O1320" s="34"/>
      <c r="P1320" s="34"/>
      <c r="Q1320" s="34"/>
      <c r="R1320" s="34"/>
      <c r="S1320" s="34"/>
    </row>
    <row r="1321" spans="14:19">
      <c r="N1321" s="34"/>
      <c r="O1321" s="34"/>
      <c r="P1321" s="34"/>
      <c r="Q1321" s="34"/>
      <c r="R1321" s="34"/>
      <c r="S1321" s="34"/>
    </row>
    <row r="1322" spans="14:19">
      <c r="N1322" s="34"/>
      <c r="O1322" s="34"/>
      <c r="P1322" s="34"/>
      <c r="Q1322" s="34"/>
      <c r="R1322" s="34"/>
      <c r="S1322" s="34"/>
    </row>
    <row r="1323" spans="14:19">
      <c r="N1323" s="34"/>
      <c r="O1323" s="34"/>
      <c r="P1323" s="34"/>
      <c r="Q1323" s="34"/>
      <c r="R1323" s="34"/>
      <c r="S1323" s="34"/>
    </row>
    <row r="1324" spans="14:19">
      <c r="N1324" s="34"/>
      <c r="O1324" s="34"/>
      <c r="P1324" s="34"/>
      <c r="Q1324" s="34"/>
      <c r="R1324" s="34"/>
      <c r="S1324" s="34"/>
    </row>
    <row r="1325" spans="14:19">
      <c r="N1325" s="34"/>
      <c r="O1325" s="34"/>
      <c r="P1325" s="34"/>
      <c r="Q1325" s="34"/>
      <c r="R1325" s="34"/>
      <c r="S1325" s="34"/>
    </row>
    <row r="1326" spans="14:19">
      <c r="N1326" s="34"/>
      <c r="O1326" s="34"/>
      <c r="P1326" s="34"/>
      <c r="Q1326" s="34"/>
      <c r="R1326" s="34"/>
      <c r="S1326" s="34"/>
    </row>
    <row r="1327" spans="14:19">
      <c r="N1327" s="34"/>
      <c r="O1327" s="34"/>
      <c r="P1327" s="34"/>
      <c r="Q1327" s="34"/>
      <c r="R1327" s="34"/>
      <c r="S1327" s="34"/>
    </row>
    <row r="1328" spans="14:19">
      <c r="N1328" s="34"/>
      <c r="O1328" s="34"/>
      <c r="P1328" s="34"/>
      <c r="Q1328" s="34"/>
      <c r="R1328" s="34"/>
      <c r="S1328" s="34"/>
    </row>
    <row r="1329" spans="14:19">
      <c r="N1329" s="34"/>
      <c r="O1329" s="34"/>
      <c r="P1329" s="34"/>
      <c r="Q1329" s="34"/>
      <c r="R1329" s="34"/>
      <c r="S1329" s="34"/>
    </row>
    <row r="1330" spans="14:19">
      <c r="N1330" s="34"/>
      <c r="O1330" s="34"/>
      <c r="P1330" s="34"/>
      <c r="Q1330" s="34"/>
      <c r="R1330" s="34"/>
      <c r="S1330" s="34"/>
    </row>
    <row r="1331" spans="14:19">
      <c r="N1331" s="34"/>
      <c r="O1331" s="34"/>
      <c r="P1331" s="34"/>
      <c r="Q1331" s="34"/>
      <c r="R1331" s="34"/>
      <c r="S1331" s="34"/>
    </row>
    <row r="1332" spans="14:19">
      <c r="N1332" s="34"/>
      <c r="O1332" s="34"/>
      <c r="P1332" s="34"/>
      <c r="Q1332" s="34"/>
      <c r="R1332" s="34"/>
      <c r="S1332" s="34"/>
    </row>
    <row r="1333" spans="14:19">
      <c r="N1333" s="34"/>
      <c r="O1333" s="34"/>
      <c r="P1333" s="34"/>
      <c r="Q1333" s="34"/>
      <c r="R1333" s="34"/>
      <c r="S1333" s="34"/>
    </row>
    <row r="1334" spans="14:19">
      <c r="N1334" s="34"/>
      <c r="O1334" s="34"/>
      <c r="P1334" s="34"/>
      <c r="Q1334" s="34"/>
      <c r="R1334" s="34"/>
      <c r="S1334" s="34"/>
    </row>
    <row r="1335" spans="14:19">
      <c r="N1335" s="34"/>
      <c r="O1335" s="34"/>
      <c r="P1335" s="34"/>
      <c r="Q1335" s="34"/>
      <c r="R1335" s="34"/>
      <c r="S1335" s="34"/>
    </row>
    <row r="1336" spans="14:19">
      <c r="N1336" s="34"/>
      <c r="O1336" s="34"/>
      <c r="P1336" s="34"/>
      <c r="Q1336" s="34"/>
      <c r="R1336" s="34"/>
      <c r="S1336" s="34"/>
    </row>
    <row r="1337" spans="14:19">
      <c r="N1337" s="34"/>
      <c r="O1337" s="34"/>
      <c r="P1337" s="34"/>
      <c r="Q1337" s="34"/>
      <c r="R1337" s="34"/>
      <c r="S1337" s="34"/>
    </row>
    <row r="1338" spans="14:19">
      <c r="N1338" s="34"/>
      <c r="O1338" s="34"/>
      <c r="P1338" s="34"/>
      <c r="Q1338" s="34"/>
      <c r="R1338" s="34"/>
      <c r="S1338" s="34"/>
    </row>
    <row r="1339" spans="14:19">
      <c r="N1339" s="34"/>
      <c r="O1339" s="34"/>
      <c r="P1339" s="34"/>
      <c r="Q1339" s="34"/>
      <c r="R1339" s="34"/>
      <c r="S1339" s="34"/>
    </row>
    <row r="1340" spans="14:19">
      <c r="N1340" s="34"/>
      <c r="O1340" s="34"/>
      <c r="P1340" s="34"/>
      <c r="Q1340" s="34"/>
      <c r="R1340" s="34"/>
      <c r="S1340" s="34"/>
    </row>
    <row r="1341" spans="14:19">
      <c r="N1341" s="34"/>
      <c r="O1341" s="34"/>
      <c r="P1341" s="34"/>
      <c r="Q1341" s="34"/>
      <c r="R1341" s="34"/>
      <c r="S1341" s="34"/>
    </row>
    <row r="1342" spans="14:19">
      <c r="N1342" s="34"/>
      <c r="O1342" s="34"/>
      <c r="P1342" s="34"/>
      <c r="Q1342" s="34"/>
      <c r="R1342" s="34"/>
      <c r="S1342" s="34"/>
    </row>
    <row r="1343" spans="14:19">
      <c r="N1343" s="34"/>
      <c r="O1343" s="34"/>
      <c r="P1343" s="34"/>
      <c r="Q1343" s="34"/>
      <c r="R1343" s="34"/>
      <c r="S1343" s="34"/>
    </row>
    <row r="1344" spans="14:19">
      <c r="N1344" s="34"/>
      <c r="O1344" s="34"/>
      <c r="P1344" s="34"/>
      <c r="Q1344" s="34"/>
      <c r="R1344" s="34"/>
      <c r="S1344" s="34"/>
    </row>
    <row r="1345" spans="14:19">
      <c r="N1345" s="34"/>
      <c r="O1345" s="34"/>
      <c r="P1345" s="34"/>
      <c r="Q1345" s="34"/>
      <c r="R1345" s="34"/>
      <c r="S1345" s="34"/>
    </row>
    <row r="1346" spans="14:19">
      <c r="N1346" s="34"/>
      <c r="O1346" s="34"/>
      <c r="P1346" s="34"/>
      <c r="Q1346" s="34"/>
      <c r="R1346" s="34"/>
      <c r="S1346" s="34"/>
    </row>
    <row r="1347" spans="14:19">
      <c r="N1347" s="34"/>
      <c r="O1347" s="34"/>
      <c r="P1347" s="34"/>
      <c r="Q1347" s="34"/>
      <c r="R1347" s="34"/>
      <c r="S1347" s="34"/>
    </row>
    <row r="1348" spans="14:19">
      <c r="N1348" s="34"/>
      <c r="O1348" s="34"/>
      <c r="P1348" s="34"/>
      <c r="Q1348" s="34"/>
      <c r="R1348" s="34"/>
      <c r="S1348" s="34"/>
    </row>
    <row r="1349" spans="14:19">
      <c r="N1349" s="34"/>
      <c r="O1349" s="34"/>
      <c r="P1349" s="34"/>
      <c r="Q1349" s="34"/>
      <c r="R1349" s="34"/>
      <c r="S1349" s="34"/>
    </row>
    <row r="1350" spans="14:19">
      <c r="N1350" s="34"/>
      <c r="O1350" s="34"/>
      <c r="P1350" s="34"/>
      <c r="Q1350" s="34"/>
      <c r="R1350" s="34"/>
      <c r="S1350" s="34"/>
    </row>
    <row r="1351" spans="14:19">
      <c r="N1351" s="34"/>
      <c r="O1351" s="34"/>
      <c r="P1351" s="34"/>
      <c r="Q1351" s="34"/>
      <c r="R1351" s="34"/>
      <c r="S1351" s="34"/>
    </row>
    <row r="1352" spans="14:19">
      <c r="N1352" s="34"/>
      <c r="O1352" s="34"/>
      <c r="P1352" s="34"/>
      <c r="Q1352" s="34"/>
      <c r="R1352" s="34"/>
      <c r="S1352" s="34"/>
    </row>
    <row r="1353" spans="14:19">
      <c r="N1353" s="34"/>
      <c r="O1353" s="34"/>
      <c r="P1353" s="34"/>
      <c r="Q1353" s="34"/>
      <c r="R1353" s="34"/>
      <c r="S1353" s="34"/>
    </row>
    <row r="1354" spans="14:19">
      <c r="N1354" s="34"/>
      <c r="O1354" s="34"/>
      <c r="P1354" s="34"/>
      <c r="Q1354" s="34"/>
      <c r="R1354" s="34"/>
      <c r="S1354" s="34"/>
    </row>
    <row r="1355" spans="14:19">
      <c r="N1355" s="34"/>
      <c r="O1355" s="34"/>
      <c r="P1355" s="34"/>
      <c r="Q1355" s="34"/>
      <c r="R1355" s="34"/>
      <c r="S1355" s="34"/>
    </row>
    <row r="1356" spans="14:19">
      <c r="N1356" s="34"/>
      <c r="O1356" s="34"/>
      <c r="P1356" s="34"/>
      <c r="Q1356" s="34"/>
      <c r="R1356" s="34"/>
      <c r="S1356" s="34"/>
    </row>
    <row r="1357" spans="14:19">
      <c r="N1357" s="34"/>
      <c r="O1357" s="34"/>
      <c r="P1357" s="34"/>
      <c r="Q1357" s="34"/>
      <c r="R1357" s="34"/>
      <c r="S1357" s="34"/>
    </row>
    <row r="1358" spans="14:19">
      <c r="N1358" s="34"/>
      <c r="O1358" s="34"/>
      <c r="P1358" s="34"/>
      <c r="Q1358" s="34"/>
      <c r="R1358" s="34"/>
      <c r="S1358" s="34"/>
    </row>
    <row r="1359" spans="14:19">
      <c r="N1359" s="34"/>
      <c r="O1359" s="34"/>
      <c r="P1359" s="34"/>
      <c r="Q1359" s="34"/>
      <c r="R1359" s="34"/>
      <c r="S1359" s="34"/>
    </row>
    <row r="1360" spans="14:19">
      <c r="N1360" s="34"/>
      <c r="O1360" s="34"/>
      <c r="P1360" s="34"/>
      <c r="Q1360" s="34"/>
      <c r="R1360" s="34"/>
      <c r="S1360" s="34"/>
    </row>
    <row r="1361" spans="14:19">
      <c r="N1361" s="34"/>
      <c r="O1361" s="34"/>
      <c r="P1361" s="34"/>
      <c r="Q1361" s="34"/>
      <c r="R1361" s="34"/>
      <c r="S1361" s="34"/>
    </row>
    <row r="1362" spans="14:19">
      <c r="N1362" s="34"/>
      <c r="O1362" s="34"/>
      <c r="P1362" s="34"/>
      <c r="Q1362" s="34"/>
      <c r="R1362" s="34"/>
      <c r="S1362" s="34"/>
    </row>
    <row r="1363" spans="14:19">
      <c r="N1363" s="34"/>
      <c r="O1363" s="34"/>
      <c r="P1363" s="34"/>
      <c r="Q1363" s="34"/>
      <c r="R1363" s="34"/>
      <c r="S1363" s="34"/>
    </row>
    <row r="1364" spans="14:19">
      <c r="N1364" s="34"/>
      <c r="O1364" s="34"/>
      <c r="P1364" s="34"/>
      <c r="Q1364" s="34"/>
      <c r="R1364" s="34"/>
      <c r="S1364" s="34"/>
    </row>
    <row r="1365" spans="14:19">
      <c r="N1365" s="34"/>
      <c r="O1365" s="34"/>
      <c r="P1365" s="34"/>
      <c r="Q1365" s="34"/>
      <c r="R1365" s="34"/>
      <c r="S1365" s="34"/>
    </row>
    <row r="1366" spans="14:19">
      <c r="N1366" s="34"/>
      <c r="O1366" s="34"/>
      <c r="P1366" s="34"/>
      <c r="Q1366" s="34"/>
      <c r="R1366" s="34"/>
      <c r="S1366" s="34"/>
    </row>
    <row r="1367" spans="14:19">
      <c r="N1367" s="34"/>
      <c r="O1367" s="34"/>
      <c r="P1367" s="34"/>
      <c r="Q1367" s="34"/>
      <c r="R1367" s="34"/>
      <c r="S1367" s="34"/>
    </row>
    <row r="1368" spans="14:19">
      <c r="N1368" s="34"/>
      <c r="O1368" s="34"/>
      <c r="P1368" s="34"/>
      <c r="Q1368" s="34"/>
      <c r="R1368" s="34"/>
      <c r="S1368" s="34"/>
    </row>
    <row r="1369" spans="14:19">
      <c r="N1369" s="34"/>
      <c r="O1369" s="34"/>
      <c r="P1369" s="34"/>
      <c r="Q1369" s="34"/>
      <c r="R1369" s="34"/>
      <c r="S1369" s="34"/>
    </row>
    <row r="1370" spans="14:19">
      <c r="N1370" s="34"/>
      <c r="O1370" s="34"/>
      <c r="P1370" s="34"/>
      <c r="Q1370" s="34"/>
      <c r="R1370" s="34"/>
      <c r="S1370" s="34"/>
    </row>
    <row r="1371" spans="14:19">
      <c r="N1371" s="34"/>
      <c r="O1371" s="34"/>
      <c r="P1371" s="34"/>
      <c r="Q1371" s="34"/>
      <c r="R1371" s="34"/>
      <c r="S1371" s="34"/>
    </row>
    <row r="1372" spans="14:19">
      <c r="N1372" s="34"/>
      <c r="O1372" s="34"/>
      <c r="P1372" s="34"/>
      <c r="Q1372" s="34"/>
      <c r="R1372" s="34"/>
      <c r="S1372" s="34"/>
    </row>
    <row r="1373" spans="14:19">
      <c r="N1373" s="34"/>
      <c r="O1373" s="34"/>
      <c r="P1373" s="34"/>
      <c r="Q1373" s="34"/>
      <c r="R1373" s="34"/>
      <c r="S1373" s="34"/>
    </row>
    <row r="1374" spans="14:19">
      <c r="N1374" s="34"/>
      <c r="O1374" s="34"/>
      <c r="P1374" s="34"/>
      <c r="Q1374" s="34"/>
      <c r="R1374" s="34"/>
      <c r="S1374" s="34"/>
    </row>
    <row r="1375" spans="14:19">
      <c r="N1375" s="34"/>
      <c r="O1375" s="34"/>
      <c r="P1375" s="34"/>
      <c r="Q1375" s="34"/>
      <c r="R1375" s="34"/>
      <c r="S1375" s="34"/>
    </row>
    <row r="1376" spans="14:19">
      <c r="N1376" s="34"/>
      <c r="O1376" s="34"/>
      <c r="P1376" s="34"/>
      <c r="Q1376" s="34"/>
      <c r="R1376" s="34"/>
      <c r="S1376" s="34"/>
    </row>
    <row r="1377" spans="14:19">
      <c r="N1377" s="34"/>
      <c r="O1377" s="34"/>
      <c r="P1377" s="34"/>
      <c r="Q1377" s="34"/>
      <c r="R1377" s="34"/>
      <c r="S1377" s="34"/>
    </row>
    <row r="1378" spans="14:19">
      <c r="N1378" s="34"/>
      <c r="O1378" s="34"/>
      <c r="P1378" s="34"/>
      <c r="Q1378" s="34"/>
      <c r="R1378" s="34"/>
      <c r="S1378" s="34"/>
    </row>
    <row r="1379" spans="14:19">
      <c r="N1379" s="34"/>
      <c r="O1379" s="34"/>
      <c r="P1379" s="34"/>
      <c r="Q1379" s="34"/>
      <c r="R1379" s="34"/>
      <c r="S1379" s="34"/>
    </row>
    <row r="1380" spans="14:19">
      <c r="N1380" s="34"/>
      <c r="O1380" s="34"/>
      <c r="P1380" s="34"/>
      <c r="Q1380" s="34"/>
      <c r="R1380" s="34"/>
      <c r="S1380" s="34"/>
    </row>
    <row r="1381" spans="14:19">
      <c r="N1381" s="34"/>
      <c r="O1381" s="34"/>
      <c r="P1381" s="34"/>
      <c r="Q1381" s="34"/>
      <c r="R1381" s="34"/>
      <c r="S1381" s="34"/>
    </row>
    <row r="1382" spans="14:19">
      <c r="N1382" s="34"/>
      <c r="O1382" s="34"/>
      <c r="P1382" s="34"/>
      <c r="Q1382" s="34"/>
      <c r="R1382" s="34"/>
      <c r="S1382" s="34"/>
    </row>
    <row r="1383" spans="14:19">
      <c r="N1383" s="34"/>
      <c r="O1383" s="34"/>
      <c r="P1383" s="34"/>
      <c r="Q1383" s="34"/>
      <c r="R1383" s="34"/>
      <c r="S1383" s="34"/>
    </row>
    <row r="1384" spans="14:19">
      <c r="N1384" s="34"/>
      <c r="O1384" s="34"/>
      <c r="P1384" s="34"/>
      <c r="Q1384" s="34"/>
      <c r="R1384" s="34"/>
      <c r="S1384" s="34"/>
    </row>
    <row r="1385" spans="14:19">
      <c r="N1385" s="34"/>
      <c r="O1385" s="34"/>
      <c r="P1385" s="34"/>
      <c r="Q1385" s="34"/>
      <c r="R1385" s="34"/>
      <c r="S1385" s="34"/>
    </row>
    <row r="1386" spans="14:19">
      <c r="N1386" s="34"/>
      <c r="O1386" s="34"/>
      <c r="P1386" s="34"/>
      <c r="Q1386" s="34"/>
      <c r="R1386" s="34"/>
      <c r="S1386" s="34"/>
    </row>
    <row r="1387" spans="14:19">
      <c r="N1387" s="34"/>
      <c r="O1387" s="34"/>
      <c r="P1387" s="34"/>
      <c r="Q1387" s="34"/>
      <c r="R1387" s="34"/>
      <c r="S1387" s="34"/>
    </row>
    <row r="1388" spans="14:19">
      <c r="N1388" s="34"/>
      <c r="O1388" s="34"/>
      <c r="P1388" s="34"/>
      <c r="Q1388" s="34"/>
      <c r="R1388" s="34"/>
      <c r="S1388" s="34"/>
    </row>
    <row r="1389" spans="14:19">
      <c r="N1389" s="34"/>
      <c r="O1389" s="34"/>
      <c r="P1389" s="34"/>
      <c r="Q1389" s="34"/>
      <c r="R1389" s="34"/>
      <c r="S1389" s="34"/>
    </row>
    <row r="1390" spans="14:19">
      <c r="N1390" s="34"/>
      <c r="O1390" s="34"/>
      <c r="P1390" s="34"/>
      <c r="Q1390" s="34"/>
      <c r="R1390" s="34"/>
      <c r="S1390" s="34"/>
    </row>
    <row r="1391" spans="14:19">
      <c r="N1391" s="34"/>
      <c r="O1391" s="34"/>
      <c r="P1391" s="34"/>
      <c r="Q1391" s="34"/>
      <c r="R1391" s="34"/>
      <c r="S1391" s="34"/>
    </row>
    <row r="1392" spans="14:19">
      <c r="N1392" s="34"/>
      <c r="O1392" s="34"/>
      <c r="P1392" s="34"/>
      <c r="Q1392" s="34"/>
      <c r="R1392" s="34"/>
      <c r="S1392" s="34"/>
    </row>
    <row r="1393" spans="14:19">
      <c r="N1393" s="34"/>
      <c r="O1393" s="34"/>
      <c r="P1393" s="34"/>
      <c r="Q1393" s="34"/>
      <c r="R1393" s="34"/>
      <c r="S1393" s="34"/>
    </row>
    <row r="1394" spans="14:19">
      <c r="N1394" s="34"/>
      <c r="O1394" s="34"/>
      <c r="P1394" s="34"/>
      <c r="Q1394" s="34"/>
      <c r="R1394" s="34"/>
      <c r="S1394" s="34"/>
    </row>
    <row r="1395" spans="14:19">
      <c r="N1395" s="34"/>
      <c r="O1395" s="34"/>
      <c r="P1395" s="34"/>
      <c r="Q1395" s="34"/>
      <c r="R1395" s="34"/>
      <c r="S1395" s="34"/>
    </row>
    <row r="1396" spans="14:19">
      <c r="N1396" s="34"/>
      <c r="O1396" s="34"/>
      <c r="P1396" s="34"/>
      <c r="Q1396" s="34"/>
      <c r="R1396" s="34"/>
      <c r="S1396" s="34"/>
    </row>
    <row r="1397" spans="14:19">
      <c r="N1397" s="34"/>
      <c r="O1397" s="34"/>
      <c r="P1397" s="34"/>
      <c r="Q1397" s="34"/>
      <c r="R1397" s="34"/>
      <c r="S1397" s="34"/>
    </row>
    <row r="1398" spans="14:19">
      <c r="N1398" s="34"/>
      <c r="O1398" s="34"/>
      <c r="P1398" s="34"/>
      <c r="Q1398" s="34"/>
      <c r="R1398" s="34"/>
      <c r="S1398" s="34"/>
    </row>
    <row r="1399" spans="14:19">
      <c r="N1399" s="34"/>
      <c r="O1399" s="34"/>
      <c r="P1399" s="34"/>
      <c r="Q1399" s="34"/>
      <c r="R1399" s="34"/>
      <c r="S1399" s="34"/>
    </row>
    <row r="1400" spans="14:19">
      <c r="N1400" s="34"/>
      <c r="O1400" s="34"/>
      <c r="P1400" s="34"/>
      <c r="Q1400" s="34"/>
      <c r="R1400" s="34"/>
      <c r="S1400" s="34"/>
    </row>
    <row r="1401" spans="14:19">
      <c r="N1401" s="34"/>
      <c r="O1401" s="34"/>
      <c r="P1401" s="34"/>
      <c r="Q1401" s="34"/>
      <c r="R1401" s="34"/>
      <c r="S1401" s="34"/>
    </row>
    <row r="1402" spans="14:19">
      <c r="N1402" s="34"/>
      <c r="O1402" s="34"/>
      <c r="P1402" s="34"/>
      <c r="Q1402" s="34"/>
      <c r="R1402" s="34"/>
      <c r="S1402" s="34"/>
    </row>
    <row r="1403" spans="14:19">
      <c r="N1403" s="34"/>
      <c r="O1403" s="34"/>
      <c r="P1403" s="34"/>
      <c r="Q1403" s="34"/>
      <c r="R1403" s="34"/>
      <c r="S1403" s="34"/>
    </row>
    <row r="1404" spans="14:19">
      <c r="N1404" s="34"/>
      <c r="O1404" s="34"/>
      <c r="P1404" s="34"/>
      <c r="Q1404" s="34"/>
      <c r="R1404" s="34"/>
      <c r="S1404" s="34"/>
    </row>
    <row r="1405" spans="14:19">
      <c r="N1405" s="34"/>
      <c r="O1405" s="34"/>
      <c r="P1405" s="34"/>
      <c r="Q1405" s="34"/>
      <c r="R1405" s="34"/>
      <c r="S1405" s="34"/>
    </row>
    <row r="1406" spans="14:19">
      <c r="N1406" s="34"/>
      <c r="O1406" s="34"/>
      <c r="P1406" s="34"/>
      <c r="Q1406" s="34"/>
      <c r="R1406" s="34"/>
      <c r="S1406" s="34"/>
    </row>
    <row r="1407" spans="14:19">
      <c r="N1407" s="34"/>
      <c r="O1407" s="34"/>
      <c r="P1407" s="34"/>
      <c r="Q1407" s="34"/>
      <c r="R1407" s="34"/>
      <c r="S1407" s="34"/>
    </row>
    <row r="1408" spans="14:19">
      <c r="N1408" s="34"/>
      <c r="O1408" s="34"/>
      <c r="P1408" s="34"/>
      <c r="Q1408" s="34"/>
      <c r="R1408" s="34"/>
      <c r="S1408" s="34"/>
    </row>
    <row r="1409" spans="14:19">
      <c r="N1409" s="34"/>
      <c r="O1409" s="34"/>
      <c r="P1409" s="34"/>
      <c r="Q1409" s="34"/>
      <c r="R1409" s="34"/>
      <c r="S1409" s="34"/>
    </row>
    <row r="1410" spans="14:19">
      <c r="N1410" s="34"/>
      <c r="O1410" s="34"/>
      <c r="P1410" s="34"/>
      <c r="Q1410" s="34"/>
      <c r="R1410" s="34"/>
      <c r="S1410" s="34"/>
    </row>
    <row r="1411" spans="14:19">
      <c r="N1411" s="34"/>
      <c r="O1411" s="34"/>
      <c r="P1411" s="34"/>
      <c r="Q1411" s="34"/>
      <c r="R1411" s="34"/>
      <c r="S1411" s="34"/>
    </row>
    <row r="1412" spans="14:19">
      <c r="N1412" s="34"/>
      <c r="O1412" s="34"/>
      <c r="P1412" s="34"/>
      <c r="Q1412" s="34"/>
      <c r="R1412" s="34"/>
      <c r="S1412" s="34"/>
    </row>
    <row r="1413" spans="14:19">
      <c r="N1413" s="34"/>
      <c r="O1413" s="34"/>
      <c r="P1413" s="34"/>
      <c r="Q1413" s="34"/>
      <c r="R1413" s="34"/>
      <c r="S1413" s="34"/>
    </row>
    <row r="1414" spans="14:19">
      <c r="N1414" s="34"/>
      <c r="O1414" s="34"/>
      <c r="P1414" s="34"/>
      <c r="Q1414" s="34"/>
      <c r="R1414" s="34"/>
      <c r="S1414" s="34"/>
    </row>
    <row r="1415" spans="14:19">
      <c r="N1415" s="34"/>
      <c r="O1415" s="34"/>
      <c r="P1415" s="34"/>
      <c r="Q1415" s="34"/>
      <c r="R1415" s="34"/>
      <c r="S1415" s="34"/>
    </row>
    <row r="1416" spans="14:19">
      <c r="N1416" s="34"/>
      <c r="O1416" s="34"/>
      <c r="P1416" s="34"/>
      <c r="Q1416" s="34"/>
      <c r="R1416" s="34"/>
      <c r="S1416" s="34"/>
    </row>
    <row r="1417" spans="14:19">
      <c r="N1417" s="34"/>
      <c r="O1417" s="34"/>
      <c r="P1417" s="34"/>
      <c r="Q1417" s="34"/>
      <c r="R1417" s="34"/>
      <c r="S1417" s="34"/>
    </row>
    <row r="1418" spans="14:19">
      <c r="N1418" s="34"/>
      <c r="O1418" s="34"/>
      <c r="P1418" s="34"/>
      <c r="Q1418" s="34"/>
      <c r="R1418" s="34"/>
      <c r="S1418" s="34"/>
    </row>
    <row r="1419" spans="14:19">
      <c r="N1419" s="34"/>
      <c r="O1419" s="34"/>
      <c r="P1419" s="34"/>
      <c r="Q1419" s="34"/>
      <c r="R1419" s="34"/>
      <c r="S1419" s="34"/>
    </row>
    <row r="1420" spans="14:19">
      <c r="N1420" s="34"/>
      <c r="O1420" s="34"/>
      <c r="P1420" s="34"/>
      <c r="Q1420" s="34"/>
      <c r="R1420" s="34"/>
      <c r="S1420" s="34"/>
    </row>
    <row r="1421" spans="14:19">
      <c r="N1421" s="34"/>
      <c r="O1421" s="34"/>
      <c r="P1421" s="34"/>
      <c r="Q1421" s="34"/>
      <c r="R1421" s="34"/>
      <c r="S1421" s="34"/>
    </row>
    <row r="1422" spans="14:19">
      <c r="N1422" s="34"/>
      <c r="O1422" s="34"/>
      <c r="P1422" s="34"/>
      <c r="Q1422" s="34"/>
      <c r="R1422" s="34"/>
      <c r="S1422" s="34"/>
    </row>
    <row r="1423" spans="14:19">
      <c r="N1423" s="34"/>
      <c r="O1423" s="34"/>
      <c r="P1423" s="34"/>
      <c r="Q1423" s="34"/>
      <c r="R1423" s="34"/>
      <c r="S1423" s="34"/>
    </row>
    <row r="1424" spans="14:19">
      <c r="N1424" s="34"/>
      <c r="O1424" s="34"/>
      <c r="P1424" s="34"/>
      <c r="Q1424" s="34"/>
      <c r="R1424" s="34"/>
      <c r="S1424" s="34"/>
    </row>
    <row r="1425" spans="14:19">
      <c r="N1425" s="34"/>
      <c r="O1425" s="34"/>
      <c r="P1425" s="34"/>
      <c r="Q1425" s="34"/>
      <c r="R1425" s="34"/>
      <c r="S1425" s="34"/>
    </row>
    <row r="1426" spans="14:19">
      <c r="N1426" s="34"/>
      <c r="O1426" s="34"/>
      <c r="P1426" s="34"/>
      <c r="Q1426" s="34"/>
      <c r="R1426" s="34"/>
      <c r="S1426" s="34"/>
    </row>
    <row r="1427" spans="14:19">
      <c r="N1427" s="34"/>
      <c r="O1427" s="34"/>
      <c r="P1427" s="34"/>
      <c r="Q1427" s="34"/>
      <c r="R1427" s="34"/>
      <c r="S1427" s="34"/>
    </row>
    <row r="1428" spans="14:19">
      <c r="N1428" s="34"/>
      <c r="O1428" s="34"/>
      <c r="P1428" s="34"/>
      <c r="Q1428" s="34"/>
      <c r="R1428" s="34"/>
      <c r="S1428" s="34"/>
    </row>
    <row r="1429" spans="14:19">
      <c r="N1429" s="34"/>
      <c r="O1429" s="34"/>
      <c r="P1429" s="34"/>
      <c r="Q1429" s="34"/>
      <c r="R1429" s="34"/>
      <c r="S1429" s="34"/>
    </row>
    <row r="1430" spans="14:19">
      <c r="N1430" s="34"/>
      <c r="O1430" s="34"/>
      <c r="P1430" s="34"/>
      <c r="Q1430" s="34"/>
      <c r="R1430" s="34"/>
      <c r="S1430" s="34"/>
    </row>
    <row r="1431" spans="14:19">
      <c r="N1431" s="34"/>
      <c r="O1431" s="34"/>
      <c r="P1431" s="34"/>
      <c r="Q1431" s="34"/>
      <c r="R1431" s="34"/>
      <c r="S1431" s="34"/>
    </row>
    <row r="1432" spans="14:19">
      <c r="N1432" s="34"/>
      <c r="O1432" s="34"/>
      <c r="P1432" s="34"/>
      <c r="Q1432" s="34"/>
      <c r="R1432" s="34"/>
      <c r="S1432" s="34"/>
    </row>
    <row r="1433" spans="14:19">
      <c r="N1433" s="34"/>
      <c r="O1433" s="34"/>
      <c r="P1433" s="34"/>
      <c r="Q1433" s="34"/>
      <c r="R1433" s="34"/>
      <c r="S1433" s="34"/>
    </row>
    <row r="1434" spans="14:19">
      <c r="N1434" s="34"/>
      <c r="O1434" s="34"/>
      <c r="P1434" s="34"/>
      <c r="Q1434" s="34"/>
      <c r="R1434" s="34"/>
      <c r="S1434" s="34"/>
    </row>
    <row r="1435" spans="14:19">
      <c r="N1435" s="34"/>
      <c r="O1435" s="34"/>
      <c r="P1435" s="34"/>
      <c r="Q1435" s="34"/>
      <c r="R1435" s="34"/>
      <c r="S1435" s="34"/>
    </row>
    <row r="1436" spans="14:19">
      <c r="N1436" s="34"/>
      <c r="O1436" s="34"/>
      <c r="P1436" s="34"/>
      <c r="Q1436" s="34"/>
      <c r="R1436" s="34"/>
      <c r="S1436" s="34"/>
    </row>
    <row r="1437" spans="14:19">
      <c r="N1437" s="34"/>
      <c r="O1437" s="34"/>
      <c r="P1437" s="34"/>
      <c r="Q1437" s="34"/>
      <c r="R1437" s="34"/>
      <c r="S1437" s="34"/>
    </row>
    <row r="1438" spans="14:19">
      <c r="N1438" s="34"/>
      <c r="O1438" s="34"/>
      <c r="P1438" s="34"/>
      <c r="Q1438" s="34"/>
      <c r="R1438" s="34"/>
      <c r="S1438" s="34"/>
    </row>
    <row r="1439" spans="14:19">
      <c r="N1439" s="34"/>
      <c r="O1439" s="34"/>
      <c r="P1439" s="34"/>
      <c r="Q1439" s="34"/>
      <c r="R1439" s="34"/>
      <c r="S1439" s="34"/>
    </row>
    <row r="1440" spans="14:19">
      <c r="N1440" s="34"/>
      <c r="O1440" s="34"/>
      <c r="P1440" s="34"/>
      <c r="Q1440" s="34"/>
      <c r="R1440" s="34"/>
      <c r="S1440" s="34"/>
    </row>
    <row r="1441" spans="14:19">
      <c r="N1441" s="34"/>
      <c r="O1441" s="34"/>
      <c r="P1441" s="34"/>
      <c r="Q1441" s="34"/>
      <c r="R1441" s="34"/>
      <c r="S1441" s="34"/>
    </row>
    <row r="1442" spans="14:19">
      <c r="N1442" s="34"/>
      <c r="O1442" s="34"/>
      <c r="P1442" s="34"/>
      <c r="Q1442" s="34"/>
      <c r="R1442" s="34"/>
      <c r="S1442" s="34"/>
    </row>
    <row r="1443" spans="14:19">
      <c r="N1443" s="34"/>
      <c r="O1443" s="34"/>
      <c r="P1443" s="34"/>
      <c r="Q1443" s="34"/>
      <c r="R1443" s="34"/>
      <c r="S1443" s="34"/>
    </row>
    <row r="1444" spans="14:19">
      <c r="N1444" s="34"/>
      <c r="O1444" s="34"/>
      <c r="P1444" s="34"/>
      <c r="Q1444" s="34"/>
      <c r="R1444" s="34"/>
      <c r="S1444" s="34"/>
    </row>
    <row r="1445" spans="14:19">
      <c r="N1445" s="34"/>
      <c r="O1445" s="34"/>
      <c r="P1445" s="34"/>
      <c r="Q1445" s="34"/>
      <c r="R1445" s="34"/>
      <c r="S1445" s="34"/>
    </row>
    <row r="1446" spans="14:19">
      <c r="N1446" s="34"/>
      <c r="O1446" s="34"/>
      <c r="P1446" s="34"/>
      <c r="Q1446" s="34"/>
      <c r="R1446" s="34"/>
      <c r="S1446" s="34"/>
    </row>
    <row r="1447" spans="14:19">
      <c r="N1447" s="34"/>
      <c r="O1447" s="34"/>
      <c r="P1447" s="34"/>
      <c r="Q1447" s="34"/>
      <c r="R1447" s="34"/>
      <c r="S1447" s="34"/>
    </row>
    <row r="1448" spans="14:19">
      <c r="N1448" s="34"/>
      <c r="O1448" s="34"/>
      <c r="P1448" s="34"/>
      <c r="Q1448" s="34"/>
      <c r="R1448" s="34"/>
      <c r="S1448" s="34"/>
    </row>
    <row r="1449" spans="14:19">
      <c r="N1449" s="34"/>
      <c r="O1449" s="34"/>
      <c r="P1449" s="34"/>
      <c r="Q1449" s="34"/>
      <c r="R1449" s="34"/>
      <c r="S1449" s="34"/>
    </row>
    <row r="1450" spans="14:19">
      <c r="N1450" s="34"/>
      <c r="O1450" s="34"/>
      <c r="P1450" s="34"/>
      <c r="Q1450" s="34"/>
      <c r="R1450" s="34"/>
      <c r="S1450" s="34"/>
    </row>
    <row r="1451" spans="14:19">
      <c r="N1451" s="34"/>
      <c r="O1451" s="34"/>
      <c r="P1451" s="34"/>
      <c r="Q1451" s="34"/>
      <c r="R1451" s="34"/>
      <c r="S1451" s="34"/>
    </row>
    <row r="1452" spans="14:19">
      <c r="N1452" s="34"/>
      <c r="O1452" s="34"/>
      <c r="P1452" s="34"/>
      <c r="Q1452" s="34"/>
      <c r="R1452" s="34"/>
      <c r="S1452" s="34"/>
    </row>
    <row r="1453" spans="14:19">
      <c r="N1453" s="34"/>
      <c r="O1453" s="34"/>
      <c r="P1453" s="34"/>
      <c r="Q1453" s="34"/>
      <c r="R1453" s="34"/>
      <c r="S1453" s="34"/>
    </row>
    <row r="1454" spans="14:19">
      <c r="N1454" s="34"/>
      <c r="O1454" s="34"/>
      <c r="P1454" s="34"/>
      <c r="Q1454" s="34"/>
      <c r="R1454" s="34"/>
      <c r="S1454" s="34"/>
    </row>
    <row r="1455" spans="14:19">
      <c r="N1455" s="34"/>
      <c r="O1455" s="34"/>
      <c r="P1455" s="34"/>
      <c r="Q1455" s="34"/>
      <c r="R1455" s="34"/>
      <c r="S1455" s="34"/>
    </row>
    <row r="1456" spans="14:19">
      <c r="N1456" s="34"/>
      <c r="O1456" s="34"/>
      <c r="P1456" s="34"/>
      <c r="Q1456" s="34"/>
      <c r="R1456" s="34"/>
      <c r="S1456" s="34"/>
    </row>
    <row r="1457" spans="14:19">
      <c r="N1457" s="34"/>
      <c r="O1457" s="34"/>
      <c r="P1457" s="34"/>
      <c r="Q1457" s="34"/>
      <c r="R1457" s="34"/>
      <c r="S1457" s="34"/>
    </row>
    <row r="1458" spans="14:19">
      <c r="N1458" s="34"/>
      <c r="O1458" s="34"/>
      <c r="P1458" s="34"/>
      <c r="Q1458" s="34"/>
      <c r="R1458" s="34"/>
      <c r="S1458" s="34"/>
    </row>
    <row r="1459" spans="14:19">
      <c r="N1459" s="34"/>
      <c r="O1459" s="34"/>
      <c r="P1459" s="34"/>
      <c r="Q1459" s="34"/>
      <c r="R1459" s="34"/>
      <c r="S1459" s="34"/>
    </row>
    <row r="1460" spans="14:19">
      <c r="N1460" s="34"/>
      <c r="O1460" s="34"/>
      <c r="P1460" s="34"/>
      <c r="Q1460" s="34"/>
      <c r="R1460" s="34"/>
      <c r="S1460" s="34"/>
    </row>
    <row r="1461" spans="14:19">
      <c r="N1461" s="34"/>
      <c r="O1461" s="34"/>
      <c r="P1461" s="34"/>
      <c r="Q1461" s="34"/>
      <c r="R1461" s="34"/>
      <c r="S1461" s="34"/>
    </row>
    <row r="1462" spans="14:19">
      <c r="N1462" s="34"/>
      <c r="O1462" s="34"/>
      <c r="P1462" s="34"/>
      <c r="Q1462" s="34"/>
      <c r="R1462" s="34"/>
      <c r="S1462" s="34"/>
    </row>
    <row r="1463" spans="14:19">
      <c r="N1463" s="34"/>
      <c r="O1463" s="34"/>
      <c r="P1463" s="34"/>
      <c r="Q1463" s="34"/>
      <c r="R1463" s="34"/>
      <c r="S1463" s="34"/>
    </row>
    <row r="1464" spans="14:19">
      <c r="N1464" s="34"/>
      <c r="O1464" s="34"/>
      <c r="P1464" s="34"/>
      <c r="Q1464" s="34"/>
      <c r="R1464" s="34"/>
      <c r="S1464" s="34"/>
    </row>
    <row r="1465" spans="14:19">
      <c r="N1465" s="34"/>
      <c r="O1465" s="34"/>
      <c r="P1465" s="34"/>
      <c r="Q1465" s="34"/>
      <c r="R1465" s="34"/>
      <c r="S1465" s="34"/>
    </row>
    <row r="1466" spans="14:19">
      <c r="N1466" s="34"/>
      <c r="O1466" s="34"/>
      <c r="P1466" s="34"/>
      <c r="Q1466" s="34"/>
      <c r="R1466" s="34"/>
      <c r="S1466" s="34"/>
    </row>
    <row r="1467" spans="14:19">
      <c r="N1467" s="34"/>
      <c r="O1467" s="34"/>
      <c r="P1467" s="34"/>
      <c r="Q1467" s="34"/>
      <c r="R1467" s="34"/>
      <c r="S1467" s="34"/>
    </row>
    <row r="1468" spans="14:19">
      <c r="N1468" s="34"/>
      <c r="O1468" s="34"/>
      <c r="P1468" s="34"/>
      <c r="Q1468" s="34"/>
      <c r="R1468" s="34"/>
      <c r="S1468" s="34"/>
    </row>
    <row r="1469" spans="14:19">
      <c r="N1469" s="34"/>
      <c r="O1469" s="34"/>
      <c r="P1469" s="34"/>
      <c r="Q1469" s="34"/>
      <c r="R1469" s="34"/>
      <c r="S1469" s="34"/>
    </row>
    <row r="1470" spans="14:19">
      <c r="N1470" s="34"/>
      <c r="O1470" s="34"/>
      <c r="P1470" s="34"/>
      <c r="Q1470" s="34"/>
      <c r="R1470" s="34"/>
      <c r="S1470" s="34"/>
    </row>
    <row r="1471" spans="14:19">
      <c r="N1471" s="34"/>
      <c r="O1471" s="34"/>
      <c r="P1471" s="34"/>
      <c r="Q1471" s="34"/>
      <c r="R1471" s="34"/>
      <c r="S1471" s="34"/>
    </row>
    <row r="1472" spans="14:19">
      <c r="N1472" s="34"/>
      <c r="O1472" s="34"/>
      <c r="P1472" s="34"/>
      <c r="Q1472" s="34"/>
      <c r="R1472" s="34"/>
      <c r="S1472" s="34"/>
    </row>
    <row r="1473" spans="14:19">
      <c r="N1473" s="34"/>
      <c r="O1473" s="34"/>
      <c r="P1473" s="34"/>
      <c r="Q1473" s="34"/>
      <c r="R1473" s="34"/>
      <c r="S1473" s="34"/>
    </row>
    <row r="1474" spans="14:19">
      <c r="N1474" s="34"/>
      <c r="O1474" s="34"/>
      <c r="P1474" s="34"/>
      <c r="Q1474" s="34"/>
      <c r="R1474" s="34"/>
      <c r="S1474" s="34"/>
    </row>
    <row r="1475" spans="14:19">
      <c r="N1475" s="34"/>
      <c r="O1475" s="34"/>
      <c r="P1475" s="34"/>
      <c r="Q1475" s="34"/>
      <c r="R1475" s="34"/>
      <c r="S1475" s="34"/>
    </row>
    <row r="1476" spans="14:19">
      <c r="N1476" s="34"/>
      <c r="O1476" s="34"/>
      <c r="P1476" s="34"/>
      <c r="Q1476" s="34"/>
      <c r="R1476" s="34"/>
      <c r="S1476" s="34"/>
    </row>
    <row r="1477" spans="14:19">
      <c r="N1477" s="34"/>
      <c r="O1477" s="34"/>
      <c r="P1477" s="34"/>
      <c r="Q1477" s="34"/>
      <c r="R1477" s="34"/>
      <c r="S1477" s="34"/>
    </row>
    <row r="1478" spans="14:19">
      <c r="N1478" s="34"/>
      <c r="O1478" s="34"/>
      <c r="P1478" s="34"/>
      <c r="Q1478" s="34"/>
      <c r="R1478" s="34"/>
      <c r="S1478" s="34"/>
    </row>
    <row r="1479" spans="14:19">
      <c r="N1479" s="34"/>
      <c r="O1479" s="34"/>
      <c r="P1479" s="34"/>
      <c r="Q1479" s="34"/>
      <c r="R1479" s="34"/>
      <c r="S1479" s="34"/>
    </row>
    <row r="1480" spans="14:19">
      <c r="N1480" s="34"/>
      <c r="O1480" s="34"/>
      <c r="P1480" s="34"/>
      <c r="Q1480" s="34"/>
      <c r="R1480" s="34"/>
      <c r="S1480" s="34"/>
    </row>
    <row r="1481" spans="14:19">
      <c r="N1481" s="34"/>
      <c r="O1481" s="34"/>
      <c r="P1481" s="34"/>
      <c r="Q1481" s="34"/>
      <c r="R1481" s="34"/>
      <c r="S1481" s="34"/>
    </row>
    <row r="1482" spans="14:19">
      <c r="N1482" s="34"/>
      <c r="O1482" s="34"/>
      <c r="P1482" s="34"/>
      <c r="Q1482" s="34"/>
      <c r="R1482" s="34"/>
      <c r="S1482" s="34"/>
    </row>
    <row r="1483" spans="14:19">
      <c r="N1483" s="34"/>
      <c r="O1483" s="34"/>
      <c r="P1483" s="34"/>
      <c r="Q1483" s="34"/>
      <c r="R1483" s="34"/>
      <c r="S1483" s="34"/>
    </row>
    <row r="1484" spans="14:19">
      <c r="N1484" s="34"/>
      <c r="O1484" s="34"/>
      <c r="P1484" s="34"/>
      <c r="Q1484" s="34"/>
      <c r="R1484" s="34"/>
      <c r="S1484" s="34"/>
    </row>
    <row r="1485" spans="14:19">
      <c r="N1485" s="34"/>
      <c r="O1485" s="34"/>
      <c r="P1485" s="34"/>
      <c r="Q1485" s="34"/>
      <c r="R1485" s="34"/>
      <c r="S1485" s="34"/>
    </row>
    <row r="1486" spans="14:19">
      <c r="N1486" s="34"/>
      <c r="O1486" s="34"/>
      <c r="P1486" s="34"/>
      <c r="Q1486" s="34"/>
      <c r="R1486" s="34"/>
      <c r="S1486" s="34"/>
    </row>
    <row r="1487" spans="14:19">
      <c r="N1487" s="34"/>
      <c r="O1487" s="34"/>
      <c r="P1487" s="34"/>
      <c r="Q1487" s="34"/>
      <c r="R1487" s="34"/>
      <c r="S1487" s="34"/>
    </row>
    <row r="1488" spans="14:19">
      <c r="N1488" s="34"/>
      <c r="O1488" s="34"/>
      <c r="P1488" s="34"/>
      <c r="Q1488" s="34"/>
      <c r="R1488" s="34"/>
      <c r="S1488" s="34"/>
    </row>
    <row r="1489" spans="14:19">
      <c r="N1489" s="34"/>
      <c r="O1489" s="34"/>
      <c r="P1489" s="34"/>
      <c r="Q1489" s="34"/>
      <c r="R1489" s="34"/>
      <c r="S1489" s="34"/>
    </row>
    <row r="1490" spans="14:19">
      <c r="N1490" s="34"/>
      <c r="O1490" s="34"/>
      <c r="P1490" s="34"/>
      <c r="Q1490" s="34"/>
      <c r="R1490" s="34"/>
      <c r="S1490" s="34"/>
    </row>
    <row r="1491" spans="14:19">
      <c r="N1491" s="34"/>
      <c r="O1491" s="34"/>
      <c r="P1491" s="34"/>
      <c r="Q1491" s="34"/>
      <c r="R1491" s="34"/>
      <c r="S1491" s="34"/>
    </row>
    <row r="1492" spans="14:19">
      <c r="N1492" s="34"/>
      <c r="O1492" s="34"/>
      <c r="P1492" s="34"/>
      <c r="Q1492" s="34"/>
      <c r="R1492" s="34"/>
      <c r="S1492" s="34"/>
    </row>
    <row r="1493" spans="14:19">
      <c r="N1493" s="34"/>
      <c r="O1493" s="34"/>
      <c r="P1493" s="34"/>
      <c r="Q1493" s="34"/>
      <c r="R1493" s="34"/>
      <c r="S1493" s="34"/>
    </row>
    <row r="1494" spans="14:19">
      <c r="N1494" s="34"/>
      <c r="O1494" s="34"/>
      <c r="P1494" s="34"/>
      <c r="Q1494" s="34"/>
      <c r="R1494" s="34"/>
      <c r="S1494" s="34"/>
    </row>
    <row r="1495" spans="14:19">
      <c r="N1495" s="34"/>
      <c r="O1495" s="34"/>
      <c r="P1495" s="34"/>
      <c r="Q1495" s="34"/>
      <c r="R1495" s="34"/>
      <c r="S1495" s="34"/>
    </row>
    <row r="1496" spans="14:19">
      <c r="N1496" s="34"/>
      <c r="O1496" s="34"/>
      <c r="P1496" s="34"/>
      <c r="Q1496" s="34"/>
      <c r="R1496" s="34"/>
      <c r="S1496" s="34"/>
    </row>
    <row r="1497" spans="14:19">
      <c r="N1497" s="34"/>
      <c r="O1497" s="34"/>
      <c r="P1497" s="34"/>
      <c r="Q1497" s="34"/>
      <c r="R1497" s="34"/>
      <c r="S1497" s="34"/>
    </row>
    <row r="1498" spans="14:19">
      <c r="N1498" s="34"/>
      <c r="O1498" s="34"/>
      <c r="P1498" s="34"/>
      <c r="Q1498" s="34"/>
      <c r="R1498" s="34"/>
      <c r="S1498" s="34"/>
    </row>
    <row r="1499" spans="14:19">
      <c r="N1499" s="34"/>
      <c r="O1499" s="34"/>
      <c r="P1499" s="34"/>
      <c r="Q1499" s="34"/>
      <c r="R1499" s="34"/>
      <c r="S1499" s="34"/>
    </row>
    <row r="1500" spans="14:19">
      <c r="N1500" s="34"/>
      <c r="O1500" s="34"/>
      <c r="P1500" s="34"/>
      <c r="Q1500" s="34"/>
      <c r="R1500" s="34"/>
      <c r="S1500" s="34"/>
    </row>
    <row r="1501" spans="14:19">
      <c r="N1501" s="34"/>
      <c r="O1501" s="34"/>
      <c r="P1501" s="34"/>
      <c r="Q1501" s="34"/>
      <c r="R1501" s="34"/>
      <c r="S1501" s="34"/>
    </row>
    <row r="1502" spans="14:19">
      <c r="N1502" s="34"/>
      <c r="O1502" s="34"/>
      <c r="P1502" s="34"/>
      <c r="Q1502" s="34"/>
      <c r="R1502" s="34"/>
      <c r="S1502" s="34"/>
    </row>
    <row r="1503" spans="14:19">
      <c r="N1503" s="34"/>
      <c r="O1503" s="34"/>
      <c r="P1503" s="34"/>
      <c r="Q1503" s="34"/>
      <c r="R1503" s="34"/>
      <c r="S1503" s="34"/>
    </row>
    <row r="1504" spans="14:19">
      <c r="N1504" s="34"/>
      <c r="O1504" s="34"/>
      <c r="P1504" s="34"/>
      <c r="Q1504" s="34"/>
      <c r="R1504" s="34"/>
      <c r="S1504" s="34"/>
    </row>
    <row r="1505" spans="14:19">
      <c r="N1505" s="34"/>
      <c r="O1505" s="34"/>
      <c r="P1505" s="34"/>
      <c r="Q1505" s="34"/>
      <c r="R1505" s="34"/>
      <c r="S1505" s="34"/>
    </row>
    <row r="1506" spans="14:19">
      <c r="N1506" s="34"/>
      <c r="O1506" s="34"/>
      <c r="P1506" s="34"/>
      <c r="Q1506" s="34"/>
      <c r="R1506" s="34"/>
      <c r="S1506" s="34"/>
    </row>
    <row r="1507" spans="14:19">
      <c r="N1507" s="34"/>
      <c r="O1507" s="34"/>
      <c r="P1507" s="34"/>
      <c r="Q1507" s="34"/>
      <c r="R1507" s="34"/>
      <c r="S1507" s="34"/>
    </row>
    <row r="1508" spans="14:19">
      <c r="N1508" s="34"/>
      <c r="O1508" s="34"/>
      <c r="P1508" s="34"/>
      <c r="Q1508" s="34"/>
      <c r="R1508" s="34"/>
      <c r="S1508" s="34"/>
    </row>
    <row r="1509" spans="14:19">
      <c r="N1509" s="34"/>
      <c r="O1509" s="34"/>
      <c r="P1509" s="34"/>
      <c r="Q1509" s="34"/>
      <c r="R1509" s="34"/>
      <c r="S1509" s="34"/>
    </row>
    <row r="1510" spans="14:19">
      <c r="N1510" s="34"/>
      <c r="O1510" s="34"/>
      <c r="P1510" s="34"/>
      <c r="Q1510" s="34"/>
      <c r="R1510" s="34"/>
      <c r="S1510" s="34"/>
    </row>
    <row r="1511" spans="14:19">
      <c r="N1511" s="34"/>
      <c r="O1511" s="34"/>
      <c r="P1511" s="34"/>
      <c r="Q1511" s="34"/>
      <c r="R1511" s="34"/>
      <c r="S1511" s="34"/>
    </row>
    <row r="1512" spans="14:19">
      <c r="N1512" s="34"/>
      <c r="O1512" s="34"/>
      <c r="P1512" s="34"/>
      <c r="Q1512" s="34"/>
      <c r="R1512" s="34"/>
      <c r="S1512" s="34"/>
    </row>
    <row r="1513" spans="14:19">
      <c r="N1513" s="34"/>
      <c r="O1513" s="34"/>
      <c r="P1513" s="34"/>
      <c r="Q1513" s="34"/>
      <c r="R1513" s="34"/>
      <c r="S1513" s="34"/>
    </row>
    <row r="1514" spans="14:19">
      <c r="N1514" s="34"/>
      <c r="O1514" s="34"/>
      <c r="P1514" s="34"/>
      <c r="Q1514" s="34"/>
      <c r="R1514" s="34"/>
      <c r="S1514" s="34"/>
    </row>
    <row r="1515" spans="14:19">
      <c r="N1515" s="34"/>
      <c r="O1515" s="34"/>
      <c r="P1515" s="34"/>
      <c r="Q1515" s="34"/>
      <c r="R1515" s="34"/>
      <c r="S1515" s="34"/>
    </row>
    <row r="1516" spans="14:19">
      <c r="N1516" s="34"/>
      <c r="O1516" s="34"/>
      <c r="P1516" s="34"/>
      <c r="Q1516" s="34"/>
      <c r="R1516" s="34"/>
      <c r="S1516" s="34"/>
    </row>
    <row r="1517" spans="14:19">
      <c r="N1517" s="34"/>
      <c r="O1517" s="34"/>
      <c r="P1517" s="34"/>
      <c r="Q1517" s="34"/>
      <c r="R1517" s="34"/>
      <c r="S1517" s="34"/>
    </row>
    <row r="1518" spans="14:19">
      <c r="N1518" s="34"/>
      <c r="O1518" s="34"/>
      <c r="P1518" s="34"/>
      <c r="Q1518" s="34"/>
      <c r="R1518" s="34"/>
      <c r="S1518" s="34"/>
    </row>
    <row r="1519" spans="14:19">
      <c r="N1519" s="34"/>
      <c r="O1519" s="34"/>
      <c r="P1519" s="34"/>
      <c r="Q1519" s="34"/>
      <c r="R1519" s="34"/>
      <c r="S1519" s="34"/>
    </row>
    <row r="1520" spans="14:19">
      <c r="N1520" s="34"/>
      <c r="O1520" s="34"/>
      <c r="P1520" s="34"/>
      <c r="Q1520" s="34"/>
      <c r="R1520" s="34"/>
      <c r="S1520" s="34"/>
    </row>
    <row r="1521" spans="14:19">
      <c r="N1521" s="34"/>
      <c r="O1521" s="34"/>
      <c r="P1521" s="34"/>
      <c r="Q1521" s="34"/>
      <c r="R1521" s="34"/>
      <c r="S1521" s="34"/>
    </row>
    <row r="1522" spans="14:19">
      <c r="N1522" s="34"/>
      <c r="O1522" s="34"/>
      <c r="P1522" s="34"/>
      <c r="Q1522" s="34"/>
      <c r="R1522" s="34"/>
      <c r="S1522" s="34"/>
    </row>
    <row r="1523" spans="14:19">
      <c r="N1523" s="34"/>
      <c r="O1523" s="34"/>
      <c r="P1523" s="34"/>
      <c r="Q1523" s="34"/>
      <c r="R1523" s="34"/>
      <c r="S1523" s="34"/>
    </row>
    <row r="1524" spans="14:19">
      <c r="N1524" s="34"/>
      <c r="O1524" s="34"/>
      <c r="P1524" s="34"/>
      <c r="Q1524" s="34"/>
      <c r="R1524" s="34"/>
      <c r="S1524" s="34"/>
    </row>
    <row r="1525" spans="14:19">
      <c r="N1525" s="34"/>
      <c r="O1525" s="34"/>
      <c r="P1525" s="34"/>
      <c r="Q1525" s="34"/>
      <c r="R1525" s="34"/>
      <c r="S1525" s="34"/>
    </row>
    <row r="1526" spans="14:19">
      <c r="N1526" s="34"/>
      <c r="O1526" s="34"/>
      <c r="P1526" s="34"/>
      <c r="Q1526" s="34"/>
      <c r="R1526" s="34"/>
      <c r="S1526" s="34"/>
    </row>
    <row r="1527" spans="14:19">
      <c r="N1527" s="34"/>
      <c r="O1527" s="34"/>
      <c r="P1527" s="34"/>
      <c r="Q1527" s="34"/>
      <c r="R1527" s="34"/>
      <c r="S1527" s="34"/>
    </row>
    <row r="1528" spans="14:19">
      <c r="N1528" s="34"/>
      <c r="O1528" s="34"/>
      <c r="P1528" s="34"/>
      <c r="Q1528" s="34"/>
      <c r="R1528" s="34"/>
      <c r="S1528" s="34"/>
    </row>
    <row r="1529" spans="14:19">
      <c r="N1529" s="34"/>
      <c r="O1529" s="34"/>
      <c r="P1529" s="34"/>
      <c r="Q1529" s="34"/>
      <c r="R1529" s="34"/>
      <c r="S1529" s="34"/>
    </row>
    <row r="1530" spans="14:19">
      <c r="N1530" s="34"/>
      <c r="O1530" s="34"/>
      <c r="P1530" s="34"/>
      <c r="Q1530" s="34"/>
      <c r="R1530" s="34"/>
      <c r="S1530" s="34"/>
    </row>
    <row r="1531" spans="14:19">
      <c r="N1531" s="34"/>
      <c r="O1531" s="34"/>
      <c r="P1531" s="34"/>
      <c r="Q1531" s="34"/>
      <c r="R1531" s="34"/>
      <c r="S1531" s="34"/>
    </row>
    <row r="1532" spans="14:19">
      <c r="N1532" s="34"/>
      <c r="O1532" s="34"/>
      <c r="P1532" s="34"/>
      <c r="Q1532" s="34"/>
      <c r="R1532" s="34"/>
      <c r="S1532" s="34"/>
    </row>
    <row r="1533" spans="14:19">
      <c r="N1533" s="34"/>
      <c r="O1533" s="34"/>
      <c r="P1533" s="34"/>
      <c r="Q1533" s="34"/>
      <c r="R1533" s="34"/>
      <c r="S1533" s="34"/>
    </row>
    <row r="1534" spans="14:19">
      <c r="N1534" s="34"/>
      <c r="O1534" s="34"/>
      <c r="P1534" s="34"/>
      <c r="Q1534" s="34"/>
      <c r="R1534" s="34"/>
      <c r="S1534" s="34"/>
    </row>
    <row r="1535" spans="14:19">
      <c r="N1535" s="34"/>
      <c r="O1535" s="34"/>
      <c r="P1535" s="34"/>
      <c r="Q1535" s="34"/>
      <c r="R1535" s="34"/>
      <c r="S1535" s="34"/>
    </row>
    <row r="1536" spans="14:19">
      <c r="N1536" s="34"/>
      <c r="O1536" s="34"/>
      <c r="P1536" s="34"/>
      <c r="Q1536" s="34"/>
      <c r="R1536" s="34"/>
      <c r="S1536" s="34"/>
    </row>
    <row r="1537" spans="14:19">
      <c r="N1537" s="34"/>
      <c r="O1537" s="34"/>
      <c r="P1537" s="34"/>
      <c r="Q1537" s="34"/>
      <c r="R1537" s="34"/>
      <c r="S1537" s="34"/>
    </row>
    <row r="1538" spans="14:19">
      <c r="N1538" s="34"/>
      <c r="O1538" s="34"/>
      <c r="P1538" s="34"/>
      <c r="Q1538" s="34"/>
      <c r="R1538" s="34"/>
      <c r="S1538" s="34"/>
    </row>
    <row r="1539" spans="14:19">
      <c r="N1539" s="34"/>
      <c r="O1539" s="34"/>
      <c r="P1539" s="34"/>
      <c r="Q1539" s="34"/>
      <c r="R1539" s="34"/>
      <c r="S1539" s="34"/>
    </row>
    <row r="1540" spans="14:19">
      <c r="N1540" s="34"/>
      <c r="O1540" s="34"/>
      <c r="P1540" s="34"/>
      <c r="Q1540" s="34"/>
      <c r="R1540" s="34"/>
      <c r="S1540" s="34"/>
    </row>
    <row r="1541" spans="14:19">
      <c r="N1541" s="34"/>
      <c r="O1541" s="34"/>
      <c r="P1541" s="34"/>
      <c r="Q1541" s="34"/>
      <c r="R1541" s="34"/>
      <c r="S1541" s="34"/>
    </row>
    <row r="1542" spans="14:19">
      <c r="N1542" s="34"/>
      <c r="O1542" s="34"/>
      <c r="P1542" s="34"/>
      <c r="Q1542" s="34"/>
      <c r="R1542" s="34"/>
      <c r="S1542" s="34"/>
    </row>
    <row r="1543" spans="14:19">
      <c r="N1543" s="34"/>
      <c r="O1543" s="34"/>
      <c r="P1543" s="34"/>
      <c r="Q1543" s="34"/>
      <c r="R1543" s="34"/>
      <c r="S1543" s="34"/>
    </row>
    <row r="1544" spans="14:19">
      <c r="N1544" s="34"/>
      <c r="O1544" s="34"/>
      <c r="P1544" s="34"/>
      <c r="Q1544" s="34"/>
      <c r="R1544" s="34"/>
      <c r="S1544" s="34"/>
    </row>
    <row r="1545" spans="14:19">
      <c r="N1545" s="34"/>
      <c r="O1545" s="34"/>
      <c r="P1545" s="34"/>
      <c r="Q1545" s="34"/>
      <c r="R1545" s="34"/>
      <c r="S1545" s="34"/>
    </row>
    <row r="1546" spans="14:19">
      <c r="N1546" s="34"/>
      <c r="O1546" s="34"/>
      <c r="P1546" s="34"/>
      <c r="Q1546" s="34"/>
      <c r="R1546" s="34"/>
      <c r="S1546" s="34"/>
    </row>
    <row r="1547" spans="14:19">
      <c r="N1547" s="34"/>
      <c r="O1547" s="34"/>
      <c r="P1547" s="34"/>
      <c r="Q1547" s="34"/>
      <c r="R1547" s="34"/>
      <c r="S1547" s="34"/>
    </row>
    <row r="1548" spans="14:19">
      <c r="N1548" s="34"/>
      <c r="O1548" s="34"/>
      <c r="P1548" s="34"/>
      <c r="Q1548" s="34"/>
      <c r="R1548" s="34"/>
      <c r="S1548" s="34"/>
    </row>
    <row r="1549" spans="14:19">
      <c r="N1549" s="34"/>
      <c r="O1549" s="34"/>
      <c r="P1549" s="34"/>
      <c r="Q1549" s="34"/>
      <c r="R1549" s="34"/>
      <c r="S1549" s="34"/>
    </row>
    <row r="1550" spans="14:19">
      <c r="N1550" s="34"/>
      <c r="O1550" s="34"/>
      <c r="P1550" s="34"/>
      <c r="Q1550" s="34"/>
      <c r="R1550" s="34"/>
      <c r="S1550" s="34"/>
    </row>
    <row r="1551" spans="14:19">
      <c r="N1551" s="34"/>
      <c r="O1551" s="34"/>
      <c r="P1551" s="34"/>
      <c r="Q1551" s="34"/>
      <c r="R1551" s="34"/>
      <c r="S1551" s="34"/>
    </row>
    <row r="1552" spans="14:19">
      <c r="N1552" s="34"/>
      <c r="O1552" s="34"/>
      <c r="P1552" s="34"/>
      <c r="Q1552" s="34"/>
      <c r="R1552" s="34"/>
      <c r="S1552" s="34"/>
    </row>
    <row r="1553" spans="14:19">
      <c r="N1553" s="34"/>
      <c r="O1553" s="34"/>
      <c r="P1553" s="34"/>
      <c r="Q1553" s="34"/>
      <c r="R1553" s="34"/>
      <c r="S1553" s="34"/>
    </row>
    <row r="1554" spans="14:19">
      <c r="N1554" s="34"/>
      <c r="O1554" s="34"/>
      <c r="P1554" s="34"/>
      <c r="Q1554" s="34"/>
      <c r="R1554" s="34"/>
      <c r="S1554" s="34"/>
    </row>
    <row r="1555" spans="14:19">
      <c r="N1555" s="34"/>
      <c r="O1555" s="34"/>
      <c r="P1555" s="34"/>
      <c r="Q1555" s="34"/>
      <c r="R1555" s="34"/>
      <c r="S1555" s="34"/>
    </row>
    <row r="1556" spans="14:19">
      <c r="N1556" s="34"/>
      <c r="O1556" s="34"/>
      <c r="P1556" s="34"/>
      <c r="Q1556" s="34"/>
      <c r="R1556" s="34"/>
      <c r="S1556" s="34"/>
    </row>
    <row r="1557" spans="14:19">
      <c r="N1557" s="34"/>
      <c r="O1557" s="34"/>
      <c r="P1557" s="34"/>
      <c r="Q1557" s="34"/>
      <c r="R1557" s="34"/>
      <c r="S1557" s="34"/>
    </row>
    <row r="1558" spans="14:19">
      <c r="N1558" s="34"/>
      <c r="O1558" s="34"/>
      <c r="P1558" s="34"/>
      <c r="Q1558" s="34"/>
      <c r="R1558" s="34"/>
      <c r="S1558" s="34"/>
    </row>
    <row r="1559" spans="14:19">
      <c r="N1559" s="34"/>
      <c r="O1559" s="34"/>
      <c r="P1559" s="34"/>
      <c r="Q1559" s="34"/>
      <c r="R1559" s="34"/>
      <c r="S1559" s="34"/>
    </row>
    <row r="1560" spans="14:19">
      <c r="N1560" s="34"/>
      <c r="O1560" s="34"/>
      <c r="P1560" s="34"/>
      <c r="Q1560" s="34"/>
      <c r="R1560" s="34"/>
      <c r="S1560" s="34"/>
    </row>
    <row r="1561" spans="14:19">
      <c r="N1561" s="34"/>
      <c r="O1561" s="34"/>
      <c r="P1561" s="34"/>
      <c r="Q1561" s="34"/>
      <c r="R1561" s="34"/>
      <c r="S1561" s="34"/>
    </row>
    <row r="1562" spans="14:19">
      <c r="N1562" s="34"/>
      <c r="O1562" s="34"/>
      <c r="P1562" s="34"/>
      <c r="Q1562" s="34"/>
      <c r="R1562" s="34"/>
      <c r="S1562" s="34"/>
    </row>
    <row r="1563" spans="14:19">
      <c r="N1563" s="34"/>
      <c r="O1563" s="34"/>
      <c r="P1563" s="34"/>
      <c r="Q1563" s="34"/>
      <c r="R1563" s="34"/>
      <c r="S1563" s="34"/>
    </row>
    <row r="1564" spans="14:19">
      <c r="N1564" s="34"/>
      <c r="O1564" s="34"/>
      <c r="P1564" s="34"/>
      <c r="Q1564" s="34"/>
      <c r="R1564" s="34"/>
      <c r="S1564" s="34"/>
    </row>
    <row r="1565" spans="14:19">
      <c r="N1565" s="34"/>
      <c r="O1565" s="34"/>
      <c r="P1565" s="34"/>
      <c r="Q1565" s="34"/>
      <c r="R1565" s="34"/>
      <c r="S1565" s="34"/>
    </row>
    <row r="1566" spans="14:19">
      <c r="N1566" s="34"/>
      <c r="O1566" s="34"/>
      <c r="P1566" s="34"/>
      <c r="Q1566" s="34"/>
      <c r="R1566" s="34"/>
      <c r="S1566" s="34"/>
    </row>
    <row r="1567" spans="14:19">
      <c r="N1567" s="34"/>
      <c r="O1567" s="34"/>
      <c r="P1567" s="34"/>
      <c r="Q1567" s="34"/>
      <c r="R1567" s="34"/>
      <c r="S1567" s="34"/>
    </row>
    <row r="1568" spans="14:19">
      <c r="N1568" s="34"/>
      <c r="O1568" s="34"/>
      <c r="P1568" s="34"/>
      <c r="Q1568" s="34"/>
      <c r="R1568" s="34"/>
      <c r="S1568" s="34"/>
    </row>
    <row r="1569" spans="14:19">
      <c r="N1569" s="34"/>
      <c r="O1569" s="34"/>
      <c r="P1569" s="34"/>
      <c r="Q1569" s="34"/>
      <c r="R1569" s="34"/>
      <c r="S1569" s="34"/>
    </row>
    <row r="1570" spans="14:19">
      <c r="N1570" s="34"/>
      <c r="O1570" s="34"/>
      <c r="P1570" s="34"/>
      <c r="Q1570" s="34"/>
      <c r="R1570" s="34"/>
      <c r="S1570" s="34"/>
    </row>
    <row r="1571" spans="14:19">
      <c r="N1571" s="34"/>
      <c r="O1571" s="34"/>
      <c r="P1571" s="34"/>
      <c r="Q1571" s="34"/>
      <c r="R1571" s="34"/>
      <c r="S1571" s="34"/>
    </row>
    <row r="1572" spans="14:19">
      <c r="N1572" s="34"/>
      <c r="O1572" s="34"/>
      <c r="P1572" s="34"/>
      <c r="Q1572" s="34"/>
      <c r="R1572" s="34"/>
      <c r="S1572" s="34"/>
    </row>
    <row r="1573" spans="14:19">
      <c r="N1573" s="34"/>
      <c r="O1573" s="34"/>
      <c r="P1573" s="34"/>
      <c r="Q1573" s="34"/>
      <c r="R1573" s="34"/>
      <c r="S1573" s="34"/>
    </row>
    <row r="1574" spans="14:19">
      <c r="N1574" s="34"/>
      <c r="O1574" s="34"/>
      <c r="P1574" s="34"/>
      <c r="Q1574" s="34"/>
      <c r="R1574" s="34"/>
      <c r="S1574" s="34"/>
    </row>
    <row r="1575" spans="14:19">
      <c r="N1575" s="34"/>
      <c r="O1575" s="34"/>
      <c r="P1575" s="34"/>
      <c r="Q1575" s="34"/>
      <c r="R1575" s="34"/>
      <c r="S1575" s="34"/>
    </row>
    <row r="1576" spans="14:19">
      <c r="N1576" s="34"/>
      <c r="O1576" s="34"/>
      <c r="P1576" s="34"/>
      <c r="Q1576" s="34"/>
      <c r="R1576" s="34"/>
      <c r="S1576" s="34"/>
    </row>
    <row r="1577" spans="14:19">
      <c r="N1577" s="34"/>
      <c r="O1577" s="34"/>
      <c r="P1577" s="34"/>
      <c r="Q1577" s="34"/>
      <c r="R1577" s="34"/>
      <c r="S1577" s="34"/>
    </row>
    <row r="1578" spans="14:19">
      <c r="N1578" s="34"/>
      <c r="O1578" s="34"/>
      <c r="P1578" s="34"/>
      <c r="Q1578" s="34"/>
      <c r="R1578" s="34"/>
      <c r="S1578" s="34"/>
    </row>
    <row r="1579" spans="14:19">
      <c r="N1579" s="34"/>
      <c r="O1579" s="34"/>
      <c r="P1579" s="34"/>
      <c r="Q1579" s="34"/>
      <c r="R1579" s="34"/>
      <c r="S1579" s="34"/>
    </row>
    <row r="1580" spans="14:19">
      <c r="N1580" s="34"/>
      <c r="O1580" s="34"/>
      <c r="P1580" s="34"/>
      <c r="Q1580" s="34"/>
      <c r="R1580" s="34"/>
      <c r="S1580" s="34"/>
    </row>
    <row r="1581" spans="14:19">
      <c r="N1581" s="34"/>
      <c r="O1581" s="34"/>
      <c r="P1581" s="34"/>
      <c r="Q1581" s="34"/>
      <c r="R1581" s="34"/>
      <c r="S1581" s="34"/>
    </row>
    <row r="1582" spans="14:19">
      <c r="N1582" s="34"/>
      <c r="O1582" s="34"/>
      <c r="P1582" s="34"/>
      <c r="Q1582" s="34"/>
      <c r="R1582" s="34"/>
      <c r="S1582" s="34"/>
    </row>
    <row r="1583" spans="14:19">
      <c r="N1583" s="34"/>
      <c r="O1583" s="34"/>
      <c r="P1583" s="34"/>
      <c r="Q1583" s="34"/>
      <c r="R1583" s="34"/>
      <c r="S1583" s="34"/>
    </row>
    <row r="1584" spans="14:19">
      <c r="N1584" s="34"/>
      <c r="O1584" s="34"/>
      <c r="P1584" s="34"/>
      <c r="Q1584" s="34"/>
      <c r="R1584" s="34"/>
      <c r="S1584" s="34"/>
    </row>
    <row r="1585" spans="14:19">
      <c r="N1585" s="34"/>
      <c r="O1585" s="34"/>
      <c r="P1585" s="34"/>
      <c r="Q1585" s="34"/>
      <c r="R1585" s="34"/>
      <c r="S1585" s="34"/>
    </row>
    <row r="1586" spans="14:19">
      <c r="N1586" s="34"/>
      <c r="O1586" s="34"/>
      <c r="P1586" s="34"/>
      <c r="Q1586" s="34"/>
      <c r="R1586" s="34"/>
      <c r="S1586" s="34"/>
    </row>
    <row r="1587" spans="14:19">
      <c r="N1587" s="34"/>
      <c r="O1587" s="34"/>
      <c r="P1587" s="34"/>
      <c r="Q1587" s="34"/>
      <c r="R1587" s="34"/>
      <c r="S1587" s="34"/>
    </row>
    <row r="1588" spans="14:19">
      <c r="N1588" s="34"/>
      <c r="O1588" s="34"/>
      <c r="P1588" s="34"/>
      <c r="Q1588" s="34"/>
      <c r="R1588" s="34"/>
      <c r="S1588" s="34"/>
    </row>
    <row r="1589" spans="14:19">
      <c r="N1589" s="34"/>
      <c r="O1589" s="34"/>
      <c r="P1589" s="34"/>
      <c r="Q1589" s="34"/>
      <c r="R1589" s="34"/>
      <c r="S1589" s="34"/>
    </row>
    <row r="1590" spans="14:19">
      <c r="N1590" s="34"/>
      <c r="O1590" s="34"/>
      <c r="P1590" s="34"/>
      <c r="Q1590" s="34"/>
      <c r="R1590" s="34"/>
      <c r="S1590" s="34"/>
    </row>
    <row r="1591" spans="14:19">
      <c r="N1591" s="34"/>
      <c r="O1591" s="34"/>
      <c r="P1591" s="34"/>
      <c r="Q1591" s="34"/>
      <c r="R1591" s="34"/>
      <c r="S1591" s="34"/>
    </row>
    <row r="1592" spans="14:19">
      <c r="N1592" s="34"/>
      <c r="O1592" s="34"/>
      <c r="P1592" s="34"/>
      <c r="Q1592" s="34"/>
      <c r="R1592" s="34"/>
      <c r="S1592" s="34"/>
    </row>
    <row r="1593" spans="14:19">
      <c r="N1593" s="34"/>
      <c r="O1593" s="34"/>
      <c r="P1593" s="34"/>
      <c r="Q1593" s="34"/>
      <c r="R1593" s="34"/>
      <c r="S1593" s="34"/>
    </row>
    <row r="1594" spans="14:19">
      <c r="N1594" s="34"/>
      <c r="O1594" s="34"/>
      <c r="P1594" s="34"/>
      <c r="Q1594" s="34"/>
      <c r="R1594" s="34"/>
      <c r="S1594" s="34"/>
    </row>
    <row r="1595" spans="14:19">
      <c r="N1595" s="34"/>
      <c r="O1595" s="34"/>
      <c r="P1595" s="34"/>
      <c r="Q1595" s="34"/>
      <c r="R1595" s="34"/>
      <c r="S1595" s="34"/>
    </row>
    <row r="1596" spans="14:19">
      <c r="N1596" s="34"/>
      <c r="O1596" s="34"/>
      <c r="P1596" s="34"/>
      <c r="Q1596" s="34"/>
      <c r="R1596" s="34"/>
      <c r="S1596" s="34"/>
    </row>
    <row r="1597" spans="14:19">
      <c r="N1597" s="34"/>
      <c r="O1597" s="34"/>
      <c r="P1597" s="34"/>
      <c r="Q1597" s="34"/>
      <c r="R1597" s="34"/>
      <c r="S1597" s="34"/>
    </row>
    <row r="1598" spans="14:19">
      <c r="N1598" s="34"/>
      <c r="O1598" s="34"/>
      <c r="P1598" s="34"/>
      <c r="Q1598" s="34"/>
      <c r="R1598" s="34"/>
      <c r="S1598" s="34"/>
    </row>
    <row r="1599" spans="14:19">
      <c r="N1599" s="34"/>
      <c r="O1599" s="34"/>
      <c r="P1599" s="34"/>
      <c r="Q1599" s="34"/>
      <c r="R1599" s="34"/>
      <c r="S1599" s="34"/>
    </row>
    <row r="1600" spans="14:19">
      <c r="N1600" s="34"/>
      <c r="O1600" s="34"/>
      <c r="P1600" s="34"/>
      <c r="Q1600" s="34"/>
      <c r="R1600" s="34"/>
      <c r="S1600" s="34"/>
    </row>
    <row r="1601" spans="14:19">
      <c r="N1601" s="34"/>
      <c r="O1601" s="34"/>
      <c r="P1601" s="34"/>
      <c r="Q1601" s="34"/>
      <c r="R1601" s="34"/>
      <c r="S1601" s="34"/>
    </row>
    <row r="1602" spans="14:19">
      <c r="N1602" s="34"/>
      <c r="O1602" s="34"/>
      <c r="P1602" s="34"/>
      <c r="Q1602" s="34"/>
      <c r="R1602" s="34"/>
      <c r="S1602" s="34"/>
    </row>
    <row r="1603" spans="14:19">
      <c r="N1603" s="34"/>
      <c r="O1603" s="34"/>
      <c r="P1603" s="34"/>
      <c r="Q1603" s="34"/>
      <c r="R1603" s="34"/>
      <c r="S1603" s="34"/>
    </row>
    <row r="1604" spans="14:19">
      <c r="N1604" s="34"/>
      <c r="O1604" s="34"/>
      <c r="P1604" s="34"/>
      <c r="Q1604" s="34"/>
      <c r="R1604" s="34"/>
      <c r="S1604" s="34"/>
    </row>
    <row r="1605" spans="14:19">
      <c r="N1605" s="34"/>
      <c r="O1605" s="34"/>
      <c r="P1605" s="34"/>
      <c r="Q1605" s="34"/>
      <c r="R1605" s="34"/>
      <c r="S1605" s="34"/>
    </row>
    <row r="1606" spans="14:19">
      <c r="N1606" s="34"/>
      <c r="O1606" s="34"/>
      <c r="P1606" s="34"/>
      <c r="Q1606" s="34"/>
      <c r="R1606" s="34"/>
      <c r="S1606" s="34"/>
    </row>
    <row r="1607" spans="14:19">
      <c r="N1607" s="34"/>
      <c r="O1607" s="34"/>
      <c r="P1607" s="34"/>
      <c r="Q1607" s="34"/>
      <c r="R1607" s="34"/>
      <c r="S1607" s="34"/>
    </row>
    <row r="1608" spans="14:19">
      <c r="N1608" s="34"/>
      <c r="O1608" s="34"/>
      <c r="P1608" s="34"/>
      <c r="Q1608" s="34"/>
      <c r="R1608" s="34"/>
      <c r="S1608" s="34"/>
    </row>
    <row r="1609" spans="14:19">
      <c r="N1609" s="34"/>
      <c r="O1609" s="34"/>
      <c r="P1609" s="34"/>
      <c r="Q1609" s="34"/>
      <c r="R1609" s="34"/>
      <c r="S1609" s="34"/>
    </row>
    <row r="1610" spans="14:19">
      <c r="N1610" s="34"/>
      <c r="O1610" s="34"/>
      <c r="P1610" s="34"/>
      <c r="Q1610" s="34"/>
      <c r="R1610" s="34"/>
      <c r="S1610" s="34"/>
    </row>
    <row r="1611" spans="14:19">
      <c r="N1611" s="34"/>
      <c r="O1611" s="34"/>
      <c r="P1611" s="34"/>
      <c r="Q1611" s="34"/>
      <c r="R1611" s="34"/>
      <c r="S1611" s="34"/>
    </row>
    <row r="1612" spans="14:19">
      <c r="N1612" s="34"/>
      <c r="O1612" s="34"/>
      <c r="P1612" s="34"/>
      <c r="Q1612" s="34"/>
      <c r="R1612" s="34"/>
      <c r="S1612" s="34"/>
    </row>
    <row r="1613" spans="14:19">
      <c r="N1613" s="34"/>
      <c r="O1613" s="34"/>
      <c r="P1613" s="34"/>
      <c r="Q1613" s="34"/>
      <c r="R1613" s="34"/>
      <c r="S1613" s="34"/>
    </row>
    <row r="1614" spans="14:19">
      <c r="N1614" s="34"/>
      <c r="O1614" s="34"/>
      <c r="P1614" s="34"/>
      <c r="Q1614" s="34"/>
      <c r="R1614" s="34"/>
      <c r="S1614" s="34"/>
    </row>
    <row r="1615" spans="14:19">
      <c r="N1615" s="34"/>
      <c r="O1615" s="34"/>
      <c r="P1615" s="34"/>
      <c r="Q1615" s="34"/>
      <c r="R1615" s="34"/>
      <c r="S1615" s="34"/>
    </row>
    <row r="1616" spans="14:19">
      <c r="N1616" s="34"/>
      <c r="O1616" s="34"/>
      <c r="P1616" s="34"/>
      <c r="Q1616" s="34"/>
      <c r="R1616" s="34"/>
      <c r="S1616" s="34"/>
    </row>
    <row r="1617" spans="14:19">
      <c r="N1617" s="34"/>
      <c r="O1617" s="34"/>
      <c r="P1617" s="34"/>
      <c r="Q1617" s="34"/>
      <c r="R1617" s="34"/>
      <c r="S1617" s="34"/>
    </row>
    <row r="1618" spans="14:19">
      <c r="N1618" s="34"/>
      <c r="O1618" s="34"/>
      <c r="P1618" s="34"/>
      <c r="Q1618" s="34"/>
      <c r="R1618" s="34"/>
      <c r="S1618" s="34"/>
    </row>
    <row r="1619" spans="14:19">
      <c r="N1619" s="34"/>
      <c r="O1619" s="34"/>
      <c r="P1619" s="34"/>
      <c r="Q1619" s="34"/>
      <c r="R1619" s="34"/>
      <c r="S1619" s="34"/>
    </row>
    <row r="1620" spans="14:19">
      <c r="N1620" s="34"/>
      <c r="O1620" s="34"/>
      <c r="P1620" s="34"/>
      <c r="Q1620" s="34"/>
      <c r="R1620" s="34"/>
      <c r="S1620" s="34"/>
    </row>
    <row r="1621" spans="14:19">
      <c r="N1621" s="34"/>
      <c r="O1621" s="34"/>
      <c r="P1621" s="34"/>
      <c r="Q1621" s="34"/>
      <c r="R1621" s="34"/>
      <c r="S1621" s="34"/>
    </row>
    <row r="1622" spans="14:19">
      <c r="N1622" s="34"/>
      <c r="O1622" s="34"/>
      <c r="P1622" s="34"/>
      <c r="Q1622" s="34"/>
      <c r="R1622" s="34"/>
      <c r="S1622" s="34"/>
    </row>
    <row r="1623" spans="14:19">
      <c r="N1623" s="34"/>
      <c r="O1623" s="34"/>
      <c r="P1623" s="34"/>
      <c r="Q1623" s="34"/>
      <c r="R1623" s="34"/>
      <c r="S1623" s="34"/>
    </row>
    <row r="1624" spans="14:19">
      <c r="N1624" s="34"/>
      <c r="O1624" s="34"/>
      <c r="P1624" s="34"/>
      <c r="Q1624" s="34"/>
      <c r="R1624" s="34"/>
      <c r="S1624" s="34"/>
    </row>
    <row r="1625" spans="14:19">
      <c r="N1625" s="34"/>
      <c r="O1625" s="34"/>
      <c r="P1625" s="34"/>
      <c r="Q1625" s="34"/>
      <c r="R1625" s="34"/>
      <c r="S1625" s="34"/>
    </row>
    <row r="1626" spans="14:19">
      <c r="N1626" s="34"/>
      <c r="O1626" s="34"/>
      <c r="P1626" s="34"/>
      <c r="Q1626" s="34"/>
      <c r="R1626" s="34"/>
      <c r="S1626" s="34"/>
    </row>
    <row r="1627" spans="14:19">
      <c r="N1627" s="34"/>
      <c r="O1627" s="34"/>
      <c r="P1627" s="34"/>
      <c r="Q1627" s="34"/>
      <c r="R1627" s="34"/>
      <c r="S1627" s="34"/>
    </row>
    <row r="1628" spans="14:19">
      <c r="N1628" s="34"/>
      <c r="O1628" s="34"/>
      <c r="P1628" s="34"/>
      <c r="Q1628" s="34"/>
      <c r="R1628" s="34"/>
      <c r="S1628" s="34"/>
    </row>
    <row r="1629" spans="14:19">
      <c r="N1629" s="34"/>
      <c r="O1629" s="34"/>
      <c r="P1629" s="34"/>
      <c r="Q1629" s="34"/>
      <c r="R1629" s="34"/>
      <c r="S1629" s="34"/>
    </row>
    <row r="1630" spans="14:19">
      <c r="N1630" s="34"/>
      <c r="O1630" s="34"/>
      <c r="P1630" s="34"/>
      <c r="Q1630" s="34"/>
      <c r="R1630" s="34"/>
      <c r="S1630" s="34"/>
    </row>
    <row r="1631" spans="14:19">
      <c r="N1631" s="34"/>
      <c r="O1631" s="34"/>
      <c r="P1631" s="34"/>
      <c r="Q1631" s="34"/>
      <c r="R1631" s="34"/>
      <c r="S1631" s="34"/>
    </row>
    <row r="1632" spans="14:19">
      <c r="N1632" s="34"/>
      <c r="O1632" s="34"/>
      <c r="P1632" s="34"/>
      <c r="Q1632" s="34"/>
      <c r="R1632" s="34"/>
      <c r="S1632" s="34"/>
    </row>
    <row r="1633" spans="14:19">
      <c r="N1633" s="34"/>
      <c r="O1633" s="34"/>
      <c r="P1633" s="34"/>
      <c r="Q1633" s="34"/>
      <c r="R1633" s="34"/>
      <c r="S1633" s="34"/>
    </row>
    <row r="1634" spans="14:19">
      <c r="N1634" s="34"/>
      <c r="O1634" s="34"/>
      <c r="P1634" s="34"/>
      <c r="Q1634" s="34"/>
      <c r="R1634" s="34"/>
      <c r="S1634" s="34"/>
    </row>
    <row r="1635" spans="14:19">
      <c r="N1635" s="34"/>
      <c r="O1635" s="34"/>
      <c r="P1635" s="34"/>
      <c r="Q1635" s="34"/>
      <c r="R1635" s="34"/>
      <c r="S1635" s="34"/>
    </row>
    <row r="1636" spans="14:19">
      <c r="N1636" s="34"/>
      <c r="O1636" s="34"/>
      <c r="P1636" s="34"/>
      <c r="Q1636" s="34"/>
      <c r="R1636" s="34"/>
      <c r="S1636" s="34"/>
    </row>
    <row r="1637" spans="14:19">
      <c r="N1637" s="34"/>
      <c r="O1637" s="34"/>
      <c r="P1637" s="34"/>
      <c r="Q1637" s="34"/>
      <c r="R1637" s="34"/>
      <c r="S1637" s="34"/>
    </row>
    <row r="1638" spans="14:19">
      <c r="N1638" s="34"/>
      <c r="O1638" s="34"/>
      <c r="P1638" s="34"/>
      <c r="Q1638" s="34"/>
      <c r="R1638" s="34"/>
      <c r="S1638" s="34"/>
    </row>
    <row r="1639" spans="14:19">
      <c r="N1639" s="34"/>
      <c r="O1639" s="34"/>
      <c r="P1639" s="34"/>
      <c r="Q1639" s="34"/>
      <c r="R1639" s="34"/>
      <c r="S1639" s="34"/>
    </row>
    <row r="1640" spans="14:19">
      <c r="N1640" s="34"/>
      <c r="O1640" s="34"/>
      <c r="P1640" s="34"/>
      <c r="Q1640" s="34"/>
      <c r="R1640" s="34"/>
      <c r="S1640" s="34"/>
    </row>
    <row r="1641" spans="14:19">
      <c r="N1641" s="34"/>
      <c r="O1641" s="34"/>
      <c r="P1641" s="34"/>
      <c r="Q1641" s="34"/>
      <c r="R1641" s="34"/>
      <c r="S1641" s="34"/>
    </row>
    <row r="1642" spans="14:19">
      <c r="N1642" s="34"/>
      <c r="O1642" s="34"/>
      <c r="P1642" s="34"/>
      <c r="Q1642" s="34"/>
      <c r="R1642" s="34"/>
      <c r="S1642" s="34"/>
    </row>
    <row r="1643" spans="14:19">
      <c r="N1643" s="34"/>
      <c r="O1643" s="34"/>
      <c r="P1643" s="34"/>
      <c r="Q1643" s="34"/>
      <c r="R1643" s="34"/>
      <c r="S1643" s="34"/>
    </row>
    <row r="1644" spans="14:19">
      <c r="N1644" s="34"/>
      <c r="O1644" s="34"/>
      <c r="P1644" s="34"/>
      <c r="Q1644" s="34"/>
      <c r="R1644" s="34"/>
      <c r="S1644" s="34"/>
    </row>
    <row r="1645" spans="14:19">
      <c r="N1645" s="34"/>
      <c r="O1645" s="34"/>
      <c r="P1645" s="34"/>
      <c r="Q1645" s="34"/>
      <c r="R1645" s="34"/>
      <c r="S1645" s="34"/>
    </row>
    <row r="1646" spans="14:19">
      <c r="N1646" s="34"/>
      <c r="O1646" s="34"/>
      <c r="P1646" s="34"/>
      <c r="Q1646" s="34"/>
      <c r="R1646" s="34"/>
      <c r="S1646" s="34"/>
    </row>
    <row r="1647" spans="14:19">
      <c r="N1647" s="34"/>
      <c r="O1647" s="34"/>
      <c r="P1647" s="34"/>
      <c r="Q1647" s="34"/>
      <c r="R1647" s="34"/>
      <c r="S1647" s="34"/>
    </row>
    <row r="1648" spans="14:19">
      <c r="N1648" s="34"/>
      <c r="O1648" s="34"/>
      <c r="P1648" s="34"/>
      <c r="Q1648" s="34"/>
      <c r="R1648" s="34"/>
      <c r="S1648" s="34"/>
    </row>
    <row r="1649" spans="14:19">
      <c r="N1649" s="34"/>
      <c r="O1649" s="34"/>
      <c r="P1649" s="34"/>
      <c r="Q1649" s="34"/>
      <c r="R1649" s="34"/>
      <c r="S1649" s="34"/>
    </row>
    <row r="1650" spans="14:19">
      <c r="N1650" s="34"/>
      <c r="O1650" s="34"/>
      <c r="P1650" s="34"/>
      <c r="Q1650" s="34"/>
      <c r="R1650" s="34"/>
      <c r="S1650" s="34"/>
    </row>
    <row r="1651" spans="14:19">
      <c r="N1651" s="34"/>
      <c r="O1651" s="34"/>
      <c r="P1651" s="34"/>
      <c r="Q1651" s="34"/>
      <c r="R1651" s="34"/>
      <c r="S1651" s="34"/>
    </row>
    <row r="1652" spans="14:19">
      <c r="N1652" s="34"/>
      <c r="O1652" s="34"/>
      <c r="P1652" s="34"/>
      <c r="Q1652" s="34"/>
      <c r="R1652" s="34"/>
      <c r="S1652" s="34"/>
    </row>
    <row r="1653" spans="14:19">
      <c r="N1653" s="34"/>
      <c r="O1653" s="34"/>
      <c r="P1653" s="34"/>
      <c r="Q1653" s="34"/>
      <c r="R1653" s="34"/>
      <c r="S1653" s="34"/>
    </row>
    <row r="1654" spans="14:19">
      <c r="N1654" s="34"/>
      <c r="O1654" s="34"/>
      <c r="P1654" s="34"/>
      <c r="Q1654" s="34"/>
      <c r="R1654" s="34"/>
      <c r="S1654" s="34"/>
    </row>
    <row r="1655" spans="14:19">
      <c r="N1655" s="34"/>
      <c r="O1655" s="34"/>
      <c r="P1655" s="34"/>
      <c r="Q1655" s="34"/>
      <c r="R1655" s="34"/>
      <c r="S1655" s="34"/>
    </row>
    <row r="1656" spans="14:19">
      <c r="N1656" s="34"/>
      <c r="O1656" s="34"/>
      <c r="P1656" s="34"/>
      <c r="Q1656" s="34"/>
      <c r="R1656" s="34"/>
      <c r="S1656" s="34"/>
    </row>
    <row r="1657" spans="14:19">
      <c r="N1657" s="34"/>
      <c r="O1657" s="34"/>
      <c r="P1657" s="34"/>
      <c r="Q1657" s="34"/>
      <c r="R1657" s="34"/>
      <c r="S1657" s="34"/>
    </row>
    <row r="1658" spans="14:19">
      <c r="N1658" s="34"/>
      <c r="O1658" s="34"/>
      <c r="P1658" s="34"/>
      <c r="Q1658" s="34"/>
      <c r="R1658" s="34"/>
      <c r="S1658" s="34"/>
    </row>
    <row r="1659" spans="14:19">
      <c r="N1659" s="34"/>
      <c r="O1659" s="34"/>
      <c r="P1659" s="34"/>
      <c r="Q1659" s="34"/>
      <c r="R1659" s="34"/>
      <c r="S1659" s="34"/>
    </row>
    <row r="1660" spans="14:19">
      <c r="N1660" s="34"/>
      <c r="O1660" s="34"/>
      <c r="P1660" s="34"/>
      <c r="Q1660" s="34"/>
      <c r="R1660" s="34"/>
      <c r="S1660" s="34"/>
    </row>
    <row r="1661" spans="14:19">
      <c r="N1661" s="34"/>
      <c r="O1661" s="34"/>
      <c r="P1661" s="34"/>
      <c r="Q1661" s="34"/>
      <c r="R1661" s="34"/>
      <c r="S1661" s="34"/>
    </row>
    <row r="1662" spans="14:19">
      <c r="N1662" s="34"/>
      <c r="O1662" s="34"/>
      <c r="P1662" s="34"/>
      <c r="Q1662" s="34"/>
      <c r="R1662" s="34"/>
      <c r="S1662" s="34"/>
    </row>
    <row r="1663" spans="14:19">
      <c r="N1663" s="34"/>
      <c r="O1663" s="34"/>
      <c r="P1663" s="34"/>
      <c r="Q1663" s="34"/>
      <c r="R1663" s="34"/>
      <c r="S1663" s="34"/>
    </row>
    <row r="1664" spans="14:19">
      <c r="N1664" s="34"/>
      <c r="O1664" s="34"/>
      <c r="P1664" s="34"/>
      <c r="Q1664" s="34"/>
      <c r="R1664" s="34"/>
      <c r="S1664" s="34"/>
    </row>
    <row r="1665" spans="14:19">
      <c r="N1665" s="34"/>
      <c r="O1665" s="34"/>
      <c r="P1665" s="34"/>
      <c r="Q1665" s="34"/>
      <c r="R1665" s="34"/>
      <c r="S1665" s="34"/>
    </row>
    <row r="1666" spans="14:19">
      <c r="N1666" s="34"/>
      <c r="O1666" s="34"/>
      <c r="P1666" s="34"/>
      <c r="Q1666" s="34"/>
      <c r="R1666" s="34"/>
      <c r="S1666" s="34"/>
    </row>
    <row r="1667" spans="14:19">
      <c r="N1667" s="34"/>
      <c r="O1667" s="34"/>
      <c r="P1667" s="34"/>
      <c r="Q1667" s="34"/>
      <c r="R1667" s="34"/>
      <c r="S1667" s="34"/>
    </row>
    <row r="1668" spans="14:19">
      <c r="N1668" s="34"/>
      <c r="O1668" s="34"/>
      <c r="P1668" s="34"/>
      <c r="Q1668" s="34"/>
      <c r="R1668" s="34"/>
      <c r="S1668" s="34"/>
    </row>
    <row r="1669" spans="14:19">
      <c r="N1669" s="34"/>
      <c r="O1669" s="34"/>
      <c r="P1669" s="34"/>
      <c r="Q1669" s="34"/>
      <c r="R1669" s="34"/>
      <c r="S1669" s="34"/>
    </row>
    <row r="1670" spans="14:19">
      <c r="N1670" s="34"/>
      <c r="O1670" s="34"/>
      <c r="P1670" s="34"/>
      <c r="Q1670" s="34"/>
      <c r="R1670" s="34"/>
      <c r="S1670" s="34"/>
    </row>
    <row r="1671" spans="14:19">
      <c r="N1671" s="34"/>
      <c r="O1671" s="34"/>
      <c r="P1671" s="34"/>
      <c r="Q1671" s="34"/>
      <c r="R1671" s="34"/>
      <c r="S1671" s="34"/>
    </row>
    <row r="1672" spans="14:19">
      <c r="N1672" s="34"/>
      <c r="O1672" s="34"/>
      <c r="P1672" s="34"/>
      <c r="Q1672" s="34"/>
      <c r="R1672" s="34"/>
      <c r="S1672" s="34"/>
    </row>
    <row r="1673" spans="14:19">
      <c r="N1673" s="34"/>
      <c r="O1673" s="34"/>
      <c r="P1673" s="34"/>
      <c r="Q1673" s="34"/>
      <c r="R1673" s="34"/>
      <c r="S1673" s="34"/>
    </row>
    <row r="1674" spans="14:19">
      <c r="N1674" s="34"/>
      <c r="O1674" s="34"/>
      <c r="P1674" s="34"/>
      <c r="Q1674" s="34"/>
      <c r="R1674" s="34"/>
      <c r="S1674" s="34"/>
    </row>
    <row r="1675" spans="14:19">
      <c r="N1675" s="34"/>
      <c r="O1675" s="34"/>
      <c r="P1675" s="34"/>
      <c r="Q1675" s="34"/>
      <c r="R1675" s="34"/>
      <c r="S1675" s="34"/>
    </row>
    <row r="1676" spans="14:19">
      <c r="N1676" s="34"/>
      <c r="O1676" s="34"/>
      <c r="P1676" s="34"/>
      <c r="Q1676" s="34"/>
      <c r="R1676" s="34"/>
      <c r="S1676" s="34"/>
    </row>
    <row r="1677" spans="14:19">
      <c r="N1677" s="34"/>
      <c r="O1677" s="34"/>
      <c r="P1677" s="34"/>
      <c r="Q1677" s="34"/>
      <c r="R1677" s="34"/>
      <c r="S1677" s="34"/>
    </row>
    <row r="1678" spans="14:19">
      <c r="N1678" s="34"/>
      <c r="O1678" s="34"/>
      <c r="P1678" s="34"/>
      <c r="Q1678" s="34"/>
      <c r="R1678" s="34"/>
      <c r="S1678" s="34"/>
    </row>
    <row r="1679" spans="14:19">
      <c r="N1679" s="34"/>
      <c r="O1679" s="34"/>
      <c r="P1679" s="34"/>
      <c r="Q1679" s="34"/>
      <c r="R1679" s="34"/>
      <c r="S1679" s="34"/>
    </row>
    <row r="1680" spans="14:19">
      <c r="N1680" s="34"/>
      <c r="O1680" s="34"/>
      <c r="P1680" s="34"/>
      <c r="Q1680" s="34"/>
      <c r="R1680" s="34"/>
      <c r="S1680" s="34"/>
    </row>
    <row r="1681" spans="14:19">
      <c r="N1681" s="34"/>
      <c r="O1681" s="34"/>
      <c r="P1681" s="34"/>
      <c r="Q1681" s="34"/>
      <c r="R1681" s="34"/>
      <c r="S1681" s="34"/>
    </row>
    <row r="1682" spans="14:19">
      <c r="N1682" s="34"/>
      <c r="O1682" s="34"/>
      <c r="P1682" s="34"/>
      <c r="Q1682" s="34"/>
      <c r="R1682" s="34"/>
      <c r="S1682" s="34"/>
    </row>
    <row r="1683" spans="14:19">
      <c r="N1683" s="34"/>
      <c r="O1683" s="34"/>
      <c r="P1683" s="34"/>
      <c r="Q1683" s="34"/>
      <c r="R1683" s="34"/>
      <c r="S1683" s="34"/>
    </row>
    <row r="1684" spans="14:19">
      <c r="N1684" s="34"/>
      <c r="O1684" s="34"/>
      <c r="P1684" s="34"/>
      <c r="Q1684" s="34"/>
      <c r="R1684" s="34"/>
      <c r="S1684" s="34"/>
    </row>
    <row r="1685" spans="14:19">
      <c r="N1685" s="34"/>
      <c r="O1685" s="34"/>
      <c r="P1685" s="34"/>
      <c r="Q1685" s="34"/>
      <c r="R1685" s="34"/>
      <c r="S1685" s="34"/>
    </row>
    <row r="1686" spans="14:19">
      <c r="N1686" s="34"/>
      <c r="O1686" s="34"/>
      <c r="P1686" s="34"/>
      <c r="Q1686" s="34"/>
      <c r="R1686" s="34"/>
      <c r="S1686" s="34"/>
    </row>
    <row r="1687" spans="14:19">
      <c r="N1687" s="34"/>
      <c r="O1687" s="34"/>
      <c r="P1687" s="34"/>
      <c r="Q1687" s="34"/>
      <c r="R1687" s="34"/>
      <c r="S1687" s="34"/>
    </row>
    <row r="1688" spans="14:19">
      <c r="N1688" s="34"/>
      <c r="O1688" s="34"/>
      <c r="P1688" s="34"/>
      <c r="Q1688" s="34"/>
      <c r="R1688" s="34"/>
      <c r="S1688" s="34"/>
    </row>
    <row r="1689" spans="14:19">
      <c r="N1689" s="34"/>
      <c r="O1689" s="34"/>
      <c r="P1689" s="34"/>
      <c r="Q1689" s="34"/>
      <c r="R1689" s="34"/>
      <c r="S1689" s="34"/>
    </row>
    <row r="1690" spans="14:19">
      <c r="N1690" s="34"/>
      <c r="O1690" s="34"/>
      <c r="P1690" s="34"/>
      <c r="Q1690" s="34"/>
      <c r="R1690" s="34"/>
      <c r="S1690" s="34"/>
    </row>
    <row r="1691" spans="14:19">
      <c r="N1691" s="34"/>
      <c r="O1691" s="34"/>
      <c r="P1691" s="34"/>
      <c r="Q1691" s="34"/>
      <c r="R1691" s="34"/>
      <c r="S1691" s="34"/>
    </row>
    <row r="1692" spans="14:19">
      <c r="N1692" s="34"/>
      <c r="O1692" s="34"/>
      <c r="P1692" s="34"/>
      <c r="Q1692" s="34"/>
      <c r="R1692" s="34"/>
      <c r="S1692" s="34"/>
    </row>
    <row r="1693" spans="14:19">
      <c r="N1693" s="34"/>
      <c r="O1693" s="34"/>
      <c r="P1693" s="34"/>
      <c r="Q1693" s="34"/>
      <c r="R1693" s="34"/>
      <c r="S1693" s="34"/>
    </row>
    <row r="1694" spans="14:19">
      <c r="N1694" s="34"/>
      <c r="O1694" s="34"/>
      <c r="P1694" s="34"/>
      <c r="Q1694" s="34"/>
      <c r="R1694" s="34"/>
      <c r="S1694" s="34"/>
    </row>
    <row r="1695" spans="14:19">
      <c r="N1695" s="34"/>
      <c r="O1695" s="34"/>
      <c r="P1695" s="34"/>
      <c r="Q1695" s="34"/>
      <c r="R1695" s="34"/>
      <c r="S1695" s="34"/>
    </row>
    <row r="1696" spans="14:19">
      <c r="N1696" s="34"/>
      <c r="O1696" s="34"/>
      <c r="P1696" s="34"/>
      <c r="Q1696" s="34"/>
      <c r="R1696" s="34"/>
      <c r="S1696" s="34"/>
    </row>
    <row r="1697" spans="14:19">
      <c r="N1697" s="34"/>
      <c r="O1697" s="34"/>
      <c r="P1697" s="34"/>
      <c r="Q1697" s="34"/>
      <c r="R1697" s="34"/>
      <c r="S1697" s="34"/>
    </row>
    <row r="1698" spans="14:19">
      <c r="N1698" s="34"/>
      <c r="O1698" s="34"/>
      <c r="P1698" s="34"/>
      <c r="Q1698" s="34"/>
      <c r="R1698" s="34"/>
      <c r="S1698" s="34"/>
    </row>
    <row r="1699" spans="14:19">
      <c r="N1699" s="34"/>
      <c r="O1699" s="34"/>
      <c r="P1699" s="34"/>
      <c r="Q1699" s="34"/>
      <c r="R1699" s="34"/>
      <c r="S1699" s="34"/>
    </row>
    <row r="1700" spans="14:19">
      <c r="N1700" s="34"/>
      <c r="O1700" s="34"/>
      <c r="P1700" s="34"/>
      <c r="Q1700" s="34"/>
      <c r="R1700" s="34"/>
      <c r="S1700" s="34"/>
    </row>
    <row r="1701" spans="14:19">
      <c r="N1701" s="34"/>
      <c r="O1701" s="34"/>
      <c r="P1701" s="34"/>
      <c r="Q1701" s="34"/>
      <c r="R1701" s="34"/>
      <c r="S1701" s="34"/>
    </row>
    <row r="1702" spans="14:19">
      <c r="N1702" s="34"/>
      <c r="O1702" s="34"/>
      <c r="P1702" s="34"/>
      <c r="Q1702" s="34"/>
      <c r="R1702" s="34"/>
      <c r="S1702" s="34"/>
    </row>
    <row r="1703" spans="14:19">
      <c r="N1703" s="34"/>
      <c r="O1703" s="34"/>
      <c r="P1703" s="34"/>
      <c r="Q1703" s="34"/>
      <c r="R1703" s="34"/>
      <c r="S1703" s="34"/>
    </row>
    <row r="1704" spans="14:19">
      <c r="N1704" s="34"/>
      <c r="O1704" s="34"/>
      <c r="P1704" s="34"/>
      <c r="Q1704" s="34"/>
      <c r="R1704" s="34"/>
      <c r="S1704" s="34"/>
    </row>
    <row r="1705" spans="14:19">
      <c r="N1705" s="34"/>
      <c r="O1705" s="34"/>
      <c r="P1705" s="34"/>
      <c r="Q1705" s="34"/>
      <c r="R1705" s="34"/>
      <c r="S1705" s="34"/>
    </row>
    <row r="1706" spans="14:19">
      <c r="N1706" s="34"/>
      <c r="O1706" s="34"/>
      <c r="P1706" s="34"/>
      <c r="Q1706" s="34"/>
      <c r="R1706" s="34"/>
      <c r="S1706" s="34"/>
    </row>
    <row r="1707" spans="14:19">
      <c r="N1707" s="34"/>
      <c r="O1707" s="34"/>
      <c r="P1707" s="34"/>
      <c r="Q1707" s="34"/>
      <c r="R1707" s="34"/>
      <c r="S1707" s="34"/>
    </row>
    <row r="1708" spans="14:19">
      <c r="N1708" s="34"/>
      <c r="O1708" s="34"/>
      <c r="P1708" s="34"/>
      <c r="Q1708" s="34"/>
      <c r="R1708" s="34"/>
      <c r="S1708" s="34"/>
    </row>
    <row r="1709" spans="14:19">
      <c r="N1709" s="34"/>
      <c r="O1709" s="34"/>
      <c r="P1709" s="34"/>
      <c r="Q1709" s="34"/>
      <c r="R1709" s="34"/>
      <c r="S1709" s="34"/>
    </row>
    <row r="1710" spans="14:19">
      <c r="N1710" s="34"/>
      <c r="O1710" s="34"/>
      <c r="P1710" s="34"/>
      <c r="Q1710" s="34"/>
      <c r="R1710" s="34"/>
      <c r="S1710" s="34"/>
    </row>
    <row r="1711" spans="14:19">
      <c r="N1711" s="34"/>
      <c r="O1711" s="34"/>
      <c r="P1711" s="34"/>
      <c r="Q1711" s="34"/>
      <c r="R1711" s="34"/>
      <c r="S1711" s="34"/>
    </row>
    <row r="1712" spans="14:19">
      <c r="N1712" s="34"/>
      <c r="O1712" s="34"/>
      <c r="P1712" s="34"/>
      <c r="Q1712" s="34"/>
      <c r="R1712" s="34"/>
      <c r="S1712" s="34"/>
    </row>
    <row r="1713" spans="14:19">
      <c r="N1713" s="34"/>
      <c r="O1713" s="34"/>
      <c r="P1713" s="34"/>
      <c r="Q1713" s="34"/>
      <c r="R1713" s="34"/>
      <c r="S1713" s="34"/>
    </row>
    <row r="1714" spans="14:19">
      <c r="N1714" s="34"/>
      <c r="O1714" s="34"/>
      <c r="P1714" s="34"/>
      <c r="Q1714" s="34"/>
      <c r="R1714" s="34"/>
      <c r="S1714" s="34"/>
    </row>
    <row r="1715" spans="14:19">
      <c r="N1715" s="34"/>
      <c r="O1715" s="34"/>
      <c r="P1715" s="34"/>
      <c r="Q1715" s="34"/>
      <c r="R1715" s="34"/>
      <c r="S1715" s="34"/>
    </row>
    <row r="1716" spans="14:19">
      <c r="N1716" s="34"/>
      <c r="O1716" s="34"/>
      <c r="P1716" s="34"/>
      <c r="Q1716" s="34"/>
      <c r="R1716" s="34"/>
      <c r="S1716" s="34"/>
    </row>
    <row r="1717" spans="14:19">
      <c r="N1717" s="34"/>
      <c r="O1717" s="34"/>
      <c r="P1717" s="34"/>
      <c r="Q1717" s="34"/>
      <c r="R1717" s="34"/>
      <c r="S1717" s="34"/>
    </row>
    <row r="1718" spans="14:19">
      <c r="N1718" s="34"/>
      <c r="O1718" s="34"/>
      <c r="P1718" s="34"/>
      <c r="Q1718" s="34"/>
      <c r="R1718" s="34"/>
      <c r="S1718" s="34"/>
    </row>
    <row r="1719" spans="14:19">
      <c r="N1719" s="34"/>
      <c r="O1719" s="34"/>
      <c r="P1719" s="34"/>
      <c r="Q1719" s="34"/>
      <c r="R1719" s="34"/>
      <c r="S1719" s="34"/>
    </row>
    <row r="1720" spans="14:19">
      <c r="N1720" s="34"/>
      <c r="O1720" s="34"/>
      <c r="P1720" s="34"/>
      <c r="Q1720" s="34"/>
      <c r="R1720" s="34"/>
      <c r="S1720" s="34"/>
    </row>
    <row r="1721" spans="14:19">
      <c r="N1721" s="34"/>
      <c r="O1721" s="34"/>
      <c r="P1721" s="34"/>
      <c r="Q1721" s="34"/>
      <c r="R1721" s="34"/>
      <c r="S1721" s="34"/>
    </row>
    <row r="1722" spans="14:19">
      <c r="N1722" s="34"/>
      <c r="O1722" s="34"/>
      <c r="P1722" s="34"/>
      <c r="Q1722" s="34"/>
      <c r="R1722" s="34"/>
      <c r="S1722" s="34"/>
    </row>
    <row r="1723" spans="14:19">
      <c r="N1723" s="34"/>
      <c r="O1723" s="34"/>
      <c r="P1723" s="34"/>
      <c r="Q1723" s="34"/>
      <c r="R1723" s="34"/>
      <c r="S1723" s="34"/>
    </row>
    <row r="1724" spans="14:19">
      <c r="N1724" s="34"/>
      <c r="O1724" s="34"/>
      <c r="P1724" s="34"/>
      <c r="Q1724" s="34"/>
      <c r="R1724" s="34"/>
      <c r="S1724" s="34"/>
    </row>
    <row r="1725" spans="14:19">
      <c r="N1725" s="34"/>
      <c r="O1725" s="34"/>
      <c r="P1725" s="34"/>
      <c r="Q1725" s="34"/>
      <c r="R1725" s="34"/>
      <c r="S1725" s="34"/>
    </row>
    <row r="1726" spans="14:19">
      <c r="N1726" s="34"/>
      <c r="O1726" s="34"/>
      <c r="P1726" s="34"/>
      <c r="Q1726" s="34"/>
      <c r="R1726" s="34"/>
      <c r="S1726" s="34"/>
    </row>
    <row r="1727" spans="14:19">
      <c r="N1727" s="34"/>
      <c r="O1727" s="34"/>
      <c r="P1727" s="34"/>
      <c r="Q1727" s="34"/>
      <c r="R1727" s="34"/>
      <c r="S1727" s="34"/>
    </row>
    <row r="1728" spans="14:19">
      <c r="N1728" s="34"/>
      <c r="O1728" s="34"/>
      <c r="P1728" s="34"/>
      <c r="Q1728" s="34"/>
      <c r="R1728" s="34"/>
      <c r="S1728" s="34"/>
    </row>
    <row r="1729" spans="14:19">
      <c r="N1729" s="34"/>
      <c r="O1729" s="34"/>
      <c r="P1729" s="34"/>
      <c r="Q1729" s="34"/>
      <c r="R1729" s="34"/>
      <c r="S1729" s="34"/>
    </row>
    <row r="1730" spans="14:19">
      <c r="N1730" s="34"/>
      <c r="O1730" s="34"/>
      <c r="P1730" s="34"/>
      <c r="Q1730" s="34"/>
      <c r="R1730" s="34"/>
      <c r="S1730" s="34"/>
    </row>
    <row r="1731" spans="14:19">
      <c r="N1731" s="34"/>
      <c r="O1731" s="34"/>
      <c r="P1731" s="34"/>
      <c r="Q1731" s="34"/>
      <c r="R1731" s="34"/>
      <c r="S1731" s="34"/>
    </row>
    <row r="1732" spans="14:19">
      <c r="N1732" s="34"/>
      <c r="O1732" s="34"/>
      <c r="P1732" s="34"/>
      <c r="Q1732" s="34"/>
      <c r="R1732" s="34"/>
      <c r="S1732" s="34"/>
    </row>
    <row r="1733" spans="14:19">
      <c r="N1733" s="34"/>
      <c r="O1733" s="34"/>
      <c r="P1733" s="34"/>
      <c r="Q1733" s="34"/>
      <c r="R1733" s="34"/>
      <c r="S1733" s="34"/>
    </row>
    <row r="1734" spans="14:19">
      <c r="N1734" s="34"/>
      <c r="O1734" s="34"/>
      <c r="P1734" s="34"/>
      <c r="Q1734" s="34"/>
      <c r="R1734" s="34"/>
      <c r="S1734" s="34"/>
    </row>
    <row r="1735" spans="14:19">
      <c r="N1735" s="34"/>
      <c r="O1735" s="34"/>
      <c r="P1735" s="34"/>
      <c r="Q1735" s="34"/>
      <c r="R1735" s="34"/>
      <c r="S1735" s="34"/>
    </row>
    <row r="1736" spans="14:19">
      <c r="N1736" s="34"/>
      <c r="O1736" s="34"/>
      <c r="P1736" s="34"/>
      <c r="Q1736" s="34"/>
      <c r="R1736" s="34"/>
      <c r="S1736" s="34"/>
    </row>
    <row r="1737" spans="14:19">
      <c r="N1737" s="34"/>
      <c r="O1737" s="34"/>
      <c r="P1737" s="34"/>
      <c r="Q1737" s="34"/>
      <c r="R1737" s="34"/>
      <c r="S1737" s="34"/>
    </row>
    <row r="1738" spans="14:19">
      <c r="N1738" s="34"/>
      <c r="O1738" s="34"/>
      <c r="P1738" s="34"/>
      <c r="Q1738" s="34"/>
      <c r="R1738" s="34"/>
      <c r="S1738" s="34"/>
    </row>
    <row r="1739" spans="14:19">
      <c r="N1739" s="34"/>
      <c r="O1739" s="34"/>
      <c r="P1739" s="34"/>
      <c r="Q1739" s="34"/>
      <c r="R1739" s="34"/>
      <c r="S1739" s="34"/>
    </row>
    <row r="1740" spans="14:19">
      <c r="N1740" s="34"/>
      <c r="O1740" s="34"/>
      <c r="P1740" s="34"/>
      <c r="Q1740" s="34"/>
      <c r="R1740" s="34"/>
      <c r="S1740" s="34"/>
    </row>
    <row r="1741" spans="14:19">
      <c r="N1741" s="34"/>
      <c r="O1741" s="34"/>
      <c r="P1741" s="34"/>
      <c r="Q1741" s="34"/>
      <c r="R1741" s="34"/>
      <c r="S1741" s="34"/>
    </row>
    <row r="1742" spans="14:19">
      <c r="N1742" s="34"/>
      <c r="O1742" s="34"/>
      <c r="P1742" s="34"/>
      <c r="Q1742" s="34"/>
      <c r="R1742" s="34"/>
      <c r="S1742" s="34"/>
    </row>
    <row r="1743" spans="14:19">
      <c r="N1743" s="34"/>
      <c r="O1743" s="34"/>
      <c r="P1743" s="34"/>
      <c r="Q1743" s="34"/>
      <c r="R1743" s="34"/>
      <c r="S1743" s="34"/>
    </row>
    <row r="1744" spans="14:19">
      <c r="N1744" s="34"/>
      <c r="O1744" s="34"/>
      <c r="P1744" s="34"/>
      <c r="Q1744" s="34"/>
      <c r="R1744" s="34"/>
      <c r="S1744" s="34"/>
    </row>
    <row r="1745" spans="14:19">
      <c r="N1745" s="34"/>
      <c r="O1745" s="34"/>
      <c r="P1745" s="34"/>
      <c r="Q1745" s="34"/>
      <c r="R1745" s="34"/>
      <c r="S1745" s="34"/>
    </row>
    <row r="1746" spans="14:19">
      <c r="N1746" s="34"/>
      <c r="O1746" s="34"/>
      <c r="P1746" s="34"/>
      <c r="Q1746" s="34"/>
      <c r="R1746" s="34"/>
      <c r="S1746" s="34"/>
    </row>
    <row r="1747" spans="14:19">
      <c r="N1747" s="34"/>
      <c r="O1747" s="34"/>
      <c r="P1747" s="34"/>
      <c r="Q1747" s="34"/>
      <c r="R1747" s="34"/>
      <c r="S1747" s="34"/>
    </row>
    <row r="1748" spans="14:19">
      <c r="N1748" s="34"/>
      <c r="O1748" s="34"/>
      <c r="P1748" s="34"/>
      <c r="Q1748" s="34"/>
      <c r="R1748" s="34"/>
      <c r="S1748" s="34"/>
    </row>
    <row r="1749" spans="14:19">
      <c r="N1749" s="34"/>
      <c r="O1749" s="34"/>
      <c r="P1749" s="34"/>
      <c r="Q1749" s="34"/>
      <c r="R1749" s="34"/>
      <c r="S1749" s="34"/>
    </row>
    <row r="1750" spans="14:19">
      <c r="N1750" s="34"/>
      <c r="O1750" s="34"/>
      <c r="P1750" s="34"/>
      <c r="Q1750" s="34"/>
      <c r="R1750" s="34"/>
      <c r="S1750" s="34"/>
    </row>
    <row r="1751" spans="14:19">
      <c r="N1751" s="34"/>
      <c r="O1751" s="34"/>
      <c r="P1751" s="34"/>
      <c r="Q1751" s="34"/>
      <c r="R1751" s="34"/>
      <c r="S1751" s="34"/>
    </row>
    <row r="1752" spans="14:19">
      <c r="N1752" s="34"/>
      <c r="O1752" s="34"/>
      <c r="P1752" s="34"/>
      <c r="Q1752" s="34"/>
      <c r="R1752" s="34"/>
      <c r="S1752" s="34"/>
    </row>
    <row r="1753" spans="14:19">
      <c r="N1753" s="34"/>
      <c r="O1753" s="34"/>
      <c r="P1753" s="34"/>
      <c r="Q1753" s="34"/>
      <c r="R1753" s="34"/>
      <c r="S1753" s="34"/>
    </row>
    <row r="1754" spans="14:19">
      <c r="N1754" s="34"/>
      <c r="O1754" s="34"/>
      <c r="P1754" s="34"/>
      <c r="Q1754" s="34"/>
      <c r="R1754" s="34"/>
      <c r="S1754" s="34"/>
    </row>
    <row r="1755" spans="14:19">
      <c r="N1755" s="34"/>
      <c r="O1755" s="34"/>
      <c r="P1755" s="34"/>
      <c r="Q1755" s="34"/>
      <c r="R1755" s="34"/>
      <c r="S1755" s="34"/>
    </row>
    <row r="1756" spans="14:19">
      <c r="N1756" s="34"/>
      <c r="O1756" s="34"/>
      <c r="P1756" s="34"/>
      <c r="Q1756" s="34"/>
      <c r="R1756" s="34"/>
      <c r="S1756" s="34"/>
    </row>
    <row r="1757" spans="14:19">
      <c r="N1757" s="34"/>
      <c r="O1757" s="34"/>
      <c r="P1757" s="34"/>
      <c r="Q1757" s="34"/>
      <c r="R1757" s="34"/>
      <c r="S1757" s="34"/>
    </row>
    <row r="1758" spans="14:19">
      <c r="N1758" s="34"/>
      <c r="O1758" s="34"/>
      <c r="P1758" s="34"/>
      <c r="Q1758" s="34"/>
      <c r="R1758" s="34"/>
      <c r="S1758" s="34"/>
    </row>
    <row r="1759" spans="14:19">
      <c r="N1759" s="34"/>
      <c r="O1759" s="34"/>
      <c r="P1759" s="34"/>
      <c r="Q1759" s="34"/>
      <c r="R1759" s="34"/>
      <c r="S1759" s="34"/>
    </row>
    <row r="1760" spans="14:19">
      <c r="N1760" s="34"/>
      <c r="O1760" s="34"/>
      <c r="P1760" s="34"/>
      <c r="Q1760" s="34"/>
      <c r="R1760" s="34"/>
      <c r="S1760" s="34"/>
    </row>
    <row r="1761" spans="14:19">
      <c r="N1761" s="34"/>
      <c r="O1761" s="34"/>
      <c r="P1761" s="34"/>
      <c r="Q1761" s="34"/>
      <c r="R1761" s="34"/>
      <c r="S1761" s="34"/>
    </row>
    <row r="1762" spans="14:19">
      <c r="N1762" s="34"/>
      <c r="O1762" s="34"/>
      <c r="P1762" s="34"/>
      <c r="Q1762" s="34"/>
      <c r="R1762" s="34"/>
      <c r="S1762" s="34"/>
    </row>
    <row r="1763" spans="14:19">
      <c r="N1763" s="34"/>
      <c r="O1763" s="34"/>
      <c r="P1763" s="34"/>
      <c r="Q1763" s="34"/>
      <c r="R1763" s="34"/>
      <c r="S1763" s="34"/>
    </row>
    <row r="1764" spans="14:19">
      <c r="N1764" s="34"/>
      <c r="O1764" s="34"/>
      <c r="P1764" s="34"/>
      <c r="Q1764" s="34"/>
      <c r="R1764" s="34"/>
      <c r="S1764" s="34"/>
    </row>
    <row r="1765" spans="14:19">
      <c r="N1765" s="34"/>
      <c r="O1765" s="34"/>
      <c r="P1765" s="34"/>
      <c r="Q1765" s="34"/>
      <c r="R1765" s="34"/>
      <c r="S1765" s="34"/>
    </row>
    <row r="1766" spans="14:19">
      <c r="N1766" s="34"/>
      <c r="O1766" s="34"/>
      <c r="P1766" s="34"/>
      <c r="Q1766" s="34"/>
      <c r="R1766" s="34"/>
      <c r="S1766" s="34"/>
    </row>
    <row r="1767" spans="14:19">
      <c r="N1767" s="34"/>
      <c r="O1767" s="34"/>
      <c r="P1767" s="34"/>
      <c r="Q1767" s="34"/>
      <c r="R1767" s="34"/>
      <c r="S1767" s="34"/>
    </row>
    <row r="1768" spans="14:19">
      <c r="N1768" s="34"/>
      <c r="O1768" s="34"/>
      <c r="P1768" s="34"/>
      <c r="Q1768" s="34"/>
      <c r="R1768" s="34"/>
      <c r="S1768" s="34"/>
    </row>
    <row r="1769" spans="14:19">
      <c r="N1769" s="34"/>
      <c r="O1769" s="34"/>
      <c r="P1769" s="34"/>
      <c r="Q1769" s="34"/>
      <c r="R1769" s="34"/>
      <c r="S1769" s="34"/>
    </row>
    <row r="1770" spans="14:19">
      <c r="N1770" s="34"/>
      <c r="O1770" s="34"/>
      <c r="P1770" s="34"/>
      <c r="Q1770" s="34"/>
      <c r="R1770" s="34"/>
      <c r="S1770" s="34"/>
    </row>
    <row r="1771" spans="14:19">
      <c r="N1771" s="34"/>
      <c r="O1771" s="34"/>
      <c r="P1771" s="34"/>
      <c r="Q1771" s="34"/>
      <c r="R1771" s="34"/>
      <c r="S1771" s="34"/>
    </row>
    <row r="1772" spans="14:19">
      <c r="N1772" s="34"/>
      <c r="O1772" s="34"/>
      <c r="P1772" s="34"/>
      <c r="Q1772" s="34"/>
      <c r="R1772" s="34"/>
      <c r="S1772" s="34"/>
    </row>
    <row r="1773" spans="14:19">
      <c r="N1773" s="34"/>
      <c r="O1773" s="34"/>
      <c r="P1773" s="34"/>
      <c r="Q1773" s="34"/>
      <c r="R1773" s="34"/>
      <c r="S1773" s="34"/>
    </row>
    <row r="1774" spans="14:19">
      <c r="N1774" s="34"/>
      <c r="O1774" s="34"/>
      <c r="P1774" s="34"/>
      <c r="Q1774" s="34"/>
      <c r="R1774" s="34"/>
      <c r="S1774" s="34"/>
    </row>
    <row r="1775" spans="14:19">
      <c r="N1775" s="34"/>
      <c r="O1775" s="34"/>
      <c r="P1775" s="34"/>
      <c r="Q1775" s="34"/>
      <c r="R1775" s="34"/>
      <c r="S1775" s="34"/>
    </row>
    <row r="1776" spans="14:19">
      <c r="N1776" s="34"/>
      <c r="O1776" s="34"/>
      <c r="P1776" s="34"/>
      <c r="Q1776" s="34"/>
      <c r="R1776" s="34"/>
      <c r="S1776" s="34"/>
    </row>
    <row r="1777" spans="14:19">
      <c r="N1777" s="34"/>
      <c r="O1777" s="34"/>
      <c r="P1777" s="34"/>
      <c r="Q1777" s="34"/>
      <c r="R1777" s="34"/>
      <c r="S1777" s="34"/>
    </row>
    <row r="1778" spans="14:19">
      <c r="N1778" s="34"/>
      <c r="O1778" s="34"/>
      <c r="P1778" s="34"/>
      <c r="Q1778" s="34"/>
      <c r="R1778" s="34"/>
      <c r="S1778" s="34"/>
    </row>
    <row r="1779" spans="14:19">
      <c r="N1779" s="34"/>
      <c r="O1779" s="34"/>
      <c r="P1779" s="34"/>
      <c r="Q1779" s="34"/>
      <c r="R1779" s="34"/>
      <c r="S1779" s="34"/>
    </row>
    <row r="1780" spans="14:19">
      <c r="N1780" s="34"/>
      <c r="O1780" s="34"/>
      <c r="P1780" s="34"/>
      <c r="Q1780" s="34"/>
      <c r="R1780" s="34"/>
      <c r="S1780" s="34"/>
    </row>
    <row r="1781" spans="14:19">
      <c r="N1781" s="34"/>
      <c r="O1781" s="34"/>
      <c r="P1781" s="34"/>
      <c r="Q1781" s="34"/>
      <c r="R1781" s="34"/>
      <c r="S1781" s="34"/>
    </row>
    <row r="1782" spans="14:19">
      <c r="N1782" s="34"/>
      <c r="O1782" s="34"/>
      <c r="P1782" s="34"/>
      <c r="Q1782" s="34"/>
      <c r="R1782" s="34"/>
      <c r="S1782" s="34"/>
    </row>
    <row r="1783" spans="14:19">
      <c r="N1783" s="34"/>
      <c r="O1783" s="34"/>
      <c r="P1783" s="34"/>
      <c r="Q1783" s="34"/>
      <c r="R1783" s="34"/>
      <c r="S1783" s="34"/>
    </row>
    <row r="1784" spans="14:19">
      <c r="N1784" s="34"/>
      <c r="O1784" s="34"/>
      <c r="P1784" s="34"/>
      <c r="Q1784" s="34"/>
      <c r="R1784" s="34"/>
      <c r="S1784" s="34"/>
    </row>
    <row r="1785" spans="14:19">
      <c r="N1785" s="34"/>
      <c r="O1785" s="34"/>
      <c r="P1785" s="34"/>
      <c r="Q1785" s="34"/>
      <c r="R1785" s="34"/>
      <c r="S1785" s="34"/>
    </row>
    <row r="1786" spans="14:19">
      <c r="N1786" s="34"/>
      <c r="O1786" s="34"/>
      <c r="P1786" s="34"/>
      <c r="Q1786" s="34"/>
      <c r="R1786" s="34"/>
      <c r="S1786" s="34"/>
    </row>
    <row r="1787" spans="14:19">
      <c r="N1787" s="34"/>
      <c r="O1787" s="34"/>
      <c r="P1787" s="34"/>
      <c r="Q1787" s="34"/>
      <c r="R1787" s="34"/>
      <c r="S1787" s="34"/>
    </row>
    <row r="1788" spans="14:19">
      <c r="N1788" s="34"/>
      <c r="O1788" s="34"/>
      <c r="P1788" s="34"/>
      <c r="Q1788" s="34"/>
      <c r="R1788" s="34"/>
      <c r="S1788" s="34"/>
    </row>
    <row r="1789" spans="14:19">
      <c r="N1789" s="34"/>
      <c r="O1789" s="34"/>
      <c r="P1789" s="34"/>
      <c r="Q1789" s="34"/>
      <c r="R1789" s="34"/>
      <c r="S1789" s="34"/>
    </row>
    <row r="1790" spans="14:19">
      <c r="N1790" s="34"/>
      <c r="O1790" s="34"/>
      <c r="P1790" s="34"/>
      <c r="Q1790" s="34"/>
      <c r="R1790" s="34"/>
      <c r="S1790" s="34"/>
    </row>
    <row r="1791" spans="14:19">
      <c r="N1791" s="34"/>
      <c r="O1791" s="34"/>
      <c r="P1791" s="34"/>
      <c r="Q1791" s="34"/>
      <c r="R1791" s="34"/>
      <c r="S1791" s="34"/>
    </row>
    <row r="1792" spans="14:19">
      <c r="N1792" s="34"/>
      <c r="O1792" s="34"/>
      <c r="P1792" s="34"/>
      <c r="Q1792" s="34"/>
      <c r="R1792" s="34"/>
      <c r="S1792" s="34"/>
    </row>
    <row r="1793" spans="14:19">
      <c r="N1793" s="34"/>
      <c r="O1793" s="34"/>
      <c r="P1793" s="34"/>
      <c r="Q1793" s="34"/>
      <c r="R1793" s="34"/>
      <c r="S1793" s="34"/>
    </row>
    <row r="1794" spans="14:19">
      <c r="N1794" s="34"/>
      <c r="O1794" s="34"/>
      <c r="P1794" s="34"/>
      <c r="Q1794" s="34"/>
      <c r="R1794" s="34"/>
      <c r="S1794" s="34"/>
    </row>
    <row r="1795" spans="14:19">
      <c r="N1795" s="34"/>
      <c r="O1795" s="34"/>
      <c r="P1795" s="34"/>
      <c r="Q1795" s="34"/>
      <c r="R1795" s="34"/>
      <c r="S1795" s="34"/>
    </row>
    <row r="1796" spans="14:19">
      <c r="N1796" s="34"/>
      <c r="O1796" s="34"/>
      <c r="P1796" s="34"/>
      <c r="Q1796" s="34"/>
      <c r="R1796" s="34"/>
      <c r="S1796" s="34"/>
    </row>
    <row r="1797" spans="14:19">
      <c r="N1797" s="34"/>
      <c r="O1797" s="34"/>
      <c r="P1797" s="34"/>
      <c r="Q1797" s="34"/>
      <c r="R1797" s="34"/>
      <c r="S1797" s="34"/>
    </row>
    <row r="1798" spans="14:19">
      <c r="N1798" s="34"/>
      <c r="O1798" s="34"/>
      <c r="P1798" s="34"/>
      <c r="Q1798" s="34"/>
      <c r="R1798" s="34"/>
      <c r="S1798" s="34"/>
    </row>
    <row r="1799" spans="14:19">
      <c r="N1799" s="34"/>
      <c r="O1799" s="34"/>
      <c r="P1799" s="34"/>
      <c r="Q1799" s="34"/>
      <c r="R1799" s="34"/>
      <c r="S1799" s="34"/>
    </row>
    <row r="1800" spans="14:19">
      <c r="N1800" s="34"/>
      <c r="O1800" s="34"/>
      <c r="P1800" s="34"/>
      <c r="Q1800" s="34"/>
      <c r="R1800" s="34"/>
      <c r="S1800" s="34"/>
    </row>
    <row r="1801" spans="14:19">
      <c r="N1801" s="34"/>
      <c r="O1801" s="34"/>
      <c r="P1801" s="34"/>
      <c r="Q1801" s="34"/>
      <c r="R1801" s="34"/>
      <c r="S1801" s="34"/>
    </row>
    <row r="1802" spans="14:19">
      <c r="N1802" s="34"/>
      <c r="O1802" s="34"/>
      <c r="P1802" s="34"/>
      <c r="Q1802" s="34"/>
      <c r="R1802" s="34"/>
      <c r="S1802" s="34"/>
    </row>
    <row r="1803" spans="14:19">
      <c r="N1803" s="34"/>
      <c r="O1803" s="34"/>
      <c r="P1803" s="34"/>
      <c r="Q1803" s="34"/>
      <c r="R1803" s="34"/>
      <c r="S1803" s="34"/>
    </row>
    <row r="1804" spans="14:19">
      <c r="N1804" s="34"/>
      <c r="O1804" s="34"/>
      <c r="P1804" s="34"/>
      <c r="Q1804" s="34"/>
      <c r="R1804" s="34"/>
      <c r="S1804" s="34"/>
    </row>
    <row r="1805" spans="14:19">
      <c r="N1805" s="34"/>
      <c r="O1805" s="34"/>
      <c r="P1805" s="34"/>
      <c r="Q1805" s="34"/>
      <c r="R1805" s="34"/>
      <c r="S1805" s="34"/>
    </row>
    <row r="1806" spans="14:19">
      <c r="N1806" s="34"/>
      <c r="O1806" s="34"/>
      <c r="P1806" s="34"/>
      <c r="Q1806" s="34"/>
      <c r="R1806" s="34"/>
      <c r="S1806" s="34"/>
    </row>
    <row r="1807" spans="14:19">
      <c r="N1807" s="34"/>
      <c r="O1807" s="34"/>
      <c r="P1807" s="34"/>
      <c r="Q1807" s="34"/>
      <c r="R1807" s="34"/>
      <c r="S1807" s="34"/>
    </row>
    <row r="1808" spans="14:19">
      <c r="N1808" s="34"/>
      <c r="O1808" s="34"/>
      <c r="P1808" s="34"/>
      <c r="Q1808" s="34"/>
      <c r="R1808" s="34"/>
      <c r="S1808" s="34"/>
    </row>
    <row r="1809" spans="14:19">
      <c r="N1809" s="34"/>
      <c r="O1809" s="34"/>
      <c r="P1809" s="34"/>
      <c r="Q1809" s="34"/>
      <c r="R1809" s="34"/>
      <c r="S1809" s="34"/>
    </row>
    <row r="1810" spans="14:19">
      <c r="N1810" s="34"/>
      <c r="O1810" s="34"/>
      <c r="P1810" s="34"/>
      <c r="Q1810" s="34"/>
      <c r="R1810" s="34"/>
      <c r="S1810" s="34"/>
    </row>
    <row r="1811" spans="14:19">
      <c r="N1811" s="34"/>
      <c r="O1811" s="34"/>
      <c r="P1811" s="34"/>
      <c r="Q1811" s="34"/>
      <c r="R1811" s="34"/>
      <c r="S1811" s="34"/>
    </row>
    <row r="1812" spans="14:19">
      <c r="N1812" s="34"/>
      <c r="O1812" s="34"/>
      <c r="P1812" s="34"/>
      <c r="Q1812" s="34"/>
      <c r="R1812" s="34"/>
      <c r="S1812" s="34"/>
    </row>
    <row r="1813" spans="14:19">
      <c r="N1813" s="34"/>
      <c r="O1813" s="34"/>
      <c r="P1813" s="34"/>
      <c r="Q1813" s="34"/>
      <c r="R1813" s="34"/>
      <c r="S1813" s="34"/>
    </row>
    <row r="1814" spans="14:19">
      <c r="N1814" s="34"/>
      <c r="O1814" s="34"/>
      <c r="P1814" s="34"/>
      <c r="Q1814" s="34"/>
      <c r="R1814" s="34"/>
      <c r="S1814" s="34"/>
    </row>
    <row r="1815" spans="14:19">
      <c r="N1815" s="34"/>
      <c r="O1815" s="34"/>
      <c r="P1815" s="34"/>
      <c r="Q1815" s="34"/>
      <c r="R1815" s="34"/>
      <c r="S1815" s="34"/>
    </row>
    <row r="1816" spans="14:19">
      <c r="N1816" s="34"/>
      <c r="O1816" s="34"/>
      <c r="P1816" s="34"/>
      <c r="Q1816" s="34"/>
      <c r="R1816" s="34"/>
      <c r="S1816" s="34"/>
    </row>
    <row r="1817" spans="14:19">
      <c r="N1817" s="34"/>
      <c r="O1817" s="34"/>
      <c r="P1817" s="34"/>
      <c r="Q1817" s="34"/>
      <c r="R1817" s="34"/>
      <c r="S1817" s="34"/>
    </row>
    <row r="1818" spans="14:19">
      <c r="N1818" s="34"/>
      <c r="O1818" s="34"/>
      <c r="P1818" s="34"/>
      <c r="Q1818" s="34"/>
      <c r="R1818" s="34"/>
      <c r="S1818" s="34"/>
    </row>
    <row r="1819" spans="14:19">
      <c r="N1819" s="34"/>
      <c r="O1819" s="34"/>
      <c r="P1819" s="34"/>
      <c r="Q1819" s="34"/>
      <c r="R1819" s="34"/>
      <c r="S1819" s="34"/>
    </row>
    <row r="1820" spans="14:19">
      <c r="N1820" s="34"/>
      <c r="O1820" s="34"/>
      <c r="P1820" s="34"/>
      <c r="Q1820" s="34"/>
      <c r="R1820" s="34"/>
      <c r="S1820" s="34"/>
    </row>
    <row r="1821" spans="14:19">
      <c r="N1821" s="34"/>
      <c r="O1821" s="34"/>
      <c r="P1821" s="34"/>
      <c r="Q1821" s="34"/>
      <c r="R1821" s="34"/>
      <c r="S1821" s="34"/>
    </row>
    <row r="1822" spans="14:19">
      <c r="N1822" s="34"/>
      <c r="O1822" s="34"/>
      <c r="P1822" s="34"/>
      <c r="Q1822" s="34"/>
      <c r="R1822" s="34"/>
      <c r="S1822" s="34"/>
    </row>
    <row r="1823" spans="14:19">
      <c r="N1823" s="34"/>
      <c r="O1823" s="34"/>
      <c r="P1823" s="34"/>
      <c r="Q1823" s="34"/>
      <c r="R1823" s="34"/>
      <c r="S1823" s="34"/>
    </row>
    <row r="1824" spans="14:19">
      <c r="N1824" s="34"/>
      <c r="O1824" s="34"/>
      <c r="P1824" s="34"/>
      <c r="Q1824" s="34"/>
      <c r="R1824" s="34"/>
      <c r="S1824" s="34"/>
    </row>
    <row r="1825" spans="14:19">
      <c r="N1825" s="34"/>
      <c r="O1825" s="34"/>
      <c r="P1825" s="34"/>
      <c r="Q1825" s="34"/>
      <c r="R1825" s="34"/>
      <c r="S1825" s="34"/>
    </row>
    <row r="1826" spans="14:19">
      <c r="N1826" s="34"/>
      <c r="O1826" s="34"/>
      <c r="P1826" s="34"/>
      <c r="Q1826" s="34"/>
      <c r="R1826" s="34"/>
      <c r="S1826" s="34"/>
    </row>
    <row r="1827" spans="14:19">
      <c r="N1827" s="34"/>
      <c r="O1827" s="34"/>
      <c r="P1827" s="34"/>
      <c r="Q1827" s="34"/>
      <c r="R1827" s="34"/>
      <c r="S1827" s="34"/>
    </row>
    <row r="1828" spans="14:19">
      <c r="N1828" s="34"/>
      <c r="O1828" s="34"/>
      <c r="P1828" s="34"/>
      <c r="Q1828" s="34"/>
      <c r="R1828" s="34"/>
      <c r="S1828" s="34"/>
    </row>
    <row r="1829" spans="14:19">
      <c r="N1829" s="34"/>
      <c r="O1829" s="34"/>
      <c r="P1829" s="34"/>
      <c r="Q1829" s="34"/>
      <c r="R1829" s="34"/>
      <c r="S1829" s="34"/>
    </row>
    <row r="1830" spans="14:19">
      <c r="N1830" s="34"/>
      <c r="O1830" s="34"/>
      <c r="P1830" s="34"/>
      <c r="Q1830" s="34"/>
      <c r="R1830" s="34"/>
      <c r="S1830" s="34"/>
    </row>
    <row r="1831" spans="14:19">
      <c r="N1831" s="34"/>
      <c r="O1831" s="34"/>
      <c r="P1831" s="34"/>
      <c r="Q1831" s="34"/>
      <c r="R1831" s="34"/>
      <c r="S1831" s="34"/>
    </row>
    <row r="1832" spans="14:19">
      <c r="N1832" s="34"/>
      <c r="O1832" s="34"/>
      <c r="P1832" s="34"/>
      <c r="Q1832" s="34"/>
      <c r="R1832" s="34"/>
      <c r="S1832" s="34"/>
    </row>
    <row r="1833" spans="14:19">
      <c r="N1833" s="34"/>
      <c r="O1833" s="34"/>
      <c r="P1833" s="34"/>
      <c r="Q1833" s="34"/>
      <c r="R1833" s="34"/>
      <c r="S1833" s="34"/>
    </row>
    <row r="1834" spans="14:19">
      <c r="N1834" s="34"/>
      <c r="O1834" s="34"/>
      <c r="P1834" s="34"/>
      <c r="Q1834" s="34"/>
      <c r="R1834" s="34"/>
      <c r="S1834" s="34"/>
    </row>
    <row r="1835" spans="14:19">
      <c r="N1835" s="34"/>
      <c r="O1835" s="34"/>
      <c r="P1835" s="34"/>
      <c r="Q1835" s="34"/>
      <c r="R1835" s="34"/>
      <c r="S1835" s="34"/>
    </row>
    <row r="1836" spans="14:19">
      <c r="N1836" s="34"/>
      <c r="O1836" s="34"/>
      <c r="P1836" s="34"/>
      <c r="Q1836" s="34"/>
      <c r="R1836" s="34"/>
      <c r="S1836" s="34"/>
    </row>
    <row r="1837" spans="14:19">
      <c r="N1837" s="34"/>
      <c r="O1837" s="34"/>
      <c r="P1837" s="34"/>
      <c r="Q1837" s="34"/>
      <c r="R1837" s="34"/>
      <c r="S1837" s="34"/>
    </row>
    <row r="1838" spans="14:19">
      <c r="N1838" s="34"/>
      <c r="O1838" s="34"/>
      <c r="P1838" s="34"/>
      <c r="Q1838" s="34"/>
      <c r="R1838" s="34"/>
      <c r="S1838" s="34"/>
    </row>
    <row r="1839" spans="14:19">
      <c r="N1839" s="34"/>
      <c r="O1839" s="34"/>
      <c r="P1839" s="34"/>
      <c r="Q1839" s="34"/>
      <c r="R1839" s="34"/>
      <c r="S1839" s="34"/>
    </row>
    <row r="1840" spans="14:19">
      <c r="N1840" s="34"/>
      <c r="O1840" s="34"/>
      <c r="P1840" s="34"/>
      <c r="Q1840" s="34"/>
      <c r="R1840" s="34"/>
      <c r="S1840" s="34"/>
    </row>
    <row r="1841" spans="14:19">
      <c r="N1841" s="34"/>
      <c r="O1841" s="34"/>
      <c r="P1841" s="34"/>
      <c r="Q1841" s="34"/>
      <c r="R1841" s="34"/>
      <c r="S1841" s="34"/>
    </row>
    <row r="1842" spans="14:19">
      <c r="N1842" s="34"/>
      <c r="O1842" s="34"/>
      <c r="P1842" s="34"/>
      <c r="Q1842" s="34"/>
      <c r="R1842" s="34"/>
      <c r="S1842" s="34"/>
    </row>
    <row r="1843" spans="14:19">
      <c r="N1843" s="34"/>
      <c r="O1843" s="34"/>
      <c r="P1843" s="34"/>
      <c r="Q1843" s="34"/>
      <c r="R1843" s="34"/>
      <c r="S1843" s="34"/>
    </row>
    <row r="1844" spans="14:19">
      <c r="N1844" s="34"/>
      <c r="O1844" s="34"/>
      <c r="P1844" s="34"/>
      <c r="Q1844" s="34"/>
      <c r="R1844" s="34"/>
      <c r="S1844" s="34"/>
    </row>
    <row r="1845" spans="14:19">
      <c r="N1845" s="34"/>
      <c r="O1845" s="34"/>
      <c r="P1845" s="34"/>
      <c r="Q1845" s="34"/>
      <c r="R1845" s="34"/>
      <c r="S1845" s="34"/>
    </row>
    <row r="1846" spans="14:19">
      <c r="N1846" s="34"/>
      <c r="O1846" s="34"/>
      <c r="P1846" s="34"/>
      <c r="Q1846" s="34"/>
      <c r="R1846" s="34"/>
      <c r="S1846" s="34"/>
    </row>
    <row r="1847" spans="14:19">
      <c r="N1847" s="34"/>
      <c r="O1847" s="34"/>
      <c r="P1847" s="34"/>
      <c r="Q1847" s="34"/>
      <c r="R1847" s="34"/>
      <c r="S1847" s="34"/>
    </row>
    <row r="1848" spans="14:19">
      <c r="N1848" s="34"/>
      <c r="O1848" s="34"/>
      <c r="P1848" s="34"/>
      <c r="Q1848" s="34"/>
      <c r="R1848" s="34"/>
      <c r="S1848" s="34"/>
    </row>
    <row r="1849" spans="14:19">
      <c r="N1849" s="34"/>
      <c r="O1849" s="34"/>
      <c r="P1849" s="34"/>
      <c r="Q1849" s="34"/>
      <c r="R1849" s="34"/>
      <c r="S1849" s="34"/>
    </row>
    <row r="1850" spans="14:19">
      <c r="N1850" s="34"/>
      <c r="O1850" s="34"/>
      <c r="P1850" s="34"/>
      <c r="Q1850" s="34"/>
      <c r="R1850" s="34"/>
      <c r="S1850" s="34"/>
    </row>
    <row r="1851" spans="14:19">
      <c r="N1851" s="34"/>
      <c r="O1851" s="34"/>
      <c r="P1851" s="34"/>
      <c r="Q1851" s="34"/>
      <c r="R1851" s="34"/>
      <c r="S1851" s="34"/>
    </row>
    <row r="1852" spans="14:19">
      <c r="N1852" s="34"/>
      <c r="O1852" s="34"/>
      <c r="P1852" s="34"/>
      <c r="Q1852" s="34"/>
      <c r="R1852" s="34"/>
      <c r="S1852" s="34"/>
    </row>
    <row r="1853" spans="14:19">
      <c r="N1853" s="34"/>
      <c r="O1853" s="34"/>
      <c r="P1853" s="34"/>
      <c r="Q1853" s="34"/>
      <c r="R1853" s="34"/>
      <c r="S1853" s="34"/>
    </row>
    <row r="1854" spans="14:19">
      <c r="N1854" s="34"/>
      <c r="O1854" s="34"/>
      <c r="P1854" s="34"/>
      <c r="Q1854" s="34"/>
      <c r="R1854" s="34"/>
      <c r="S1854" s="34"/>
    </row>
    <row r="1855" spans="14:19">
      <c r="N1855" s="34"/>
      <c r="O1855" s="34"/>
      <c r="P1855" s="34"/>
      <c r="Q1855" s="34"/>
      <c r="R1855" s="34"/>
      <c r="S1855" s="34"/>
    </row>
    <row r="1856" spans="14:19">
      <c r="N1856" s="34"/>
      <c r="O1856" s="34"/>
      <c r="P1856" s="34"/>
      <c r="Q1856" s="34"/>
      <c r="R1856" s="34"/>
      <c r="S1856" s="34"/>
    </row>
    <row r="1857" spans="14:19">
      <c r="N1857" s="34"/>
      <c r="O1857" s="34"/>
      <c r="P1857" s="34"/>
      <c r="Q1857" s="34"/>
      <c r="R1857" s="34"/>
      <c r="S1857" s="34"/>
    </row>
    <row r="1858" spans="14:19">
      <c r="N1858" s="34"/>
      <c r="O1858" s="34"/>
      <c r="P1858" s="34"/>
      <c r="Q1858" s="34"/>
      <c r="R1858" s="34"/>
      <c r="S1858" s="34"/>
    </row>
    <row r="1859" spans="14:19">
      <c r="N1859" s="34"/>
      <c r="O1859" s="34"/>
      <c r="P1859" s="34"/>
      <c r="Q1859" s="34"/>
      <c r="R1859" s="34"/>
      <c r="S1859" s="34"/>
    </row>
    <row r="1860" spans="14:19">
      <c r="N1860" s="34"/>
      <c r="O1860" s="34"/>
      <c r="P1860" s="34"/>
      <c r="Q1860" s="34"/>
      <c r="R1860" s="34"/>
      <c r="S1860" s="34"/>
    </row>
    <row r="1861" spans="14:19">
      <c r="N1861" s="34"/>
      <c r="O1861" s="34"/>
      <c r="P1861" s="34"/>
      <c r="Q1861" s="34"/>
      <c r="R1861" s="34"/>
      <c r="S1861" s="34"/>
    </row>
    <row r="1862" spans="14:19">
      <c r="N1862" s="34"/>
      <c r="O1862" s="34"/>
      <c r="P1862" s="34"/>
      <c r="Q1862" s="34"/>
      <c r="R1862" s="34"/>
      <c r="S1862" s="34"/>
    </row>
    <row r="1863" spans="14:19">
      <c r="N1863" s="34"/>
      <c r="O1863" s="34"/>
      <c r="P1863" s="34"/>
      <c r="Q1863" s="34"/>
      <c r="R1863" s="34"/>
      <c r="S1863" s="34"/>
    </row>
    <row r="1864" spans="14:19">
      <c r="N1864" s="34"/>
      <c r="O1864" s="34"/>
      <c r="P1864" s="34"/>
      <c r="Q1864" s="34"/>
      <c r="R1864" s="34"/>
      <c r="S1864" s="34"/>
    </row>
    <row r="1865" spans="14:19">
      <c r="N1865" s="34"/>
      <c r="O1865" s="34"/>
      <c r="P1865" s="34"/>
      <c r="Q1865" s="34"/>
      <c r="R1865" s="34"/>
      <c r="S1865" s="34"/>
    </row>
    <row r="1866" spans="14:19">
      <c r="N1866" s="34"/>
      <c r="O1866" s="34"/>
      <c r="P1866" s="34"/>
      <c r="Q1866" s="34"/>
      <c r="R1866" s="34"/>
      <c r="S1866" s="34"/>
    </row>
    <row r="1867" spans="14:19">
      <c r="N1867" s="34"/>
      <c r="O1867" s="34"/>
      <c r="P1867" s="34"/>
      <c r="Q1867" s="34"/>
      <c r="R1867" s="34"/>
      <c r="S1867" s="34"/>
    </row>
    <row r="1868" spans="14:19">
      <c r="N1868" s="34"/>
      <c r="O1868" s="34"/>
      <c r="P1868" s="34"/>
      <c r="Q1868" s="34"/>
      <c r="R1868" s="34"/>
      <c r="S1868" s="34"/>
    </row>
    <row r="1869" spans="14:19">
      <c r="N1869" s="34"/>
      <c r="O1869" s="34"/>
      <c r="P1869" s="34"/>
      <c r="Q1869" s="34"/>
      <c r="R1869" s="34"/>
      <c r="S1869" s="34"/>
    </row>
    <row r="1870" spans="14:19">
      <c r="N1870" s="34"/>
      <c r="O1870" s="34"/>
      <c r="P1870" s="34"/>
      <c r="Q1870" s="34"/>
      <c r="R1870" s="34"/>
      <c r="S1870" s="34"/>
    </row>
    <row r="1871" spans="14:19">
      <c r="N1871" s="34"/>
      <c r="O1871" s="34"/>
      <c r="P1871" s="34"/>
      <c r="Q1871" s="34"/>
      <c r="R1871" s="34"/>
      <c r="S1871" s="34"/>
    </row>
    <row r="1872" spans="14:19">
      <c r="N1872" s="34"/>
      <c r="O1872" s="34"/>
      <c r="P1872" s="34"/>
      <c r="Q1872" s="34"/>
      <c r="R1872" s="34"/>
      <c r="S1872" s="34"/>
    </row>
    <row r="1873" spans="14:19">
      <c r="N1873" s="34"/>
      <c r="O1873" s="34"/>
      <c r="P1873" s="34"/>
      <c r="Q1873" s="34"/>
      <c r="R1873" s="34"/>
      <c r="S1873" s="34"/>
    </row>
    <row r="1874" spans="14:19">
      <c r="N1874" s="34"/>
      <c r="O1874" s="34"/>
      <c r="P1874" s="34"/>
      <c r="Q1874" s="34"/>
      <c r="R1874" s="34"/>
      <c r="S1874" s="34"/>
    </row>
    <row r="1875" spans="14:19">
      <c r="N1875" s="34"/>
      <c r="O1875" s="34"/>
      <c r="P1875" s="34"/>
      <c r="Q1875" s="34"/>
      <c r="R1875" s="34"/>
      <c r="S1875" s="34"/>
    </row>
    <row r="1876" spans="14:19">
      <c r="N1876" s="34"/>
      <c r="O1876" s="34"/>
      <c r="P1876" s="34"/>
      <c r="Q1876" s="34"/>
      <c r="R1876" s="34"/>
      <c r="S1876" s="34"/>
    </row>
    <row r="1877" spans="14:19">
      <c r="N1877" s="34"/>
      <c r="O1877" s="34"/>
      <c r="P1877" s="34"/>
      <c r="Q1877" s="34"/>
      <c r="R1877" s="34"/>
      <c r="S1877" s="34"/>
    </row>
    <row r="1878" spans="14:19">
      <c r="N1878" s="34"/>
      <c r="O1878" s="34"/>
      <c r="P1878" s="34"/>
      <c r="Q1878" s="34"/>
      <c r="R1878" s="34"/>
      <c r="S1878" s="34"/>
    </row>
    <row r="1879" spans="14:19">
      <c r="N1879" s="34"/>
      <c r="O1879" s="34"/>
      <c r="P1879" s="34"/>
      <c r="Q1879" s="34"/>
      <c r="R1879" s="34"/>
      <c r="S1879" s="34"/>
    </row>
    <row r="1880" spans="14:19">
      <c r="N1880" s="34"/>
      <c r="O1880" s="34"/>
      <c r="P1880" s="34"/>
      <c r="Q1880" s="34"/>
      <c r="R1880" s="34"/>
      <c r="S1880" s="34"/>
    </row>
    <row r="1881" spans="14:19">
      <c r="N1881" s="34"/>
      <c r="O1881" s="34"/>
      <c r="P1881" s="34"/>
      <c r="Q1881" s="34"/>
      <c r="R1881" s="34"/>
      <c r="S1881" s="34"/>
    </row>
    <row r="1882" spans="14:19">
      <c r="N1882" s="34"/>
      <c r="O1882" s="34"/>
      <c r="P1882" s="34"/>
      <c r="Q1882" s="34"/>
      <c r="R1882" s="34"/>
      <c r="S1882" s="34"/>
    </row>
    <row r="1883" spans="14:19">
      <c r="N1883" s="34"/>
      <c r="O1883" s="34"/>
      <c r="P1883" s="34"/>
      <c r="Q1883" s="34"/>
      <c r="R1883" s="34"/>
      <c r="S1883" s="34"/>
    </row>
    <row r="1884" spans="14:19">
      <c r="N1884" s="34"/>
      <c r="O1884" s="34"/>
      <c r="P1884" s="34"/>
      <c r="Q1884" s="34"/>
      <c r="R1884" s="34"/>
      <c r="S1884" s="34"/>
    </row>
    <row r="1885" spans="14:19">
      <c r="N1885" s="34"/>
      <c r="O1885" s="34"/>
      <c r="P1885" s="34"/>
      <c r="Q1885" s="34"/>
      <c r="R1885" s="34"/>
      <c r="S1885" s="34"/>
    </row>
    <row r="1886" spans="14:19">
      <c r="N1886" s="34"/>
      <c r="O1886" s="34"/>
      <c r="P1886" s="34"/>
      <c r="Q1886" s="34"/>
      <c r="R1886" s="34"/>
      <c r="S1886" s="34"/>
    </row>
    <row r="1887" spans="14:19">
      <c r="N1887" s="34"/>
      <c r="O1887" s="34"/>
      <c r="P1887" s="34"/>
      <c r="Q1887" s="34"/>
      <c r="R1887" s="34"/>
      <c r="S1887" s="34"/>
    </row>
    <row r="1888" spans="14:19">
      <c r="N1888" s="34"/>
      <c r="O1888" s="34"/>
      <c r="P1888" s="34"/>
      <c r="Q1888" s="34"/>
      <c r="R1888" s="34"/>
      <c r="S1888" s="34"/>
    </row>
    <row r="1889" spans="14:19">
      <c r="N1889" s="34"/>
      <c r="O1889" s="34"/>
      <c r="P1889" s="34"/>
      <c r="Q1889" s="34"/>
      <c r="R1889" s="34"/>
      <c r="S1889" s="34"/>
    </row>
    <row r="1890" spans="14:19">
      <c r="N1890" s="34"/>
      <c r="O1890" s="34"/>
      <c r="P1890" s="34"/>
      <c r="Q1890" s="34"/>
      <c r="R1890" s="34"/>
      <c r="S1890" s="34"/>
    </row>
    <row r="1891" spans="14:19">
      <c r="N1891" s="34"/>
      <c r="O1891" s="34"/>
      <c r="P1891" s="34"/>
      <c r="Q1891" s="34"/>
      <c r="R1891" s="34"/>
      <c r="S1891" s="34"/>
    </row>
    <row r="1892" spans="14:19">
      <c r="N1892" s="34"/>
      <c r="O1892" s="34"/>
      <c r="P1892" s="34"/>
      <c r="Q1892" s="34"/>
      <c r="R1892" s="34"/>
      <c r="S1892" s="34"/>
    </row>
    <row r="1893" spans="14:19">
      <c r="N1893" s="34"/>
      <c r="O1893" s="34"/>
      <c r="P1893" s="34"/>
      <c r="Q1893" s="34"/>
      <c r="R1893" s="34"/>
      <c r="S1893" s="34"/>
    </row>
    <row r="1894" spans="14:19">
      <c r="N1894" s="34"/>
      <c r="O1894" s="34"/>
      <c r="P1894" s="34"/>
      <c r="Q1894" s="34"/>
      <c r="R1894" s="34"/>
      <c r="S1894" s="34"/>
    </row>
    <row r="1895" spans="14:19">
      <c r="N1895" s="34"/>
      <c r="O1895" s="34"/>
      <c r="P1895" s="34"/>
      <c r="Q1895" s="34"/>
      <c r="R1895" s="34"/>
      <c r="S1895" s="34"/>
    </row>
    <row r="1896" spans="14:19">
      <c r="N1896" s="34"/>
      <c r="O1896" s="34"/>
      <c r="P1896" s="34"/>
      <c r="Q1896" s="34"/>
      <c r="R1896" s="34"/>
      <c r="S1896" s="34"/>
    </row>
    <row r="1897" spans="14:19">
      <c r="N1897" s="34"/>
      <c r="O1897" s="34"/>
      <c r="P1897" s="34"/>
      <c r="Q1897" s="34"/>
      <c r="R1897" s="34"/>
      <c r="S1897" s="34"/>
    </row>
    <row r="1898" spans="14:19">
      <c r="N1898" s="34"/>
      <c r="O1898" s="34"/>
      <c r="P1898" s="34"/>
      <c r="Q1898" s="34"/>
      <c r="R1898" s="34"/>
      <c r="S1898" s="34"/>
    </row>
    <row r="1899" spans="14:19">
      <c r="N1899" s="34"/>
      <c r="O1899" s="34"/>
      <c r="P1899" s="34"/>
      <c r="Q1899" s="34"/>
      <c r="R1899" s="34"/>
      <c r="S1899" s="34"/>
    </row>
    <row r="1900" spans="14:19">
      <c r="N1900" s="34"/>
      <c r="O1900" s="34"/>
      <c r="P1900" s="34"/>
      <c r="Q1900" s="34"/>
      <c r="R1900" s="34"/>
      <c r="S1900" s="34"/>
    </row>
    <row r="1901" spans="14:19">
      <c r="N1901" s="34"/>
      <c r="O1901" s="34"/>
      <c r="P1901" s="34"/>
      <c r="Q1901" s="34"/>
      <c r="R1901" s="34"/>
      <c r="S1901" s="34"/>
    </row>
    <row r="1902" spans="14:19">
      <c r="N1902" s="34"/>
      <c r="O1902" s="34"/>
      <c r="P1902" s="34"/>
      <c r="Q1902" s="34"/>
      <c r="R1902" s="34"/>
      <c r="S1902" s="34"/>
    </row>
    <row r="1903" spans="14:19">
      <c r="N1903" s="34"/>
      <c r="O1903" s="34"/>
      <c r="P1903" s="34"/>
      <c r="Q1903" s="34"/>
      <c r="R1903" s="34"/>
      <c r="S1903" s="34"/>
    </row>
    <row r="1904" spans="14:19">
      <c r="N1904" s="34"/>
      <c r="O1904" s="34"/>
      <c r="P1904" s="34"/>
      <c r="Q1904" s="34"/>
      <c r="R1904" s="34"/>
      <c r="S1904" s="34"/>
    </row>
    <row r="1905" spans="14:19">
      <c r="N1905" s="34"/>
      <c r="O1905" s="34"/>
      <c r="P1905" s="34"/>
      <c r="Q1905" s="34"/>
      <c r="R1905" s="34"/>
      <c r="S1905" s="34"/>
    </row>
    <row r="1906" spans="14:19">
      <c r="N1906" s="34"/>
      <c r="O1906" s="34"/>
      <c r="P1906" s="34"/>
      <c r="Q1906" s="34"/>
      <c r="R1906" s="34"/>
      <c r="S1906" s="34"/>
    </row>
    <row r="1907" spans="14:19">
      <c r="N1907" s="34"/>
      <c r="O1907" s="34"/>
      <c r="P1907" s="34"/>
      <c r="Q1907" s="34"/>
      <c r="R1907" s="34"/>
      <c r="S1907" s="34"/>
    </row>
    <row r="1908" spans="14:19">
      <c r="N1908" s="34"/>
      <c r="O1908" s="34"/>
      <c r="P1908" s="34"/>
      <c r="Q1908" s="34"/>
      <c r="R1908" s="34"/>
      <c r="S1908" s="34"/>
    </row>
    <row r="1909" spans="14:19">
      <c r="N1909" s="34"/>
      <c r="O1909" s="34"/>
      <c r="P1909" s="34"/>
      <c r="Q1909" s="34"/>
      <c r="R1909" s="34"/>
      <c r="S1909" s="34"/>
    </row>
    <row r="1910" spans="14:19">
      <c r="N1910" s="34"/>
      <c r="O1910" s="34"/>
      <c r="P1910" s="34"/>
      <c r="Q1910" s="34"/>
      <c r="R1910" s="34"/>
      <c r="S1910" s="34"/>
    </row>
    <row r="1911" spans="14:19">
      <c r="N1911" s="34"/>
      <c r="O1911" s="34"/>
      <c r="P1911" s="34"/>
      <c r="Q1911" s="34"/>
      <c r="R1911" s="34"/>
      <c r="S1911" s="34"/>
    </row>
    <row r="1912" spans="14:19">
      <c r="N1912" s="34"/>
      <c r="O1912" s="34"/>
      <c r="P1912" s="34"/>
      <c r="Q1912" s="34"/>
      <c r="R1912" s="34"/>
      <c r="S1912" s="34"/>
    </row>
    <row r="1913" spans="14:19">
      <c r="N1913" s="34"/>
      <c r="O1913" s="34"/>
      <c r="P1913" s="34"/>
      <c r="Q1913" s="34"/>
      <c r="R1913" s="34"/>
      <c r="S1913" s="34"/>
    </row>
    <row r="1914" spans="14:19">
      <c r="N1914" s="34"/>
      <c r="O1914" s="34"/>
      <c r="P1914" s="34"/>
      <c r="Q1914" s="34"/>
      <c r="R1914" s="34"/>
      <c r="S1914" s="34"/>
    </row>
    <row r="1915" spans="14:19">
      <c r="N1915" s="34"/>
      <c r="O1915" s="34"/>
      <c r="P1915" s="34"/>
      <c r="Q1915" s="34"/>
      <c r="R1915" s="34"/>
      <c r="S1915" s="34"/>
    </row>
    <row r="1916" spans="14:19">
      <c r="N1916" s="34"/>
      <c r="O1916" s="34"/>
      <c r="P1916" s="34"/>
      <c r="Q1916" s="34"/>
      <c r="R1916" s="34"/>
      <c r="S1916" s="34"/>
    </row>
    <row r="1917" spans="14:19">
      <c r="N1917" s="34"/>
      <c r="O1917" s="34"/>
      <c r="P1917" s="34"/>
      <c r="Q1917" s="34"/>
      <c r="R1917" s="34"/>
      <c r="S1917" s="34"/>
    </row>
    <row r="1918" spans="14:19">
      <c r="N1918" s="34"/>
      <c r="O1918" s="34"/>
      <c r="P1918" s="34"/>
      <c r="Q1918" s="34"/>
      <c r="R1918" s="34"/>
      <c r="S1918" s="34"/>
    </row>
    <row r="1919" spans="14:19">
      <c r="N1919" s="34"/>
      <c r="O1919" s="34"/>
      <c r="P1919" s="34"/>
      <c r="Q1919" s="34"/>
      <c r="R1919" s="34"/>
      <c r="S1919" s="34"/>
    </row>
    <row r="1920" spans="14:19">
      <c r="N1920" s="34"/>
      <c r="O1920" s="34"/>
      <c r="P1920" s="34"/>
      <c r="Q1920" s="34"/>
      <c r="R1920" s="34"/>
      <c r="S1920" s="34"/>
    </row>
    <row r="1921" spans="14:19">
      <c r="N1921" s="34"/>
      <c r="O1921" s="34"/>
      <c r="P1921" s="34"/>
      <c r="Q1921" s="34"/>
      <c r="R1921" s="34"/>
      <c r="S1921" s="34"/>
    </row>
    <row r="1922" spans="14:19">
      <c r="N1922" s="34"/>
      <c r="O1922" s="34"/>
      <c r="P1922" s="34"/>
      <c r="Q1922" s="34"/>
      <c r="R1922" s="34"/>
      <c r="S1922" s="34"/>
    </row>
    <row r="1923" spans="14:19">
      <c r="N1923" s="34"/>
      <c r="O1923" s="34"/>
      <c r="P1923" s="34"/>
      <c r="Q1923" s="34"/>
      <c r="R1923" s="34"/>
      <c r="S1923" s="34"/>
    </row>
    <row r="1924" spans="14:19">
      <c r="N1924" s="34"/>
      <c r="O1924" s="34"/>
      <c r="P1924" s="34"/>
      <c r="Q1924" s="34"/>
      <c r="R1924" s="34"/>
      <c r="S1924" s="34"/>
    </row>
    <row r="1925" spans="14:19">
      <c r="N1925" s="34"/>
      <c r="O1925" s="34"/>
      <c r="P1925" s="34"/>
      <c r="Q1925" s="34"/>
      <c r="R1925" s="34"/>
      <c r="S1925" s="34"/>
    </row>
    <row r="1926" spans="14:19">
      <c r="N1926" s="34"/>
      <c r="O1926" s="34"/>
      <c r="P1926" s="34"/>
      <c r="Q1926" s="34"/>
      <c r="R1926" s="34"/>
      <c r="S1926" s="34"/>
    </row>
    <row r="1927" spans="14:19">
      <c r="N1927" s="34"/>
      <c r="O1927" s="34"/>
      <c r="P1927" s="34"/>
      <c r="Q1927" s="34"/>
      <c r="R1927" s="34"/>
      <c r="S1927" s="34"/>
    </row>
    <row r="1928" spans="14:19">
      <c r="N1928" s="34"/>
      <c r="O1928" s="34"/>
      <c r="P1928" s="34"/>
      <c r="Q1928" s="34"/>
      <c r="R1928" s="34"/>
      <c r="S1928" s="34"/>
    </row>
    <row r="1929" spans="14:19">
      <c r="N1929" s="34"/>
      <c r="O1929" s="34"/>
      <c r="P1929" s="34"/>
      <c r="Q1929" s="34"/>
      <c r="R1929" s="34"/>
      <c r="S1929" s="34"/>
    </row>
    <row r="1930" spans="14:19">
      <c r="N1930" s="34"/>
      <c r="O1930" s="34"/>
      <c r="P1930" s="34"/>
      <c r="Q1930" s="34"/>
      <c r="R1930" s="34"/>
      <c r="S1930" s="34"/>
    </row>
    <row r="1931" spans="14:19">
      <c r="N1931" s="34"/>
      <c r="O1931" s="34"/>
      <c r="P1931" s="34"/>
      <c r="Q1931" s="34"/>
      <c r="R1931" s="34"/>
      <c r="S1931" s="34"/>
    </row>
    <row r="1932" spans="14:19">
      <c r="N1932" s="34"/>
      <c r="O1932" s="34"/>
      <c r="P1932" s="34"/>
      <c r="Q1932" s="34"/>
      <c r="R1932" s="34"/>
      <c r="S1932" s="34"/>
    </row>
    <row r="1933" spans="14:19">
      <c r="N1933" s="34"/>
      <c r="O1933" s="34"/>
      <c r="P1933" s="34"/>
      <c r="Q1933" s="34"/>
      <c r="R1933" s="34"/>
      <c r="S1933" s="34"/>
    </row>
    <row r="1934" spans="14:19">
      <c r="N1934" s="34"/>
      <c r="O1934" s="34"/>
      <c r="P1934" s="34"/>
      <c r="Q1934" s="34"/>
      <c r="R1934" s="34"/>
      <c r="S1934" s="34"/>
    </row>
    <row r="1935" spans="14:19">
      <c r="N1935" s="34"/>
      <c r="O1935" s="34"/>
      <c r="P1935" s="34"/>
      <c r="Q1935" s="34"/>
      <c r="R1935" s="34"/>
      <c r="S1935" s="34"/>
    </row>
    <row r="1936" spans="14:19">
      <c r="N1936" s="34"/>
      <c r="O1936" s="34"/>
      <c r="P1936" s="34"/>
      <c r="Q1936" s="34"/>
      <c r="R1936" s="34"/>
      <c r="S1936" s="34"/>
    </row>
    <row r="1937" spans="14:19">
      <c r="N1937" s="34"/>
      <c r="O1937" s="34"/>
      <c r="P1937" s="34"/>
      <c r="Q1937" s="34"/>
      <c r="R1937" s="34"/>
      <c r="S1937" s="34"/>
    </row>
    <row r="1938" spans="14:19">
      <c r="N1938" s="34"/>
      <c r="O1938" s="34"/>
      <c r="P1938" s="34"/>
      <c r="Q1938" s="34"/>
      <c r="R1938" s="34"/>
      <c r="S1938" s="34"/>
    </row>
    <row r="1939" spans="14:19">
      <c r="N1939" s="34"/>
      <c r="O1939" s="34"/>
      <c r="P1939" s="34"/>
      <c r="Q1939" s="34"/>
      <c r="R1939" s="34"/>
      <c r="S1939" s="34"/>
    </row>
    <row r="1940" spans="14:19">
      <c r="N1940" s="34"/>
      <c r="O1940" s="34"/>
      <c r="P1940" s="34"/>
      <c r="Q1940" s="34"/>
      <c r="R1940" s="34"/>
      <c r="S1940" s="34"/>
    </row>
    <row r="1941" spans="14:19">
      <c r="N1941" s="34"/>
      <c r="O1941" s="34"/>
      <c r="P1941" s="34"/>
      <c r="Q1941" s="34"/>
      <c r="R1941" s="34"/>
      <c r="S1941" s="34"/>
    </row>
    <row r="1942" spans="14:19">
      <c r="N1942" s="34"/>
      <c r="O1942" s="34"/>
      <c r="P1942" s="34"/>
      <c r="Q1942" s="34"/>
      <c r="R1942" s="34"/>
      <c r="S1942" s="34"/>
    </row>
    <row r="1943" spans="14:19">
      <c r="N1943" s="34"/>
      <c r="O1943" s="34"/>
      <c r="P1943" s="34"/>
      <c r="Q1943" s="34"/>
      <c r="R1943" s="34"/>
      <c r="S1943" s="34"/>
    </row>
    <row r="1944" spans="14:19">
      <c r="N1944" s="34"/>
      <c r="O1944" s="34"/>
      <c r="P1944" s="34"/>
      <c r="Q1944" s="34"/>
      <c r="R1944" s="34"/>
      <c r="S1944" s="34"/>
    </row>
    <row r="1945" spans="14:19">
      <c r="N1945" s="34"/>
      <c r="O1945" s="34"/>
      <c r="P1945" s="34"/>
      <c r="Q1945" s="34"/>
      <c r="R1945" s="34"/>
      <c r="S1945" s="34"/>
    </row>
    <row r="1946" spans="14:19">
      <c r="N1946" s="34"/>
      <c r="O1946" s="34"/>
      <c r="P1946" s="34"/>
      <c r="Q1946" s="34"/>
      <c r="R1946" s="34"/>
      <c r="S1946" s="34"/>
    </row>
    <row r="1947" spans="14:19">
      <c r="N1947" s="34"/>
      <c r="O1947" s="34"/>
      <c r="P1947" s="34"/>
      <c r="Q1947" s="34"/>
      <c r="R1947" s="34"/>
      <c r="S1947" s="34"/>
    </row>
    <row r="1948" spans="14:19">
      <c r="N1948" s="34"/>
      <c r="O1948" s="34"/>
      <c r="P1948" s="34"/>
      <c r="Q1948" s="34"/>
      <c r="R1948" s="34"/>
      <c r="S1948" s="34"/>
    </row>
    <row r="1949" spans="14:19">
      <c r="N1949" s="34"/>
      <c r="O1949" s="34"/>
      <c r="P1949" s="34"/>
      <c r="Q1949" s="34"/>
      <c r="R1949" s="34"/>
      <c r="S1949" s="34"/>
    </row>
    <row r="1950" spans="14:19">
      <c r="N1950" s="34"/>
      <c r="O1950" s="34"/>
      <c r="P1950" s="34"/>
      <c r="Q1950" s="34"/>
      <c r="R1950" s="34"/>
      <c r="S1950" s="34"/>
    </row>
    <row r="1951" spans="14:19">
      <c r="N1951" s="34"/>
      <c r="O1951" s="34"/>
      <c r="P1951" s="34"/>
      <c r="Q1951" s="34"/>
      <c r="R1951" s="34"/>
      <c r="S1951" s="34"/>
    </row>
    <row r="1952" spans="14:19">
      <c r="N1952" s="34"/>
      <c r="O1952" s="34"/>
      <c r="P1952" s="34"/>
      <c r="Q1952" s="34"/>
      <c r="R1952" s="34"/>
      <c r="S1952" s="34"/>
    </row>
    <row r="1953" spans="14:19">
      <c r="N1953" s="34"/>
      <c r="O1953" s="34"/>
      <c r="P1953" s="34"/>
      <c r="Q1953" s="34"/>
      <c r="R1953" s="34"/>
      <c r="S1953" s="34"/>
    </row>
    <row r="1954" spans="14:19">
      <c r="N1954" s="34"/>
      <c r="O1954" s="34"/>
      <c r="P1954" s="34"/>
      <c r="Q1954" s="34"/>
      <c r="R1954" s="34"/>
      <c r="S1954" s="34"/>
    </row>
    <row r="1955" spans="14:19">
      <c r="N1955" s="34"/>
      <c r="O1955" s="34"/>
      <c r="P1955" s="34"/>
      <c r="Q1955" s="34"/>
      <c r="R1955" s="34"/>
      <c r="S1955" s="34"/>
    </row>
    <row r="1956" spans="14:19">
      <c r="N1956" s="34"/>
      <c r="O1956" s="34"/>
      <c r="P1956" s="34"/>
      <c r="Q1956" s="34"/>
      <c r="R1956" s="34"/>
      <c r="S1956" s="34"/>
    </row>
    <row r="1957" spans="14:19">
      <c r="N1957" s="34"/>
      <c r="O1957" s="34"/>
      <c r="P1957" s="34"/>
      <c r="Q1957" s="34"/>
      <c r="R1957" s="34"/>
      <c r="S1957" s="34"/>
    </row>
    <row r="1958" spans="14:19">
      <c r="N1958" s="34"/>
      <c r="O1958" s="34"/>
      <c r="P1958" s="34"/>
      <c r="Q1958" s="34"/>
      <c r="R1958" s="34"/>
      <c r="S1958" s="34"/>
    </row>
    <row r="1959" spans="14:19">
      <c r="N1959" s="34"/>
      <c r="O1959" s="34"/>
      <c r="P1959" s="34"/>
      <c r="Q1959" s="34"/>
      <c r="R1959" s="34"/>
      <c r="S1959" s="34"/>
    </row>
    <row r="1960" spans="14:19">
      <c r="N1960" s="34"/>
      <c r="O1960" s="34"/>
      <c r="P1960" s="34"/>
      <c r="Q1960" s="34"/>
      <c r="R1960" s="34"/>
      <c r="S1960" s="34"/>
    </row>
    <row r="1961" spans="14:19">
      <c r="N1961" s="34"/>
      <c r="O1961" s="34"/>
      <c r="P1961" s="34"/>
      <c r="Q1961" s="34"/>
      <c r="R1961" s="34"/>
      <c r="S1961" s="34"/>
    </row>
    <row r="1962" spans="14:19">
      <c r="N1962" s="34"/>
      <c r="O1962" s="34"/>
      <c r="P1962" s="34"/>
      <c r="Q1962" s="34"/>
      <c r="R1962" s="34"/>
      <c r="S1962" s="34"/>
    </row>
    <row r="1963" spans="14:19">
      <c r="N1963" s="34"/>
      <c r="O1963" s="34"/>
      <c r="P1963" s="34"/>
      <c r="Q1963" s="34"/>
      <c r="R1963" s="34"/>
      <c r="S1963" s="34"/>
    </row>
    <row r="1964" spans="14:19">
      <c r="N1964" s="34"/>
      <c r="O1964" s="34"/>
      <c r="P1964" s="34"/>
      <c r="Q1964" s="34"/>
      <c r="R1964" s="34"/>
      <c r="S1964" s="34"/>
    </row>
    <row r="1965" spans="14:19">
      <c r="N1965" s="34"/>
      <c r="O1965" s="34"/>
      <c r="P1965" s="34"/>
      <c r="Q1965" s="34"/>
      <c r="R1965" s="34"/>
      <c r="S1965" s="34"/>
    </row>
    <row r="1966" spans="14:19">
      <c r="N1966" s="34"/>
      <c r="O1966" s="34"/>
      <c r="P1966" s="34"/>
      <c r="Q1966" s="34"/>
      <c r="R1966" s="34"/>
      <c r="S1966" s="34"/>
    </row>
    <row r="1967" spans="14:19">
      <c r="N1967" s="34"/>
      <c r="O1967" s="34"/>
      <c r="P1967" s="34"/>
      <c r="Q1967" s="34"/>
      <c r="R1967" s="34"/>
      <c r="S1967" s="34"/>
    </row>
    <row r="1968" spans="14:19">
      <c r="N1968" s="34"/>
      <c r="O1968" s="34"/>
      <c r="P1968" s="34"/>
      <c r="Q1968" s="34"/>
      <c r="R1968" s="34"/>
      <c r="S1968" s="34"/>
    </row>
    <row r="1969" spans="14:19">
      <c r="N1969" s="34"/>
      <c r="O1969" s="34"/>
      <c r="P1969" s="34"/>
      <c r="Q1969" s="34"/>
      <c r="R1969" s="34"/>
      <c r="S1969" s="34"/>
    </row>
    <row r="1970" spans="14:19">
      <c r="N1970" s="34"/>
      <c r="O1970" s="34"/>
      <c r="P1970" s="34"/>
      <c r="Q1970" s="34"/>
      <c r="R1970" s="34"/>
      <c r="S1970" s="34"/>
    </row>
    <row r="1971" spans="14:19">
      <c r="N1971" s="34"/>
      <c r="O1971" s="34"/>
      <c r="P1971" s="34"/>
      <c r="Q1971" s="34"/>
      <c r="R1971" s="34"/>
      <c r="S1971" s="34"/>
    </row>
    <row r="1972" spans="14:19">
      <c r="N1972" s="34"/>
      <c r="O1972" s="34"/>
      <c r="P1972" s="34"/>
      <c r="Q1972" s="34"/>
      <c r="R1972" s="34"/>
      <c r="S1972" s="34"/>
    </row>
    <row r="1973" spans="14:19">
      <c r="N1973" s="34"/>
      <c r="O1973" s="34"/>
      <c r="P1973" s="34"/>
      <c r="Q1973" s="34"/>
      <c r="R1973" s="34"/>
      <c r="S1973" s="34"/>
    </row>
    <row r="1974" spans="14:19">
      <c r="N1974" s="34"/>
      <c r="O1974" s="34"/>
      <c r="P1974" s="34"/>
      <c r="Q1974" s="34"/>
      <c r="R1974" s="34"/>
      <c r="S1974" s="34"/>
    </row>
    <row r="1975" spans="14:19">
      <c r="N1975" s="34"/>
      <c r="O1975" s="34"/>
      <c r="P1975" s="34"/>
      <c r="Q1975" s="34"/>
      <c r="R1975" s="34"/>
      <c r="S1975" s="34"/>
    </row>
    <row r="1976" spans="14:19">
      <c r="N1976" s="34"/>
      <c r="O1976" s="34"/>
      <c r="P1976" s="34"/>
      <c r="Q1976" s="34"/>
      <c r="R1976" s="34"/>
      <c r="S1976" s="34"/>
    </row>
    <row r="1977" spans="14:19">
      <c r="N1977" s="34"/>
      <c r="O1977" s="34"/>
      <c r="P1977" s="34"/>
      <c r="Q1977" s="34"/>
      <c r="R1977" s="34"/>
      <c r="S1977" s="34"/>
    </row>
    <row r="1978" spans="14:19">
      <c r="N1978" s="34"/>
      <c r="O1978" s="34"/>
      <c r="P1978" s="34"/>
      <c r="Q1978" s="34"/>
      <c r="R1978" s="34"/>
      <c r="S1978" s="34"/>
    </row>
    <row r="1979" spans="14:19">
      <c r="N1979" s="34"/>
      <c r="O1979" s="34"/>
      <c r="P1979" s="34"/>
      <c r="Q1979" s="34"/>
      <c r="R1979" s="34"/>
      <c r="S1979" s="34"/>
    </row>
    <row r="1980" spans="14:19">
      <c r="N1980" s="34"/>
      <c r="O1980" s="34"/>
      <c r="P1980" s="34"/>
      <c r="Q1980" s="34"/>
      <c r="R1980" s="34"/>
      <c r="S1980" s="34"/>
    </row>
    <row r="1981" spans="14:19">
      <c r="N1981" s="34"/>
      <c r="O1981" s="34"/>
      <c r="P1981" s="34"/>
      <c r="Q1981" s="34"/>
      <c r="R1981" s="34"/>
      <c r="S1981" s="34"/>
    </row>
    <row r="1982" spans="14:19">
      <c r="N1982" s="34"/>
      <c r="O1982" s="34"/>
      <c r="P1982" s="34"/>
      <c r="Q1982" s="34"/>
      <c r="R1982" s="34"/>
      <c r="S1982" s="34"/>
    </row>
    <row r="1983" spans="14:19">
      <c r="N1983" s="34"/>
      <c r="O1983" s="34"/>
      <c r="P1983" s="34"/>
      <c r="Q1983" s="34"/>
      <c r="R1983" s="34"/>
      <c r="S1983" s="34"/>
    </row>
    <row r="1984" spans="14:19">
      <c r="N1984" s="34"/>
      <c r="O1984" s="34"/>
      <c r="P1984" s="34"/>
      <c r="Q1984" s="34"/>
      <c r="R1984" s="34"/>
      <c r="S1984" s="34"/>
    </row>
    <row r="1985" spans="14:19">
      <c r="N1985" s="34"/>
      <c r="O1985" s="34"/>
      <c r="P1985" s="34"/>
      <c r="Q1985" s="34"/>
      <c r="R1985" s="34"/>
      <c r="S1985" s="34"/>
    </row>
    <row r="1986" spans="14:19">
      <c r="N1986" s="34"/>
      <c r="O1986" s="34"/>
      <c r="P1986" s="34"/>
      <c r="Q1986" s="34"/>
      <c r="R1986" s="34"/>
      <c r="S1986" s="34"/>
    </row>
    <row r="1987" spans="14:19">
      <c r="N1987" s="34"/>
      <c r="O1987" s="34"/>
      <c r="P1987" s="34"/>
      <c r="Q1987" s="34"/>
      <c r="R1987" s="34"/>
      <c r="S1987" s="34"/>
    </row>
    <row r="1988" spans="14:19">
      <c r="N1988" s="34"/>
      <c r="O1988" s="34"/>
      <c r="P1988" s="34"/>
      <c r="Q1988" s="34"/>
      <c r="R1988" s="34"/>
      <c r="S1988" s="34"/>
    </row>
    <row r="1989" spans="14:19">
      <c r="N1989" s="34"/>
      <c r="O1989" s="34"/>
      <c r="P1989" s="34"/>
      <c r="Q1989" s="34"/>
      <c r="R1989" s="34"/>
      <c r="S1989" s="34"/>
    </row>
    <row r="1990" spans="14:19">
      <c r="N1990" s="34"/>
      <c r="O1990" s="34"/>
      <c r="P1990" s="34"/>
      <c r="Q1990" s="34"/>
      <c r="R1990" s="34"/>
      <c r="S1990" s="34"/>
    </row>
    <row r="1991" spans="14:19">
      <c r="N1991" s="34"/>
      <c r="O1991" s="34"/>
      <c r="P1991" s="34"/>
      <c r="Q1991" s="34"/>
      <c r="R1991" s="34"/>
      <c r="S1991" s="34"/>
    </row>
    <row r="1992" spans="14:19">
      <c r="N1992" s="34"/>
      <c r="O1992" s="34"/>
      <c r="P1992" s="34"/>
      <c r="Q1992" s="34"/>
      <c r="R1992" s="34"/>
      <c r="S1992" s="34"/>
    </row>
    <row r="1993" spans="14:19">
      <c r="N1993" s="34"/>
      <c r="O1993" s="34"/>
      <c r="P1993" s="34"/>
      <c r="Q1993" s="34"/>
      <c r="R1993" s="34"/>
      <c r="S1993" s="34"/>
    </row>
    <row r="1994" spans="14:19">
      <c r="N1994" s="34"/>
      <c r="O1994" s="34"/>
      <c r="P1994" s="34"/>
      <c r="Q1994" s="34"/>
      <c r="R1994" s="34"/>
      <c r="S1994" s="34"/>
    </row>
    <row r="1995" spans="14:19">
      <c r="N1995" s="34"/>
      <c r="O1995" s="34"/>
      <c r="P1995" s="34"/>
      <c r="Q1995" s="34"/>
      <c r="R1995" s="34"/>
      <c r="S1995" s="34"/>
    </row>
    <row r="1996" spans="14:19">
      <c r="N1996" s="34"/>
      <c r="O1996" s="34"/>
      <c r="P1996" s="34"/>
      <c r="Q1996" s="34"/>
      <c r="R1996" s="34"/>
      <c r="S1996" s="34"/>
    </row>
    <row r="1997" spans="14:19">
      <c r="N1997" s="34"/>
      <c r="O1997" s="34"/>
      <c r="P1997" s="34"/>
      <c r="Q1997" s="34"/>
      <c r="R1997" s="34"/>
      <c r="S1997" s="34"/>
    </row>
    <row r="1998" spans="14:19">
      <c r="N1998" s="34"/>
      <c r="O1998" s="34"/>
      <c r="P1998" s="34"/>
      <c r="Q1998" s="34"/>
      <c r="R1998" s="34"/>
      <c r="S1998" s="34"/>
    </row>
    <row r="1999" spans="14:19">
      <c r="N1999" s="34"/>
      <c r="O1999" s="34"/>
      <c r="P1999" s="34"/>
      <c r="Q1999" s="34"/>
      <c r="R1999" s="34"/>
      <c r="S1999" s="34"/>
    </row>
    <row r="2000" spans="14:19">
      <c r="N2000" s="34"/>
      <c r="O2000" s="34"/>
      <c r="P2000" s="34"/>
      <c r="Q2000" s="34"/>
      <c r="R2000" s="34"/>
      <c r="S2000" s="34"/>
    </row>
    <row r="2001" spans="14:19">
      <c r="N2001" s="34"/>
      <c r="O2001" s="34"/>
      <c r="P2001" s="34"/>
      <c r="Q2001" s="34"/>
      <c r="R2001" s="34"/>
      <c r="S2001" s="34"/>
    </row>
    <row r="2002" spans="14:19">
      <c r="N2002" s="34"/>
      <c r="O2002" s="34"/>
      <c r="P2002" s="34"/>
      <c r="Q2002" s="34"/>
      <c r="R2002" s="34"/>
      <c r="S2002" s="34"/>
    </row>
    <row r="2003" spans="14:19">
      <c r="N2003" s="34"/>
      <c r="O2003" s="34"/>
      <c r="P2003" s="34"/>
      <c r="Q2003" s="34"/>
      <c r="R2003" s="34"/>
      <c r="S2003" s="34"/>
    </row>
    <row r="2004" spans="14:19">
      <c r="N2004" s="34"/>
      <c r="O2004" s="34"/>
      <c r="P2004" s="34"/>
      <c r="Q2004" s="34"/>
      <c r="R2004" s="34"/>
      <c r="S2004" s="34"/>
    </row>
    <row r="2005" spans="14:19">
      <c r="N2005" s="34"/>
      <c r="O2005" s="34"/>
      <c r="P2005" s="34"/>
      <c r="Q2005" s="34"/>
      <c r="R2005" s="34"/>
      <c r="S2005" s="34"/>
    </row>
    <row r="2006" spans="14:19">
      <c r="N2006" s="34"/>
      <c r="O2006" s="34"/>
      <c r="P2006" s="34"/>
      <c r="Q2006" s="34"/>
      <c r="R2006" s="34"/>
      <c r="S2006" s="34"/>
    </row>
    <row r="2007" spans="14:19">
      <c r="N2007" s="34"/>
      <c r="O2007" s="34"/>
      <c r="P2007" s="34"/>
      <c r="Q2007" s="34"/>
      <c r="R2007" s="34"/>
      <c r="S2007" s="34"/>
    </row>
    <row r="2008" spans="14:19">
      <c r="N2008" s="34"/>
      <c r="O2008" s="34"/>
      <c r="P2008" s="34"/>
      <c r="Q2008" s="34"/>
      <c r="R2008" s="34"/>
      <c r="S2008" s="34"/>
    </row>
    <row r="2009" spans="14:19">
      <c r="N2009" s="34"/>
      <c r="O2009" s="34"/>
      <c r="P2009" s="34"/>
      <c r="Q2009" s="34"/>
      <c r="R2009" s="34"/>
      <c r="S2009" s="34"/>
    </row>
    <row r="2010" spans="14:19">
      <c r="N2010" s="34"/>
      <c r="O2010" s="34"/>
      <c r="P2010" s="34"/>
      <c r="Q2010" s="34"/>
      <c r="R2010" s="34"/>
      <c r="S2010" s="34"/>
    </row>
    <row r="2011" spans="14:19">
      <c r="N2011" s="34"/>
      <c r="O2011" s="34"/>
      <c r="P2011" s="34"/>
      <c r="Q2011" s="34"/>
      <c r="R2011" s="34"/>
      <c r="S2011" s="34"/>
    </row>
    <row r="2012" spans="14:19">
      <c r="N2012" s="34"/>
      <c r="O2012" s="34"/>
      <c r="P2012" s="34"/>
      <c r="Q2012" s="34"/>
      <c r="R2012" s="34"/>
      <c r="S2012" s="34"/>
    </row>
    <row r="2013" spans="14:19">
      <c r="N2013" s="34"/>
      <c r="O2013" s="34"/>
      <c r="P2013" s="34"/>
      <c r="Q2013" s="34"/>
      <c r="R2013" s="34"/>
      <c r="S2013" s="34"/>
    </row>
    <row r="2014" spans="14:19">
      <c r="N2014" s="34"/>
      <c r="O2014" s="34"/>
      <c r="P2014" s="34"/>
      <c r="Q2014" s="34"/>
      <c r="R2014" s="34"/>
      <c r="S2014" s="34"/>
    </row>
    <row r="2015" spans="14:19">
      <c r="N2015" s="34"/>
      <c r="O2015" s="34"/>
      <c r="P2015" s="34"/>
      <c r="Q2015" s="34"/>
      <c r="R2015" s="34"/>
      <c r="S2015" s="34"/>
    </row>
    <row r="2016" spans="14:19">
      <c r="N2016" s="34"/>
      <c r="O2016" s="34"/>
      <c r="P2016" s="34"/>
      <c r="Q2016" s="34"/>
      <c r="R2016" s="34"/>
      <c r="S2016" s="34"/>
    </row>
    <row r="2017" spans="14:19">
      <c r="N2017" s="34"/>
      <c r="O2017" s="34"/>
      <c r="P2017" s="34"/>
      <c r="Q2017" s="34"/>
      <c r="R2017" s="34"/>
      <c r="S2017" s="34"/>
    </row>
    <row r="2018" spans="14:19">
      <c r="N2018" s="34"/>
      <c r="O2018" s="34"/>
      <c r="P2018" s="34"/>
      <c r="Q2018" s="34"/>
      <c r="R2018" s="34"/>
      <c r="S2018" s="34"/>
    </row>
    <row r="2019" spans="14:19">
      <c r="N2019" s="34"/>
      <c r="O2019" s="34"/>
      <c r="P2019" s="34"/>
      <c r="Q2019" s="34"/>
      <c r="R2019" s="34"/>
      <c r="S2019" s="34"/>
    </row>
    <row r="2020" spans="14:19">
      <c r="N2020" s="34"/>
      <c r="O2020" s="34"/>
      <c r="P2020" s="34"/>
      <c r="Q2020" s="34"/>
      <c r="R2020" s="34"/>
      <c r="S2020" s="34"/>
    </row>
    <row r="2021" spans="14:19">
      <c r="N2021" s="34"/>
      <c r="O2021" s="34"/>
      <c r="P2021" s="34"/>
      <c r="Q2021" s="34"/>
      <c r="R2021" s="34"/>
      <c r="S2021" s="34"/>
    </row>
    <row r="2022" spans="14:19">
      <c r="N2022" s="34"/>
      <c r="O2022" s="34"/>
      <c r="P2022" s="34"/>
      <c r="Q2022" s="34"/>
      <c r="R2022" s="34"/>
      <c r="S2022" s="34"/>
    </row>
    <row r="2023" spans="14:19">
      <c r="N2023" s="34"/>
      <c r="O2023" s="34"/>
      <c r="P2023" s="34"/>
      <c r="Q2023" s="34"/>
      <c r="R2023" s="34"/>
      <c r="S2023" s="34"/>
    </row>
    <row r="2024" spans="14:19">
      <c r="N2024" s="34"/>
      <c r="O2024" s="34"/>
      <c r="P2024" s="34"/>
      <c r="Q2024" s="34"/>
      <c r="R2024" s="34"/>
      <c r="S2024" s="34"/>
    </row>
    <row r="2025" spans="14:19">
      <c r="N2025" s="34"/>
      <c r="O2025" s="34"/>
      <c r="P2025" s="34"/>
      <c r="Q2025" s="34"/>
      <c r="R2025" s="34"/>
      <c r="S2025" s="34"/>
    </row>
    <row r="2026" spans="14:19">
      <c r="N2026" s="34"/>
      <c r="O2026" s="34"/>
      <c r="P2026" s="34"/>
      <c r="Q2026" s="34"/>
      <c r="R2026" s="34"/>
      <c r="S2026" s="34"/>
    </row>
    <row r="2027" spans="14:19">
      <c r="N2027" s="34"/>
      <c r="O2027" s="34"/>
      <c r="P2027" s="34"/>
      <c r="Q2027" s="34"/>
      <c r="R2027" s="34"/>
      <c r="S2027" s="34"/>
    </row>
    <row r="2028" spans="14:19">
      <c r="N2028" s="34"/>
      <c r="O2028" s="34"/>
      <c r="P2028" s="34"/>
      <c r="Q2028" s="34"/>
      <c r="R2028" s="34"/>
      <c r="S2028" s="34"/>
    </row>
    <row r="2029" spans="14:19">
      <c r="N2029" s="34"/>
      <c r="O2029" s="34"/>
      <c r="P2029" s="34"/>
      <c r="Q2029" s="34"/>
      <c r="R2029" s="34"/>
      <c r="S2029" s="34"/>
    </row>
    <row r="2030" spans="14:19">
      <c r="N2030" s="34"/>
      <c r="O2030" s="34"/>
      <c r="P2030" s="34"/>
      <c r="Q2030" s="34"/>
      <c r="R2030" s="34"/>
      <c r="S2030" s="34"/>
    </row>
    <row r="2031" spans="14:19">
      <c r="N2031" s="34"/>
      <c r="O2031" s="34"/>
      <c r="P2031" s="34"/>
      <c r="Q2031" s="34"/>
      <c r="R2031" s="34"/>
      <c r="S2031" s="34"/>
    </row>
    <row r="2032" spans="14:19">
      <c r="N2032" s="34"/>
      <c r="O2032" s="34"/>
      <c r="P2032" s="34"/>
      <c r="Q2032" s="34"/>
      <c r="R2032" s="34"/>
      <c r="S2032" s="34"/>
    </row>
    <row r="2033" spans="14:19">
      <c r="N2033" s="34"/>
      <c r="O2033" s="34"/>
      <c r="P2033" s="34"/>
      <c r="Q2033" s="34"/>
      <c r="R2033" s="34"/>
      <c r="S2033" s="34"/>
    </row>
    <row r="2034" spans="14:19">
      <c r="N2034" s="34"/>
      <c r="O2034" s="34"/>
      <c r="P2034" s="34"/>
      <c r="Q2034" s="34"/>
      <c r="R2034" s="34"/>
      <c r="S2034" s="34"/>
    </row>
    <row r="2035" spans="14:19">
      <c r="N2035" s="34"/>
      <c r="O2035" s="34"/>
      <c r="P2035" s="34"/>
      <c r="Q2035" s="34"/>
      <c r="R2035" s="34"/>
      <c r="S2035" s="34"/>
    </row>
    <row r="2036" spans="14:19">
      <c r="N2036" s="34"/>
      <c r="O2036" s="34"/>
      <c r="P2036" s="34"/>
      <c r="Q2036" s="34"/>
      <c r="R2036" s="34"/>
      <c r="S2036" s="34"/>
    </row>
    <row r="2037" spans="14:19">
      <c r="N2037" s="34"/>
      <c r="O2037" s="34"/>
      <c r="P2037" s="34"/>
      <c r="Q2037" s="34"/>
      <c r="R2037" s="34"/>
      <c r="S2037" s="34"/>
    </row>
    <row r="2038" spans="14:19">
      <c r="N2038" s="34"/>
      <c r="O2038" s="34"/>
      <c r="P2038" s="34"/>
      <c r="Q2038" s="34"/>
      <c r="R2038" s="34"/>
      <c r="S2038" s="34"/>
    </row>
    <row r="2039" spans="14:19">
      <c r="N2039" s="34"/>
      <c r="O2039" s="34"/>
      <c r="P2039" s="34"/>
      <c r="Q2039" s="34"/>
      <c r="R2039" s="34"/>
      <c r="S2039" s="34"/>
    </row>
    <row r="2040" spans="14:19">
      <c r="N2040" s="34"/>
      <c r="O2040" s="34"/>
      <c r="P2040" s="34"/>
      <c r="Q2040" s="34"/>
      <c r="R2040" s="34"/>
      <c r="S2040" s="34"/>
    </row>
    <row r="2041" spans="14:19">
      <c r="N2041" s="34"/>
      <c r="O2041" s="34"/>
      <c r="P2041" s="34"/>
      <c r="Q2041" s="34"/>
      <c r="R2041" s="34"/>
      <c r="S2041" s="34"/>
    </row>
    <row r="2042" spans="14:19">
      <c r="N2042" s="34"/>
      <c r="O2042" s="34"/>
      <c r="P2042" s="34"/>
      <c r="Q2042" s="34"/>
      <c r="R2042" s="34"/>
      <c r="S2042" s="34"/>
    </row>
    <row r="2043" spans="14:19">
      <c r="N2043" s="34"/>
      <c r="O2043" s="34"/>
      <c r="P2043" s="34"/>
      <c r="Q2043" s="34"/>
      <c r="R2043" s="34"/>
      <c r="S2043" s="34"/>
    </row>
    <row r="2044" spans="14:19">
      <c r="N2044" s="34"/>
      <c r="O2044" s="34"/>
      <c r="P2044" s="34"/>
      <c r="Q2044" s="34"/>
      <c r="R2044" s="34"/>
      <c r="S2044" s="34"/>
    </row>
    <row r="2045" spans="14:19">
      <c r="N2045" s="34"/>
      <c r="O2045" s="34"/>
      <c r="P2045" s="34"/>
      <c r="Q2045" s="34"/>
      <c r="R2045" s="34"/>
      <c r="S2045" s="34"/>
    </row>
    <row r="2046" spans="14:19">
      <c r="N2046" s="34"/>
      <c r="O2046" s="34"/>
      <c r="P2046" s="34"/>
      <c r="Q2046" s="34"/>
      <c r="R2046" s="34"/>
      <c r="S2046" s="34"/>
    </row>
    <row r="2047" spans="14:19">
      <c r="N2047" s="34"/>
      <c r="O2047" s="34"/>
      <c r="P2047" s="34"/>
      <c r="Q2047" s="34"/>
      <c r="R2047" s="34"/>
      <c r="S2047" s="34"/>
    </row>
    <row r="2048" spans="14:19">
      <c r="N2048" s="34"/>
      <c r="O2048" s="34"/>
      <c r="P2048" s="34"/>
      <c r="Q2048" s="34"/>
      <c r="R2048" s="34"/>
      <c r="S2048" s="34"/>
    </row>
    <row r="2049" spans="14:19">
      <c r="N2049" s="34"/>
      <c r="O2049" s="34"/>
      <c r="P2049" s="34"/>
      <c r="Q2049" s="34"/>
      <c r="R2049" s="34"/>
      <c r="S2049" s="34"/>
    </row>
    <row r="2050" spans="14:19">
      <c r="N2050" s="34"/>
      <c r="O2050" s="34"/>
      <c r="P2050" s="34"/>
      <c r="Q2050" s="34"/>
      <c r="R2050" s="34"/>
      <c r="S2050" s="34"/>
    </row>
    <row r="2051" spans="14:19">
      <c r="N2051" s="34"/>
      <c r="O2051" s="34"/>
      <c r="P2051" s="34"/>
      <c r="Q2051" s="34"/>
      <c r="R2051" s="34"/>
      <c r="S2051" s="34"/>
    </row>
    <row r="2052" spans="14:19">
      <c r="N2052" s="34"/>
      <c r="O2052" s="34"/>
      <c r="P2052" s="34"/>
      <c r="Q2052" s="34"/>
      <c r="R2052" s="34"/>
      <c r="S2052" s="34"/>
    </row>
    <row r="2053" spans="14:19">
      <c r="N2053" s="34"/>
      <c r="O2053" s="34"/>
      <c r="P2053" s="34"/>
      <c r="Q2053" s="34"/>
      <c r="R2053" s="34"/>
      <c r="S2053" s="34"/>
    </row>
    <row r="2054" spans="14:19">
      <c r="N2054" s="34"/>
      <c r="O2054" s="34"/>
      <c r="P2054" s="34"/>
      <c r="Q2054" s="34"/>
      <c r="R2054" s="34"/>
      <c r="S2054" s="34"/>
    </row>
    <row r="2055" spans="14:19">
      <c r="N2055" s="34"/>
      <c r="O2055" s="34"/>
      <c r="P2055" s="34"/>
      <c r="Q2055" s="34"/>
      <c r="R2055" s="34"/>
      <c r="S2055" s="34"/>
    </row>
    <row r="2056" spans="14:19">
      <c r="N2056" s="34"/>
      <c r="O2056" s="34"/>
      <c r="P2056" s="34"/>
      <c r="Q2056" s="34"/>
      <c r="R2056" s="34"/>
      <c r="S2056" s="34"/>
    </row>
    <row r="2057" spans="14:19">
      <c r="N2057" s="34"/>
      <c r="O2057" s="34"/>
      <c r="P2057" s="34"/>
      <c r="Q2057" s="34"/>
      <c r="R2057" s="34"/>
      <c r="S2057" s="34"/>
    </row>
    <row r="2058" spans="14:19">
      <c r="N2058" s="34"/>
      <c r="O2058" s="34"/>
      <c r="P2058" s="34"/>
      <c r="Q2058" s="34"/>
      <c r="R2058" s="34"/>
      <c r="S2058" s="34"/>
    </row>
    <row r="2059" spans="14:19">
      <c r="N2059" s="34"/>
      <c r="O2059" s="34"/>
      <c r="P2059" s="34"/>
      <c r="Q2059" s="34"/>
      <c r="R2059" s="34"/>
      <c r="S2059" s="34"/>
    </row>
    <row r="2060" spans="14:19">
      <c r="N2060" s="34"/>
      <c r="O2060" s="34"/>
      <c r="P2060" s="34"/>
      <c r="Q2060" s="34"/>
      <c r="R2060" s="34"/>
      <c r="S2060" s="34"/>
    </row>
    <row r="2061" spans="14:19">
      <c r="N2061" s="34"/>
      <c r="O2061" s="34"/>
      <c r="P2061" s="34"/>
      <c r="Q2061" s="34"/>
      <c r="R2061" s="34"/>
      <c r="S2061" s="34"/>
    </row>
    <row r="2062" spans="14:19">
      <c r="N2062" s="34"/>
      <c r="O2062" s="34"/>
      <c r="P2062" s="34"/>
      <c r="Q2062" s="34"/>
      <c r="R2062" s="34"/>
      <c r="S2062" s="34"/>
    </row>
    <row r="2063" spans="14:19">
      <c r="N2063" s="34"/>
      <c r="O2063" s="34"/>
      <c r="P2063" s="34"/>
      <c r="Q2063" s="34"/>
      <c r="R2063" s="34"/>
      <c r="S2063" s="34"/>
    </row>
    <row r="2064" spans="14:19">
      <c r="N2064" s="34"/>
      <c r="O2064" s="34"/>
      <c r="P2064" s="34"/>
      <c r="Q2064" s="34"/>
      <c r="R2064" s="34"/>
      <c r="S2064" s="34"/>
    </row>
    <row r="2065" spans="14:19">
      <c r="N2065" s="34"/>
      <c r="O2065" s="34"/>
      <c r="P2065" s="34"/>
      <c r="Q2065" s="34"/>
      <c r="R2065" s="34"/>
      <c r="S2065" s="34"/>
    </row>
    <row r="2066" spans="14:19">
      <c r="N2066" s="34"/>
      <c r="O2066" s="34"/>
      <c r="P2066" s="34"/>
      <c r="Q2066" s="34"/>
      <c r="R2066" s="34"/>
      <c r="S2066" s="34"/>
    </row>
    <row r="2067" spans="14:19">
      <c r="N2067" s="34"/>
      <c r="O2067" s="34"/>
      <c r="P2067" s="34"/>
      <c r="Q2067" s="34"/>
      <c r="R2067" s="34"/>
      <c r="S2067" s="34"/>
    </row>
    <row r="2068" spans="14:19">
      <c r="N2068" s="34"/>
      <c r="O2068" s="34"/>
      <c r="P2068" s="34"/>
      <c r="Q2068" s="34"/>
      <c r="R2068" s="34"/>
      <c r="S2068" s="34"/>
    </row>
    <row r="2069" spans="14:19">
      <c r="N2069" s="34"/>
      <c r="O2069" s="34"/>
      <c r="P2069" s="34"/>
      <c r="Q2069" s="34"/>
      <c r="R2069" s="34"/>
      <c r="S2069" s="34"/>
    </row>
    <row r="2070" spans="14:19">
      <c r="N2070" s="34"/>
      <c r="O2070" s="34"/>
      <c r="P2070" s="34"/>
      <c r="Q2070" s="34"/>
      <c r="R2070" s="34"/>
      <c r="S2070" s="34"/>
    </row>
    <row r="2071" spans="14:19">
      <c r="N2071" s="34"/>
      <c r="O2071" s="34"/>
      <c r="P2071" s="34"/>
      <c r="Q2071" s="34"/>
      <c r="R2071" s="34"/>
      <c r="S2071" s="34"/>
    </row>
    <row r="2072" spans="14:19">
      <c r="N2072" s="34"/>
      <c r="O2072" s="34"/>
      <c r="P2072" s="34"/>
      <c r="Q2072" s="34"/>
      <c r="R2072" s="34"/>
      <c r="S2072" s="34"/>
    </row>
    <row r="2073" spans="14:19">
      <c r="N2073" s="34"/>
      <c r="O2073" s="34"/>
      <c r="P2073" s="34"/>
      <c r="Q2073" s="34"/>
      <c r="R2073" s="34"/>
      <c r="S2073" s="34"/>
    </row>
    <row r="2074" spans="14:19">
      <c r="N2074" s="34"/>
      <c r="O2074" s="34"/>
      <c r="P2074" s="34"/>
      <c r="Q2074" s="34"/>
      <c r="R2074" s="34"/>
      <c r="S2074" s="34"/>
    </row>
    <row r="2075" spans="14:19">
      <c r="N2075" s="34"/>
      <c r="O2075" s="34"/>
      <c r="P2075" s="34"/>
      <c r="Q2075" s="34"/>
      <c r="R2075" s="34"/>
      <c r="S2075" s="34"/>
    </row>
    <row r="2076" spans="14:19">
      <c r="N2076" s="34"/>
      <c r="O2076" s="34"/>
      <c r="P2076" s="34"/>
      <c r="Q2076" s="34"/>
      <c r="R2076" s="34"/>
      <c r="S2076" s="34"/>
    </row>
    <row r="2077" spans="14:19">
      <c r="N2077" s="34"/>
      <c r="O2077" s="34"/>
      <c r="P2077" s="34"/>
      <c r="Q2077" s="34"/>
      <c r="R2077" s="34"/>
      <c r="S2077" s="34"/>
    </row>
    <row r="2078" spans="14:19">
      <c r="N2078" s="34"/>
      <c r="O2078" s="34"/>
      <c r="P2078" s="34"/>
      <c r="Q2078" s="34"/>
      <c r="R2078" s="34"/>
      <c r="S2078" s="34"/>
    </row>
    <row r="2079" spans="14:19">
      <c r="N2079" s="34"/>
      <c r="O2079" s="34"/>
      <c r="P2079" s="34"/>
      <c r="Q2079" s="34"/>
      <c r="R2079" s="34"/>
      <c r="S2079" s="34"/>
    </row>
    <row r="2080" spans="14:19">
      <c r="N2080" s="34"/>
      <c r="O2080" s="34"/>
      <c r="P2080" s="34"/>
      <c r="Q2080" s="34"/>
      <c r="R2080" s="34"/>
      <c r="S2080" s="34"/>
    </row>
    <row r="2081" spans="14:19">
      <c r="N2081" s="34"/>
      <c r="O2081" s="34"/>
      <c r="P2081" s="34"/>
      <c r="Q2081" s="34"/>
      <c r="R2081" s="34"/>
      <c r="S2081" s="34"/>
    </row>
    <row r="2082" spans="14:19">
      <c r="N2082" s="34"/>
      <c r="O2082" s="34"/>
      <c r="P2082" s="34"/>
      <c r="Q2082" s="34"/>
      <c r="R2082" s="34"/>
      <c r="S2082" s="34"/>
    </row>
    <row r="2083" spans="14:19">
      <c r="N2083" s="34"/>
      <c r="O2083" s="34"/>
      <c r="P2083" s="34"/>
      <c r="Q2083" s="34"/>
      <c r="R2083" s="34"/>
      <c r="S2083" s="34"/>
    </row>
    <row r="2084" spans="14:19">
      <c r="N2084" s="34"/>
      <c r="O2084" s="34"/>
      <c r="P2084" s="34"/>
      <c r="Q2084" s="34"/>
      <c r="R2084" s="34"/>
      <c r="S2084" s="34"/>
    </row>
    <row r="2085" spans="14:19">
      <c r="N2085" s="34"/>
      <c r="O2085" s="34"/>
      <c r="P2085" s="34"/>
      <c r="Q2085" s="34"/>
      <c r="R2085" s="34"/>
      <c r="S2085" s="34"/>
    </row>
    <row r="2086" spans="14:19">
      <c r="N2086" s="34"/>
      <c r="O2086" s="34"/>
      <c r="P2086" s="34"/>
      <c r="Q2086" s="34"/>
      <c r="R2086" s="34"/>
      <c r="S2086" s="34"/>
    </row>
    <row r="2087" spans="14:19">
      <c r="N2087" s="34"/>
      <c r="O2087" s="34"/>
      <c r="P2087" s="34"/>
      <c r="Q2087" s="34"/>
      <c r="R2087" s="34"/>
      <c r="S2087" s="34"/>
    </row>
    <row r="2088" spans="14:19">
      <c r="N2088" s="34"/>
      <c r="O2088" s="34"/>
      <c r="P2088" s="34"/>
      <c r="Q2088" s="34"/>
      <c r="R2088" s="34"/>
      <c r="S2088" s="34"/>
    </row>
    <row r="2089" spans="14:19">
      <c r="N2089" s="34"/>
      <c r="O2089" s="34"/>
      <c r="P2089" s="34"/>
      <c r="Q2089" s="34"/>
      <c r="R2089" s="34"/>
      <c r="S2089" s="34"/>
    </row>
    <row r="2090" spans="14:19">
      <c r="N2090" s="34"/>
      <c r="O2090" s="34"/>
      <c r="P2090" s="34"/>
      <c r="Q2090" s="34"/>
      <c r="R2090" s="34"/>
      <c r="S2090" s="34"/>
    </row>
    <row r="2091" spans="14:19">
      <c r="N2091" s="34"/>
      <c r="O2091" s="34"/>
      <c r="P2091" s="34"/>
      <c r="Q2091" s="34"/>
      <c r="R2091" s="34"/>
      <c r="S2091" s="34"/>
    </row>
    <row r="2092" spans="14:19">
      <c r="N2092" s="34"/>
      <c r="O2092" s="34"/>
      <c r="P2092" s="34"/>
      <c r="Q2092" s="34"/>
      <c r="R2092" s="34"/>
      <c r="S2092" s="34"/>
    </row>
    <row r="2093" spans="14:19">
      <c r="N2093" s="34"/>
      <c r="O2093" s="34"/>
      <c r="P2093" s="34"/>
      <c r="Q2093" s="34"/>
      <c r="R2093" s="34"/>
      <c r="S2093" s="34"/>
    </row>
    <row r="2094" spans="14:19">
      <c r="N2094" s="34"/>
      <c r="O2094" s="34"/>
      <c r="P2094" s="34"/>
      <c r="Q2094" s="34"/>
      <c r="R2094" s="34"/>
      <c r="S2094" s="34"/>
    </row>
    <row r="2095" spans="14:19">
      <c r="N2095" s="34"/>
      <c r="O2095" s="34"/>
      <c r="P2095" s="34"/>
      <c r="Q2095" s="34"/>
      <c r="R2095" s="34"/>
      <c r="S2095" s="34"/>
    </row>
    <row r="2096" spans="14:19">
      <c r="N2096" s="34"/>
      <c r="O2096" s="34"/>
      <c r="P2096" s="34"/>
      <c r="Q2096" s="34"/>
      <c r="R2096" s="34"/>
      <c r="S2096" s="34"/>
    </row>
    <row r="2097" spans="14:19">
      <c r="N2097" s="34"/>
      <c r="O2097" s="34"/>
      <c r="P2097" s="34"/>
      <c r="Q2097" s="34"/>
      <c r="R2097" s="34"/>
      <c r="S2097" s="34"/>
    </row>
    <row r="2098" spans="14:19">
      <c r="N2098" s="34"/>
      <c r="O2098" s="34"/>
      <c r="P2098" s="34"/>
      <c r="Q2098" s="34"/>
      <c r="R2098" s="34"/>
      <c r="S2098" s="34"/>
    </row>
    <row r="2099" spans="14:19">
      <c r="N2099" s="34"/>
      <c r="O2099" s="34"/>
      <c r="P2099" s="34"/>
      <c r="Q2099" s="34"/>
      <c r="R2099" s="34"/>
      <c r="S2099" s="34"/>
    </row>
    <row r="2100" spans="14:19">
      <c r="N2100" s="34"/>
      <c r="O2100" s="34"/>
      <c r="P2100" s="34"/>
      <c r="Q2100" s="34"/>
      <c r="R2100" s="34"/>
      <c r="S2100" s="34"/>
    </row>
    <row r="2101" spans="14:19">
      <c r="N2101" s="34"/>
      <c r="O2101" s="34"/>
      <c r="P2101" s="34"/>
      <c r="Q2101" s="34"/>
      <c r="R2101" s="34"/>
      <c r="S2101" s="34"/>
    </row>
    <row r="2102" spans="14:19">
      <c r="N2102" s="34"/>
      <c r="O2102" s="34"/>
      <c r="P2102" s="34"/>
      <c r="Q2102" s="34"/>
      <c r="R2102" s="34"/>
      <c r="S2102" s="34"/>
    </row>
    <row r="2103" spans="14:19">
      <c r="N2103" s="34"/>
      <c r="O2103" s="34"/>
      <c r="P2103" s="34"/>
      <c r="Q2103" s="34"/>
      <c r="R2103" s="34"/>
      <c r="S2103" s="34"/>
    </row>
    <row r="2104" spans="14:19">
      <c r="N2104" s="34"/>
      <c r="O2104" s="34"/>
      <c r="P2104" s="34"/>
      <c r="Q2104" s="34"/>
      <c r="R2104" s="34"/>
      <c r="S2104" s="34"/>
    </row>
    <row r="2105" spans="14:19">
      <c r="N2105" s="34"/>
      <c r="O2105" s="34"/>
      <c r="P2105" s="34"/>
      <c r="Q2105" s="34"/>
      <c r="R2105" s="34"/>
      <c r="S2105" s="34"/>
    </row>
    <row r="2106" spans="14:19">
      <c r="N2106" s="34"/>
      <c r="O2106" s="34"/>
      <c r="P2106" s="34"/>
      <c r="Q2106" s="34"/>
      <c r="R2106" s="34"/>
      <c r="S2106" s="34"/>
    </row>
    <row r="2107" spans="14:19">
      <c r="N2107" s="34"/>
      <c r="O2107" s="34"/>
      <c r="P2107" s="34"/>
      <c r="Q2107" s="34"/>
      <c r="R2107" s="34"/>
      <c r="S2107" s="34"/>
    </row>
    <row r="2108" spans="14:19">
      <c r="N2108" s="34"/>
      <c r="O2108" s="34"/>
      <c r="P2108" s="34"/>
      <c r="Q2108" s="34"/>
      <c r="R2108" s="34"/>
      <c r="S2108" s="34"/>
    </row>
    <row r="2109" spans="14:19">
      <c r="N2109" s="34"/>
      <c r="O2109" s="34"/>
      <c r="P2109" s="34"/>
      <c r="Q2109" s="34"/>
      <c r="R2109" s="34"/>
      <c r="S2109" s="34"/>
    </row>
    <row r="2110" spans="14:19">
      <c r="N2110" s="34"/>
      <c r="O2110" s="34"/>
      <c r="P2110" s="34"/>
      <c r="Q2110" s="34"/>
      <c r="R2110" s="34"/>
      <c r="S2110" s="34"/>
    </row>
    <row r="2111" spans="14:19">
      <c r="N2111" s="34"/>
      <c r="O2111" s="34"/>
      <c r="P2111" s="34"/>
      <c r="Q2111" s="34"/>
      <c r="R2111" s="34"/>
      <c r="S2111" s="34"/>
    </row>
    <row r="2112" spans="14:19">
      <c r="N2112" s="34"/>
      <c r="O2112" s="34"/>
      <c r="P2112" s="34"/>
      <c r="Q2112" s="34"/>
      <c r="R2112" s="34"/>
      <c r="S2112" s="34"/>
    </row>
    <row r="2113" spans="14:19">
      <c r="N2113" s="34"/>
      <c r="O2113" s="34"/>
      <c r="P2113" s="34"/>
      <c r="Q2113" s="34"/>
      <c r="R2113" s="34"/>
      <c r="S2113" s="34"/>
    </row>
    <row r="2114" spans="14:19">
      <c r="N2114" s="34"/>
      <c r="O2114" s="34"/>
      <c r="P2114" s="34"/>
      <c r="Q2114" s="34"/>
      <c r="R2114" s="34"/>
      <c r="S2114" s="34"/>
    </row>
    <row r="2115" spans="14:19">
      <c r="N2115" s="34"/>
      <c r="O2115" s="34"/>
      <c r="P2115" s="34"/>
      <c r="Q2115" s="34"/>
      <c r="R2115" s="34"/>
      <c r="S2115" s="34"/>
    </row>
    <row r="2116" spans="14:19">
      <c r="N2116" s="34"/>
      <c r="O2116" s="34"/>
      <c r="P2116" s="34"/>
      <c r="Q2116" s="34"/>
      <c r="R2116" s="34"/>
      <c r="S2116" s="34"/>
    </row>
    <row r="2117" spans="14:19">
      <c r="N2117" s="34"/>
      <c r="O2117" s="34"/>
      <c r="P2117" s="34"/>
      <c r="Q2117" s="34"/>
      <c r="R2117" s="34"/>
      <c r="S2117" s="34"/>
    </row>
    <row r="2118" spans="14:19">
      <c r="N2118" s="34"/>
      <c r="O2118" s="34"/>
      <c r="P2118" s="34"/>
      <c r="Q2118" s="34"/>
      <c r="R2118" s="34"/>
      <c r="S2118" s="34"/>
    </row>
    <row r="2119" spans="14:19">
      <c r="N2119" s="34"/>
      <c r="O2119" s="34"/>
      <c r="P2119" s="34"/>
      <c r="Q2119" s="34"/>
      <c r="R2119" s="34"/>
      <c r="S2119" s="34"/>
    </row>
    <row r="2120" spans="14:19">
      <c r="N2120" s="34"/>
      <c r="O2120" s="34"/>
      <c r="P2120" s="34"/>
      <c r="Q2120" s="34"/>
      <c r="R2120" s="34"/>
      <c r="S2120" s="34"/>
    </row>
    <row r="2121" spans="14:19">
      <c r="N2121" s="34"/>
      <c r="O2121" s="34"/>
      <c r="P2121" s="34"/>
      <c r="Q2121" s="34"/>
      <c r="R2121" s="34"/>
      <c r="S2121" s="34"/>
    </row>
    <row r="2122" spans="14:19">
      <c r="N2122" s="34"/>
      <c r="O2122" s="34"/>
      <c r="P2122" s="34"/>
      <c r="Q2122" s="34"/>
      <c r="R2122" s="34"/>
      <c r="S2122" s="34"/>
    </row>
    <row r="2123" spans="14:19">
      <c r="N2123" s="34"/>
      <c r="O2123" s="34"/>
      <c r="P2123" s="34"/>
      <c r="Q2123" s="34"/>
      <c r="R2123" s="34"/>
      <c r="S2123" s="34"/>
    </row>
    <row r="2124" spans="14:19">
      <c r="N2124" s="34"/>
      <c r="O2124" s="34"/>
      <c r="P2124" s="34"/>
      <c r="Q2124" s="34"/>
      <c r="R2124" s="34"/>
      <c r="S2124" s="34"/>
    </row>
    <row r="2125" spans="14:19">
      <c r="N2125" s="34"/>
      <c r="O2125" s="34"/>
      <c r="P2125" s="34"/>
      <c r="Q2125" s="34"/>
      <c r="R2125" s="34"/>
      <c r="S2125" s="34"/>
    </row>
    <row r="2126" spans="14:19">
      <c r="N2126" s="34"/>
      <c r="O2126" s="34"/>
      <c r="P2126" s="34"/>
      <c r="Q2126" s="34"/>
      <c r="R2126" s="34"/>
      <c r="S2126" s="34"/>
    </row>
    <row r="2127" spans="14:19">
      <c r="N2127" s="34"/>
      <c r="O2127" s="34"/>
      <c r="P2127" s="34"/>
      <c r="Q2127" s="34"/>
      <c r="R2127" s="34"/>
      <c r="S2127" s="34"/>
    </row>
    <row r="2128" spans="14:19">
      <c r="N2128" s="34"/>
      <c r="O2128" s="34"/>
      <c r="P2128" s="34"/>
      <c r="Q2128" s="34"/>
      <c r="R2128" s="34"/>
      <c r="S2128" s="34"/>
    </row>
    <row r="2129" spans="14:19">
      <c r="N2129" s="34"/>
      <c r="O2129" s="34"/>
      <c r="P2129" s="34"/>
      <c r="Q2129" s="34"/>
      <c r="R2129" s="34"/>
      <c r="S2129" s="34"/>
    </row>
    <row r="2130" spans="14:19">
      <c r="N2130" s="34"/>
      <c r="O2130" s="34"/>
      <c r="P2130" s="34"/>
      <c r="Q2130" s="34"/>
      <c r="R2130" s="34"/>
      <c r="S2130" s="34"/>
    </row>
    <row r="2131" spans="14:19">
      <c r="N2131" s="34"/>
      <c r="O2131" s="34"/>
      <c r="P2131" s="34"/>
      <c r="Q2131" s="34"/>
      <c r="R2131" s="34"/>
      <c r="S2131" s="34"/>
    </row>
    <row r="2132" spans="14:19">
      <c r="N2132" s="34"/>
      <c r="O2132" s="34"/>
      <c r="P2132" s="34"/>
      <c r="Q2132" s="34"/>
      <c r="R2132" s="34"/>
      <c r="S2132" s="34"/>
    </row>
    <row r="2133" spans="14:19">
      <c r="N2133" s="34"/>
      <c r="O2133" s="34"/>
      <c r="P2133" s="34"/>
      <c r="Q2133" s="34"/>
      <c r="R2133" s="34"/>
      <c r="S2133" s="34"/>
    </row>
    <row r="2134" spans="14:19">
      <c r="N2134" s="34"/>
      <c r="O2134" s="34"/>
      <c r="P2134" s="34"/>
      <c r="Q2134" s="34"/>
      <c r="R2134" s="34"/>
      <c r="S2134" s="34"/>
    </row>
    <row r="2135" spans="14:19">
      <c r="N2135" s="34"/>
      <c r="O2135" s="34"/>
      <c r="P2135" s="34"/>
      <c r="Q2135" s="34"/>
      <c r="R2135" s="34"/>
      <c r="S2135" s="34"/>
    </row>
    <row r="2136" spans="14:19">
      <c r="N2136" s="34"/>
      <c r="O2136" s="34"/>
      <c r="P2136" s="34"/>
      <c r="Q2136" s="34"/>
      <c r="R2136" s="34"/>
      <c r="S2136" s="34"/>
    </row>
    <row r="2137" spans="14:19">
      <c r="N2137" s="34"/>
      <c r="O2137" s="34"/>
      <c r="P2137" s="34"/>
      <c r="Q2137" s="34"/>
      <c r="R2137" s="34"/>
      <c r="S2137" s="34"/>
    </row>
    <row r="2138" spans="14:19">
      <c r="N2138" s="34"/>
      <c r="O2138" s="34"/>
      <c r="P2138" s="34"/>
      <c r="Q2138" s="34"/>
      <c r="R2138" s="34"/>
      <c r="S2138" s="34"/>
    </row>
    <row r="2139" spans="14:19">
      <c r="N2139" s="34"/>
      <c r="O2139" s="34"/>
      <c r="P2139" s="34"/>
      <c r="Q2139" s="34"/>
      <c r="R2139" s="34"/>
      <c r="S2139" s="34"/>
    </row>
    <row r="2140" spans="14:19">
      <c r="N2140" s="34"/>
      <c r="O2140" s="34"/>
      <c r="P2140" s="34"/>
      <c r="Q2140" s="34"/>
      <c r="R2140" s="34"/>
      <c r="S2140" s="34"/>
    </row>
    <row r="2141" spans="14:19">
      <c r="N2141" s="34"/>
      <c r="O2141" s="34"/>
      <c r="P2141" s="34"/>
      <c r="Q2141" s="34"/>
      <c r="R2141" s="34"/>
      <c r="S2141" s="34"/>
    </row>
    <row r="2142" spans="14:19">
      <c r="N2142" s="34"/>
      <c r="O2142" s="34"/>
      <c r="P2142" s="34"/>
      <c r="Q2142" s="34"/>
      <c r="R2142" s="34"/>
      <c r="S2142" s="34"/>
    </row>
    <row r="2143" spans="14:19">
      <c r="N2143" s="34"/>
      <c r="O2143" s="34"/>
      <c r="P2143" s="34"/>
      <c r="Q2143" s="34"/>
      <c r="R2143" s="34"/>
      <c r="S2143" s="34"/>
    </row>
    <row r="2144" spans="14:19">
      <c r="N2144" s="34"/>
      <c r="O2144" s="34"/>
      <c r="P2144" s="34"/>
      <c r="Q2144" s="34"/>
      <c r="R2144" s="34"/>
      <c r="S2144" s="34"/>
    </row>
    <row r="2145" spans="14:19">
      <c r="N2145" s="34"/>
      <c r="O2145" s="34"/>
      <c r="P2145" s="34"/>
      <c r="Q2145" s="34"/>
      <c r="R2145" s="34"/>
      <c r="S2145" s="34"/>
    </row>
    <row r="2146" spans="14:19">
      <c r="N2146" s="34"/>
      <c r="O2146" s="34"/>
      <c r="P2146" s="34"/>
      <c r="Q2146" s="34"/>
      <c r="R2146" s="34"/>
      <c r="S2146" s="34"/>
    </row>
    <row r="2147" spans="14:19">
      <c r="N2147" s="34"/>
      <c r="O2147" s="34"/>
      <c r="P2147" s="34"/>
      <c r="Q2147" s="34"/>
      <c r="R2147" s="34"/>
      <c r="S2147" s="34"/>
    </row>
    <row r="2148" spans="14:19">
      <c r="N2148" s="34"/>
      <c r="O2148" s="34"/>
      <c r="P2148" s="34"/>
      <c r="Q2148" s="34"/>
      <c r="R2148" s="34"/>
      <c r="S2148" s="34"/>
    </row>
    <row r="2149" spans="14:19">
      <c r="N2149" s="34"/>
      <c r="O2149" s="34"/>
      <c r="P2149" s="34"/>
      <c r="Q2149" s="34"/>
      <c r="R2149" s="34"/>
      <c r="S2149" s="34"/>
    </row>
    <row r="2150" spans="14:19">
      <c r="N2150" s="34"/>
      <c r="O2150" s="34"/>
      <c r="P2150" s="34"/>
      <c r="Q2150" s="34"/>
      <c r="R2150" s="34"/>
      <c r="S2150" s="34"/>
    </row>
    <row r="2151" spans="14:19">
      <c r="N2151" s="34"/>
      <c r="O2151" s="34"/>
      <c r="P2151" s="34"/>
      <c r="Q2151" s="34"/>
      <c r="R2151" s="34"/>
      <c r="S2151" s="34"/>
    </row>
    <row r="2152" spans="14:19">
      <c r="N2152" s="34"/>
      <c r="O2152" s="34"/>
      <c r="P2152" s="34"/>
      <c r="Q2152" s="34"/>
      <c r="R2152" s="34"/>
      <c r="S2152" s="34"/>
    </row>
    <row r="2153" spans="14:19">
      <c r="N2153" s="34"/>
      <c r="O2153" s="34"/>
      <c r="P2153" s="34"/>
      <c r="Q2153" s="34"/>
      <c r="R2153" s="34"/>
      <c r="S2153" s="34"/>
    </row>
    <row r="2154" spans="14:19">
      <c r="N2154" s="34"/>
      <c r="O2154" s="34"/>
      <c r="P2154" s="34"/>
      <c r="Q2154" s="34"/>
      <c r="R2154" s="34"/>
      <c r="S2154" s="34"/>
    </row>
    <row r="2155" spans="14:19">
      <c r="N2155" s="34"/>
      <c r="O2155" s="34"/>
      <c r="P2155" s="34"/>
      <c r="Q2155" s="34"/>
      <c r="R2155" s="34"/>
      <c r="S2155" s="34"/>
    </row>
    <row r="2156" spans="14:19">
      <c r="N2156" s="34"/>
      <c r="O2156" s="34"/>
      <c r="P2156" s="34"/>
      <c r="Q2156" s="34"/>
      <c r="R2156" s="34"/>
      <c r="S2156" s="34"/>
    </row>
    <row r="2157" spans="14:19">
      <c r="N2157" s="34"/>
      <c r="O2157" s="34"/>
      <c r="P2157" s="34"/>
      <c r="Q2157" s="34"/>
      <c r="R2157" s="34"/>
      <c r="S2157" s="34"/>
    </row>
    <row r="2158" spans="14:19">
      <c r="N2158" s="34"/>
      <c r="O2158" s="34"/>
      <c r="P2158" s="34"/>
      <c r="Q2158" s="34"/>
      <c r="R2158" s="34"/>
      <c r="S2158" s="34"/>
    </row>
    <row r="2159" spans="14:19">
      <c r="N2159" s="34"/>
      <c r="O2159" s="34"/>
      <c r="P2159" s="34"/>
      <c r="Q2159" s="34"/>
      <c r="R2159" s="34"/>
      <c r="S2159" s="34"/>
    </row>
    <row r="2160" spans="14:19">
      <c r="N2160" s="34"/>
      <c r="O2160" s="34"/>
      <c r="P2160" s="34"/>
      <c r="Q2160" s="34"/>
      <c r="R2160" s="34"/>
      <c r="S2160" s="34"/>
    </row>
    <row r="2161" spans="14:19">
      <c r="N2161" s="34"/>
      <c r="O2161" s="34"/>
      <c r="P2161" s="34"/>
      <c r="Q2161" s="34"/>
      <c r="R2161" s="34"/>
      <c r="S2161" s="34"/>
    </row>
    <row r="2162" spans="14:19">
      <c r="N2162" s="34"/>
      <c r="O2162" s="34"/>
      <c r="P2162" s="34"/>
      <c r="Q2162" s="34"/>
      <c r="R2162" s="34"/>
      <c r="S2162" s="34"/>
    </row>
    <row r="2163" spans="14:19">
      <c r="N2163" s="34"/>
      <c r="O2163" s="34"/>
      <c r="P2163" s="34"/>
      <c r="Q2163" s="34"/>
      <c r="R2163" s="34"/>
      <c r="S2163" s="34"/>
    </row>
    <row r="2164" spans="14:19">
      <c r="N2164" s="34"/>
      <c r="O2164" s="34"/>
      <c r="P2164" s="34"/>
      <c r="Q2164" s="34"/>
      <c r="R2164" s="34"/>
      <c r="S2164" s="34"/>
    </row>
    <row r="2165" spans="14:19">
      <c r="N2165" s="34"/>
      <c r="O2165" s="34"/>
      <c r="P2165" s="34"/>
      <c r="Q2165" s="34"/>
      <c r="R2165" s="34"/>
      <c r="S2165" s="34"/>
    </row>
    <row r="2166" spans="14:19">
      <c r="N2166" s="34"/>
      <c r="O2166" s="34"/>
      <c r="P2166" s="34"/>
      <c r="Q2166" s="34"/>
      <c r="R2166" s="34"/>
      <c r="S2166" s="34"/>
    </row>
    <row r="2167" spans="14:19">
      <c r="N2167" s="34"/>
      <c r="O2167" s="34"/>
      <c r="P2167" s="34"/>
      <c r="Q2167" s="34"/>
      <c r="R2167" s="34"/>
      <c r="S2167" s="34"/>
    </row>
    <row r="2168" spans="14:19">
      <c r="N2168" s="34"/>
      <c r="O2168" s="34"/>
      <c r="P2168" s="34"/>
      <c r="Q2168" s="34"/>
      <c r="R2168" s="34"/>
      <c r="S2168" s="34"/>
    </row>
    <row r="2169" spans="14:19">
      <c r="N2169" s="34"/>
      <c r="O2169" s="34"/>
      <c r="P2169" s="34"/>
      <c r="Q2169" s="34"/>
      <c r="R2169" s="34"/>
      <c r="S2169" s="34"/>
    </row>
    <row r="2170" spans="14:19">
      <c r="N2170" s="34"/>
      <c r="O2170" s="34"/>
      <c r="P2170" s="34"/>
      <c r="Q2170" s="34"/>
      <c r="R2170" s="34"/>
      <c r="S2170" s="34"/>
    </row>
    <row r="2171" spans="14:19">
      <c r="N2171" s="34"/>
      <c r="O2171" s="34"/>
      <c r="P2171" s="34"/>
      <c r="Q2171" s="34"/>
      <c r="R2171" s="34"/>
      <c r="S2171" s="34"/>
    </row>
    <row r="2172" spans="14:19">
      <c r="N2172" s="34"/>
      <c r="O2172" s="34"/>
      <c r="P2172" s="34"/>
      <c r="Q2172" s="34"/>
      <c r="R2172" s="34"/>
      <c r="S2172" s="34"/>
    </row>
    <row r="2173" spans="14:19">
      <c r="N2173" s="34"/>
      <c r="O2173" s="34"/>
      <c r="P2173" s="34"/>
      <c r="Q2173" s="34"/>
      <c r="R2173" s="34"/>
      <c r="S2173" s="34"/>
    </row>
    <row r="2174" spans="14:19">
      <c r="N2174" s="34"/>
      <c r="O2174" s="34"/>
      <c r="P2174" s="34"/>
      <c r="Q2174" s="34"/>
      <c r="R2174" s="34"/>
      <c r="S2174" s="34"/>
    </row>
    <row r="2175" spans="14:19">
      <c r="N2175" s="34"/>
      <c r="O2175" s="34"/>
      <c r="P2175" s="34"/>
      <c r="Q2175" s="34"/>
      <c r="R2175" s="34"/>
      <c r="S2175" s="34"/>
    </row>
    <row r="2176" spans="14:19">
      <c r="N2176" s="34"/>
      <c r="O2176" s="34"/>
      <c r="P2176" s="34"/>
      <c r="Q2176" s="34"/>
      <c r="R2176" s="34"/>
      <c r="S2176" s="34"/>
    </row>
    <row r="2177" spans="14:19">
      <c r="N2177" s="34"/>
      <c r="O2177" s="34"/>
      <c r="P2177" s="34"/>
      <c r="Q2177" s="34"/>
      <c r="R2177" s="34"/>
      <c r="S2177" s="34"/>
    </row>
    <row r="2178" spans="14:19">
      <c r="N2178" s="34"/>
      <c r="O2178" s="34"/>
      <c r="P2178" s="34"/>
      <c r="Q2178" s="34"/>
      <c r="R2178" s="34"/>
      <c r="S2178" s="34"/>
    </row>
    <row r="2179" spans="14:19">
      <c r="N2179" s="34"/>
      <c r="O2179" s="34"/>
      <c r="P2179" s="34"/>
      <c r="Q2179" s="34"/>
      <c r="R2179" s="34"/>
      <c r="S2179" s="34"/>
    </row>
    <row r="2180" spans="14:19">
      <c r="N2180" s="34"/>
      <c r="O2180" s="34"/>
      <c r="P2180" s="34"/>
      <c r="Q2180" s="34"/>
      <c r="R2180" s="34"/>
      <c r="S2180" s="34"/>
    </row>
    <row r="2181" spans="14:19">
      <c r="N2181" s="34"/>
      <c r="O2181" s="34"/>
      <c r="P2181" s="34"/>
      <c r="Q2181" s="34"/>
      <c r="R2181" s="34"/>
      <c r="S2181" s="34"/>
    </row>
    <row r="2182" spans="14:19">
      <c r="N2182" s="34"/>
      <c r="O2182" s="34"/>
      <c r="P2182" s="34"/>
      <c r="Q2182" s="34"/>
      <c r="R2182" s="34"/>
      <c r="S2182" s="34"/>
    </row>
    <row r="2183" spans="14:19">
      <c r="N2183" s="34"/>
      <c r="O2183" s="34"/>
      <c r="P2183" s="34"/>
      <c r="Q2183" s="34"/>
      <c r="R2183" s="34"/>
      <c r="S2183" s="34"/>
    </row>
    <row r="2184" spans="14:19">
      <c r="N2184" s="34"/>
      <c r="O2184" s="34"/>
      <c r="P2184" s="34"/>
      <c r="Q2184" s="34"/>
      <c r="R2184" s="34"/>
      <c r="S2184" s="34"/>
    </row>
    <row r="2185" spans="14:19">
      <c r="N2185" s="34"/>
      <c r="O2185" s="34"/>
      <c r="P2185" s="34"/>
      <c r="Q2185" s="34"/>
      <c r="R2185" s="34"/>
      <c r="S2185" s="34"/>
    </row>
    <row r="2186" spans="14:19">
      <c r="N2186" s="34"/>
      <c r="O2186" s="34"/>
      <c r="P2186" s="34"/>
      <c r="Q2186" s="34"/>
      <c r="R2186" s="34"/>
      <c r="S2186" s="34"/>
    </row>
    <row r="2187" spans="14:19">
      <c r="N2187" s="34"/>
      <c r="O2187" s="34"/>
      <c r="P2187" s="34"/>
      <c r="Q2187" s="34"/>
      <c r="R2187" s="34"/>
      <c r="S2187" s="34"/>
    </row>
    <row r="2188" spans="14:19">
      <c r="N2188" s="34"/>
      <c r="O2188" s="34"/>
      <c r="P2188" s="34"/>
      <c r="Q2188" s="34"/>
      <c r="R2188" s="34"/>
      <c r="S2188" s="34"/>
    </row>
    <row r="2189" spans="14:19">
      <c r="N2189" s="34"/>
      <c r="O2189" s="34"/>
      <c r="P2189" s="34"/>
      <c r="Q2189" s="34"/>
      <c r="R2189" s="34"/>
      <c r="S2189" s="34"/>
    </row>
    <row r="2190" spans="14:19">
      <c r="N2190" s="34"/>
      <c r="O2190" s="34"/>
      <c r="P2190" s="34"/>
      <c r="Q2190" s="34"/>
      <c r="R2190" s="34"/>
      <c r="S2190" s="34"/>
    </row>
    <row r="2191" spans="14:19">
      <c r="N2191" s="34"/>
      <c r="O2191" s="34"/>
      <c r="P2191" s="34"/>
      <c r="Q2191" s="34"/>
      <c r="R2191" s="34"/>
      <c r="S2191" s="34"/>
    </row>
    <row r="2192" spans="14:19">
      <c r="N2192" s="34"/>
      <c r="O2192" s="34"/>
      <c r="P2192" s="34"/>
      <c r="Q2192" s="34"/>
      <c r="R2192" s="34"/>
      <c r="S2192" s="34"/>
    </row>
    <row r="2193" spans="14:19">
      <c r="N2193" s="34"/>
      <c r="O2193" s="34"/>
      <c r="P2193" s="34"/>
      <c r="Q2193" s="34"/>
      <c r="R2193" s="34"/>
      <c r="S2193" s="34"/>
    </row>
    <row r="2194" spans="14:19">
      <c r="N2194" s="34"/>
      <c r="O2194" s="34"/>
      <c r="P2194" s="34"/>
      <c r="Q2194" s="34"/>
      <c r="R2194" s="34"/>
      <c r="S2194" s="34"/>
    </row>
    <row r="2195" spans="14:19">
      <c r="N2195" s="34"/>
      <c r="O2195" s="34"/>
      <c r="P2195" s="34"/>
      <c r="Q2195" s="34"/>
      <c r="R2195" s="34"/>
      <c r="S2195" s="34"/>
    </row>
    <row r="2196" spans="14:19">
      <c r="N2196" s="34"/>
      <c r="O2196" s="34"/>
      <c r="P2196" s="34"/>
      <c r="Q2196" s="34"/>
      <c r="R2196" s="34"/>
      <c r="S2196" s="34"/>
    </row>
    <row r="2197" spans="14:19">
      <c r="N2197" s="34"/>
      <c r="O2197" s="34"/>
      <c r="P2197" s="34"/>
      <c r="Q2197" s="34"/>
      <c r="R2197" s="34"/>
      <c r="S2197" s="34"/>
    </row>
    <row r="2198" spans="14:19">
      <c r="N2198" s="34"/>
      <c r="O2198" s="34"/>
      <c r="P2198" s="34"/>
      <c r="Q2198" s="34"/>
      <c r="R2198" s="34"/>
      <c r="S2198" s="34"/>
    </row>
    <row r="2199" spans="14:19">
      <c r="N2199" s="34"/>
      <c r="O2199" s="34"/>
      <c r="P2199" s="34"/>
      <c r="Q2199" s="34"/>
      <c r="R2199" s="34"/>
      <c r="S2199" s="34"/>
    </row>
    <row r="2200" spans="14:19">
      <c r="N2200" s="34"/>
      <c r="O2200" s="34"/>
      <c r="P2200" s="34"/>
      <c r="Q2200" s="34"/>
      <c r="R2200" s="34"/>
      <c r="S2200" s="34"/>
    </row>
    <row r="2201" spans="14:19">
      <c r="N2201" s="34"/>
      <c r="O2201" s="34"/>
      <c r="P2201" s="34"/>
      <c r="Q2201" s="34"/>
      <c r="R2201" s="34"/>
      <c r="S2201" s="34"/>
    </row>
    <row r="2202" spans="14:19">
      <c r="N2202" s="34"/>
      <c r="O2202" s="34"/>
      <c r="P2202" s="34"/>
      <c r="Q2202" s="34"/>
      <c r="R2202" s="34"/>
      <c r="S2202" s="34"/>
    </row>
    <row r="2203" spans="14:19">
      <c r="N2203" s="34"/>
      <c r="O2203" s="34"/>
      <c r="P2203" s="34"/>
      <c r="Q2203" s="34"/>
      <c r="R2203" s="34"/>
      <c r="S2203" s="34"/>
    </row>
    <row r="2204" spans="14:19">
      <c r="N2204" s="34"/>
      <c r="O2204" s="34"/>
      <c r="P2204" s="34"/>
      <c r="Q2204" s="34"/>
      <c r="R2204" s="34"/>
      <c r="S2204" s="34"/>
    </row>
    <row r="2205" spans="14:19">
      <c r="N2205" s="34"/>
      <c r="O2205" s="34"/>
      <c r="P2205" s="34"/>
      <c r="Q2205" s="34"/>
      <c r="R2205" s="34"/>
      <c r="S2205" s="34"/>
    </row>
    <row r="2206" spans="14:19">
      <c r="N2206" s="34"/>
      <c r="O2206" s="34"/>
      <c r="P2206" s="34"/>
      <c r="Q2206" s="34"/>
      <c r="R2206" s="34"/>
      <c r="S2206" s="34"/>
    </row>
    <row r="2207" spans="14:19">
      <c r="N2207" s="34"/>
      <c r="O2207" s="34"/>
      <c r="P2207" s="34"/>
      <c r="Q2207" s="34"/>
      <c r="R2207" s="34"/>
      <c r="S2207" s="34"/>
    </row>
    <row r="2208" spans="14:19">
      <c r="N2208" s="34"/>
      <c r="O2208" s="34"/>
      <c r="P2208" s="34"/>
      <c r="Q2208" s="34"/>
      <c r="R2208" s="34"/>
      <c r="S2208" s="34"/>
    </row>
    <row r="2209" spans="14:19">
      <c r="N2209" s="34"/>
      <c r="O2209" s="34"/>
      <c r="P2209" s="34"/>
      <c r="Q2209" s="34"/>
      <c r="R2209" s="34"/>
      <c r="S2209" s="34"/>
    </row>
    <row r="2210" spans="14:19">
      <c r="N2210" s="34"/>
      <c r="O2210" s="34"/>
      <c r="P2210" s="34"/>
      <c r="Q2210" s="34"/>
      <c r="R2210" s="34"/>
      <c r="S2210" s="34"/>
    </row>
    <row r="2211" spans="14:19">
      <c r="N2211" s="34"/>
      <c r="O2211" s="34"/>
      <c r="P2211" s="34"/>
      <c r="Q2211" s="34"/>
      <c r="R2211" s="34"/>
      <c r="S2211" s="34"/>
    </row>
    <row r="2212" spans="14:19">
      <c r="N2212" s="34"/>
      <c r="O2212" s="34"/>
      <c r="P2212" s="34"/>
      <c r="Q2212" s="34"/>
      <c r="R2212" s="34"/>
      <c r="S2212" s="34"/>
    </row>
    <row r="2213" spans="14:19">
      <c r="N2213" s="34"/>
      <c r="O2213" s="34"/>
      <c r="P2213" s="34"/>
      <c r="Q2213" s="34"/>
      <c r="R2213" s="34"/>
      <c r="S2213" s="34"/>
    </row>
    <row r="2214" spans="14:19">
      <c r="N2214" s="34"/>
      <c r="O2214" s="34"/>
      <c r="P2214" s="34"/>
      <c r="Q2214" s="34"/>
      <c r="R2214" s="34"/>
      <c r="S2214" s="34"/>
    </row>
    <row r="2215" spans="14:19">
      <c r="N2215" s="34"/>
      <c r="O2215" s="34"/>
      <c r="P2215" s="34"/>
      <c r="Q2215" s="34"/>
      <c r="R2215" s="34"/>
      <c r="S2215" s="34"/>
    </row>
    <row r="2216" spans="14:19">
      <c r="N2216" s="34"/>
      <c r="O2216" s="34"/>
      <c r="P2216" s="34"/>
      <c r="Q2216" s="34"/>
      <c r="R2216" s="34"/>
      <c r="S2216" s="34"/>
    </row>
    <row r="2217" spans="14:19">
      <c r="N2217" s="34"/>
      <c r="O2217" s="34"/>
      <c r="P2217" s="34"/>
      <c r="Q2217" s="34"/>
      <c r="R2217" s="34"/>
      <c r="S2217" s="34"/>
    </row>
    <row r="2218" spans="14:19">
      <c r="N2218" s="34"/>
      <c r="O2218" s="34"/>
      <c r="P2218" s="34"/>
      <c r="Q2218" s="34"/>
      <c r="R2218" s="34"/>
      <c r="S2218" s="34"/>
    </row>
    <row r="2219" spans="14:19">
      <c r="N2219" s="34"/>
      <c r="O2219" s="34"/>
      <c r="P2219" s="34"/>
      <c r="Q2219" s="34"/>
      <c r="R2219" s="34"/>
      <c r="S2219" s="34"/>
    </row>
    <row r="2220" spans="14:19">
      <c r="N2220" s="34"/>
      <c r="O2220" s="34"/>
      <c r="P2220" s="34"/>
      <c r="Q2220" s="34"/>
      <c r="R2220" s="34"/>
      <c r="S2220" s="34"/>
    </row>
    <row r="2221" spans="14:19">
      <c r="N2221" s="34"/>
      <c r="O2221" s="34"/>
      <c r="P2221" s="34"/>
      <c r="Q2221" s="34"/>
      <c r="R2221" s="34"/>
      <c r="S2221" s="34"/>
    </row>
    <row r="2222" spans="14:19">
      <c r="N2222" s="34"/>
      <c r="O2222" s="34"/>
      <c r="P2222" s="34"/>
      <c r="Q2222" s="34"/>
      <c r="R2222" s="34"/>
      <c r="S2222" s="34"/>
    </row>
    <row r="2223" spans="14:19">
      <c r="N2223" s="34"/>
      <c r="O2223" s="34"/>
      <c r="P2223" s="34"/>
      <c r="Q2223" s="34"/>
      <c r="R2223" s="34"/>
      <c r="S2223" s="34"/>
    </row>
    <row r="2224" spans="14:19">
      <c r="N2224" s="34"/>
      <c r="O2224" s="34"/>
      <c r="P2224" s="34"/>
      <c r="Q2224" s="34"/>
      <c r="R2224" s="34"/>
      <c r="S2224" s="34"/>
    </row>
    <row r="2225" spans="14:19">
      <c r="N2225" s="34"/>
      <c r="O2225" s="34"/>
      <c r="P2225" s="34"/>
      <c r="Q2225" s="34"/>
      <c r="R2225" s="34"/>
      <c r="S2225" s="34"/>
    </row>
    <row r="2226" spans="14:19">
      <c r="N2226" s="34"/>
      <c r="O2226" s="34"/>
      <c r="P2226" s="34"/>
      <c r="Q2226" s="34"/>
      <c r="R2226" s="34"/>
      <c r="S2226" s="34"/>
    </row>
    <row r="2227" spans="14:19">
      <c r="N2227" s="34"/>
      <c r="O2227" s="34"/>
      <c r="P2227" s="34"/>
      <c r="Q2227" s="34"/>
      <c r="R2227" s="34"/>
      <c r="S2227" s="34"/>
    </row>
    <row r="2228" spans="14:19">
      <c r="N2228" s="34"/>
      <c r="O2228" s="34"/>
      <c r="P2228" s="34"/>
      <c r="Q2228" s="34"/>
      <c r="R2228" s="34"/>
      <c r="S2228" s="34"/>
    </row>
    <row r="2229" spans="14:19">
      <c r="N2229" s="34"/>
      <c r="O2229" s="34"/>
      <c r="P2229" s="34"/>
      <c r="Q2229" s="34"/>
      <c r="R2229" s="34"/>
      <c r="S2229" s="34"/>
    </row>
    <row r="2230" spans="14:19">
      <c r="N2230" s="34"/>
      <c r="O2230" s="34"/>
      <c r="P2230" s="34"/>
      <c r="Q2230" s="34"/>
      <c r="R2230" s="34"/>
      <c r="S2230" s="34"/>
    </row>
    <row r="2231" spans="14:19">
      <c r="N2231" s="34"/>
      <c r="O2231" s="34"/>
      <c r="P2231" s="34"/>
      <c r="Q2231" s="34"/>
      <c r="R2231" s="34"/>
      <c r="S2231" s="34"/>
    </row>
    <row r="2232" spans="14:19">
      <c r="N2232" s="34"/>
      <c r="O2232" s="34"/>
      <c r="P2232" s="34"/>
      <c r="Q2232" s="34"/>
      <c r="R2232" s="34"/>
      <c r="S2232" s="34"/>
    </row>
    <row r="2233" spans="14:19">
      <c r="N2233" s="34"/>
      <c r="O2233" s="34"/>
      <c r="P2233" s="34"/>
      <c r="Q2233" s="34"/>
      <c r="R2233" s="34"/>
      <c r="S2233" s="34"/>
    </row>
    <row r="2234" spans="14:19">
      <c r="N2234" s="34"/>
      <c r="O2234" s="34"/>
      <c r="P2234" s="34"/>
      <c r="Q2234" s="34"/>
      <c r="R2234" s="34"/>
      <c r="S2234" s="34"/>
    </row>
    <row r="2235" spans="14:19">
      <c r="N2235" s="34"/>
      <c r="O2235" s="34"/>
      <c r="P2235" s="34"/>
      <c r="Q2235" s="34"/>
      <c r="R2235" s="34"/>
      <c r="S2235" s="34"/>
    </row>
    <row r="2236" spans="14:19">
      <c r="N2236" s="34"/>
      <c r="O2236" s="34"/>
      <c r="P2236" s="34"/>
      <c r="Q2236" s="34"/>
      <c r="R2236" s="34"/>
      <c r="S2236" s="34"/>
    </row>
    <row r="2237" spans="14:19">
      <c r="N2237" s="34"/>
      <c r="O2237" s="34"/>
      <c r="P2237" s="34"/>
      <c r="Q2237" s="34"/>
      <c r="R2237" s="34"/>
      <c r="S2237" s="34"/>
    </row>
    <row r="2238" spans="14:19">
      <c r="N2238" s="34"/>
      <c r="O2238" s="34"/>
      <c r="P2238" s="34"/>
      <c r="Q2238" s="34"/>
      <c r="R2238" s="34"/>
      <c r="S2238" s="34"/>
    </row>
    <row r="2239" spans="14:19">
      <c r="N2239" s="34"/>
      <c r="O2239" s="34"/>
      <c r="P2239" s="34"/>
      <c r="Q2239" s="34"/>
      <c r="R2239" s="34"/>
      <c r="S2239" s="34"/>
    </row>
    <row r="2240" spans="14:19">
      <c r="N2240" s="34"/>
      <c r="O2240" s="34"/>
      <c r="P2240" s="34"/>
      <c r="Q2240" s="34"/>
      <c r="R2240" s="34"/>
      <c r="S2240" s="34"/>
    </row>
    <row r="2241" spans="14:19">
      <c r="N2241" s="34"/>
      <c r="O2241" s="34"/>
      <c r="P2241" s="34"/>
      <c r="Q2241" s="34"/>
      <c r="R2241" s="34"/>
      <c r="S2241" s="34"/>
    </row>
    <row r="2242" spans="14:19">
      <c r="N2242" s="34"/>
      <c r="O2242" s="34"/>
      <c r="P2242" s="34"/>
      <c r="Q2242" s="34"/>
      <c r="R2242" s="34"/>
      <c r="S2242" s="34"/>
    </row>
    <row r="2243" spans="14:19">
      <c r="N2243" s="34"/>
      <c r="O2243" s="34"/>
      <c r="P2243" s="34"/>
      <c r="Q2243" s="34"/>
      <c r="R2243" s="34"/>
      <c r="S2243" s="34"/>
    </row>
    <row r="2244" spans="14:19">
      <c r="N2244" s="34"/>
      <c r="O2244" s="34"/>
      <c r="P2244" s="34"/>
      <c r="Q2244" s="34"/>
      <c r="R2244" s="34"/>
      <c r="S2244" s="34"/>
    </row>
    <row r="2245" spans="14:19">
      <c r="N2245" s="34"/>
      <c r="O2245" s="34"/>
      <c r="P2245" s="34"/>
      <c r="Q2245" s="34"/>
      <c r="R2245" s="34"/>
      <c r="S2245" s="34"/>
    </row>
    <row r="2246" spans="14:19">
      <c r="N2246" s="34"/>
      <c r="O2246" s="34"/>
      <c r="P2246" s="34"/>
      <c r="Q2246" s="34"/>
      <c r="R2246" s="34"/>
      <c r="S2246" s="34"/>
    </row>
    <row r="2247" spans="14:19">
      <c r="N2247" s="34"/>
      <c r="O2247" s="34"/>
      <c r="P2247" s="34"/>
      <c r="Q2247" s="34"/>
      <c r="R2247" s="34"/>
      <c r="S2247" s="34"/>
    </row>
    <row r="2248" spans="14:19">
      <c r="N2248" s="34"/>
      <c r="O2248" s="34"/>
      <c r="P2248" s="34"/>
      <c r="Q2248" s="34"/>
      <c r="R2248" s="34"/>
      <c r="S2248" s="34"/>
    </row>
    <row r="2249" spans="14:19">
      <c r="N2249" s="34"/>
      <c r="O2249" s="34"/>
      <c r="P2249" s="34"/>
      <c r="Q2249" s="34"/>
      <c r="R2249" s="34"/>
      <c r="S2249" s="34"/>
    </row>
    <row r="2250" spans="14:19">
      <c r="N2250" s="34"/>
      <c r="O2250" s="34"/>
      <c r="P2250" s="34"/>
      <c r="Q2250" s="34"/>
      <c r="R2250" s="34"/>
      <c r="S2250" s="34"/>
    </row>
    <row r="2251" spans="14:19">
      <c r="N2251" s="34"/>
      <c r="O2251" s="34"/>
      <c r="P2251" s="34"/>
      <c r="Q2251" s="34"/>
      <c r="R2251" s="34"/>
      <c r="S2251" s="34"/>
    </row>
    <row r="2252" spans="14:19">
      <c r="N2252" s="34"/>
      <c r="O2252" s="34"/>
      <c r="P2252" s="34"/>
      <c r="Q2252" s="34"/>
      <c r="R2252" s="34"/>
      <c r="S2252" s="34"/>
    </row>
    <row r="2253" spans="14:19">
      <c r="N2253" s="34"/>
      <c r="O2253" s="34"/>
      <c r="P2253" s="34"/>
      <c r="Q2253" s="34"/>
      <c r="R2253" s="34"/>
      <c r="S2253" s="34"/>
    </row>
    <row r="2254" spans="14:19">
      <c r="N2254" s="34"/>
      <c r="O2254" s="34"/>
      <c r="P2254" s="34"/>
      <c r="Q2254" s="34"/>
      <c r="R2254" s="34"/>
      <c r="S2254" s="34"/>
    </row>
    <row r="2255" spans="14:19">
      <c r="N2255" s="34"/>
      <c r="O2255" s="34"/>
      <c r="P2255" s="34"/>
      <c r="Q2255" s="34"/>
      <c r="R2255" s="34"/>
      <c r="S2255" s="34"/>
    </row>
    <row r="2256" spans="14:19">
      <c r="N2256" s="34"/>
      <c r="O2256" s="34"/>
      <c r="P2256" s="34"/>
      <c r="Q2256" s="34"/>
      <c r="R2256" s="34"/>
      <c r="S2256" s="34"/>
    </row>
    <row r="2257" spans="14:19">
      <c r="N2257" s="34"/>
      <c r="O2257" s="34"/>
      <c r="P2257" s="34"/>
      <c r="Q2257" s="34"/>
      <c r="R2257" s="34"/>
      <c r="S2257" s="34"/>
    </row>
    <row r="2258" spans="14:19">
      <c r="N2258" s="34"/>
      <c r="O2258" s="34"/>
      <c r="P2258" s="34"/>
      <c r="Q2258" s="34"/>
      <c r="R2258" s="34"/>
      <c r="S2258" s="34"/>
    </row>
    <row r="2259" spans="14:19">
      <c r="N2259" s="34"/>
      <c r="O2259" s="34"/>
      <c r="P2259" s="34"/>
      <c r="Q2259" s="34"/>
      <c r="R2259" s="34"/>
      <c r="S2259" s="34"/>
    </row>
    <row r="2260" spans="14:19">
      <c r="N2260" s="34"/>
      <c r="O2260" s="34"/>
      <c r="P2260" s="34"/>
      <c r="Q2260" s="34"/>
      <c r="R2260" s="34"/>
      <c r="S2260" s="34"/>
    </row>
    <row r="2261" spans="14:19">
      <c r="N2261" s="34"/>
      <c r="O2261" s="34"/>
      <c r="P2261" s="34"/>
      <c r="Q2261" s="34"/>
      <c r="R2261" s="34"/>
      <c r="S2261" s="34"/>
    </row>
    <row r="2262" spans="14:19">
      <c r="N2262" s="34"/>
      <c r="O2262" s="34"/>
      <c r="P2262" s="34"/>
      <c r="Q2262" s="34"/>
      <c r="R2262" s="34"/>
      <c r="S2262" s="34"/>
    </row>
    <row r="2263" spans="14:19">
      <c r="N2263" s="34"/>
      <c r="O2263" s="34"/>
      <c r="P2263" s="34"/>
      <c r="Q2263" s="34"/>
      <c r="R2263" s="34"/>
      <c r="S2263" s="34"/>
    </row>
    <row r="2264" spans="14:19">
      <c r="N2264" s="34"/>
      <c r="O2264" s="34"/>
      <c r="P2264" s="34"/>
      <c r="Q2264" s="34"/>
      <c r="R2264" s="34"/>
      <c r="S2264" s="34"/>
    </row>
    <row r="2265" spans="14:19">
      <c r="N2265" s="34"/>
      <c r="O2265" s="34"/>
      <c r="P2265" s="34"/>
      <c r="Q2265" s="34"/>
      <c r="R2265" s="34"/>
      <c r="S2265" s="34"/>
    </row>
    <row r="2266" spans="14:19">
      <c r="N2266" s="34"/>
      <c r="O2266" s="34"/>
      <c r="P2266" s="34"/>
      <c r="Q2266" s="34"/>
      <c r="R2266" s="34"/>
      <c r="S2266" s="34"/>
    </row>
    <row r="2267" spans="14:19">
      <c r="N2267" s="34"/>
      <c r="O2267" s="34"/>
      <c r="P2267" s="34"/>
      <c r="Q2267" s="34"/>
      <c r="R2267" s="34"/>
      <c r="S2267" s="34"/>
    </row>
    <row r="2268" spans="14:19">
      <c r="N2268" s="34"/>
      <c r="O2268" s="34"/>
      <c r="P2268" s="34"/>
      <c r="Q2268" s="34"/>
      <c r="R2268" s="34"/>
      <c r="S2268" s="34"/>
    </row>
    <row r="2269" spans="14:19">
      <c r="N2269" s="34"/>
      <c r="O2269" s="34"/>
      <c r="P2269" s="34"/>
      <c r="Q2269" s="34"/>
      <c r="R2269" s="34"/>
      <c r="S2269" s="34"/>
    </row>
    <row r="2270" spans="14:19">
      <c r="N2270" s="34"/>
      <c r="O2270" s="34"/>
      <c r="P2270" s="34"/>
      <c r="Q2270" s="34"/>
      <c r="R2270" s="34"/>
      <c r="S2270" s="34"/>
    </row>
    <row r="2271" spans="14:19">
      <c r="N2271" s="34"/>
      <c r="O2271" s="34"/>
      <c r="P2271" s="34"/>
      <c r="Q2271" s="34"/>
      <c r="R2271" s="34"/>
      <c r="S2271" s="34"/>
    </row>
    <row r="2272" spans="14:19">
      <c r="N2272" s="34"/>
      <c r="O2272" s="34"/>
      <c r="P2272" s="34"/>
      <c r="Q2272" s="34"/>
      <c r="R2272" s="34"/>
      <c r="S2272" s="34"/>
    </row>
    <row r="2273" spans="14:19">
      <c r="N2273" s="34"/>
      <c r="O2273" s="34"/>
      <c r="P2273" s="34"/>
      <c r="Q2273" s="34"/>
      <c r="R2273" s="34"/>
      <c r="S2273" s="34"/>
    </row>
    <row r="2274" spans="14:19">
      <c r="N2274" s="34"/>
      <c r="O2274" s="34"/>
      <c r="P2274" s="34"/>
      <c r="Q2274" s="34"/>
      <c r="R2274" s="34"/>
      <c r="S2274" s="34"/>
    </row>
    <row r="2275" spans="14:19">
      <c r="N2275" s="34"/>
      <c r="O2275" s="34"/>
      <c r="P2275" s="34"/>
      <c r="Q2275" s="34"/>
      <c r="R2275" s="34"/>
      <c r="S2275" s="34"/>
    </row>
    <row r="2276" spans="14:19">
      <c r="N2276" s="34"/>
      <c r="O2276" s="34"/>
      <c r="P2276" s="34"/>
      <c r="Q2276" s="34"/>
      <c r="R2276" s="34"/>
      <c r="S2276" s="34"/>
    </row>
    <row r="2277" spans="14:19">
      <c r="N2277" s="34"/>
      <c r="O2277" s="34"/>
      <c r="P2277" s="34"/>
      <c r="Q2277" s="34"/>
      <c r="R2277" s="34"/>
      <c r="S2277" s="34"/>
    </row>
    <row r="2278" spans="14:19">
      <c r="N2278" s="34"/>
      <c r="O2278" s="34"/>
      <c r="P2278" s="34"/>
      <c r="Q2278" s="34"/>
      <c r="R2278" s="34"/>
      <c r="S2278" s="34"/>
    </row>
    <row r="2279" spans="14:19">
      <c r="N2279" s="34"/>
      <c r="O2279" s="34"/>
      <c r="P2279" s="34"/>
      <c r="Q2279" s="34"/>
      <c r="R2279" s="34"/>
      <c r="S2279" s="34"/>
    </row>
    <row r="2280" spans="14:19">
      <c r="N2280" s="34"/>
      <c r="O2280" s="34"/>
      <c r="P2280" s="34"/>
      <c r="Q2280" s="34"/>
      <c r="R2280" s="34"/>
      <c r="S2280" s="34"/>
    </row>
    <row r="2281" spans="14:19">
      <c r="N2281" s="34"/>
      <c r="O2281" s="34"/>
      <c r="P2281" s="34"/>
      <c r="Q2281" s="34"/>
      <c r="R2281" s="34"/>
      <c r="S2281" s="34"/>
    </row>
    <row r="2282" spans="14:19">
      <c r="N2282" s="34"/>
      <c r="O2282" s="34"/>
      <c r="P2282" s="34"/>
      <c r="Q2282" s="34"/>
      <c r="R2282" s="34"/>
      <c r="S2282" s="34"/>
    </row>
    <row r="2283" spans="14:19">
      <c r="N2283" s="34"/>
      <c r="O2283" s="34"/>
      <c r="P2283" s="34"/>
      <c r="Q2283" s="34"/>
      <c r="R2283" s="34"/>
      <c r="S2283" s="34"/>
    </row>
    <row r="2284" spans="14:19">
      <c r="N2284" s="34"/>
      <c r="O2284" s="34"/>
      <c r="P2284" s="34"/>
      <c r="Q2284" s="34"/>
      <c r="R2284" s="34"/>
      <c r="S2284" s="34"/>
    </row>
    <row r="2285" spans="14:19">
      <c r="N2285" s="34"/>
      <c r="O2285" s="34"/>
      <c r="P2285" s="34"/>
      <c r="Q2285" s="34"/>
      <c r="R2285" s="34"/>
      <c r="S2285" s="34"/>
    </row>
    <row r="2286" spans="14:19">
      <c r="N2286" s="34"/>
      <c r="O2286" s="34"/>
      <c r="P2286" s="34"/>
      <c r="Q2286" s="34"/>
      <c r="R2286" s="34"/>
      <c r="S2286" s="34"/>
    </row>
    <row r="2287" spans="14:19">
      <c r="N2287" s="34"/>
      <c r="O2287" s="34"/>
      <c r="P2287" s="34"/>
      <c r="Q2287" s="34"/>
      <c r="R2287" s="34"/>
      <c r="S2287" s="34"/>
    </row>
    <row r="2288" spans="14:19">
      <c r="N2288" s="34"/>
      <c r="O2288" s="34"/>
      <c r="P2288" s="34"/>
      <c r="Q2288" s="34"/>
      <c r="R2288" s="34"/>
      <c r="S2288" s="34"/>
    </row>
    <row r="2289" spans="14:19">
      <c r="N2289" s="34"/>
      <c r="O2289" s="34"/>
      <c r="P2289" s="34"/>
      <c r="Q2289" s="34"/>
      <c r="R2289" s="34"/>
      <c r="S2289" s="34"/>
    </row>
    <row r="2290" spans="14:19">
      <c r="N2290" s="34"/>
      <c r="O2290" s="34"/>
      <c r="P2290" s="34"/>
      <c r="Q2290" s="34"/>
      <c r="R2290" s="34"/>
      <c r="S2290" s="34"/>
    </row>
    <row r="2291" spans="14:19">
      <c r="N2291" s="34"/>
      <c r="O2291" s="34"/>
      <c r="P2291" s="34"/>
      <c r="Q2291" s="34"/>
      <c r="R2291" s="34"/>
      <c r="S2291" s="34"/>
    </row>
    <row r="2292" spans="14:19">
      <c r="N2292" s="34"/>
      <c r="O2292" s="34"/>
      <c r="P2292" s="34"/>
      <c r="Q2292" s="34"/>
      <c r="R2292" s="34"/>
      <c r="S2292" s="34"/>
    </row>
    <row r="2293" spans="14:19">
      <c r="N2293" s="34"/>
      <c r="O2293" s="34"/>
      <c r="P2293" s="34"/>
      <c r="Q2293" s="34"/>
      <c r="R2293" s="34"/>
      <c r="S2293" s="34"/>
    </row>
    <row r="2294" spans="14:19">
      <c r="N2294" s="34"/>
      <c r="O2294" s="34"/>
      <c r="P2294" s="34"/>
      <c r="Q2294" s="34"/>
      <c r="R2294" s="34"/>
      <c r="S2294" s="34"/>
    </row>
    <row r="2295" spans="14:19">
      <c r="N2295" s="34"/>
      <c r="O2295" s="34"/>
      <c r="P2295" s="34"/>
      <c r="Q2295" s="34"/>
      <c r="R2295" s="34"/>
      <c r="S2295" s="34"/>
    </row>
    <row r="2296" spans="14:19">
      <c r="N2296" s="34"/>
      <c r="O2296" s="34"/>
      <c r="P2296" s="34"/>
      <c r="Q2296" s="34"/>
      <c r="R2296" s="34"/>
      <c r="S2296" s="34"/>
    </row>
    <row r="2297" spans="14:19">
      <c r="N2297" s="34"/>
      <c r="O2297" s="34"/>
      <c r="P2297" s="34"/>
      <c r="Q2297" s="34"/>
      <c r="R2297" s="34"/>
      <c r="S2297" s="34"/>
    </row>
    <row r="2298" spans="14:19">
      <c r="N2298" s="34"/>
      <c r="O2298" s="34"/>
      <c r="P2298" s="34"/>
      <c r="Q2298" s="34"/>
      <c r="R2298" s="34"/>
      <c r="S2298" s="34"/>
    </row>
    <row r="2299" spans="14:19">
      <c r="N2299" s="34"/>
      <c r="O2299" s="34"/>
      <c r="P2299" s="34"/>
      <c r="Q2299" s="34"/>
      <c r="R2299" s="34"/>
      <c r="S2299" s="34"/>
    </row>
    <row r="2300" spans="14:19">
      <c r="N2300" s="34"/>
      <c r="O2300" s="34"/>
      <c r="P2300" s="34"/>
      <c r="Q2300" s="34"/>
      <c r="R2300" s="34"/>
      <c r="S2300" s="34"/>
    </row>
    <row r="2301" spans="14:19">
      <c r="N2301" s="34"/>
      <c r="O2301" s="34"/>
      <c r="P2301" s="34"/>
      <c r="Q2301" s="34"/>
      <c r="R2301" s="34"/>
      <c r="S2301" s="34"/>
    </row>
    <row r="2302" spans="14:19">
      <c r="N2302" s="34"/>
      <c r="O2302" s="34"/>
      <c r="P2302" s="34"/>
      <c r="Q2302" s="34"/>
      <c r="R2302" s="34"/>
      <c r="S2302" s="34"/>
    </row>
    <row r="2303" spans="14:19">
      <c r="N2303" s="34"/>
      <c r="O2303" s="34"/>
      <c r="P2303" s="34"/>
      <c r="Q2303" s="34"/>
      <c r="R2303" s="34"/>
      <c r="S2303" s="34"/>
    </row>
    <row r="2304" spans="14:19">
      <c r="N2304" s="34"/>
      <c r="O2304" s="34"/>
      <c r="P2304" s="34"/>
      <c r="Q2304" s="34"/>
      <c r="R2304" s="34"/>
      <c r="S2304" s="34"/>
    </row>
    <row r="2305" spans="14:19">
      <c r="N2305" s="34"/>
      <c r="O2305" s="34"/>
      <c r="P2305" s="34"/>
      <c r="Q2305" s="34"/>
      <c r="R2305" s="34"/>
      <c r="S2305" s="34"/>
    </row>
    <row r="2306" spans="14:19">
      <c r="N2306" s="34"/>
      <c r="O2306" s="34"/>
      <c r="P2306" s="34"/>
      <c r="Q2306" s="34"/>
      <c r="R2306" s="34"/>
      <c r="S2306" s="34"/>
    </row>
    <row r="2307" spans="14:19">
      <c r="N2307" s="34"/>
      <c r="O2307" s="34"/>
      <c r="P2307" s="34"/>
      <c r="Q2307" s="34"/>
      <c r="R2307" s="34"/>
      <c r="S2307" s="34"/>
    </row>
    <row r="2308" spans="14:19">
      <c r="N2308" s="34"/>
      <c r="O2308" s="34"/>
      <c r="P2308" s="34"/>
      <c r="Q2308" s="34"/>
      <c r="R2308" s="34"/>
      <c r="S2308" s="34"/>
    </row>
    <row r="2309" spans="14:19">
      <c r="N2309" s="34"/>
      <c r="O2309" s="34"/>
      <c r="P2309" s="34"/>
      <c r="Q2309" s="34"/>
      <c r="R2309" s="34"/>
      <c r="S2309" s="34"/>
    </row>
    <row r="2310" spans="14:19">
      <c r="N2310" s="34"/>
      <c r="O2310" s="34"/>
      <c r="P2310" s="34"/>
      <c r="Q2310" s="34"/>
      <c r="R2310" s="34"/>
      <c r="S2310" s="34"/>
    </row>
    <row r="2311" spans="14:19">
      <c r="N2311" s="34"/>
      <c r="O2311" s="34"/>
      <c r="P2311" s="34"/>
      <c r="Q2311" s="34"/>
      <c r="R2311" s="34"/>
      <c r="S2311" s="34"/>
    </row>
    <row r="2312" spans="14:19">
      <c r="N2312" s="34"/>
      <c r="O2312" s="34"/>
      <c r="P2312" s="34"/>
      <c r="Q2312" s="34"/>
      <c r="R2312" s="34"/>
      <c r="S2312" s="34"/>
    </row>
    <row r="2313" spans="14:19">
      <c r="N2313" s="34"/>
      <c r="O2313" s="34"/>
      <c r="P2313" s="34"/>
      <c r="Q2313" s="34"/>
      <c r="R2313" s="34"/>
      <c r="S2313" s="34"/>
    </row>
    <row r="2314" spans="14:19">
      <c r="N2314" s="34"/>
      <c r="O2314" s="34"/>
      <c r="P2314" s="34"/>
      <c r="Q2314" s="34"/>
      <c r="R2314" s="34"/>
      <c r="S2314" s="34"/>
    </row>
    <row r="2315" spans="14:19">
      <c r="N2315" s="34"/>
      <c r="O2315" s="34"/>
      <c r="P2315" s="34"/>
      <c r="Q2315" s="34"/>
      <c r="R2315" s="34"/>
      <c r="S2315" s="34"/>
    </row>
    <row r="2316" spans="14:19">
      <c r="N2316" s="34"/>
      <c r="O2316" s="34"/>
      <c r="P2316" s="34"/>
      <c r="Q2316" s="34"/>
      <c r="R2316" s="34"/>
      <c r="S2316" s="34"/>
    </row>
    <row r="2317" spans="14:19">
      <c r="N2317" s="34"/>
      <c r="O2317" s="34"/>
      <c r="P2317" s="34"/>
      <c r="Q2317" s="34"/>
      <c r="R2317" s="34"/>
      <c r="S2317" s="34"/>
    </row>
    <row r="2318" spans="14:19">
      <c r="N2318" s="34"/>
      <c r="O2318" s="34"/>
      <c r="P2318" s="34"/>
      <c r="Q2318" s="34"/>
      <c r="R2318" s="34"/>
      <c r="S2318" s="34"/>
    </row>
    <row r="2319" spans="14:19">
      <c r="N2319" s="34"/>
      <c r="O2319" s="34"/>
      <c r="P2319" s="34"/>
      <c r="Q2319" s="34"/>
      <c r="R2319" s="34"/>
      <c r="S2319" s="34"/>
    </row>
    <row r="2320" spans="14:19">
      <c r="N2320" s="34"/>
      <c r="O2320" s="34"/>
      <c r="P2320" s="34"/>
      <c r="Q2320" s="34"/>
      <c r="R2320" s="34"/>
      <c r="S2320" s="34"/>
    </row>
    <row r="2321" spans="14:19">
      <c r="N2321" s="34"/>
      <c r="O2321" s="34"/>
      <c r="P2321" s="34"/>
      <c r="Q2321" s="34"/>
      <c r="R2321" s="34"/>
      <c r="S2321" s="34"/>
    </row>
    <row r="2322" spans="14:19">
      <c r="N2322" s="34"/>
      <c r="O2322" s="34"/>
      <c r="P2322" s="34"/>
      <c r="Q2322" s="34"/>
      <c r="R2322" s="34"/>
      <c r="S2322" s="34"/>
    </row>
    <row r="2323" spans="14:19">
      <c r="N2323" s="34"/>
      <c r="O2323" s="34"/>
      <c r="P2323" s="34"/>
      <c r="Q2323" s="34"/>
      <c r="R2323" s="34"/>
      <c r="S2323" s="34"/>
    </row>
    <row r="2324" spans="14:19">
      <c r="N2324" s="34"/>
      <c r="O2324" s="34"/>
      <c r="P2324" s="34"/>
      <c r="Q2324" s="34"/>
      <c r="R2324" s="34"/>
      <c r="S2324" s="34"/>
    </row>
    <row r="2325" spans="14:19">
      <c r="N2325" s="34"/>
      <c r="O2325" s="34"/>
      <c r="P2325" s="34"/>
      <c r="Q2325" s="34"/>
      <c r="R2325" s="34"/>
      <c r="S2325" s="34"/>
    </row>
    <row r="2326" spans="14:19">
      <c r="N2326" s="34"/>
      <c r="O2326" s="34"/>
      <c r="P2326" s="34"/>
      <c r="Q2326" s="34"/>
      <c r="R2326" s="34"/>
      <c r="S2326" s="34"/>
    </row>
    <row r="2327" spans="14:19">
      <c r="N2327" s="34"/>
      <c r="O2327" s="34"/>
      <c r="P2327" s="34"/>
      <c r="Q2327" s="34"/>
      <c r="R2327" s="34"/>
      <c r="S2327" s="34"/>
    </row>
    <row r="2328" spans="14:19">
      <c r="N2328" s="34"/>
      <c r="O2328" s="34"/>
      <c r="P2328" s="34"/>
      <c r="Q2328" s="34"/>
      <c r="R2328" s="34"/>
      <c r="S2328" s="34"/>
    </row>
    <row r="2329" spans="14:19">
      <c r="N2329" s="34"/>
      <c r="O2329" s="34"/>
      <c r="P2329" s="34"/>
      <c r="Q2329" s="34"/>
      <c r="R2329" s="34"/>
      <c r="S2329" s="34"/>
    </row>
    <row r="2330" spans="14:19">
      <c r="N2330" s="34"/>
      <c r="O2330" s="34"/>
      <c r="P2330" s="34"/>
      <c r="Q2330" s="34"/>
      <c r="R2330" s="34"/>
      <c r="S2330" s="34"/>
    </row>
    <row r="2331" spans="14:19">
      <c r="N2331" s="34"/>
      <c r="O2331" s="34"/>
      <c r="P2331" s="34"/>
      <c r="Q2331" s="34"/>
      <c r="R2331" s="34"/>
      <c r="S2331" s="34"/>
    </row>
    <row r="2332" spans="14:19">
      <c r="N2332" s="34"/>
      <c r="O2332" s="34"/>
      <c r="P2332" s="34"/>
      <c r="Q2332" s="34"/>
      <c r="R2332" s="34"/>
      <c r="S2332" s="34"/>
    </row>
    <row r="2333" spans="14:19">
      <c r="N2333" s="34"/>
      <c r="O2333" s="34"/>
      <c r="P2333" s="34"/>
      <c r="Q2333" s="34"/>
      <c r="R2333" s="34"/>
      <c r="S2333" s="34"/>
    </row>
    <row r="2334" spans="14:19">
      <c r="N2334" s="34"/>
      <c r="O2334" s="34"/>
      <c r="P2334" s="34"/>
      <c r="Q2334" s="34"/>
      <c r="R2334" s="34"/>
      <c r="S2334" s="34"/>
    </row>
    <row r="2335" spans="14:19">
      <c r="N2335" s="34"/>
      <c r="O2335" s="34"/>
      <c r="P2335" s="34"/>
      <c r="Q2335" s="34"/>
      <c r="R2335" s="34"/>
      <c r="S2335" s="34"/>
    </row>
    <row r="2336" spans="14:19">
      <c r="N2336" s="34"/>
      <c r="O2336" s="34"/>
      <c r="P2336" s="34"/>
      <c r="Q2336" s="34"/>
      <c r="R2336" s="34"/>
      <c r="S2336" s="34"/>
    </row>
    <row r="2337" spans="14:19">
      <c r="N2337" s="34"/>
      <c r="O2337" s="34"/>
      <c r="P2337" s="34"/>
      <c r="Q2337" s="34"/>
      <c r="R2337" s="34"/>
      <c r="S2337" s="34"/>
    </row>
    <row r="2338" spans="14:19">
      <c r="N2338" s="34"/>
      <c r="O2338" s="34"/>
      <c r="P2338" s="34"/>
      <c r="Q2338" s="34"/>
      <c r="R2338" s="34"/>
      <c r="S2338" s="34"/>
    </row>
    <row r="2339" spans="14:19">
      <c r="N2339" s="34"/>
      <c r="O2339" s="34"/>
      <c r="P2339" s="34"/>
      <c r="Q2339" s="34"/>
      <c r="R2339" s="34"/>
      <c r="S2339" s="34"/>
    </row>
    <row r="2340" spans="14:19">
      <c r="N2340" s="34"/>
      <c r="O2340" s="34"/>
      <c r="P2340" s="34"/>
      <c r="Q2340" s="34"/>
      <c r="R2340" s="34"/>
      <c r="S2340" s="34"/>
    </row>
    <row r="2341" spans="14:19">
      <c r="N2341" s="34"/>
      <c r="O2341" s="34"/>
      <c r="P2341" s="34"/>
      <c r="Q2341" s="34"/>
      <c r="R2341" s="34"/>
      <c r="S2341" s="34"/>
    </row>
    <row r="2342" spans="14:19">
      <c r="N2342" s="34"/>
      <c r="O2342" s="34"/>
      <c r="P2342" s="34"/>
      <c r="Q2342" s="34"/>
      <c r="R2342" s="34"/>
      <c r="S2342" s="34"/>
    </row>
    <row r="2343" spans="14:19">
      <c r="N2343" s="34"/>
      <c r="O2343" s="34"/>
      <c r="P2343" s="34"/>
      <c r="Q2343" s="34"/>
      <c r="R2343" s="34"/>
      <c r="S2343" s="34"/>
    </row>
    <row r="2344" spans="14:19">
      <c r="N2344" s="34"/>
      <c r="O2344" s="34"/>
      <c r="P2344" s="34"/>
      <c r="Q2344" s="34"/>
      <c r="R2344" s="34"/>
      <c r="S2344" s="34"/>
    </row>
    <row r="2345" spans="14:19">
      <c r="N2345" s="34"/>
      <c r="O2345" s="34"/>
      <c r="P2345" s="34"/>
      <c r="Q2345" s="34"/>
      <c r="R2345" s="34"/>
      <c r="S2345" s="34"/>
    </row>
    <row r="2346" spans="14:19">
      <c r="N2346" s="34"/>
      <c r="O2346" s="34"/>
      <c r="P2346" s="34"/>
      <c r="Q2346" s="34"/>
      <c r="R2346" s="34"/>
      <c r="S2346" s="34"/>
    </row>
    <row r="2347" spans="14:19">
      <c r="N2347" s="34"/>
      <c r="O2347" s="34"/>
      <c r="P2347" s="34"/>
      <c r="Q2347" s="34"/>
      <c r="R2347" s="34"/>
      <c r="S2347" s="34"/>
    </row>
    <row r="2348" spans="14:19">
      <c r="N2348" s="34"/>
      <c r="O2348" s="34"/>
      <c r="P2348" s="34"/>
      <c r="Q2348" s="34"/>
      <c r="R2348" s="34"/>
      <c r="S2348" s="34"/>
    </row>
    <row r="2349" spans="14:19">
      <c r="N2349" s="34"/>
      <c r="O2349" s="34"/>
      <c r="P2349" s="34"/>
      <c r="Q2349" s="34"/>
      <c r="R2349" s="34"/>
      <c r="S2349" s="34"/>
    </row>
    <row r="2350" spans="14:19">
      <c r="N2350" s="34"/>
      <c r="O2350" s="34"/>
      <c r="P2350" s="34"/>
      <c r="Q2350" s="34"/>
      <c r="R2350" s="34"/>
      <c r="S2350" s="34"/>
    </row>
    <row r="2351" spans="14:19">
      <c r="N2351" s="34"/>
      <c r="O2351" s="34"/>
      <c r="P2351" s="34"/>
      <c r="Q2351" s="34"/>
      <c r="R2351" s="34"/>
      <c r="S2351" s="34"/>
    </row>
    <row r="2352" spans="14:19">
      <c r="N2352" s="34"/>
      <c r="O2352" s="34"/>
      <c r="P2352" s="34"/>
      <c r="Q2352" s="34"/>
      <c r="R2352" s="34"/>
      <c r="S2352" s="34"/>
    </row>
    <row r="2353" spans="14:19">
      <c r="N2353" s="34"/>
      <c r="O2353" s="34"/>
      <c r="P2353" s="34"/>
      <c r="Q2353" s="34"/>
      <c r="R2353" s="34"/>
      <c r="S2353" s="34"/>
    </row>
    <row r="2354" spans="14:19">
      <c r="N2354" s="34"/>
      <c r="O2354" s="34"/>
      <c r="P2354" s="34"/>
      <c r="Q2354" s="34"/>
      <c r="R2354" s="34"/>
      <c r="S2354" s="34"/>
    </row>
    <row r="2355" spans="14:19">
      <c r="N2355" s="34"/>
      <c r="O2355" s="34"/>
      <c r="P2355" s="34"/>
      <c r="Q2355" s="34"/>
      <c r="R2355" s="34"/>
      <c r="S2355" s="34"/>
    </row>
    <row r="2356" spans="14:19">
      <c r="N2356" s="34"/>
      <c r="O2356" s="34"/>
      <c r="P2356" s="34"/>
      <c r="Q2356" s="34"/>
      <c r="R2356" s="34"/>
      <c r="S2356" s="34"/>
    </row>
    <row r="2357" spans="14:19">
      <c r="N2357" s="34"/>
      <c r="O2357" s="34"/>
      <c r="P2357" s="34"/>
      <c r="Q2357" s="34"/>
      <c r="R2357" s="34"/>
      <c r="S2357" s="34"/>
    </row>
    <row r="2358" spans="14:19">
      <c r="N2358" s="34"/>
      <c r="O2358" s="34"/>
      <c r="P2358" s="34"/>
      <c r="Q2358" s="34"/>
      <c r="R2358" s="34"/>
      <c r="S2358" s="34"/>
    </row>
    <row r="2359" spans="14:19">
      <c r="N2359" s="34"/>
      <c r="O2359" s="34"/>
      <c r="P2359" s="34"/>
      <c r="Q2359" s="34"/>
      <c r="R2359" s="34"/>
      <c r="S2359" s="34"/>
    </row>
    <row r="2360" spans="14:19">
      <c r="N2360" s="34"/>
      <c r="O2360" s="34"/>
      <c r="P2360" s="34"/>
      <c r="Q2360" s="34"/>
      <c r="R2360" s="34"/>
      <c r="S2360" s="34"/>
    </row>
    <row r="2361" spans="14:19">
      <c r="N2361" s="34"/>
      <c r="O2361" s="34"/>
      <c r="P2361" s="34"/>
      <c r="Q2361" s="34"/>
      <c r="R2361" s="34"/>
      <c r="S2361" s="34"/>
    </row>
    <row r="2362" spans="14:19">
      <c r="N2362" s="34"/>
      <c r="O2362" s="34"/>
      <c r="P2362" s="34"/>
      <c r="Q2362" s="34"/>
      <c r="R2362" s="34"/>
      <c r="S2362" s="34"/>
    </row>
    <row r="2363" spans="14:19">
      <c r="N2363" s="34"/>
      <c r="O2363" s="34"/>
      <c r="P2363" s="34"/>
      <c r="Q2363" s="34"/>
      <c r="R2363" s="34"/>
      <c r="S2363" s="34"/>
    </row>
    <row r="2364" spans="14:19">
      <c r="N2364" s="34"/>
      <c r="O2364" s="34"/>
      <c r="P2364" s="34"/>
      <c r="Q2364" s="34"/>
      <c r="R2364" s="34"/>
      <c r="S2364" s="34"/>
    </row>
    <row r="2365" spans="14:19">
      <c r="N2365" s="34"/>
      <c r="O2365" s="34"/>
      <c r="P2365" s="34"/>
      <c r="Q2365" s="34"/>
      <c r="R2365" s="34"/>
      <c r="S2365" s="34"/>
    </row>
    <row r="2366" spans="14:19">
      <c r="N2366" s="34"/>
      <c r="O2366" s="34"/>
      <c r="P2366" s="34"/>
      <c r="Q2366" s="34"/>
      <c r="R2366" s="34"/>
      <c r="S2366" s="34"/>
    </row>
    <row r="2367" spans="14:19">
      <c r="N2367" s="34"/>
      <c r="O2367" s="34"/>
      <c r="P2367" s="34"/>
      <c r="Q2367" s="34"/>
      <c r="R2367" s="34"/>
      <c r="S2367" s="34"/>
    </row>
    <row r="2368" spans="14:19">
      <c r="N2368" s="34"/>
      <c r="O2368" s="34"/>
      <c r="P2368" s="34"/>
      <c r="Q2368" s="34"/>
      <c r="R2368" s="34"/>
      <c r="S2368" s="34"/>
    </row>
    <row r="2369" spans="14:19">
      <c r="N2369" s="34"/>
      <c r="O2369" s="34"/>
      <c r="P2369" s="34"/>
      <c r="Q2369" s="34"/>
      <c r="R2369" s="34"/>
      <c r="S2369" s="34"/>
    </row>
    <row r="2370" spans="14:19">
      <c r="N2370" s="34"/>
      <c r="O2370" s="34"/>
      <c r="P2370" s="34"/>
      <c r="Q2370" s="34"/>
      <c r="R2370" s="34"/>
      <c r="S2370" s="34"/>
    </row>
    <row r="2371" spans="14:19">
      <c r="N2371" s="34"/>
      <c r="O2371" s="34"/>
      <c r="P2371" s="34"/>
      <c r="Q2371" s="34"/>
      <c r="R2371" s="34"/>
      <c r="S2371" s="34"/>
    </row>
    <row r="2372" spans="14:19">
      <c r="N2372" s="34"/>
      <c r="O2372" s="34"/>
      <c r="P2372" s="34"/>
      <c r="Q2372" s="34"/>
      <c r="R2372" s="34"/>
      <c r="S2372" s="34"/>
    </row>
    <row r="2373" spans="14:19">
      <c r="N2373" s="34"/>
      <c r="O2373" s="34"/>
      <c r="P2373" s="34"/>
      <c r="Q2373" s="34"/>
      <c r="R2373" s="34"/>
      <c r="S2373" s="34"/>
    </row>
    <row r="2374" spans="14:19">
      <c r="N2374" s="34"/>
      <c r="O2374" s="34"/>
      <c r="P2374" s="34"/>
      <c r="Q2374" s="34"/>
      <c r="R2374" s="34"/>
      <c r="S2374" s="34"/>
    </row>
    <row r="2375" spans="14:19">
      <c r="N2375" s="34"/>
      <c r="O2375" s="34"/>
      <c r="P2375" s="34"/>
      <c r="Q2375" s="34"/>
      <c r="R2375" s="34"/>
      <c r="S2375" s="34"/>
    </row>
    <row r="2376" spans="14:19">
      <c r="N2376" s="34"/>
      <c r="O2376" s="34"/>
      <c r="P2376" s="34"/>
      <c r="Q2376" s="34"/>
      <c r="R2376" s="34"/>
      <c r="S2376" s="34"/>
    </row>
    <row r="2377" spans="14:19">
      <c r="N2377" s="34"/>
      <c r="O2377" s="34"/>
      <c r="P2377" s="34"/>
      <c r="Q2377" s="34"/>
      <c r="R2377" s="34"/>
      <c r="S2377" s="34"/>
    </row>
    <row r="2378" spans="14:19">
      <c r="N2378" s="34"/>
      <c r="O2378" s="34"/>
      <c r="P2378" s="34"/>
      <c r="Q2378" s="34"/>
      <c r="R2378" s="34"/>
      <c r="S2378" s="34"/>
    </row>
    <row r="2379" spans="14:19">
      <c r="N2379" s="34"/>
      <c r="O2379" s="34"/>
      <c r="P2379" s="34"/>
      <c r="Q2379" s="34"/>
      <c r="R2379" s="34"/>
      <c r="S2379" s="34"/>
    </row>
    <row r="2380" spans="14:19">
      <c r="N2380" s="34"/>
      <c r="O2380" s="34"/>
      <c r="P2380" s="34"/>
      <c r="Q2380" s="34"/>
      <c r="R2380" s="34"/>
      <c r="S2380" s="34"/>
    </row>
    <row r="2381" spans="14:19">
      <c r="N2381" s="34"/>
      <c r="O2381" s="34"/>
      <c r="P2381" s="34"/>
      <c r="Q2381" s="34"/>
      <c r="R2381" s="34"/>
      <c r="S2381" s="34"/>
    </row>
    <row r="2382" spans="14:19">
      <c r="N2382" s="34"/>
      <c r="O2382" s="34"/>
      <c r="P2382" s="34"/>
      <c r="Q2382" s="34"/>
      <c r="R2382" s="34"/>
      <c r="S2382" s="34"/>
    </row>
    <row r="2383" spans="14:19">
      <c r="N2383" s="34"/>
      <c r="O2383" s="34"/>
      <c r="P2383" s="34"/>
      <c r="Q2383" s="34"/>
      <c r="R2383" s="34"/>
      <c r="S2383" s="34"/>
    </row>
    <row r="2384" spans="14:19">
      <c r="N2384" s="34"/>
      <c r="O2384" s="34"/>
      <c r="P2384" s="34"/>
      <c r="Q2384" s="34"/>
      <c r="R2384" s="34"/>
      <c r="S2384" s="34"/>
    </row>
    <row r="2385" spans="14:19">
      <c r="N2385" s="34"/>
      <c r="O2385" s="34"/>
      <c r="P2385" s="34"/>
      <c r="Q2385" s="34"/>
      <c r="R2385" s="34"/>
      <c r="S2385" s="34"/>
    </row>
    <row r="2386" spans="14:19">
      <c r="N2386" s="34"/>
      <c r="O2386" s="34"/>
      <c r="P2386" s="34"/>
      <c r="Q2386" s="34"/>
      <c r="R2386" s="34"/>
      <c r="S2386" s="34"/>
    </row>
    <row r="2387" spans="14:19">
      <c r="N2387" s="34"/>
      <c r="O2387" s="34"/>
      <c r="P2387" s="34"/>
      <c r="Q2387" s="34"/>
      <c r="R2387" s="34"/>
      <c r="S2387" s="34"/>
    </row>
    <row r="2388" spans="14:19">
      <c r="N2388" s="34"/>
      <c r="O2388" s="34"/>
      <c r="P2388" s="34"/>
      <c r="Q2388" s="34"/>
      <c r="R2388" s="34"/>
      <c r="S2388" s="34"/>
    </row>
    <row r="2389" spans="14:19">
      <c r="N2389" s="34"/>
      <c r="O2389" s="34"/>
      <c r="P2389" s="34"/>
      <c r="Q2389" s="34"/>
      <c r="R2389" s="34"/>
      <c r="S2389" s="34"/>
    </row>
    <row r="2390" spans="14:19">
      <c r="N2390" s="34"/>
      <c r="O2390" s="34"/>
      <c r="P2390" s="34"/>
      <c r="Q2390" s="34"/>
      <c r="R2390" s="34"/>
      <c r="S2390" s="34"/>
    </row>
    <row r="2391" spans="14:19">
      <c r="N2391" s="34"/>
      <c r="O2391" s="34"/>
      <c r="P2391" s="34"/>
      <c r="Q2391" s="34"/>
      <c r="R2391" s="34"/>
      <c r="S2391" s="34"/>
    </row>
    <row r="2392" spans="14:19">
      <c r="N2392" s="34"/>
      <c r="O2392" s="34"/>
      <c r="P2392" s="34"/>
      <c r="Q2392" s="34"/>
      <c r="R2392" s="34"/>
      <c r="S2392" s="34"/>
    </row>
    <row r="2393" spans="14:19">
      <c r="N2393" s="34"/>
      <c r="O2393" s="34"/>
      <c r="P2393" s="34"/>
      <c r="Q2393" s="34"/>
      <c r="R2393" s="34"/>
      <c r="S2393" s="34"/>
    </row>
    <row r="2394" spans="14:19">
      <c r="N2394" s="34"/>
      <c r="O2394" s="34"/>
      <c r="P2394" s="34"/>
      <c r="Q2394" s="34"/>
      <c r="R2394" s="34"/>
      <c r="S2394" s="34"/>
    </row>
    <row r="2395" spans="14:19">
      <c r="N2395" s="34"/>
      <c r="O2395" s="34"/>
      <c r="P2395" s="34"/>
      <c r="Q2395" s="34"/>
      <c r="R2395" s="34"/>
      <c r="S2395" s="34"/>
    </row>
    <row r="2396" spans="14:19">
      <c r="N2396" s="34"/>
      <c r="O2396" s="34"/>
      <c r="P2396" s="34"/>
      <c r="Q2396" s="34"/>
      <c r="R2396" s="34"/>
      <c r="S2396" s="34"/>
    </row>
    <row r="2397" spans="14:19">
      <c r="N2397" s="34"/>
      <c r="O2397" s="34"/>
      <c r="P2397" s="34"/>
      <c r="Q2397" s="34"/>
      <c r="R2397" s="34"/>
      <c r="S2397" s="34"/>
    </row>
    <row r="2398" spans="14:19">
      <c r="N2398" s="34"/>
      <c r="O2398" s="34"/>
      <c r="P2398" s="34"/>
      <c r="Q2398" s="34"/>
      <c r="R2398" s="34"/>
      <c r="S2398" s="34"/>
    </row>
    <row r="2399" spans="14:19">
      <c r="N2399" s="34"/>
      <c r="O2399" s="34"/>
      <c r="P2399" s="34"/>
      <c r="Q2399" s="34"/>
      <c r="R2399" s="34"/>
      <c r="S2399" s="34"/>
    </row>
    <row r="2400" spans="14:19">
      <c r="N2400" s="34"/>
      <c r="O2400" s="34"/>
      <c r="P2400" s="34"/>
      <c r="Q2400" s="34"/>
      <c r="R2400" s="34"/>
      <c r="S2400" s="34"/>
    </row>
    <row r="2401" spans="14:19">
      <c r="N2401" s="34"/>
      <c r="O2401" s="34"/>
      <c r="P2401" s="34"/>
      <c r="Q2401" s="34"/>
      <c r="R2401" s="34"/>
      <c r="S2401" s="34"/>
    </row>
    <row r="2402" spans="14:19">
      <c r="N2402" s="34"/>
      <c r="O2402" s="34"/>
      <c r="P2402" s="34"/>
      <c r="Q2402" s="34"/>
      <c r="R2402" s="34"/>
      <c r="S2402" s="34"/>
    </row>
    <row r="2403" spans="14:19">
      <c r="N2403" s="34"/>
      <c r="O2403" s="34"/>
      <c r="P2403" s="34"/>
      <c r="Q2403" s="34"/>
      <c r="R2403" s="34"/>
      <c r="S2403" s="34"/>
    </row>
    <row r="2404" spans="14:19">
      <c r="N2404" s="34"/>
      <c r="O2404" s="34"/>
      <c r="P2404" s="34"/>
      <c r="Q2404" s="34"/>
      <c r="R2404" s="34"/>
      <c r="S2404" s="34"/>
    </row>
    <row r="2405" spans="14:19">
      <c r="N2405" s="34"/>
      <c r="O2405" s="34"/>
      <c r="P2405" s="34"/>
      <c r="Q2405" s="34"/>
      <c r="R2405" s="34"/>
      <c r="S2405" s="34"/>
    </row>
    <row r="2406" spans="14:19">
      <c r="N2406" s="34"/>
      <c r="O2406" s="34"/>
      <c r="P2406" s="34"/>
      <c r="Q2406" s="34"/>
      <c r="R2406" s="34"/>
      <c r="S2406" s="34"/>
    </row>
    <row r="2407" spans="14:19">
      <c r="N2407" s="34"/>
      <c r="O2407" s="34"/>
      <c r="P2407" s="34"/>
      <c r="Q2407" s="34"/>
      <c r="R2407" s="34"/>
      <c r="S2407" s="34"/>
    </row>
    <row r="2408" spans="14:19">
      <c r="N2408" s="34"/>
      <c r="O2408" s="34"/>
      <c r="P2408" s="34"/>
      <c r="Q2408" s="34"/>
      <c r="R2408" s="34"/>
      <c r="S2408" s="34"/>
    </row>
    <row r="2409" spans="14:19">
      <c r="N2409" s="34"/>
      <c r="O2409" s="34"/>
      <c r="P2409" s="34"/>
      <c r="Q2409" s="34"/>
      <c r="R2409" s="34"/>
      <c r="S2409" s="34"/>
    </row>
    <row r="2410" spans="14:19">
      <c r="N2410" s="34"/>
      <c r="O2410" s="34"/>
      <c r="P2410" s="34"/>
      <c r="Q2410" s="34"/>
      <c r="R2410" s="34"/>
      <c r="S2410" s="34"/>
    </row>
    <row r="2411" spans="14:19">
      <c r="N2411" s="34"/>
      <c r="O2411" s="34"/>
      <c r="P2411" s="34"/>
      <c r="Q2411" s="34"/>
      <c r="R2411" s="34"/>
      <c r="S2411" s="34"/>
    </row>
    <row r="2412" spans="14:19">
      <c r="N2412" s="34"/>
      <c r="O2412" s="34"/>
      <c r="P2412" s="34"/>
      <c r="Q2412" s="34"/>
      <c r="R2412" s="34"/>
      <c r="S2412" s="34"/>
    </row>
    <row r="2413" spans="14:19">
      <c r="N2413" s="34"/>
      <c r="O2413" s="34"/>
      <c r="P2413" s="34"/>
      <c r="Q2413" s="34"/>
      <c r="R2413" s="34"/>
      <c r="S2413" s="34"/>
    </row>
    <row r="2414" spans="14:19">
      <c r="N2414" s="34"/>
      <c r="O2414" s="34"/>
      <c r="P2414" s="34"/>
      <c r="Q2414" s="34"/>
      <c r="R2414" s="34"/>
      <c r="S2414" s="34"/>
    </row>
    <row r="2415" spans="14:19">
      <c r="N2415" s="34"/>
      <c r="O2415" s="34"/>
      <c r="P2415" s="34"/>
      <c r="Q2415" s="34"/>
      <c r="R2415" s="34"/>
      <c r="S2415" s="34"/>
    </row>
    <row r="2416" spans="14:19">
      <c r="N2416" s="34"/>
      <c r="O2416" s="34"/>
      <c r="P2416" s="34"/>
      <c r="Q2416" s="34"/>
      <c r="R2416" s="34"/>
      <c r="S2416" s="34"/>
    </row>
    <row r="2417" spans="14:19">
      <c r="N2417" s="34"/>
      <c r="O2417" s="34"/>
      <c r="P2417" s="34"/>
      <c r="Q2417" s="34"/>
      <c r="R2417" s="34"/>
      <c r="S2417" s="34"/>
    </row>
    <row r="2418" spans="14:19">
      <c r="N2418" s="34"/>
      <c r="O2418" s="34"/>
      <c r="P2418" s="34"/>
      <c r="Q2418" s="34"/>
      <c r="R2418" s="34"/>
      <c r="S2418" s="34"/>
    </row>
    <row r="2419" spans="14:19">
      <c r="N2419" s="34"/>
      <c r="O2419" s="34"/>
      <c r="P2419" s="34"/>
      <c r="Q2419" s="34"/>
      <c r="R2419" s="34"/>
      <c r="S2419" s="34"/>
    </row>
    <row r="2420" spans="14:19">
      <c r="N2420" s="34"/>
      <c r="O2420" s="34"/>
      <c r="P2420" s="34"/>
      <c r="Q2420" s="34"/>
      <c r="R2420" s="34"/>
      <c r="S2420" s="34"/>
    </row>
    <row r="2421" spans="14:19">
      <c r="N2421" s="34"/>
      <c r="O2421" s="34"/>
      <c r="P2421" s="34"/>
      <c r="Q2421" s="34"/>
      <c r="R2421" s="34"/>
      <c r="S2421" s="34"/>
    </row>
    <row r="2422" spans="14:19">
      <c r="N2422" s="34"/>
      <c r="O2422" s="34"/>
      <c r="P2422" s="34"/>
      <c r="Q2422" s="34"/>
      <c r="R2422" s="34"/>
      <c r="S2422" s="34"/>
    </row>
    <row r="2423" spans="14:19">
      <c r="N2423" s="34"/>
      <c r="O2423" s="34"/>
      <c r="P2423" s="34"/>
      <c r="Q2423" s="34"/>
      <c r="R2423" s="34"/>
      <c r="S2423" s="34"/>
    </row>
    <row r="2424" spans="14:19">
      <c r="N2424" s="34"/>
      <c r="O2424" s="34"/>
      <c r="P2424" s="34"/>
      <c r="Q2424" s="34"/>
      <c r="R2424" s="34"/>
      <c r="S2424" s="34"/>
    </row>
    <row r="2425" spans="14:19">
      <c r="N2425" s="34"/>
      <c r="O2425" s="34"/>
      <c r="P2425" s="34"/>
      <c r="Q2425" s="34"/>
      <c r="R2425" s="34"/>
      <c r="S2425" s="34"/>
    </row>
    <row r="2426" spans="14:19">
      <c r="N2426" s="34"/>
      <c r="O2426" s="34"/>
      <c r="P2426" s="34"/>
      <c r="Q2426" s="34"/>
      <c r="R2426" s="34"/>
      <c r="S2426" s="34"/>
    </row>
    <row r="2427" spans="14:19">
      <c r="N2427" s="34"/>
      <c r="O2427" s="34"/>
      <c r="P2427" s="34"/>
      <c r="Q2427" s="34"/>
      <c r="R2427" s="34"/>
      <c r="S2427" s="34"/>
    </row>
    <row r="2428" spans="14:19">
      <c r="N2428" s="34"/>
      <c r="O2428" s="34"/>
      <c r="P2428" s="34"/>
      <c r="Q2428" s="34"/>
      <c r="R2428" s="34"/>
      <c r="S2428" s="34"/>
    </row>
    <row r="2429" spans="14:19">
      <c r="N2429" s="34"/>
      <c r="O2429" s="34"/>
      <c r="P2429" s="34"/>
      <c r="Q2429" s="34"/>
      <c r="R2429" s="34"/>
      <c r="S2429" s="34"/>
    </row>
    <row r="2430" spans="14:19">
      <c r="N2430" s="34"/>
      <c r="O2430" s="34"/>
      <c r="P2430" s="34"/>
      <c r="Q2430" s="34"/>
      <c r="R2430" s="34"/>
      <c r="S2430" s="34"/>
    </row>
    <row r="2431" spans="14:19">
      <c r="N2431" s="34"/>
      <c r="O2431" s="34"/>
      <c r="P2431" s="34"/>
      <c r="Q2431" s="34"/>
      <c r="R2431" s="34"/>
      <c r="S2431" s="34"/>
    </row>
    <row r="2432" spans="14:19">
      <c r="N2432" s="34"/>
      <c r="O2432" s="34"/>
      <c r="P2432" s="34"/>
      <c r="Q2432" s="34"/>
      <c r="R2432" s="34"/>
      <c r="S2432" s="34"/>
    </row>
    <row r="2433" spans="14:19">
      <c r="N2433" s="34"/>
      <c r="O2433" s="34"/>
      <c r="P2433" s="34"/>
      <c r="Q2433" s="34"/>
      <c r="R2433" s="34"/>
      <c r="S2433" s="34"/>
    </row>
    <row r="2434" spans="14:19">
      <c r="N2434" s="34"/>
      <c r="O2434" s="34"/>
      <c r="P2434" s="34"/>
      <c r="Q2434" s="34"/>
      <c r="R2434" s="34"/>
      <c r="S2434" s="34"/>
    </row>
    <row r="2435" spans="14:19">
      <c r="N2435" s="34"/>
      <c r="O2435" s="34"/>
      <c r="P2435" s="34"/>
      <c r="Q2435" s="34"/>
      <c r="R2435" s="34"/>
      <c r="S2435" s="34"/>
    </row>
    <row r="2436" spans="14:19">
      <c r="N2436" s="34"/>
      <c r="O2436" s="34"/>
      <c r="P2436" s="34"/>
      <c r="Q2436" s="34"/>
      <c r="R2436" s="34"/>
      <c r="S2436" s="34"/>
    </row>
    <row r="2437" spans="14:19">
      <c r="N2437" s="34"/>
      <c r="O2437" s="34"/>
      <c r="P2437" s="34"/>
      <c r="Q2437" s="34"/>
      <c r="R2437" s="34"/>
      <c r="S2437" s="34"/>
    </row>
    <row r="2438" spans="14:19">
      <c r="N2438" s="34"/>
      <c r="O2438" s="34"/>
      <c r="P2438" s="34"/>
      <c r="Q2438" s="34"/>
      <c r="R2438" s="34"/>
      <c r="S2438" s="34"/>
    </row>
    <row r="2439" spans="14:19">
      <c r="N2439" s="34"/>
      <c r="O2439" s="34"/>
      <c r="P2439" s="34"/>
      <c r="Q2439" s="34"/>
      <c r="R2439" s="34"/>
      <c r="S2439" s="34"/>
    </row>
    <row r="2440" spans="14:19">
      <c r="N2440" s="34"/>
      <c r="O2440" s="34"/>
      <c r="P2440" s="34"/>
      <c r="Q2440" s="34"/>
      <c r="R2440" s="34"/>
      <c r="S2440" s="34"/>
    </row>
    <row r="2441" spans="14:19">
      <c r="N2441" s="34"/>
      <c r="O2441" s="34"/>
      <c r="P2441" s="34"/>
      <c r="Q2441" s="34"/>
      <c r="R2441" s="34"/>
      <c r="S2441" s="34"/>
    </row>
    <row r="2442" spans="14:19">
      <c r="N2442" s="34"/>
      <c r="O2442" s="34"/>
      <c r="P2442" s="34"/>
      <c r="Q2442" s="34"/>
      <c r="R2442" s="34"/>
      <c r="S2442" s="34"/>
    </row>
    <row r="2443" spans="14:19">
      <c r="N2443" s="34"/>
      <c r="O2443" s="34"/>
      <c r="P2443" s="34"/>
      <c r="Q2443" s="34"/>
      <c r="R2443" s="34"/>
      <c r="S2443" s="34"/>
    </row>
    <row r="2444" spans="14:19">
      <c r="N2444" s="34"/>
      <c r="O2444" s="34"/>
      <c r="P2444" s="34"/>
      <c r="Q2444" s="34"/>
      <c r="R2444" s="34"/>
      <c r="S2444" s="34"/>
    </row>
    <row r="2445" spans="14:19">
      <c r="N2445" s="34"/>
      <c r="O2445" s="34"/>
      <c r="P2445" s="34"/>
      <c r="Q2445" s="34"/>
      <c r="R2445" s="34"/>
      <c r="S2445" s="34"/>
    </row>
    <row r="2446" spans="14:19">
      <c r="N2446" s="34"/>
      <c r="O2446" s="34"/>
      <c r="P2446" s="34"/>
      <c r="Q2446" s="34"/>
      <c r="R2446" s="34"/>
      <c r="S2446" s="34"/>
    </row>
    <row r="2447" spans="14:19">
      <c r="N2447" s="34"/>
      <c r="O2447" s="34"/>
      <c r="P2447" s="34"/>
      <c r="Q2447" s="34"/>
      <c r="R2447" s="34"/>
      <c r="S2447" s="34"/>
    </row>
    <row r="2448" spans="14:19">
      <c r="N2448" s="34"/>
      <c r="O2448" s="34"/>
      <c r="P2448" s="34"/>
      <c r="Q2448" s="34"/>
      <c r="R2448" s="34"/>
      <c r="S2448" s="34"/>
    </row>
    <row r="2449" spans="14:19">
      <c r="N2449" s="34"/>
      <c r="O2449" s="34"/>
      <c r="P2449" s="34"/>
      <c r="Q2449" s="34"/>
      <c r="R2449" s="34"/>
      <c r="S2449" s="34"/>
    </row>
    <row r="2450" spans="14:19">
      <c r="N2450" s="34"/>
      <c r="O2450" s="34"/>
      <c r="P2450" s="34"/>
      <c r="Q2450" s="34"/>
      <c r="R2450" s="34"/>
      <c r="S2450" s="34"/>
    </row>
    <row r="2451" spans="14:19">
      <c r="N2451" s="34"/>
      <c r="O2451" s="34"/>
      <c r="P2451" s="34"/>
      <c r="Q2451" s="34"/>
      <c r="R2451" s="34"/>
      <c r="S2451" s="34"/>
    </row>
    <row r="2452" spans="14:19">
      <c r="N2452" s="34"/>
      <c r="O2452" s="34"/>
      <c r="P2452" s="34"/>
      <c r="Q2452" s="34"/>
      <c r="R2452" s="34"/>
      <c r="S2452" s="34"/>
    </row>
    <row r="2453" spans="14:19">
      <c r="N2453" s="34"/>
      <c r="O2453" s="34"/>
      <c r="P2453" s="34"/>
      <c r="Q2453" s="34"/>
      <c r="R2453" s="34"/>
      <c r="S2453" s="34"/>
    </row>
    <row r="2454" spans="14:19">
      <c r="N2454" s="34"/>
      <c r="O2454" s="34"/>
      <c r="P2454" s="34"/>
      <c r="Q2454" s="34"/>
      <c r="R2454" s="34"/>
      <c r="S2454" s="34"/>
    </row>
    <row r="2455" spans="14:19">
      <c r="N2455" s="34"/>
      <c r="O2455" s="34"/>
      <c r="P2455" s="34"/>
      <c r="Q2455" s="34"/>
      <c r="R2455" s="34"/>
      <c r="S2455" s="34"/>
    </row>
    <row r="2456" spans="14:19">
      <c r="N2456" s="34"/>
      <c r="O2456" s="34"/>
      <c r="P2456" s="34"/>
      <c r="Q2456" s="34"/>
      <c r="R2456" s="34"/>
      <c r="S2456" s="34"/>
    </row>
    <row r="2457" spans="14:19">
      <c r="N2457" s="34"/>
      <c r="O2457" s="34"/>
      <c r="P2457" s="34"/>
      <c r="Q2457" s="34"/>
      <c r="R2457" s="34"/>
      <c r="S2457" s="34"/>
    </row>
    <row r="2458" spans="14:19">
      <c r="N2458" s="34"/>
      <c r="O2458" s="34"/>
      <c r="P2458" s="34"/>
      <c r="Q2458" s="34"/>
      <c r="R2458" s="34"/>
      <c r="S2458" s="34"/>
    </row>
    <row r="2459" spans="14:19">
      <c r="N2459" s="34"/>
      <c r="O2459" s="34"/>
      <c r="P2459" s="34"/>
      <c r="Q2459" s="34"/>
      <c r="R2459" s="34"/>
      <c r="S2459" s="34"/>
    </row>
    <row r="2460" spans="14:19">
      <c r="N2460" s="34"/>
      <c r="O2460" s="34"/>
      <c r="P2460" s="34"/>
      <c r="Q2460" s="34"/>
      <c r="R2460" s="34"/>
      <c r="S2460" s="34"/>
    </row>
    <row r="2461" spans="14:19">
      <c r="N2461" s="34"/>
      <c r="O2461" s="34"/>
      <c r="P2461" s="34"/>
      <c r="Q2461" s="34"/>
      <c r="R2461" s="34"/>
      <c r="S2461" s="34"/>
    </row>
    <row r="2462" spans="14:19">
      <c r="N2462" s="34"/>
      <c r="O2462" s="34"/>
      <c r="P2462" s="34"/>
      <c r="Q2462" s="34"/>
      <c r="R2462" s="34"/>
      <c r="S2462" s="34"/>
    </row>
    <row r="2463" spans="14:19">
      <c r="N2463" s="34"/>
      <c r="O2463" s="34"/>
      <c r="P2463" s="34"/>
      <c r="Q2463" s="34"/>
      <c r="R2463" s="34"/>
      <c r="S2463" s="34"/>
    </row>
    <row r="2464" spans="14:19">
      <c r="N2464" s="34"/>
      <c r="O2464" s="34"/>
      <c r="P2464" s="34"/>
      <c r="Q2464" s="34"/>
      <c r="R2464" s="34"/>
      <c r="S2464" s="34"/>
    </row>
    <row r="2465" spans="14:19">
      <c r="N2465" s="34"/>
      <c r="O2465" s="34"/>
      <c r="P2465" s="34"/>
      <c r="Q2465" s="34"/>
      <c r="R2465" s="34"/>
      <c r="S2465" s="34"/>
    </row>
    <row r="2466" spans="14:19">
      <c r="N2466" s="34"/>
      <c r="O2466" s="34"/>
      <c r="P2466" s="34"/>
      <c r="Q2466" s="34"/>
      <c r="R2466" s="34"/>
      <c r="S2466" s="34"/>
    </row>
    <row r="2467" spans="14:19">
      <c r="N2467" s="34"/>
      <c r="O2467" s="34"/>
      <c r="P2467" s="34"/>
      <c r="Q2467" s="34"/>
      <c r="R2467" s="34"/>
      <c r="S2467" s="34"/>
    </row>
    <row r="2468" spans="14:19">
      <c r="N2468" s="34"/>
      <c r="O2468" s="34"/>
      <c r="P2468" s="34"/>
      <c r="Q2468" s="34"/>
      <c r="R2468" s="34"/>
      <c r="S2468" s="34"/>
    </row>
    <row r="2469" spans="14:19">
      <c r="N2469" s="34"/>
      <c r="O2469" s="34"/>
      <c r="P2469" s="34"/>
      <c r="Q2469" s="34"/>
      <c r="R2469" s="34"/>
      <c r="S2469" s="34"/>
    </row>
    <row r="2470" spans="14:19">
      <c r="N2470" s="34"/>
      <c r="O2470" s="34"/>
      <c r="P2470" s="34"/>
      <c r="Q2470" s="34"/>
      <c r="R2470" s="34"/>
      <c r="S2470" s="34"/>
    </row>
    <row r="2471" spans="14:19">
      <c r="N2471" s="34"/>
      <c r="O2471" s="34"/>
      <c r="P2471" s="34"/>
      <c r="Q2471" s="34"/>
      <c r="R2471" s="34"/>
      <c r="S2471" s="34"/>
    </row>
    <row r="2472" spans="14:19">
      <c r="N2472" s="34"/>
      <c r="O2472" s="34"/>
      <c r="P2472" s="34"/>
      <c r="Q2472" s="34"/>
      <c r="R2472" s="34"/>
      <c r="S2472" s="34"/>
    </row>
    <row r="2473" spans="14:19">
      <c r="N2473" s="34"/>
      <c r="O2473" s="34"/>
      <c r="P2473" s="34"/>
      <c r="Q2473" s="34"/>
      <c r="R2473" s="34"/>
      <c r="S2473" s="34"/>
    </row>
    <row r="2474" spans="14:19">
      <c r="N2474" s="34"/>
      <c r="O2474" s="34"/>
      <c r="P2474" s="34"/>
      <c r="Q2474" s="34"/>
      <c r="R2474" s="34"/>
      <c r="S2474" s="34"/>
    </row>
    <row r="2475" spans="14:19">
      <c r="N2475" s="34"/>
      <c r="O2475" s="34"/>
      <c r="P2475" s="34"/>
      <c r="Q2475" s="34"/>
      <c r="R2475" s="34"/>
      <c r="S2475" s="34"/>
    </row>
    <row r="2476" spans="14:19">
      <c r="N2476" s="34"/>
      <c r="O2476" s="34"/>
      <c r="P2476" s="34"/>
      <c r="Q2476" s="34"/>
      <c r="R2476" s="34"/>
      <c r="S2476" s="34"/>
    </row>
    <row r="2477" spans="14:19">
      <c r="N2477" s="34"/>
      <c r="O2477" s="34"/>
      <c r="P2477" s="34"/>
      <c r="Q2477" s="34"/>
      <c r="R2477" s="34"/>
      <c r="S2477" s="34"/>
    </row>
    <row r="2478" spans="14:19">
      <c r="N2478" s="34"/>
      <c r="O2478" s="34"/>
      <c r="P2478" s="34"/>
      <c r="Q2478" s="34"/>
      <c r="R2478" s="34"/>
      <c r="S2478" s="34"/>
    </row>
    <row r="2479" spans="14:19">
      <c r="N2479" s="34"/>
      <c r="O2479" s="34"/>
      <c r="P2479" s="34"/>
      <c r="Q2479" s="34"/>
      <c r="R2479" s="34"/>
      <c r="S2479" s="34"/>
    </row>
    <row r="2480" spans="14:19">
      <c r="N2480" s="34"/>
      <c r="O2480" s="34"/>
      <c r="P2480" s="34"/>
      <c r="Q2480" s="34"/>
      <c r="R2480" s="34"/>
      <c r="S2480" s="34"/>
    </row>
    <row r="2481" spans="14:19">
      <c r="N2481" s="34"/>
      <c r="O2481" s="34"/>
      <c r="P2481" s="34"/>
      <c r="Q2481" s="34"/>
      <c r="R2481" s="34"/>
      <c r="S2481" s="34"/>
    </row>
    <row r="2482" spans="14:19">
      <c r="N2482" s="34"/>
      <c r="O2482" s="34"/>
      <c r="P2482" s="34"/>
      <c r="Q2482" s="34"/>
      <c r="R2482" s="34"/>
      <c r="S2482" s="34"/>
    </row>
    <row r="2483" spans="14:19">
      <c r="N2483" s="34"/>
      <c r="O2483" s="34"/>
      <c r="P2483" s="34"/>
      <c r="Q2483" s="34"/>
      <c r="R2483" s="34"/>
      <c r="S2483" s="34"/>
    </row>
    <row r="2484" spans="14:19">
      <c r="N2484" s="34"/>
      <c r="O2484" s="34"/>
      <c r="P2484" s="34"/>
      <c r="Q2484" s="34"/>
      <c r="R2484" s="34"/>
      <c r="S2484" s="34"/>
    </row>
    <row r="2485" spans="14:19">
      <c r="N2485" s="34"/>
      <c r="O2485" s="34"/>
      <c r="P2485" s="34"/>
      <c r="Q2485" s="34"/>
      <c r="R2485" s="34"/>
      <c r="S2485" s="34"/>
    </row>
    <row r="2486" spans="14:19">
      <c r="N2486" s="34"/>
      <c r="O2486" s="34"/>
      <c r="P2486" s="34"/>
      <c r="Q2486" s="34"/>
      <c r="R2486" s="34"/>
      <c r="S2486" s="34"/>
    </row>
    <row r="2487" spans="14:19">
      <c r="N2487" s="34"/>
      <c r="O2487" s="34"/>
      <c r="P2487" s="34"/>
      <c r="Q2487" s="34"/>
      <c r="R2487" s="34"/>
      <c r="S2487" s="34"/>
    </row>
    <row r="2488" spans="14:19">
      <c r="N2488" s="34"/>
      <c r="O2488" s="34"/>
      <c r="P2488" s="34"/>
      <c r="Q2488" s="34"/>
      <c r="R2488" s="34"/>
      <c r="S2488" s="34"/>
    </row>
    <row r="2489" spans="14:19">
      <c r="N2489" s="34"/>
      <c r="O2489" s="34"/>
      <c r="P2489" s="34"/>
      <c r="Q2489" s="34"/>
      <c r="R2489" s="34"/>
      <c r="S2489" s="34"/>
    </row>
    <row r="2490" spans="14:19">
      <c r="N2490" s="34"/>
      <c r="O2490" s="34"/>
      <c r="P2490" s="34"/>
      <c r="Q2490" s="34"/>
      <c r="R2490" s="34"/>
      <c r="S2490" s="34"/>
    </row>
    <row r="2491" spans="14:19">
      <c r="N2491" s="34"/>
      <c r="O2491" s="34"/>
      <c r="P2491" s="34"/>
      <c r="Q2491" s="34"/>
      <c r="R2491" s="34"/>
      <c r="S2491" s="34"/>
    </row>
    <row r="2492" spans="14:19">
      <c r="N2492" s="34"/>
      <c r="O2492" s="34"/>
      <c r="P2492" s="34"/>
      <c r="Q2492" s="34"/>
      <c r="R2492" s="34"/>
      <c r="S2492" s="34"/>
    </row>
    <row r="2493" spans="14:19">
      <c r="N2493" s="34"/>
      <c r="O2493" s="34"/>
      <c r="P2493" s="34"/>
      <c r="Q2493" s="34"/>
      <c r="R2493" s="34"/>
      <c r="S2493" s="34"/>
    </row>
    <row r="2494" spans="14:19">
      <c r="N2494" s="34"/>
      <c r="O2494" s="34"/>
      <c r="P2494" s="34"/>
      <c r="Q2494" s="34"/>
      <c r="R2494" s="34"/>
      <c r="S2494" s="34"/>
    </row>
    <row r="2495" spans="14:19">
      <c r="N2495" s="34"/>
      <c r="O2495" s="34"/>
      <c r="P2495" s="34"/>
      <c r="Q2495" s="34"/>
      <c r="R2495" s="34"/>
      <c r="S2495" s="34"/>
    </row>
    <row r="2496" spans="14:19">
      <c r="N2496" s="34"/>
      <c r="O2496" s="34"/>
      <c r="P2496" s="34"/>
      <c r="Q2496" s="34"/>
      <c r="R2496" s="34"/>
      <c r="S2496" s="34"/>
    </row>
    <row r="2497" spans="14:19">
      <c r="N2497" s="34"/>
      <c r="O2497" s="34"/>
      <c r="P2497" s="34"/>
      <c r="Q2497" s="34"/>
      <c r="R2497" s="34"/>
      <c r="S2497" s="34"/>
    </row>
    <row r="2498" spans="14:19">
      <c r="N2498" s="34"/>
      <c r="O2498" s="34"/>
      <c r="P2498" s="34"/>
      <c r="Q2498" s="34"/>
      <c r="R2498" s="34"/>
      <c r="S2498" s="34"/>
    </row>
    <row r="2499" spans="14:19">
      <c r="N2499" s="34"/>
      <c r="O2499" s="34"/>
      <c r="P2499" s="34"/>
      <c r="Q2499" s="34"/>
      <c r="R2499" s="34"/>
      <c r="S2499" s="34"/>
    </row>
    <row r="2500" spans="14:19">
      <c r="N2500" s="34"/>
      <c r="O2500" s="34"/>
      <c r="P2500" s="34"/>
      <c r="Q2500" s="34"/>
      <c r="R2500" s="34"/>
      <c r="S2500" s="34"/>
    </row>
    <row r="2501" spans="14:19">
      <c r="N2501" s="34"/>
      <c r="O2501" s="34"/>
      <c r="P2501" s="34"/>
      <c r="Q2501" s="34"/>
      <c r="R2501" s="34"/>
      <c r="S2501" s="34"/>
    </row>
    <row r="2502" spans="14:19">
      <c r="N2502" s="34"/>
      <c r="O2502" s="34"/>
      <c r="P2502" s="34"/>
      <c r="Q2502" s="34"/>
      <c r="R2502" s="34"/>
      <c r="S2502" s="34"/>
    </row>
    <row r="2503" spans="14:19">
      <c r="N2503" s="34"/>
      <c r="O2503" s="34"/>
      <c r="P2503" s="34"/>
      <c r="Q2503" s="34"/>
      <c r="R2503" s="34"/>
      <c r="S2503" s="34"/>
    </row>
    <row r="2504" spans="14:19">
      <c r="N2504" s="34"/>
      <c r="O2504" s="34"/>
      <c r="P2504" s="34"/>
      <c r="Q2504" s="34"/>
      <c r="R2504" s="34"/>
      <c r="S2504" s="34"/>
    </row>
    <row r="2505" spans="14:19">
      <c r="N2505" s="34"/>
      <c r="O2505" s="34"/>
      <c r="P2505" s="34"/>
      <c r="Q2505" s="34"/>
      <c r="R2505" s="34"/>
      <c r="S2505" s="34"/>
    </row>
    <row r="2506" spans="14:19">
      <c r="N2506" s="34"/>
      <c r="O2506" s="34"/>
      <c r="P2506" s="34"/>
      <c r="Q2506" s="34"/>
      <c r="R2506" s="34"/>
      <c r="S2506" s="34"/>
    </row>
    <row r="2507" spans="14:19">
      <c r="N2507" s="34"/>
      <c r="O2507" s="34"/>
      <c r="P2507" s="34"/>
      <c r="Q2507" s="34"/>
      <c r="R2507" s="34"/>
      <c r="S2507" s="34"/>
    </row>
    <row r="2508" spans="14:19">
      <c r="N2508" s="34"/>
      <c r="O2508" s="34"/>
      <c r="P2508" s="34"/>
      <c r="Q2508" s="34"/>
      <c r="R2508" s="34"/>
      <c r="S2508" s="34"/>
    </row>
    <row r="2509" spans="14:19">
      <c r="N2509" s="34"/>
      <c r="O2509" s="34"/>
      <c r="P2509" s="34"/>
      <c r="Q2509" s="34"/>
      <c r="R2509" s="34"/>
      <c r="S2509" s="34"/>
    </row>
    <row r="2510" spans="14:19">
      <c r="N2510" s="34"/>
      <c r="O2510" s="34"/>
      <c r="P2510" s="34"/>
      <c r="Q2510" s="34"/>
      <c r="R2510" s="34"/>
      <c r="S2510" s="34"/>
    </row>
    <row r="2511" spans="14:19">
      <c r="N2511" s="34"/>
      <c r="O2511" s="34"/>
      <c r="P2511" s="34"/>
      <c r="Q2511" s="34"/>
      <c r="R2511" s="34"/>
      <c r="S2511" s="34"/>
    </row>
    <row r="2512" spans="14:19">
      <c r="N2512" s="34"/>
      <c r="O2512" s="34"/>
      <c r="P2512" s="34"/>
      <c r="Q2512" s="34"/>
      <c r="R2512" s="34"/>
      <c r="S2512" s="34"/>
    </row>
    <row r="2513" spans="14:19">
      <c r="N2513" s="34"/>
      <c r="O2513" s="34"/>
      <c r="P2513" s="34"/>
      <c r="Q2513" s="34"/>
      <c r="R2513" s="34"/>
      <c r="S2513" s="34"/>
    </row>
    <row r="2514" spans="14:19">
      <c r="N2514" s="34"/>
      <c r="O2514" s="34"/>
      <c r="P2514" s="34"/>
      <c r="Q2514" s="34"/>
      <c r="R2514" s="34"/>
      <c r="S2514" s="34"/>
    </row>
    <row r="2515" spans="14:19">
      <c r="N2515" s="34"/>
      <c r="O2515" s="34"/>
      <c r="P2515" s="34"/>
      <c r="Q2515" s="34"/>
      <c r="R2515" s="34"/>
      <c r="S2515" s="34"/>
    </row>
    <row r="2516" spans="14:19">
      <c r="N2516" s="34"/>
      <c r="O2516" s="34"/>
      <c r="P2516" s="34"/>
      <c r="Q2516" s="34"/>
      <c r="R2516" s="34"/>
      <c r="S2516" s="34"/>
    </row>
    <row r="2517" spans="14:19">
      <c r="N2517" s="34"/>
      <c r="O2517" s="34"/>
      <c r="P2517" s="34"/>
      <c r="Q2517" s="34"/>
      <c r="R2517" s="34"/>
      <c r="S2517" s="34"/>
    </row>
    <row r="2518" spans="14:19">
      <c r="N2518" s="34"/>
      <c r="O2518" s="34"/>
      <c r="P2518" s="34"/>
      <c r="Q2518" s="34"/>
      <c r="R2518" s="34"/>
      <c r="S2518" s="34"/>
    </row>
    <row r="2519" spans="14:19">
      <c r="N2519" s="34"/>
      <c r="O2519" s="34"/>
      <c r="P2519" s="34"/>
      <c r="Q2519" s="34"/>
      <c r="R2519" s="34"/>
      <c r="S2519" s="34"/>
    </row>
    <row r="2520" spans="14:19">
      <c r="N2520" s="34"/>
      <c r="O2520" s="34"/>
      <c r="P2520" s="34"/>
      <c r="Q2520" s="34"/>
      <c r="R2520" s="34"/>
      <c r="S2520" s="34"/>
    </row>
    <row r="2521" spans="14:19">
      <c r="N2521" s="34"/>
      <c r="O2521" s="34"/>
      <c r="P2521" s="34"/>
      <c r="Q2521" s="34"/>
      <c r="R2521" s="34"/>
      <c r="S2521" s="34"/>
    </row>
    <row r="2522" spans="14:19">
      <c r="N2522" s="34"/>
      <c r="O2522" s="34"/>
      <c r="P2522" s="34"/>
      <c r="Q2522" s="34"/>
      <c r="R2522" s="34"/>
      <c r="S2522" s="34"/>
    </row>
    <row r="2523" spans="14:19">
      <c r="N2523" s="34"/>
      <c r="O2523" s="34"/>
      <c r="P2523" s="34"/>
      <c r="Q2523" s="34"/>
      <c r="R2523" s="34"/>
      <c r="S2523" s="34"/>
    </row>
    <row r="2524" spans="14:19">
      <c r="N2524" s="34"/>
      <c r="O2524" s="34"/>
      <c r="P2524" s="34"/>
      <c r="Q2524" s="34"/>
      <c r="R2524" s="34"/>
      <c r="S2524" s="34"/>
    </row>
    <row r="2525" spans="14:19">
      <c r="N2525" s="34"/>
      <c r="O2525" s="34"/>
      <c r="P2525" s="34"/>
      <c r="Q2525" s="34"/>
      <c r="R2525" s="34"/>
      <c r="S2525" s="34"/>
    </row>
    <row r="2526" spans="14:19">
      <c r="N2526" s="34"/>
      <c r="O2526" s="34"/>
      <c r="P2526" s="34"/>
      <c r="Q2526" s="34"/>
      <c r="R2526" s="34"/>
      <c r="S2526" s="34"/>
    </row>
    <row r="2527" spans="14:19">
      <c r="N2527" s="34"/>
      <c r="O2527" s="34"/>
      <c r="P2527" s="34"/>
      <c r="Q2527" s="34"/>
      <c r="R2527" s="34"/>
      <c r="S2527" s="34"/>
    </row>
    <row r="2528" spans="14:19">
      <c r="N2528" s="34"/>
      <c r="O2528" s="34"/>
      <c r="P2528" s="34"/>
      <c r="Q2528" s="34"/>
      <c r="R2528" s="34"/>
      <c r="S2528" s="34"/>
    </row>
    <row r="2529" spans="14:19">
      <c r="N2529" s="34"/>
      <c r="O2529" s="34"/>
      <c r="P2529" s="34"/>
      <c r="Q2529" s="34"/>
      <c r="R2529" s="34"/>
      <c r="S2529" s="34"/>
    </row>
    <row r="2530" spans="14:19">
      <c r="N2530" s="34"/>
      <c r="O2530" s="34"/>
      <c r="P2530" s="34"/>
      <c r="Q2530" s="34"/>
      <c r="R2530" s="34"/>
      <c r="S2530" s="34"/>
    </row>
    <row r="2531" spans="14:19">
      <c r="N2531" s="34"/>
      <c r="O2531" s="34"/>
      <c r="P2531" s="34"/>
      <c r="Q2531" s="34"/>
      <c r="R2531" s="34"/>
      <c r="S2531" s="34"/>
    </row>
    <row r="2532" spans="14:19">
      <c r="N2532" s="34"/>
      <c r="O2532" s="34"/>
      <c r="P2532" s="34"/>
      <c r="Q2532" s="34"/>
      <c r="R2532" s="34"/>
      <c r="S2532" s="34"/>
    </row>
    <row r="2533" spans="14:19">
      <c r="N2533" s="34"/>
      <c r="O2533" s="34"/>
      <c r="P2533" s="34"/>
      <c r="Q2533" s="34"/>
      <c r="R2533" s="34"/>
      <c r="S2533" s="34"/>
    </row>
    <row r="2534" spans="14:19">
      <c r="N2534" s="34"/>
      <c r="O2534" s="34"/>
      <c r="P2534" s="34"/>
      <c r="Q2534" s="34"/>
      <c r="R2534" s="34"/>
      <c r="S2534" s="34"/>
    </row>
    <row r="2535" spans="14:19">
      <c r="N2535" s="34"/>
      <c r="O2535" s="34"/>
      <c r="P2535" s="34"/>
      <c r="Q2535" s="34"/>
      <c r="R2535" s="34"/>
      <c r="S2535" s="34"/>
    </row>
    <row r="2536" spans="14:19">
      <c r="N2536" s="34"/>
      <c r="O2536" s="34"/>
      <c r="P2536" s="34"/>
      <c r="Q2536" s="34"/>
      <c r="R2536" s="34"/>
      <c r="S2536" s="34"/>
    </row>
    <row r="2537" spans="14:19">
      <c r="N2537" s="34"/>
      <c r="O2537" s="34"/>
      <c r="P2537" s="34"/>
      <c r="Q2537" s="34"/>
      <c r="R2537" s="34"/>
      <c r="S2537" s="34"/>
    </row>
    <row r="2538" spans="14:19">
      <c r="N2538" s="34"/>
      <c r="O2538" s="34"/>
      <c r="P2538" s="34"/>
      <c r="Q2538" s="34"/>
      <c r="R2538" s="34"/>
      <c r="S2538" s="34"/>
    </row>
    <row r="2539" spans="14:19">
      <c r="N2539" s="34"/>
      <c r="O2539" s="34"/>
      <c r="P2539" s="34"/>
      <c r="Q2539" s="34"/>
      <c r="R2539" s="34"/>
      <c r="S2539" s="34"/>
    </row>
    <row r="2540" spans="14:19">
      <c r="N2540" s="34"/>
      <c r="O2540" s="34"/>
      <c r="P2540" s="34"/>
      <c r="Q2540" s="34"/>
      <c r="R2540" s="34"/>
      <c r="S2540" s="34"/>
    </row>
    <row r="2541" spans="14:19">
      <c r="N2541" s="34"/>
      <c r="O2541" s="34"/>
      <c r="P2541" s="34"/>
      <c r="Q2541" s="34"/>
      <c r="R2541" s="34"/>
      <c r="S2541" s="34"/>
    </row>
    <row r="2542" spans="14:19">
      <c r="N2542" s="34"/>
      <c r="O2542" s="34"/>
      <c r="P2542" s="34"/>
      <c r="Q2542" s="34"/>
      <c r="R2542" s="34"/>
      <c r="S2542" s="34"/>
    </row>
    <row r="2543" spans="14:19">
      <c r="N2543" s="34"/>
      <c r="O2543" s="34"/>
      <c r="P2543" s="34"/>
      <c r="Q2543" s="34"/>
      <c r="R2543" s="34"/>
      <c r="S2543" s="34"/>
    </row>
    <row r="2544" spans="14:19">
      <c r="N2544" s="34"/>
      <c r="O2544" s="34"/>
      <c r="P2544" s="34"/>
      <c r="Q2544" s="34"/>
      <c r="R2544" s="34"/>
      <c r="S2544" s="34"/>
    </row>
    <row r="2545" spans="14:19">
      <c r="N2545" s="34"/>
      <c r="O2545" s="34"/>
      <c r="P2545" s="34"/>
      <c r="Q2545" s="34"/>
      <c r="R2545" s="34"/>
      <c r="S2545" s="34"/>
    </row>
    <row r="2546" spans="14:19">
      <c r="N2546" s="34"/>
      <c r="O2546" s="34"/>
      <c r="P2546" s="34"/>
      <c r="Q2546" s="34"/>
      <c r="R2546" s="34"/>
      <c r="S2546" s="34"/>
    </row>
    <row r="2547" spans="14:19">
      <c r="N2547" s="34"/>
      <c r="O2547" s="34"/>
      <c r="P2547" s="34"/>
      <c r="Q2547" s="34"/>
      <c r="R2547" s="34"/>
      <c r="S2547" s="34"/>
    </row>
    <row r="2548" spans="14:19">
      <c r="N2548" s="34"/>
      <c r="O2548" s="34"/>
      <c r="P2548" s="34"/>
      <c r="Q2548" s="34"/>
      <c r="R2548" s="34"/>
      <c r="S2548" s="34"/>
    </row>
    <row r="2549" spans="14:19">
      <c r="N2549" s="34"/>
      <c r="O2549" s="34"/>
      <c r="P2549" s="34"/>
      <c r="Q2549" s="34"/>
      <c r="R2549" s="34"/>
      <c r="S2549" s="34"/>
    </row>
    <row r="2550" spans="14:19">
      <c r="N2550" s="34"/>
      <c r="O2550" s="34"/>
      <c r="P2550" s="34"/>
      <c r="Q2550" s="34"/>
      <c r="R2550" s="34"/>
      <c r="S2550" s="34"/>
    </row>
    <row r="2551" spans="14:19">
      <c r="N2551" s="34"/>
      <c r="O2551" s="34"/>
      <c r="P2551" s="34"/>
      <c r="Q2551" s="34"/>
      <c r="R2551" s="34"/>
      <c r="S2551" s="34"/>
    </row>
    <row r="2552" spans="14:19">
      <c r="N2552" s="34"/>
      <c r="O2552" s="34"/>
      <c r="P2552" s="34"/>
      <c r="Q2552" s="34"/>
      <c r="R2552" s="34"/>
      <c r="S2552" s="34"/>
    </row>
    <row r="2553" spans="14:19">
      <c r="N2553" s="34"/>
      <c r="O2553" s="34"/>
      <c r="P2553" s="34"/>
      <c r="Q2553" s="34"/>
      <c r="R2553" s="34"/>
      <c r="S2553" s="34"/>
    </row>
    <row r="2554" spans="14:19">
      <c r="N2554" s="34"/>
      <c r="O2554" s="34"/>
      <c r="P2554" s="34"/>
      <c r="Q2554" s="34"/>
      <c r="R2554" s="34"/>
      <c r="S2554" s="34"/>
    </row>
    <row r="2555" spans="14:19">
      <c r="N2555" s="34"/>
      <c r="O2555" s="34"/>
      <c r="P2555" s="34"/>
      <c r="Q2555" s="34"/>
      <c r="R2555" s="34"/>
      <c r="S2555" s="34"/>
    </row>
    <row r="2556" spans="14:19">
      <c r="N2556" s="34"/>
      <c r="O2556" s="34"/>
      <c r="P2556" s="34"/>
      <c r="Q2556" s="34"/>
      <c r="R2556" s="34"/>
      <c r="S2556" s="34"/>
    </row>
    <row r="2557" spans="14:19">
      <c r="N2557" s="34"/>
      <c r="O2557" s="34"/>
      <c r="P2557" s="34"/>
      <c r="Q2557" s="34"/>
      <c r="R2557" s="34"/>
      <c r="S2557" s="34"/>
    </row>
    <row r="2558" spans="14:19">
      <c r="N2558" s="34"/>
      <c r="O2558" s="34"/>
      <c r="P2558" s="34"/>
      <c r="Q2558" s="34"/>
      <c r="R2558" s="34"/>
      <c r="S2558" s="34"/>
    </row>
    <row r="2559" spans="14:19">
      <c r="N2559" s="34"/>
      <c r="O2559" s="34"/>
      <c r="P2559" s="34"/>
      <c r="Q2559" s="34"/>
      <c r="R2559" s="34"/>
      <c r="S2559" s="34"/>
    </row>
    <row r="2560" spans="14:19">
      <c r="N2560" s="34"/>
      <c r="O2560" s="34"/>
      <c r="P2560" s="34"/>
      <c r="Q2560" s="34"/>
      <c r="R2560" s="34"/>
      <c r="S2560" s="34"/>
    </row>
    <row r="2561" spans="14:19">
      <c r="N2561" s="34"/>
      <c r="O2561" s="34"/>
      <c r="P2561" s="34"/>
      <c r="Q2561" s="34"/>
      <c r="R2561" s="34"/>
      <c r="S2561" s="34"/>
    </row>
    <row r="2562" spans="14:19">
      <c r="N2562" s="34"/>
      <c r="O2562" s="34"/>
      <c r="P2562" s="34"/>
      <c r="Q2562" s="34"/>
      <c r="R2562" s="34"/>
      <c r="S2562" s="34"/>
    </row>
    <row r="2563" spans="14:19">
      <c r="N2563" s="34"/>
      <c r="O2563" s="34"/>
      <c r="P2563" s="34"/>
      <c r="Q2563" s="34"/>
      <c r="R2563" s="34"/>
      <c r="S2563" s="34"/>
    </row>
    <row r="2564" spans="14:19">
      <c r="N2564" s="34"/>
      <c r="O2564" s="34"/>
      <c r="P2564" s="34"/>
      <c r="Q2564" s="34"/>
      <c r="R2564" s="34"/>
      <c r="S2564" s="34"/>
    </row>
    <row r="2565" spans="14:19">
      <c r="N2565" s="34"/>
      <c r="O2565" s="34"/>
      <c r="P2565" s="34"/>
      <c r="Q2565" s="34"/>
      <c r="R2565" s="34"/>
      <c r="S2565" s="34"/>
    </row>
    <row r="2566" spans="14:19">
      <c r="N2566" s="34"/>
      <c r="O2566" s="34"/>
      <c r="P2566" s="34"/>
      <c r="Q2566" s="34"/>
      <c r="R2566" s="34"/>
      <c r="S2566" s="34"/>
    </row>
    <row r="2567" spans="14:19">
      <c r="N2567" s="34"/>
      <c r="O2567" s="34"/>
      <c r="P2567" s="34"/>
      <c r="Q2567" s="34"/>
      <c r="R2567" s="34"/>
      <c r="S2567" s="34"/>
    </row>
    <row r="2568" spans="14:19">
      <c r="N2568" s="34"/>
      <c r="O2568" s="34"/>
      <c r="P2568" s="34"/>
      <c r="Q2568" s="34"/>
      <c r="R2568" s="34"/>
      <c r="S2568" s="34"/>
    </row>
    <row r="2569" spans="14:19">
      <c r="N2569" s="34"/>
      <c r="O2569" s="34"/>
      <c r="P2569" s="34"/>
      <c r="Q2569" s="34"/>
      <c r="R2569" s="34"/>
      <c r="S2569" s="34"/>
    </row>
    <row r="2570" spans="14:19">
      <c r="N2570" s="34"/>
      <c r="O2570" s="34"/>
      <c r="P2570" s="34"/>
      <c r="Q2570" s="34"/>
      <c r="R2570" s="34"/>
      <c r="S2570" s="34"/>
    </row>
    <row r="2571" spans="14:19">
      <c r="N2571" s="34"/>
      <c r="O2571" s="34"/>
      <c r="P2571" s="34"/>
      <c r="Q2571" s="34"/>
      <c r="R2571" s="34"/>
      <c r="S2571" s="34"/>
    </row>
    <row r="2572" spans="14:19">
      <c r="N2572" s="34"/>
      <c r="O2572" s="34"/>
      <c r="P2572" s="34"/>
      <c r="Q2572" s="34"/>
      <c r="R2572" s="34"/>
      <c r="S2572" s="34"/>
    </row>
    <row r="2573" spans="14:19">
      <c r="N2573" s="34"/>
      <c r="O2573" s="34"/>
      <c r="P2573" s="34"/>
      <c r="Q2573" s="34"/>
      <c r="R2573" s="34"/>
      <c r="S2573" s="34"/>
    </row>
    <row r="2574" spans="14:19">
      <c r="N2574" s="34"/>
      <c r="O2574" s="34"/>
      <c r="P2574" s="34"/>
      <c r="Q2574" s="34"/>
      <c r="R2574" s="34"/>
      <c r="S2574" s="34"/>
    </row>
    <row r="2575" spans="14:19">
      <c r="N2575" s="34"/>
      <c r="O2575" s="34"/>
      <c r="P2575" s="34"/>
      <c r="Q2575" s="34"/>
      <c r="R2575" s="34"/>
      <c r="S2575" s="34"/>
    </row>
    <row r="2576" spans="14:19">
      <c r="N2576" s="34"/>
      <c r="O2576" s="34"/>
      <c r="P2576" s="34"/>
      <c r="Q2576" s="34"/>
      <c r="R2576" s="34"/>
      <c r="S2576" s="34"/>
    </row>
    <row r="2577" spans="14:19">
      <c r="N2577" s="34"/>
      <c r="O2577" s="34"/>
      <c r="P2577" s="34"/>
      <c r="Q2577" s="34"/>
      <c r="R2577" s="34"/>
      <c r="S2577" s="34"/>
    </row>
    <row r="2578" spans="14:19">
      <c r="N2578" s="34"/>
      <c r="O2578" s="34"/>
      <c r="P2578" s="34"/>
      <c r="Q2578" s="34"/>
      <c r="R2578" s="34"/>
      <c r="S2578" s="34"/>
    </row>
    <row r="2579" spans="14:19">
      <c r="N2579" s="34"/>
      <c r="O2579" s="34"/>
      <c r="P2579" s="34"/>
      <c r="Q2579" s="34"/>
      <c r="R2579" s="34"/>
      <c r="S2579" s="34"/>
    </row>
    <row r="2580" spans="14:19">
      <c r="N2580" s="34"/>
      <c r="O2580" s="34"/>
      <c r="P2580" s="34"/>
      <c r="Q2580" s="34"/>
      <c r="R2580" s="34"/>
      <c r="S2580" s="34"/>
    </row>
    <row r="2581" spans="14:19">
      <c r="N2581" s="34"/>
      <c r="O2581" s="34"/>
      <c r="P2581" s="34"/>
      <c r="Q2581" s="34"/>
      <c r="R2581" s="34"/>
      <c r="S2581" s="34"/>
    </row>
    <row r="2582" spans="14:19">
      <c r="N2582" s="34"/>
      <c r="O2582" s="34"/>
      <c r="P2582" s="34"/>
      <c r="Q2582" s="34"/>
      <c r="R2582" s="34"/>
      <c r="S2582" s="34"/>
    </row>
    <row r="2583" spans="14:19">
      <c r="N2583" s="34"/>
      <c r="O2583" s="34"/>
      <c r="P2583" s="34"/>
      <c r="Q2583" s="34"/>
      <c r="R2583" s="34"/>
      <c r="S2583" s="34"/>
    </row>
    <row r="2584" spans="14:19">
      <c r="N2584" s="34"/>
      <c r="O2584" s="34"/>
      <c r="P2584" s="34"/>
      <c r="Q2584" s="34"/>
      <c r="R2584" s="34"/>
      <c r="S2584" s="34"/>
    </row>
    <row r="2585" spans="14:19">
      <c r="N2585" s="34"/>
      <c r="O2585" s="34"/>
      <c r="P2585" s="34"/>
      <c r="Q2585" s="34"/>
      <c r="R2585" s="34"/>
      <c r="S2585" s="34"/>
    </row>
    <row r="2586" spans="14:19">
      <c r="N2586" s="34"/>
      <c r="O2586" s="34"/>
      <c r="P2586" s="34"/>
      <c r="Q2586" s="34"/>
      <c r="R2586" s="34"/>
      <c r="S2586" s="34"/>
    </row>
    <row r="2587" spans="14:19">
      <c r="N2587" s="34"/>
      <c r="O2587" s="34"/>
      <c r="P2587" s="34"/>
      <c r="Q2587" s="34"/>
      <c r="R2587" s="34"/>
      <c r="S2587" s="34"/>
    </row>
    <row r="2588" spans="14:19">
      <c r="N2588" s="34"/>
      <c r="O2588" s="34"/>
      <c r="P2588" s="34"/>
      <c r="Q2588" s="34"/>
      <c r="R2588" s="34"/>
      <c r="S2588" s="34"/>
    </row>
    <row r="2589" spans="14:19">
      <c r="N2589" s="34"/>
      <c r="O2589" s="34"/>
      <c r="P2589" s="34"/>
      <c r="Q2589" s="34"/>
      <c r="R2589" s="34"/>
      <c r="S2589" s="34"/>
    </row>
    <row r="2590" spans="14:19">
      <c r="N2590" s="34"/>
      <c r="O2590" s="34"/>
      <c r="P2590" s="34"/>
      <c r="Q2590" s="34"/>
      <c r="R2590" s="34"/>
      <c r="S2590" s="34"/>
    </row>
    <row r="2591" spans="14:19">
      <c r="N2591" s="34"/>
      <c r="O2591" s="34"/>
      <c r="P2591" s="34"/>
      <c r="Q2591" s="34"/>
      <c r="R2591" s="34"/>
      <c r="S2591" s="34"/>
    </row>
    <row r="2592" spans="14:19">
      <c r="N2592" s="34"/>
      <c r="O2592" s="34"/>
      <c r="P2592" s="34"/>
      <c r="Q2592" s="34"/>
      <c r="R2592" s="34"/>
      <c r="S2592" s="34"/>
    </row>
    <row r="2593" spans="14:19">
      <c r="N2593" s="34"/>
      <c r="O2593" s="34"/>
      <c r="P2593" s="34"/>
      <c r="Q2593" s="34"/>
      <c r="R2593" s="34"/>
      <c r="S2593" s="34"/>
    </row>
    <row r="2594" spans="14:19">
      <c r="N2594" s="34"/>
      <c r="O2594" s="34"/>
      <c r="P2594" s="34"/>
      <c r="Q2594" s="34"/>
      <c r="R2594" s="34"/>
      <c r="S2594" s="34"/>
    </row>
    <row r="2595" spans="14:19">
      <c r="N2595" s="34"/>
      <c r="O2595" s="34"/>
      <c r="P2595" s="34"/>
      <c r="Q2595" s="34"/>
      <c r="R2595" s="34"/>
      <c r="S2595" s="34"/>
    </row>
    <row r="2596" spans="14:19">
      <c r="N2596" s="34"/>
      <c r="O2596" s="34"/>
      <c r="P2596" s="34"/>
      <c r="Q2596" s="34"/>
      <c r="R2596" s="34"/>
      <c r="S2596" s="34"/>
    </row>
    <row r="2597" spans="14:19">
      <c r="N2597" s="34"/>
      <c r="O2597" s="34"/>
      <c r="P2597" s="34"/>
      <c r="Q2597" s="34"/>
      <c r="R2597" s="34"/>
      <c r="S2597" s="34"/>
    </row>
    <row r="2598" spans="14:19">
      <c r="N2598" s="34"/>
      <c r="O2598" s="34"/>
      <c r="P2598" s="34"/>
      <c r="Q2598" s="34"/>
      <c r="R2598" s="34"/>
      <c r="S2598" s="34"/>
    </row>
    <row r="2599" spans="14:19">
      <c r="N2599" s="34"/>
      <c r="O2599" s="34"/>
      <c r="P2599" s="34"/>
      <c r="Q2599" s="34"/>
      <c r="R2599" s="34"/>
      <c r="S2599" s="34"/>
    </row>
    <row r="2600" spans="14:19">
      <c r="N2600" s="34"/>
      <c r="O2600" s="34"/>
      <c r="P2600" s="34"/>
      <c r="Q2600" s="34"/>
      <c r="R2600" s="34"/>
      <c r="S2600" s="34"/>
    </row>
    <row r="2601" spans="14:19">
      <c r="N2601" s="34"/>
      <c r="O2601" s="34"/>
      <c r="P2601" s="34"/>
      <c r="Q2601" s="34"/>
      <c r="R2601" s="34"/>
      <c r="S2601" s="34"/>
    </row>
    <row r="2602" spans="14:19">
      <c r="N2602" s="34"/>
      <c r="O2602" s="34"/>
      <c r="P2602" s="34"/>
      <c r="Q2602" s="34"/>
      <c r="R2602" s="34"/>
      <c r="S2602" s="34"/>
    </row>
    <row r="2603" spans="14:19">
      <c r="N2603" s="34"/>
      <c r="O2603" s="34"/>
      <c r="P2603" s="34"/>
      <c r="Q2603" s="34"/>
      <c r="R2603" s="34"/>
      <c r="S2603" s="34"/>
    </row>
    <row r="2604" spans="14:19">
      <c r="N2604" s="34"/>
      <c r="O2604" s="34"/>
      <c r="P2604" s="34"/>
      <c r="Q2604" s="34"/>
      <c r="R2604" s="34"/>
      <c r="S2604" s="34"/>
    </row>
    <row r="2605" spans="14:19">
      <c r="N2605" s="34"/>
      <c r="O2605" s="34"/>
      <c r="P2605" s="34"/>
      <c r="Q2605" s="34"/>
      <c r="R2605" s="34"/>
      <c r="S2605" s="34"/>
    </row>
    <row r="2606" spans="14:19">
      <c r="N2606" s="34"/>
      <c r="O2606" s="34"/>
      <c r="P2606" s="34"/>
      <c r="Q2606" s="34"/>
      <c r="R2606" s="34"/>
      <c r="S2606" s="34"/>
    </row>
    <row r="2607" spans="14:19">
      <c r="N2607" s="34"/>
      <c r="O2607" s="34"/>
      <c r="P2607" s="34"/>
      <c r="Q2607" s="34"/>
      <c r="R2607" s="34"/>
      <c r="S2607" s="34"/>
    </row>
    <row r="2608" spans="14:19">
      <c r="N2608" s="34"/>
      <c r="O2608" s="34"/>
      <c r="P2608" s="34"/>
      <c r="Q2608" s="34"/>
      <c r="R2608" s="34"/>
      <c r="S2608" s="34"/>
    </row>
    <row r="2609" spans="14:19">
      <c r="N2609" s="34"/>
      <c r="O2609" s="34"/>
      <c r="P2609" s="34"/>
      <c r="Q2609" s="34"/>
      <c r="R2609" s="34"/>
      <c r="S2609" s="34"/>
    </row>
    <row r="2610" spans="14:19">
      <c r="N2610" s="34"/>
      <c r="O2610" s="34"/>
      <c r="P2610" s="34"/>
      <c r="Q2610" s="34"/>
      <c r="R2610" s="34"/>
      <c r="S2610" s="34"/>
    </row>
    <row r="2611" spans="14:19">
      <c r="N2611" s="34"/>
      <c r="O2611" s="34"/>
      <c r="P2611" s="34"/>
      <c r="Q2611" s="34"/>
      <c r="R2611" s="34"/>
      <c r="S2611" s="34"/>
    </row>
    <row r="2612" spans="14:19">
      <c r="N2612" s="34"/>
      <c r="O2612" s="34"/>
      <c r="P2612" s="34"/>
      <c r="Q2612" s="34"/>
      <c r="R2612" s="34"/>
      <c r="S2612" s="34"/>
    </row>
    <row r="2613" spans="14:19">
      <c r="N2613" s="34"/>
      <c r="O2613" s="34"/>
      <c r="P2613" s="34"/>
      <c r="Q2613" s="34"/>
      <c r="R2613" s="34"/>
      <c r="S2613" s="34"/>
    </row>
    <row r="2614" spans="14:19">
      <c r="N2614" s="34"/>
      <c r="O2614" s="34"/>
      <c r="P2614" s="34"/>
      <c r="Q2614" s="34"/>
      <c r="R2614" s="34"/>
      <c r="S2614" s="34"/>
    </row>
    <row r="2615" spans="14:19">
      <c r="N2615" s="34"/>
      <c r="O2615" s="34"/>
      <c r="P2615" s="34"/>
      <c r="Q2615" s="34"/>
      <c r="R2615" s="34"/>
      <c r="S2615" s="34"/>
    </row>
    <row r="2616" spans="14:19">
      <c r="N2616" s="34"/>
      <c r="O2616" s="34"/>
      <c r="P2616" s="34"/>
      <c r="Q2616" s="34"/>
      <c r="R2616" s="34"/>
      <c r="S2616" s="34"/>
    </row>
    <row r="2617" spans="14:19">
      <c r="N2617" s="34"/>
      <c r="O2617" s="34"/>
      <c r="P2617" s="34"/>
      <c r="Q2617" s="34"/>
      <c r="R2617" s="34"/>
      <c r="S2617" s="34"/>
    </row>
    <row r="2618" spans="14:19">
      <c r="N2618" s="34"/>
      <c r="O2618" s="34"/>
      <c r="P2618" s="34"/>
      <c r="Q2618" s="34"/>
      <c r="R2618" s="34"/>
      <c r="S2618" s="34"/>
    </row>
    <row r="2619" spans="14:19">
      <c r="N2619" s="34"/>
      <c r="O2619" s="34"/>
      <c r="P2619" s="34"/>
      <c r="Q2619" s="34"/>
      <c r="R2619" s="34"/>
      <c r="S2619" s="34"/>
    </row>
    <row r="2620" spans="14:19">
      <c r="N2620" s="34"/>
      <c r="O2620" s="34"/>
      <c r="P2620" s="34"/>
      <c r="Q2620" s="34"/>
      <c r="R2620" s="34"/>
      <c r="S2620" s="34"/>
    </row>
    <row r="2621" spans="14:19">
      <c r="N2621" s="34"/>
      <c r="O2621" s="34"/>
      <c r="P2621" s="34"/>
      <c r="Q2621" s="34"/>
      <c r="R2621" s="34"/>
      <c r="S2621" s="34"/>
    </row>
    <row r="2622" spans="14:19">
      <c r="N2622" s="34"/>
      <c r="O2622" s="34"/>
      <c r="P2622" s="34"/>
      <c r="Q2622" s="34"/>
      <c r="R2622" s="34"/>
      <c r="S2622" s="34"/>
    </row>
    <row r="2623" spans="14:19">
      <c r="N2623" s="34"/>
      <c r="O2623" s="34"/>
      <c r="P2623" s="34"/>
      <c r="Q2623" s="34"/>
      <c r="R2623" s="34"/>
      <c r="S2623" s="34"/>
    </row>
    <row r="2624" spans="14:19">
      <c r="N2624" s="34"/>
      <c r="O2624" s="34"/>
      <c r="P2624" s="34"/>
      <c r="Q2624" s="34"/>
      <c r="R2624" s="34"/>
      <c r="S2624" s="34"/>
    </row>
    <row r="2625" spans="14:19">
      <c r="N2625" s="34"/>
      <c r="O2625" s="34"/>
      <c r="P2625" s="34"/>
      <c r="Q2625" s="34"/>
      <c r="R2625" s="34"/>
      <c r="S2625" s="34"/>
    </row>
    <row r="2626" spans="14:19">
      <c r="N2626" s="34"/>
      <c r="O2626" s="34"/>
      <c r="P2626" s="34"/>
      <c r="Q2626" s="34"/>
      <c r="R2626" s="34"/>
      <c r="S2626" s="34"/>
    </row>
    <row r="2627" spans="14:19">
      <c r="N2627" s="34"/>
      <c r="O2627" s="34"/>
      <c r="P2627" s="34"/>
      <c r="Q2627" s="34"/>
      <c r="R2627" s="34"/>
      <c r="S2627" s="34"/>
    </row>
    <row r="2628" spans="14:19">
      <c r="N2628" s="34"/>
      <c r="O2628" s="34"/>
      <c r="P2628" s="34"/>
      <c r="Q2628" s="34"/>
      <c r="R2628" s="34"/>
      <c r="S2628" s="34"/>
    </row>
    <row r="2629" spans="14:19">
      <c r="N2629" s="34"/>
      <c r="O2629" s="34"/>
      <c r="P2629" s="34"/>
      <c r="Q2629" s="34"/>
      <c r="R2629" s="34"/>
      <c r="S2629" s="34"/>
    </row>
    <row r="2630" spans="14:19">
      <c r="N2630" s="34"/>
      <c r="O2630" s="34"/>
      <c r="P2630" s="34"/>
      <c r="Q2630" s="34"/>
      <c r="R2630" s="34"/>
      <c r="S2630" s="34"/>
    </row>
    <row r="2631" spans="14:19">
      <c r="N2631" s="34"/>
      <c r="O2631" s="34"/>
      <c r="P2631" s="34"/>
      <c r="Q2631" s="34"/>
      <c r="R2631" s="34"/>
      <c r="S2631" s="34"/>
    </row>
    <row r="2632" spans="14:19">
      <c r="N2632" s="34"/>
      <c r="O2632" s="34"/>
      <c r="P2632" s="34"/>
      <c r="Q2632" s="34"/>
      <c r="R2632" s="34"/>
      <c r="S2632" s="34"/>
    </row>
    <row r="2633" spans="14:19">
      <c r="N2633" s="34"/>
      <c r="O2633" s="34"/>
      <c r="P2633" s="34"/>
      <c r="Q2633" s="34"/>
      <c r="R2633" s="34"/>
      <c r="S2633" s="34"/>
    </row>
    <row r="2634" spans="14:19">
      <c r="N2634" s="34"/>
      <c r="O2634" s="34"/>
      <c r="P2634" s="34"/>
      <c r="Q2634" s="34"/>
      <c r="R2634" s="34"/>
      <c r="S2634" s="34"/>
    </row>
    <row r="2635" spans="14:19">
      <c r="N2635" s="34"/>
      <c r="O2635" s="34"/>
      <c r="P2635" s="34"/>
      <c r="Q2635" s="34"/>
      <c r="R2635" s="34"/>
      <c r="S2635" s="34"/>
    </row>
    <row r="2636" spans="14:19">
      <c r="N2636" s="34"/>
      <c r="O2636" s="34"/>
      <c r="P2636" s="34"/>
      <c r="Q2636" s="34"/>
      <c r="R2636" s="34"/>
      <c r="S2636" s="34"/>
    </row>
    <row r="2637" spans="14:19">
      <c r="N2637" s="34"/>
      <c r="O2637" s="34"/>
      <c r="P2637" s="34"/>
      <c r="Q2637" s="34"/>
      <c r="R2637" s="34"/>
      <c r="S2637" s="34"/>
    </row>
    <row r="2638" spans="14:19">
      <c r="N2638" s="34"/>
      <c r="O2638" s="34"/>
      <c r="P2638" s="34"/>
      <c r="Q2638" s="34"/>
      <c r="R2638" s="34"/>
      <c r="S2638" s="34"/>
    </row>
    <row r="2639" spans="14:19">
      <c r="N2639" s="34"/>
      <c r="O2639" s="34"/>
      <c r="P2639" s="34"/>
      <c r="Q2639" s="34"/>
      <c r="R2639" s="34"/>
      <c r="S2639" s="34"/>
    </row>
    <row r="2640" spans="14:19">
      <c r="N2640" s="34"/>
      <c r="O2640" s="34"/>
      <c r="P2640" s="34"/>
      <c r="Q2640" s="34"/>
      <c r="R2640" s="34"/>
      <c r="S2640" s="34"/>
    </row>
    <row r="2641" spans="14:19">
      <c r="N2641" s="34"/>
      <c r="O2641" s="34"/>
      <c r="P2641" s="34"/>
      <c r="Q2641" s="34"/>
      <c r="R2641" s="34"/>
      <c r="S2641" s="34"/>
    </row>
    <row r="2642" spans="14:19">
      <c r="N2642" s="34"/>
      <c r="O2642" s="34"/>
      <c r="P2642" s="34"/>
      <c r="Q2642" s="34"/>
      <c r="R2642" s="34"/>
      <c r="S2642" s="34"/>
    </row>
    <row r="2643" spans="14:19">
      <c r="N2643" s="34"/>
      <c r="O2643" s="34"/>
      <c r="P2643" s="34"/>
      <c r="Q2643" s="34"/>
      <c r="R2643" s="34"/>
      <c r="S2643" s="34"/>
    </row>
    <row r="2644" spans="14:19">
      <c r="N2644" s="34"/>
      <c r="O2644" s="34"/>
      <c r="P2644" s="34"/>
      <c r="Q2644" s="34"/>
      <c r="R2644" s="34"/>
      <c r="S2644" s="34"/>
    </row>
    <row r="2645" spans="14:19">
      <c r="N2645" s="34"/>
      <c r="O2645" s="34"/>
      <c r="P2645" s="34"/>
      <c r="Q2645" s="34"/>
      <c r="R2645" s="34"/>
      <c r="S2645" s="34"/>
    </row>
    <row r="2646" spans="14:19">
      <c r="N2646" s="34"/>
      <c r="O2646" s="34"/>
      <c r="P2646" s="34"/>
      <c r="Q2646" s="34"/>
      <c r="R2646" s="34"/>
      <c r="S2646" s="34"/>
    </row>
    <row r="2647" spans="14:19">
      <c r="N2647" s="34"/>
      <c r="O2647" s="34"/>
      <c r="P2647" s="34"/>
      <c r="Q2647" s="34"/>
      <c r="R2647" s="34"/>
      <c r="S2647" s="34"/>
    </row>
    <row r="2648" spans="14:19">
      <c r="N2648" s="34"/>
      <c r="O2648" s="34"/>
      <c r="P2648" s="34"/>
      <c r="Q2648" s="34"/>
      <c r="R2648" s="34"/>
      <c r="S2648" s="34"/>
    </row>
    <row r="2649" spans="14:19">
      <c r="N2649" s="34"/>
      <c r="O2649" s="34"/>
      <c r="P2649" s="34"/>
      <c r="Q2649" s="34"/>
      <c r="R2649" s="34"/>
      <c r="S2649" s="34"/>
    </row>
    <row r="2650" spans="14:19">
      <c r="N2650" s="34"/>
      <c r="O2650" s="34"/>
      <c r="P2650" s="34"/>
      <c r="Q2650" s="34"/>
      <c r="R2650" s="34"/>
      <c r="S2650" s="34"/>
    </row>
    <row r="2651" spans="14:19">
      <c r="N2651" s="34"/>
      <c r="O2651" s="34"/>
      <c r="P2651" s="34"/>
      <c r="Q2651" s="34"/>
      <c r="R2651" s="34"/>
      <c r="S2651" s="34"/>
    </row>
    <row r="2652" spans="14:19">
      <c r="N2652" s="34"/>
      <c r="O2652" s="34"/>
      <c r="P2652" s="34"/>
      <c r="Q2652" s="34"/>
      <c r="R2652" s="34"/>
      <c r="S2652" s="34"/>
    </row>
    <row r="2653" spans="14:19">
      <c r="N2653" s="34"/>
      <c r="O2653" s="34"/>
      <c r="P2653" s="34"/>
      <c r="Q2653" s="34"/>
      <c r="R2653" s="34"/>
      <c r="S2653" s="34"/>
    </row>
    <row r="2654" spans="14:19">
      <c r="N2654" s="34"/>
      <c r="O2654" s="34"/>
      <c r="P2654" s="34"/>
      <c r="Q2654" s="34"/>
      <c r="R2654" s="34"/>
      <c r="S2654" s="34"/>
    </row>
    <row r="2655" spans="14:19">
      <c r="N2655" s="34"/>
      <c r="O2655" s="34"/>
      <c r="P2655" s="34"/>
      <c r="Q2655" s="34"/>
      <c r="R2655" s="34"/>
      <c r="S2655" s="34"/>
    </row>
    <row r="2656" spans="14:19">
      <c r="N2656" s="34"/>
      <c r="O2656" s="34"/>
      <c r="P2656" s="34"/>
      <c r="Q2656" s="34"/>
      <c r="R2656" s="34"/>
      <c r="S2656" s="34"/>
    </row>
    <row r="2657" spans="14:19">
      <c r="N2657" s="34"/>
      <c r="O2657" s="34"/>
      <c r="P2657" s="34"/>
      <c r="Q2657" s="34"/>
      <c r="R2657" s="34"/>
      <c r="S2657" s="34"/>
    </row>
    <row r="2658" spans="14:19">
      <c r="N2658" s="34"/>
      <c r="O2658" s="34"/>
      <c r="P2658" s="34"/>
      <c r="Q2658" s="34"/>
      <c r="R2658" s="34"/>
      <c r="S2658" s="34"/>
    </row>
    <row r="2659" spans="14:19">
      <c r="N2659" s="34"/>
      <c r="O2659" s="34"/>
      <c r="P2659" s="34"/>
      <c r="Q2659" s="34"/>
      <c r="R2659" s="34"/>
      <c r="S2659" s="34"/>
    </row>
    <row r="2660" spans="14:19">
      <c r="N2660" s="34"/>
      <c r="O2660" s="34"/>
      <c r="P2660" s="34"/>
      <c r="Q2660" s="34"/>
      <c r="R2660" s="34"/>
      <c r="S2660" s="34"/>
    </row>
    <row r="2661" spans="14:19">
      <c r="N2661" s="34"/>
      <c r="O2661" s="34"/>
      <c r="P2661" s="34"/>
      <c r="Q2661" s="34"/>
      <c r="R2661" s="34"/>
      <c r="S2661" s="34"/>
    </row>
    <row r="2662" spans="14:19">
      <c r="N2662" s="34"/>
      <c r="O2662" s="34"/>
      <c r="P2662" s="34"/>
      <c r="Q2662" s="34"/>
      <c r="R2662" s="34"/>
      <c r="S2662" s="34"/>
    </row>
    <row r="2663" spans="14:19">
      <c r="N2663" s="34"/>
      <c r="O2663" s="34"/>
      <c r="P2663" s="34"/>
      <c r="Q2663" s="34"/>
      <c r="R2663" s="34"/>
      <c r="S2663" s="34"/>
    </row>
    <row r="2664" spans="14:19">
      <c r="N2664" s="34"/>
      <c r="O2664" s="34"/>
      <c r="P2664" s="34"/>
      <c r="Q2664" s="34"/>
      <c r="R2664" s="34"/>
      <c r="S2664" s="34"/>
    </row>
    <row r="2665" spans="14:19">
      <c r="N2665" s="34"/>
      <c r="O2665" s="34"/>
      <c r="P2665" s="34"/>
      <c r="Q2665" s="34"/>
      <c r="R2665" s="34"/>
      <c r="S2665" s="34"/>
    </row>
    <row r="2666" spans="14:19">
      <c r="N2666" s="34"/>
      <c r="O2666" s="34"/>
      <c r="P2666" s="34"/>
      <c r="Q2666" s="34"/>
      <c r="R2666" s="34"/>
      <c r="S2666" s="34"/>
    </row>
    <row r="2667" spans="14:19">
      <c r="N2667" s="34"/>
      <c r="O2667" s="34"/>
      <c r="P2667" s="34"/>
      <c r="Q2667" s="34"/>
      <c r="R2667" s="34"/>
      <c r="S2667" s="34"/>
    </row>
    <row r="2668" spans="14:19">
      <c r="N2668" s="34"/>
      <c r="O2668" s="34"/>
      <c r="P2668" s="34"/>
      <c r="Q2668" s="34"/>
      <c r="R2668" s="34"/>
      <c r="S2668" s="34"/>
    </row>
    <row r="2669" spans="14:19">
      <c r="N2669" s="34"/>
      <c r="O2669" s="34"/>
      <c r="P2669" s="34"/>
      <c r="Q2669" s="34"/>
      <c r="R2669" s="34"/>
      <c r="S2669" s="34"/>
    </row>
    <row r="2670" spans="14:19">
      <c r="N2670" s="34"/>
      <c r="O2670" s="34"/>
      <c r="P2670" s="34"/>
      <c r="Q2670" s="34"/>
      <c r="R2670" s="34"/>
      <c r="S2670" s="34"/>
    </row>
    <row r="2671" spans="14:19">
      <c r="N2671" s="34"/>
      <c r="O2671" s="34"/>
      <c r="P2671" s="34"/>
      <c r="Q2671" s="34"/>
      <c r="R2671" s="34"/>
      <c r="S2671" s="34"/>
    </row>
    <row r="2672" spans="14:19">
      <c r="N2672" s="34"/>
      <c r="O2672" s="34"/>
      <c r="P2672" s="34"/>
      <c r="Q2672" s="34"/>
      <c r="R2672" s="34"/>
      <c r="S2672" s="34"/>
    </row>
    <row r="2673" spans="14:19">
      <c r="N2673" s="34"/>
      <c r="O2673" s="34"/>
      <c r="P2673" s="34"/>
      <c r="Q2673" s="34"/>
      <c r="R2673" s="34"/>
      <c r="S2673" s="34"/>
    </row>
    <row r="2674" spans="14:19">
      <c r="N2674" s="34"/>
      <c r="O2674" s="34"/>
      <c r="P2674" s="34"/>
      <c r="Q2674" s="34"/>
      <c r="R2674" s="34"/>
      <c r="S2674" s="34"/>
    </row>
    <row r="2675" spans="14:19">
      <c r="N2675" s="34"/>
      <c r="O2675" s="34"/>
      <c r="P2675" s="34"/>
      <c r="Q2675" s="34"/>
      <c r="R2675" s="34"/>
      <c r="S2675" s="34"/>
    </row>
    <row r="2676" spans="14:19">
      <c r="N2676" s="34"/>
      <c r="O2676" s="34"/>
      <c r="P2676" s="34"/>
      <c r="Q2676" s="34"/>
      <c r="R2676" s="34"/>
      <c r="S2676" s="34"/>
    </row>
    <row r="2677" spans="14:19">
      <c r="N2677" s="34"/>
      <c r="O2677" s="34"/>
      <c r="P2677" s="34"/>
      <c r="Q2677" s="34"/>
      <c r="R2677" s="34"/>
      <c r="S2677" s="34"/>
    </row>
    <row r="2678" spans="14:19">
      <c r="N2678" s="34"/>
      <c r="O2678" s="34"/>
      <c r="P2678" s="34"/>
      <c r="Q2678" s="34"/>
      <c r="R2678" s="34"/>
      <c r="S2678" s="34"/>
    </row>
    <row r="2679" spans="14:19">
      <c r="N2679" s="34"/>
      <c r="O2679" s="34"/>
      <c r="P2679" s="34"/>
      <c r="Q2679" s="34"/>
      <c r="R2679" s="34"/>
      <c r="S2679" s="34"/>
    </row>
    <row r="2680" spans="14:19">
      <c r="N2680" s="34"/>
      <c r="O2680" s="34"/>
      <c r="P2680" s="34"/>
      <c r="Q2680" s="34"/>
      <c r="R2680" s="34"/>
      <c r="S2680" s="34"/>
    </row>
    <row r="2681" spans="14:19">
      <c r="N2681" s="34"/>
      <c r="O2681" s="34"/>
      <c r="P2681" s="34"/>
      <c r="Q2681" s="34"/>
      <c r="R2681" s="34"/>
      <c r="S2681" s="34"/>
    </row>
    <row r="2682" spans="14:19">
      <c r="N2682" s="34"/>
      <c r="O2682" s="34"/>
      <c r="P2682" s="34"/>
      <c r="Q2682" s="34"/>
      <c r="R2682" s="34"/>
      <c r="S2682" s="34"/>
    </row>
    <row r="2683" spans="14:19">
      <c r="N2683" s="34"/>
      <c r="O2683" s="34"/>
      <c r="P2683" s="34"/>
      <c r="Q2683" s="34"/>
      <c r="R2683" s="34"/>
      <c r="S2683" s="34"/>
    </row>
    <row r="2684" spans="14:19">
      <c r="N2684" s="34"/>
      <c r="O2684" s="34"/>
      <c r="P2684" s="34"/>
      <c r="Q2684" s="34"/>
      <c r="R2684" s="34"/>
      <c r="S2684" s="34"/>
    </row>
    <row r="2685" spans="14:19">
      <c r="N2685" s="34"/>
      <c r="O2685" s="34"/>
      <c r="P2685" s="34"/>
      <c r="Q2685" s="34"/>
      <c r="R2685" s="34"/>
      <c r="S2685" s="34"/>
    </row>
    <row r="2686" spans="14:19">
      <c r="N2686" s="34"/>
      <c r="O2686" s="34"/>
      <c r="P2686" s="34"/>
      <c r="Q2686" s="34"/>
      <c r="R2686" s="34"/>
      <c r="S2686" s="34"/>
    </row>
    <row r="2687" spans="14:19">
      <c r="N2687" s="34"/>
      <c r="O2687" s="34"/>
      <c r="P2687" s="34"/>
      <c r="Q2687" s="34"/>
      <c r="R2687" s="34"/>
      <c r="S2687" s="34"/>
    </row>
    <row r="2688" spans="14:19">
      <c r="N2688" s="34"/>
      <c r="O2688" s="34"/>
      <c r="P2688" s="34"/>
      <c r="Q2688" s="34"/>
      <c r="R2688" s="34"/>
      <c r="S2688" s="34"/>
    </row>
    <row r="2689" spans="14:19">
      <c r="N2689" s="34"/>
      <c r="O2689" s="34"/>
      <c r="P2689" s="34"/>
      <c r="Q2689" s="34"/>
      <c r="R2689" s="34"/>
      <c r="S2689" s="34"/>
    </row>
    <row r="2690" spans="14:19">
      <c r="N2690" s="34"/>
      <c r="O2690" s="34"/>
      <c r="P2690" s="34"/>
      <c r="Q2690" s="34"/>
      <c r="R2690" s="34"/>
      <c r="S2690" s="34"/>
    </row>
    <row r="2691" spans="14:19">
      <c r="N2691" s="34"/>
      <c r="O2691" s="34"/>
      <c r="P2691" s="34"/>
      <c r="Q2691" s="34"/>
      <c r="R2691" s="34"/>
      <c r="S2691" s="34"/>
    </row>
    <row r="2692" spans="14:19">
      <c r="N2692" s="34"/>
      <c r="O2692" s="34"/>
      <c r="P2692" s="34"/>
      <c r="Q2692" s="34"/>
      <c r="R2692" s="34"/>
      <c r="S2692" s="34"/>
    </row>
    <row r="2693" spans="14:19">
      <c r="N2693" s="34"/>
      <c r="O2693" s="34"/>
      <c r="P2693" s="34"/>
      <c r="Q2693" s="34"/>
      <c r="R2693" s="34"/>
      <c r="S2693" s="34"/>
    </row>
    <row r="2694" spans="14:19">
      <c r="N2694" s="34"/>
      <c r="O2694" s="34"/>
      <c r="P2694" s="34"/>
      <c r="Q2694" s="34"/>
      <c r="R2694" s="34"/>
      <c r="S2694" s="34"/>
    </row>
    <row r="2695" spans="14:19">
      <c r="N2695" s="34"/>
      <c r="O2695" s="34"/>
      <c r="P2695" s="34"/>
      <c r="Q2695" s="34"/>
      <c r="R2695" s="34"/>
      <c r="S2695" s="34"/>
    </row>
    <row r="2696" spans="14:19">
      <c r="N2696" s="34"/>
      <c r="O2696" s="34"/>
      <c r="P2696" s="34"/>
      <c r="Q2696" s="34"/>
      <c r="R2696" s="34"/>
      <c r="S2696" s="34"/>
    </row>
    <row r="2697" spans="14:19">
      <c r="N2697" s="34"/>
      <c r="O2697" s="34"/>
      <c r="P2697" s="34"/>
      <c r="Q2697" s="34"/>
      <c r="R2697" s="34"/>
      <c r="S2697" s="34"/>
    </row>
    <row r="2698" spans="14:19">
      <c r="N2698" s="34"/>
      <c r="O2698" s="34"/>
      <c r="P2698" s="34"/>
      <c r="Q2698" s="34"/>
      <c r="R2698" s="34"/>
      <c r="S2698" s="34"/>
    </row>
    <row r="2699" spans="14:19">
      <c r="N2699" s="34"/>
      <c r="O2699" s="34"/>
      <c r="P2699" s="34"/>
      <c r="Q2699" s="34"/>
      <c r="R2699" s="34"/>
      <c r="S2699" s="34"/>
    </row>
    <row r="2700" spans="14:19">
      <c r="N2700" s="34"/>
      <c r="O2700" s="34"/>
      <c r="P2700" s="34"/>
      <c r="Q2700" s="34"/>
      <c r="R2700" s="34"/>
      <c r="S2700" s="34"/>
    </row>
    <row r="2701" spans="14:19">
      <c r="N2701" s="34"/>
      <c r="O2701" s="34"/>
      <c r="P2701" s="34"/>
      <c r="Q2701" s="34"/>
      <c r="R2701" s="34"/>
      <c r="S2701" s="34"/>
    </row>
    <row r="2702" spans="14:19">
      <c r="N2702" s="34"/>
      <c r="O2702" s="34"/>
      <c r="P2702" s="34"/>
      <c r="Q2702" s="34"/>
      <c r="R2702" s="34"/>
      <c r="S2702" s="34"/>
    </row>
    <row r="2703" spans="14:19">
      <c r="N2703" s="34"/>
      <c r="O2703" s="34"/>
      <c r="P2703" s="34"/>
      <c r="Q2703" s="34"/>
      <c r="R2703" s="34"/>
      <c r="S2703" s="34"/>
    </row>
    <row r="2704" spans="14:19">
      <c r="N2704" s="34"/>
      <c r="O2704" s="34"/>
      <c r="P2704" s="34"/>
      <c r="Q2704" s="34"/>
      <c r="R2704" s="34"/>
      <c r="S2704" s="34"/>
    </row>
    <row r="2705" spans="14:19">
      <c r="N2705" s="34"/>
      <c r="O2705" s="34"/>
      <c r="P2705" s="34"/>
      <c r="Q2705" s="34"/>
      <c r="R2705" s="34"/>
      <c r="S2705" s="34"/>
    </row>
    <row r="2706" spans="14:19">
      <c r="N2706" s="34"/>
      <c r="O2706" s="34"/>
      <c r="P2706" s="34"/>
      <c r="Q2706" s="34"/>
      <c r="R2706" s="34"/>
      <c r="S2706" s="34"/>
    </row>
    <row r="2707" spans="14:19">
      <c r="N2707" s="34"/>
      <c r="O2707" s="34"/>
      <c r="P2707" s="34"/>
      <c r="Q2707" s="34"/>
      <c r="R2707" s="34"/>
      <c r="S2707" s="34"/>
    </row>
    <row r="2708" spans="14:19">
      <c r="N2708" s="34"/>
      <c r="O2708" s="34"/>
      <c r="P2708" s="34"/>
      <c r="Q2708" s="34"/>
      <c r="R2708" s="34"/>
      <c r="S2708" s="34"/>
    </row>
    <row r="2709" spans="14:19">
      <c r="N2709" s="34"/>
      <c r="O2709" s="34"/>
      <c r="P2709" s="34"/>
      <c r="Q2709" s="34"/>
      <c r="R2709" s="34"/>
      <c r="S2709" s="34"/>
    </row>
    <row r="2710" spans="14:19">
      <c r="N2710" s="34"/>
      <c r="O2710" s="34"/>
      <c r="P2710" s="34"/>
      <c r="Q2710" s="34"/>
      <c r="R2710" s="34"/>
      <c r="S2710" s="34"/>
    </row>
    <row r="2711" spans="14:19">
      <c r="N2711" s="34"/>
      <c r="O2711" s="34"/>
      <c r="P2711" s="34"/>
      <c r="Q2711" s="34"/>
      <c r="R2711" s="34"/>
      <c r="S2711" s="34"/>
    </row>
    <row r="2712" spans="14:19">
      <c r="N2712" s="34"/>
      <c r="O2712" s="34"/>
      <c r="P2712" s="34"/>
      <c r="Q2712" s="34"/>
      <c r="R2712" s="34"/>
      <c r="S2712" s="34"/>
    </row>
    <row r="2713" spans="14:19">
      <c r="N2713" s="34"/>
      <c r="O2713" s="34"/>
      <c r="P2713" s="34"/>
      <c r="Q2713" s="34"/>
      <c r="R2713" s="34"/>
      <c r="S2713" s="34"/>
    </row>
    <row r="2714" spans="14:19">
      <c r="N2714" s="34"/>
      <c r="O2714" s="34"/>
      <c r="P2714" s="34"/>
      <c r="Q2714" s="34"/>
      <c r="R2714" s="34"/>
      <c r="S2714" s="34"/>
    </row>
    <row r="2715" spans="14:19">
      <c r="N2715" s="34"/>
      <c r="O2715" s="34"/>
      <c r="P2715" s="34"/>
      <c r="Q2715" s="34"/>
      <c r="R2715" s="34"/>
      <c r="S2715" s="34"/>
    </row>
    <row r="2716" spans="14:19">
      <c r="N2716" s="34"/>
      <c r="O2716" s="34"/>
      <c r="P2716" s="34"/>
      <c r="Q2716" s="34"/>
      <c r="R2716" s="34"/>
      <c r="S2716" s="34"/>
    </row>
    <row r="2717" spans="14:19">
      <c r="N2717" s="34"/>
      <c r="O2717" s="34"/>
      <c r="P2717" s="34"/>
      <c r="Q2717" s="34"/>
      <c r="R2717" s="34"/>
      <c r="S2717" s="34"/>
    </row>
    <row r="2718" spans="14:19">
      <c r="N2718" s="34"/>
      <c r="O2718" s="34"/>
      <c r="P2718" s="34"/>
      <c r="Q2718" s="34"/>
      <c r="R2718" s="34"/>
      <c r="S2718" s="34"/>
    </row>
    <row r="2719" spans="14:19">
      <c r="N2719" s="34"/>
      <c r="O2719" s="34"/>
      <c r="P2719" s="34"/>
      <c r="Q2719" s="34"/>
      <c r="R2719" s="34"/>
      <c r="S2719" s="34"/>
    </row>
    <row r="2720" spans="14:19">
      <c r="N2720" s="34"/>
      <c r="O2720" s="34"/>
      <c r="P2720" s="34"/>
      <c r="Q2720" s="34"/>
      <c r="R2720" s="34"/>
      <c r="S2720" s="34"/>
    </row>
    <row r="2721" spans="14:19">
      <c r="N2721" s="34"/>
      <c r="O2721" s="34"/>
      <c r="P2721" s="34"/>
      <c r="Q2721" s="34"/>
      <c r="R2721" s="34"/>
      <c r="S2721" s="34"/>
    </row>
    <row r="2722" spans="14:19">
      <c r="N2722" s="34"/>
      <c r="O2722" s="34"/>
      <c r="P2722" s="34"/>
      <c r="Q2722" s="34"/>
      <c r="R2722" s="34"/>
      <c r="S2722" s="34"/>
    </row>
    <row r="2723" spans="14:19">
      <c r="N2723" s="34"/>
      <c r="O2723" s="34"/>
      <c r="P2723" s="34"/>
      <c r="Q2723" s="34"/>
      <c r="R2723" s="34"/>
      <c r="S2723" s="34"/>
    </row>
    <row r="2724" spans="14:19">
      <c r="N2724" s="34"/>
      <c r="O2724" s="34"/>
      <c r="P2724" s="34"/>
      <c r="Q2724" s="34"/>
      <c r="R2724" s="34"/>
      <c r="S2724" s="34"/>
    </row>
    <row r="2725" spans="14:19">
      <c r="N2725" s="34"/>
      <c r="O2725" s="34"/>
      <c r="P2725" s="34"/>
      <c r="Q2725" s="34"/>
      <c r="R2725" s="34"/>
      <c r="S2725" s="34"/>
    </row>
    <row r="2726" spans="14:19">
      <c r="N2726" s="34"/>
      <c r="O2726" s="34"/>
      <c r="P2726" s="34"/>
      <c r="Q2726" s="34"/>
      <c r="R2726" s="34"/>
      <c r="S2726" s="34"/>
    </row>
    <row r="2727" spans="14:19">
      <c r="N2727" s="34"/>
      <c r="O2727" s="34"/>
      <c r="P2727" s="34"/>
      <c r="Q2727" s="34"/>
      <c r="R2727" s="34"/>
      <c r="S2727" s="34"/>
    </row>
    <row r="2728" spans="14:19">
      <c r="N2728" s="34"/>
      <c r="O2728" s="34"/>
      <c r="P2728" s="34"/>
      <c r="Q2728" s="34"/>
      <c r="R2728" s="34"/>
      <c r="S2728" s="34"/>
    </row>
    <row r="2729" spans="14:19">
      <c r="N2729" s="34"/>
      <c r="O2729" s="34"/>
      <c r="P2729" s="34"/>
      <c r="Q2729" s="34"/>
      <c r="R2729" s="34"/>
      <c r="S2729" s="34"/>
    </row>
    <row r="2730" spans="14:19">
      <c r="N2730" s="34"/>
      <c r="O2730" s="34"/>
      <c r="P2730" s="34"/>
      <c r="Q2730" s="34"/>
      <c r="R2730" s="34"/>
      <c r="S2730" s="34"/>
    </row>
    <row r="2731" spans="14:19">
      <c r="N2731" s="34"/>
      <c r="O2731" s="34"/>
      <c r="P2731" s="34"/>
      <c r="Q2731" s="34"/>
      <c r="R2731" s="34"/>
      <c r="S2731" s="34"/>
    </row>
    <row r="2732" spans="14:19">
      <c r="N2732" s="34"/>
      <c r="O2732" s="34"/>
      <c r="P2732" s="34"/>
      <c r="Q2732" s="34"/>
      <c r="R2732" s="34"/>
      <c r="S2732" s="34"/>
    </row>
    <row r="2733" spans="14:19">
      <c r="N2733" s="34"/>
      <c r="O2733" s="34"/>
      <c r="P2733" s="34"/>
      <c r="Q2733" s="34"/>
      <c r="R2733" s="34"/>
      <c r="S2733" s="34"/>
    </row>
    <row r="2734" spans="14:19">
      <c r="N2734" s="34"/>
      <c r="O2734" s="34"/>
      <c r="P2734" s="34"/>
      <c r="Q2734" s="34"/>
      <c r="R2734" s="34"/>
      <c r="S2734" s="34"/>
    </row>
    <row r="2735" spans="14:19">
      <c r="N2735" s="34"/>
      <c r="O2735" s="34"/>
      <c r="P2735" s="34"/>
      <c r="Q2735" s="34"/>
      <c r="R2735" s="34"/>
      <c r="S2735" s="34"/>
    </row>
    <row r="2736" spans="14:19">
      <c r="N2736" s="34"/>
      <c r="O2736" s="34"/>
      <c r="P2736" s="34"/>
      <c r="Q2736" s="34"/>
      <c r="R2736" s="34"/>
      <c r="S2736" s="34"/>
    </row>
    <row r="2737" spans="14:19">
      <c r="N2737" s="34"/>
      <c r="O2737" s="34"/>
      <c r="P2737" s="34"/>
      <c r="Q2737" s="34"/>
      <c r="R2737" s="34"/>
      <c r="S2737" s="34"/>
    </row>
    <row r="2738" spans="14:19">
      <c r="N2738" s="34"/>
      <c r="O2738" s="34"/>
      <c r="P2738" s="34"/>
      <c r="Q2738" s="34"/>
      <c r="R2738" s="34"/>
      <c r="S2738" s="34"/>
    </row>
    <row r="2739" spans="14:19">
      <c r="N2739" s="34"/>
      <c r="O2739" s="34"/>
      <c r="P2739" s="34"/>
      <c r="Q2739" s="34"/>
      <c r="R2739" s="34"/>
      <c r="S2739" s="34"/>
    </row>
    <row r="2740" spans="14:19">
      <c r="N2740" s="34"/>
      <c r="O2740" s="34"/>
      <c r="P2740" s="34"/>
      <c r="Q2740" s="34"/>
      <c r="R2740" s="34"/>
      <c r="S2740" s="34"/>
    </row>
    <row r="2741" spans="14:19">
      <c r="N2741" s="34"/>
      <c r="O2741" s="34"/>
      <c r="P2741" s="34"/>
      <c r="Q2741" s="34"/>
      <c r="R2741" s="34"/>
      <c r="S2741" s="34"/>
    </row>
    <row r="2742" spans="14:19">
      <c r="N2742" s="34"/>
      <c r="O2742" s="34"/>
      <c r="P2742" s="34"/>
      <c r="Q2742" s="34"/>
      <c r="R2742" s="34"/>
      <c r="S2742" s="34"/>
    </row>
    <row r="2743" spans="14:19">
      <c r="N2743" s="34"/>
      <c r="O2743" s="34"/>
      <c r="P2743" s="34"/>
      <c r="Q2743" s="34"/>
      <c r="R2743" s="34"/>
      <c r="S2743" s="34"/>
    </row>
    <row r="2744" spans="14:19">
      <c r="N2744" s="34"/>
      <c r="O2744" s="34"/>
      <c r="P2744" s="34"/>
      <c r="Q2744" s="34"/>
      <c r="R2744" s="34"/>
      <c r="S2744" s="34"/>
    </row>
    <row r="2745" spans="14:19">
      <c r="N2745" s="34"/>
      <c r="O2745" s="34"/>
      <c r="P2745" s="34"/>
      <c r="Q2745" s="34"/>
      <c r="R2745" s="34"/>
      <c r="S2745" s="34"/>
    </row>
    <row r="2746" spans="14:19">
      <c r="N2746" s="34"/>
      <c r="O2746" s="34"/>
      <c r="P2746" s="34"/>
      <c r="Q2746" s="34"/>
      <c r="R2746" s="34"/>
      <c r="S2746" s="34"/>
    </row>
    <row r="2747" spans="14:19">
      <c r="N2747" s="34"/>
      <c r="O2747" s="34"/>
      <c r="P2747" s="34"/>
      <c r="Q2747" s="34"/>
      <c r="R2747" s="34"/>
      <c r="S2747" s="34"/>
    </row>
    <row r="2748" spans="14:19">
      <c r="N2748" s="34"/>
      <c r="O2748" s="34"/>
      <c r="P2748" s="34"/>
      <c r="Q2748" s="34"/>
      <c r="R2748" s="34"/>
      <c r="S2748" s="34"/>
    </row>
    <row r="2749" spans="14:19">
      <c r="N2749" s="34"/>
      <c r="O2749" s="34"/>
      <c r="P2749" s="34"/>
      <c r="Q2749" s="34"/>
      <c r="R2749" s="34"/>
      <c r="S2749" s="34"/>
    </row>
    <row r="2750" spans="14:19">
      <c r="N2750" s="34"/>
      <c r="O2750" s="34"/>
      <c r="P2750" s="34"/>
      <c r="Q2750" s="34"/>
      <c r="R2750" s="34"/>
      <c r="S2750" s="34"/>
    </row>
    <row r="2751" spans="14:19">
      <c r="N2751" s="34"/>
      <c r="O2751" s="34"/>
      <c r="P2751" s="34"/>
      <c r="Q2751" s="34"/>
      <c r="R2751" s="34"/>
      <c r="S2751" s="34"/>
    </row>
    <row r="2752" spans="14:19">
      <c r="N2752" s="34"/>
      <c r="O2752" s="34"/>
      <c r="P2752" s="34"/>
      <c r="Q2752" s="34"/>
      <c r="R2752" s="34"/>
      <c r="S2752" s="34"/>
    </row>
    <row r="2753" spans="14:19">
      <c r="N2753" s="34"/>
      <c r="O2753" s="34"/>
      <c r="P2753" s="34"/>
      <c r="Q2753" s="34"/>
      <c r="R2753" s="34"/>
      <c r="S2753" s="34"/>
    </row>
    <row r="2754" spans="14:19">
      <c r="N2754" s="34"/>
      <c r="O2754" s="34"/>
      <c r="P2754" s="34"/>
      <c r="Q2754" s="34"/>
      <c r="R2754" s="34"/>
      <c r="S2754" s="34"/>
    </row>
    <row r="2755" spans="14:19">
      <c r="N2755" s="34"/>
      <c r="O2755" s="34"/>
      <c r="P2755" s="34"/>
      <c r="Q2755" s="34"/>
      <c r="R2755" s="34"/>
      <c r="S2755" s="34"/>
    </row>
    <row r="2756" spans="14:19">
      <c r="N2756" s="34"/>
      <c r="O2756" s="34"/>
      <c r="P2756" s="34"/>
      <c r="Q2756" s="34"/>
      <c r="R2756" s="34"/>
      <c r="S2756" s="34"/>
    </row>
    <row r="2757" spans="14:19">
      <c r="N2757" s="34"/>
      <c r="O2757" s="34"/>
      <c r="P2757" s="34"/>
      <c r="Q2757" s="34"/>
      <c r="R2757" s="34"/>
      <c r="S2757" s="34"/>
    </row>
    <row r="2758" spans="14:19">
      <c r="N2758" s="34"/>
      <c r="O2758" s="34"/>
      <c r="P2758" s="34"/>
      <c r="Q2758" s="34"/>
      <c r="R2758" s="34"/>
      <c r="S2758" s="34"/>
    </row>
    <row r="2759" spans="14:19">
      <c r="N2759" s="34"/>
      <c r="O2759" s="34"/>
      <c r="P2759" s="34"/>
      <c r="Q2759" s="34"/>
      <c r="R2759" s="34"/>
      <c r="S2759" s="34"/>
    </row>
    <row r="2760" spans="14:19">
      <c r="N2760" s="34"/>
      <c r="O2760" s="34"/>
      <c r="P2760" s="34"/>
      <c r="Q2760" s="34"/>
      <c r="R2760" s="34"/>
      <c r="S2760" s="34"/>
    </row>
    <row r="2761" spans="14:19">
      <c r="N2761" s="34"/>
      <c r="O2761" s="34"/>
      <c r="P2761" s="34"/>
      <c r="Q2761" s="34"/>
      <c r="R2761" s="34"/>
      <c r="S2761" s="34"/>
    </row>
    <row r="2762" spans="14:19">
      <c r="N2762" s="34"/>
      <c r="O2762" s="34"/>
      <c r="P2762" s="34"/>
      <c r="Q2762" s="34"/>
      <c r="R2762" s="34"/>
      <c r="S2762" s="34"/>
    </row>
    <row r="2763" spans="14:19">
      <c r="N2763" s="34"/>
      <c r="O2763" s="34"/>
      <c r="P2763" s="34"/>
      <c r="Q2763" s="34"/>
      <c r="R2763" s="34"/>
      <c r="S2763" s="34"/>
    </row>
    <row r="2764" spans="14:19">
      <c r="N2764" s="34"/>
      <c r="O2764" s="34"/>
      <c r="P2764" s="34"/>
      <c r="Q2764" s="34"/>
      <c r="R2764" s="34"/>
      <c r="S2764" s="34"/>
    </row>
    <row r="2765" spans="14:19">
      <c r="N2765" s="34"/>
      <c r="O2765" s="34"/>
      <c r="P2765" s="34"/>
      <c r="Q2765" s="34"/>
      <c r="R2765" s="34"/>
      <c r="S2765" s="34"/>
    </row>
    <row r="2766" spans="14:19">
      <c r="N2766" s="34"/>
      <c r="O2766" s="34"/>
      <c r="P2766" s="34"/>
      <c r="Q2766" s="34"/>
      <c r="R2766" s="34"/>
      <c r="S2766" s="34"/>
    </row>
    <row r="2767" spans="14:19">
      <c r="N2767" s="34"/>
      <c r="O2767" s="34"/>
      <c r="P2767" s="34"/>
      <c r="Q2767" s="34"/>
      <c r="R2767" s="34"/>
      <c r="S2767" s="34"/>
    </row>
    <row r="2768" spans="14:19">
      <c r="N2768" s="34"/>
      <c r="O2768" s="34"/>
      <c r="P2768" s="34"/>
      <c r="Q2768" s="34"/>
      <c r="R2768" s="34"/>
      <c r="S2768" s="34"/>
    </row>
    <row r="2769" spans="14:19">
      <c r="N2769" s="34"/>
      <c r="O2769" s="34"/>
      <c r="P2769" s="34"/>
      <c r="Q2769" s="34"/>
      <c r="R2769" s="34"/>
      <c r="S2769" s="34"/>
    </row>
    <row r="2770" spans="14:19">
      <c r="N2770" s="34"/>
      <c r="O2770" s="34"/>
      <c r="P2770" s="34"/>
      <c r="Q2770" s="34"/>
      <c r="R2770" s="34"/>
      <c r="S2770" s="34"/>
    </row>
    <row r="2771" spans="14:19">
      <c r="N2771" s="34"/>
      <c r="O2771" s="34"/>
      <c r="P2771" s="34"/>
      <c r="Q2771" s="34"/>
      <c r="R2771" s="34"/>
      <c r="S2771" s="34"/>
    </row>
    <row r="2772" spans="14:19">
      <c r="N2772" s="34"/>
      <c r="O2772" s="34"/>
      <c r="P2772" s="34"/>
      <c r="Q2772" s="34"/>
      <c r="R2772" s="34"/>
      <c r="S2772" s="34"/>
    </row>
    <row r="2773" spans="14:19">
      <c r="N2773" s="34"/>
      <c r="O2773" s="34"/>
      <c r="P2773" s="34"/>
      <c r="Q2773" s="34"/>
      <c r="R2773" s="34"/>
      <c r="S2773" s="34"/>
    </row>
    <row r="2774" spans="14:19">
      <c r="N2774" s="34"/>
      <c r="O2774" s="34"/>
      <c r="P2774" s="34"/>
      <c r="Q2774" s="34"/>
      <c r="R2774" s="34"/>
      <c r="S2774" s="34"/>
    </row>
    <row r="2775" spans="14:19">
      <c r="N2775" s="34"/>
      <c r="O2775" s="34"/>
      <c r="P2775" s="34"/>
      <c r="Q2775" s="34"/>
      <c r="R2775" s="34"/>
      <c r="S2775" s="34"/>
    </row>
    <row r="2776" spans="14:19">
      <c r="N2776" s="34"/>
      <c r="O2776" s="34"/>
      <c r="P2776" s="34"/>
      <c r="Q2776" s="34"/>
      <c r="R2776" s="34"/>
      <c r="S2776" s="34"/>
    </row>
    <row r="2777" spans="14:19">
      <c r="N2777" s="34"/>
      <c r="O2777" s="34"/>
      <c r="P2777" s="34"/>
      <c r="Q2777" s="34"/>
      <c r="R2777" s="34"/>
      <c r="S2777" s="34"/>
    </row>
    <row r="2778" spans="14:19">
      <c r="N2778" s="34"/>
      <c r="O2778" s="34"/>
      <c r="P2778" s="34"/>
      <c r="Q2778" s="34"/>
      <c r="R2778" s="34"/>
      <c r="S2778" s="34"/>
    </row>
    <row r="2779" spans="14:19">
      <c r="N2779" s="34"/>
      <c r="O2779" s="34"/>
      <c r="P2779" s="34"/>
      <c r="Q2779" s="34"/>
      <c r="R2779" s="34"/>
      <c r="S2779" s="34"/>
    </row>
    <row r="2780" spans="14:19">
      <c r="N2780" s="34"/>
      <c r="O2780" s="34"/>
      <c r="P2780" s="34"/>
      <c r="Q2780" s="34"/>
      <c r="R2780" s="34"/>
      <c r="S2780" s="34"/>
    </row>
    <row r="2781" spans="14:19">
      <c r="N2781" s="34"/>
      <c r="O2781" s="34"/>
      <c r="P2781" s="34"/>
      <c r="Q2781" s="34"/>
      <c r="R2781" s="34"/>
      <c r="S2781" s="34"/>
    </row>
    <row r="2782" spans="14:19">
      <c r="N2782" s="34"/>
      <c r="O2782" s="34"/>
      <c r="P2782" s="34"/>
      <c r="Q2782" s="34"/>
      <c r="R2782" s="34"/>
      <c r="S2782" s="34"/>
    </row>
    <row r="2783" spans="14:19">
      <c r="N2783" s="34"/>
      <c r="O2783" s="34"/>
      <c r="P2783" s="34"/>
      <c r="Q2783" s="34"/>
      <c r="R2783" s="34"/>
      <c r="S2783" s="34"/>
    </row>
    <row r="2784" spans="14:19">
      <c r="N2784" s="34"/>
      <c r="O2784" s="34"/>
      <c r="P2784" s="34"/>
      <c r="Q2784" s="34"/>
      <c r="R2784" s="34"/>
      <c r="S2784" s="34"/>
    </row>
    <row r="2785" spans="14:19">
      <c r="N2785" s="34"/>
      <c r="O2785" s="34"/>
      <c r="P2785" s="34"/>
      <c r="Q2785" s="34"/>
      <c r="R2785" s="34"/>
      <c r="S2785" s="34"/>
    </row>
    <row r="2786" spans="14:19">
      <c r="N2786" s="34"/>
      <c r="O2786" s="34"/>
      <c r="P2786" s="34"/>
      <c r="Q2786" s="34"/>
      <c r="R2786" s="34"/>
      <c r="S2786" s="34"/>
    </row>
    <row r="2787" spans="14:19">
      <c r="N2787" s="34"/>
      <c r="O2787" s="34"/>
      <c r="P2787" s="34"/>
      <c r="Q2787" s="34"/>
      <c r="R2787" s="34"/>
      <c r="S2787" s="34"/>
    </row>
    <row r="2788" spans="14:19">
      <c r="N2788" s="34"/>
      <c r="O2788" s="34"/>
      <c r="P2788" s="34"/>
      <c r="Q2788" s="34"/>
      <c r="R2788" s="34"/>
      <c r="S2788" s="34"/>
    </row>
    <row r="2789" spans="14:19">
      <c r="N2789" s="34"/>
      <c r="O2789" s="34"/>
      <c r="P2789" s="34"/>
      <c r="Q2789" s="34"/>
      <c r="R2789" s="34"/>
      <c r="S2789" s="34"/>
    </row>
    <row r="2790" spans="14:19">
      <c r="N2790" s="34"/>
      <c r="O2790" s="34"/>
      <c r="P2790" s="34"/>
      <c r="Q2790" s="34"/>
      <c r="R2790" s="34"/>
      <c r="S2790" s="34"/>
    </row>
    <row r="2791" spans="14:19">
      <c r="N2791" s="34"/>
      <c r="O2791" s="34"/>
      <c r="P2791" s="34"/>
      <c r="Q2791" s="34"/>
      <c r="R2791" s="34"/>
      <c r="S2791" s="34"/>
    </row>
    <row r="2792" spans="14:19">
      <c r="N2792" s="34"/>
      <c r="O2792" s="34"/>
      <c r="P2792" s="34"/>
      <c r="Q2792" s="34"/>
      <c r="R2792" s="34"/>
      <c r="S2792" s="34"/>
    </row>
    <row r="2793" spans="14:19">
      <c r="N2793" s="34"/>
      <c r="O2793" s="34"/>
      <c r="P2793" s="34"/>
      <c r="Q2793" s="34"/>
      <c r="R2793" s="34"/>
      <c r="S2793" s="34"/>
    </row>
    <row r="2794" spans="14:19">
      <c r="N2794" s="34"/>
      <c r="O2794" s="34"/>
      <c r="P2794" s="34"/>
      <c r="Q2794" s="34"/>
      <c r="R2794" s="34"/>
      <c r="S2794" s="34"/>
    </row>
    <row r="2795" spans="14:19">
      <c r="N2795" s="34"/>
      <c r="O2795" s="34"/>
      <c r="P2795" s="34"/>
      <c r="Q2795" s="34"/>
      <c r="R2795" s="34"/>
      <c r="S2795" s="34"/>
    </row>
    <row r="2796" spans="14:19">
      <c r="N2796" s="34"/>
      <c r="O2796" s="34"/>
      <c r="P2796" s="34"/>
      <c r="Q2796" s="34"/>
      <c r="R2796" s="34"/>
      <c r="S2796" s="34"/>
    </row>
    <row r="2797" spans="14:19">
      <c r="N2797" s="34"/>
      <c r="O2797" s="34"/>
      <c r="P2797" s="34"/>
      <c r="Q2797" s="34"/>
      <c r="R2797" s="34"/>
      <c r="S2797" s="34"/>
    </row>
    <row r="2798" spans="14:19">
      <c r="N2798" s="34"/>
      <c r="O2798" s="34"/>
      <c r="P2798" s="34"/>
      <c r="Q2798" s="34"/>
      <c r="R2798" s="34"/>
      <c r="S2798" s="34"/>
    </row>
    <row r="2799" spans="14:19">
      <c r="N2799" s="34"/>
      <c r="O2799" s="34"/>
      <c r="P2799" s="34"/>
      <c r="Q2799" s="34"/>
      <c r="R2799" s="34"/>
      <c r="S2799" s="34"/>
    </row>
    <row r="2800" spans="14:19">
      <c r="N2800" s="34"/>
      <c r="O2800" s="34"/>
      <c r="P2800" s="34"/>
      <c r="Q2800" s="34"/>
      <c r="R2800" s="34"/>
      <c r="S2800" s="34"/>
    </row>
    <row r="2801" spans="14:19">
      <c r="N2801" s="34"/>
      <c r="O2801" s="34"/>
      <c r="P2801" s="34"/>
      <c r="Q2801" s="34"/>
      <c r="R2801" s="34"/>
      <c r="S2801" s="34"/>
    </row>
    <row r="2802" spans="14:19">
      <c r="N2802" s="34"/>
      <c r="O2802" s="34"/>
      <c r="P2802" s="34"/>
      <c r="Q2802" s="34"/>
      <c r="R2802" s="34"/>
      <c r="S2802" s="34"/>
    </row>
    <row r="2803" spans="14:19">
      <c r="N2803" s="34"/>
      <c r="O2803" s="34"/>
      <c r="P2803" s="34"/>
      <c r="Q2803" s="34"/>
      <c r="R2803" s="34"/>
      <c r="S2803" s="34"/>
    </row>
    <row r="2804" spans="14:19">
      <c r="N2804" s="34"/>
      <c r="O2804" s="34"/>
      <c r="P2804" s="34"/>
      <c r="Q2804" s="34"/>
      <c r="R2804" s="34"/>
      <c r="S2804" s="34"/>
    </row>
    <row r="2805" spans="14:19">
      <c r="N2805" s="34"/>
      <c r="O2805" s="34"/>
      <c r="P2805" s="34"/>
      <c r="Q2805" s="34"/>
      <c r="R2805" s="34"/>
      <c r="S2805" s="34"/>
    </row>
    <row r="2806" spans="14:19">
      <c r="N2806" s="34"/>
      <c r="O2806" s="34"/>
      <c r="P2806" s="34"/>
      <c r="Q2806" s="34"/>
      <c r="R2806" s="34"/>
      <c r="S2806" s="34"/>
    </row>
    <row r="2807" spans="14:19">
      <c r="N2807" s="34"/>
      <c r="O2807" s="34"/>
      <c r="P2807" s="34"/>
      <c r="Q2807" s="34"/>
      <c r="R2807" s="34"/>
      <c r="S2807" s="34"/>
    </row>
    <row r="2808" spans="14:19">
      <c r="N2808" s="34"/>
      <c r="O2808" s="34"/>
      <c r="P2808" s="34"/>
      <c r="Q2808" s="34"/>
      <c r="R2808" s="34"/>
      <c r="S2808" s="34"/>
    </row>
    <row r="2809" spans="14:19">
      <c r="N2809" s="34"/>
      <c r="O2809" s="34"/>
      <c r="P2809" s="34"/>
      <c r="Q2809" s="34"/>
      <c r="R2809" s="34"/>
      <c r="S2809" s="34"/>
    </row>
    <row r="2810" spans="14:19">
      <c r="N2810" s="34"/>
      <c r="O2810" s="34"/>
      <c r="P2810" s="34"/>
      <c r="Q2810" s="34"/>
      <c r="R2810" s="34"/>
      <c r="S2810" s="34"/>
    </row>
    <row r="2811" spans="14:19">
      <c r="N2811" s="34"/>
      <c r="O2811" s="34"/>
      <c r="P2811" s="34"/>
      <c r="Q2811" s="34"/>
      <c r="R2811" s="34"/>
      <c r="S2811" s="34"/>
    </row>
    <row r="2812" spans="14:19">
      <c r="N2812" s="34"/>
      <c r="O2812" s="34"/>
      <c r="P2812" s="34"/>
      <c r="Q2812" s="34"/>
      <c r="R2812" s="34"/>
      <c r="S2812" s="34"/>
    </row>
    <row r="2813" spans="14:19">
      <c r="N2813" s="34"/>
      <c r="O2813" s="34"/>
      <c r="P2813" s="34"/>
      <c r="Q2813" s="34"/>
      <c r="R2813" s="34"/>
      <c r="S2813" s="34"/>
    </row>
    <row r="2814" spans="14:19">
      <c r="N2814" s="34"/>
      <c r="O2814" s="34"/>
      <c r="P2814" s="34"/>
      <c r="Q2814" s="34"/>
      <c r="R2814" s="34"/>
      <c r="S2814" s="34"/>
    </row>
    <row r="2815" spans="14:19">
      <c r="N2815" s="34"/>
      <c r="O2815" s="34"/>
      <c r="P2815" s="34"/>
      <c r="Q2815" s="34"/>
      <c r="R2815" s="34"/>
      <c r="S2815" s="34"/>
    </row>
    <row r="2816" spans="14:19">
      <c r="N2816" s="34"/>
      <c r="O2816" s="34"/>
      <c r="P2816" s="34"/>
      <c r="Q2816" s="34"/>
      <c r="R2816" s="34"/>
      <c r="S2816" s="34"/>
    </row>
    <row r="2817" spans="14:19">
      <c r="N2817" s="34"/>
      <c r="O2817" s="34"/>
      <c r="P2817" s="34"/>
      <c r="Q2817" s="34"/>
      <c r="R2817" s="34"/>
      <c r="S2817" s="34"/>
    </row>
    <row r="2818" spans="14:19">
      <c r="N2818" s="34"/>
      <c r="O2818" s="34"/>
      <c r="P2818" s="34"/>
      <c r="Q2818" s="34"/>
      <c r="R2818" s="34"/>
      <c r="S2818" s="34"/>
    </row>
    <row r="2819" spans="14:19">
      <c r="N2819" s="34"/>
      <c r="O2819" s="34"/>
      <c r="P2819" s="34"/>
      <c r="Q2819" s="34"/>
      <c r="R2819" s="34"/>
      <c r="S2819" s="34"/>
    </row>
    <row r="2820" spans="14:19">
      <c r="N2820" s="34"/>
      <c r="O2820" s="34"/>
      <c r="P2820" s="34"/>
      <c r="Q2820" s="34"/>
      <c r="R2820" s="34"/>
      <c r="S2820" s="34"/>
    </row>
    <row r="2821" spans="14:19">
      <c r="N2821" s="34"/>
      <c r="O2821" s="34"/>
      <c r="P2821" s="34"/>
      <c r="Q2821" s="34"/>
      <c r="R2821" s="34"/>
      <c r="S2821" s="34"/>
    </row>
    <row r="2822" spans="14:19">
      <c r="N2822" s="34"/>
      <c r="O2822" s="34"/>
      <c r="P2822" s="34"/>
      <c r="Q2822" s="34"/>
      <c r="R2822" s="34"/>
      <c r="S2822" s="34"/>
    </row>
    <row r="2823" spans="14:19">
      <c r="N2823" s="34"/>
      <c r="O2823" s="34"/>
      <c r="P2823" s="34"/>
      <c r="Q2823" s="34"/>
      <c r="R2823" s="34"/>
      <c r="S2823" s="34"/>
    </row>
    <row r="2824" spans="14:19">
      <c r="N2824" s="34"/>
      <c r="O2824" s="34"/>
      <c r="P2824" s="34"/>
      <c r="Q2824" s="34"/>
      <c r="R2824" s="34"/>
      <c r="S2824" s="34"/>
    </row>
    <row r="2825" spans="14:19">
      <c r="N2825" s="34"/>
      <c r="O2825" s="34"/>
      <c r="P2825" s="34"/>
      <c r="Q2825" s="34"/>
      <c r="R2825" s="34"/>
      <c r="S2825" s="34"/>
    </row>
    <row r="2826" spans="14:19">
      <c r="N2826" s="34"/>
      <c r="O2826" s="34"/>
      <c r="P2826" s="34"/>
      <c r="Q2826" s="34"/>
      <c r="R2826" s="34"/>
      <c r="S2826" s="34"/>
    </row>
    <row r="2827" spans="14:19">
      <c r="N2827" s="34"/>
      <c r="O2827" s="34"/>
      <c r="P2827" s="34"/>
      <c r="Q2827" s="34"/>
      <c r="R2827" s="34"/>
      <c r="S2827" s="34"/>
    </row>
    <row r="2828" spans="14:19">
      <c r="N2828" s="34"/>
      <c r="O2828" s="34"/>
      <c r="P2828" s="34"/>
      <c r="Q2828" s="34"/>
      <c r="R2828" s="34"/>
      <c r="S2828" s="34"/>
    </row>
    <row r="2829" spans="14:19">
      <c r="N2829" s="34"/>
      <c r="O2829" s="34"/>
      <c r="P2829" s="34"/>
      <c r="Q2829" s="34"/>
      <c r="R2829" s="34"/>
      <c r="S2829" s="34"/>
    </row>
    <row r="2830" spans="14:19">
      <c r="N2830" s="34"/>
      <c r="O2830" s="34"/>
      <c r="P2830" s="34"/>
      <c r="Q2830" s="34"/>
      <c r="R2830" s="34"/>
      <c r="S2830" s="34"/>
    </row>
    <row r="2831" spans="14:19">
      <c r="N2831" s="34"/>
      <c r="O2831" s="34"/>
      <c r="P2831" s="34"/>
      <c r="Q2831" s="34"/>
      <c r="R2831" s="34"/>
      <c r="S2831" s="34"/>
    </row>
    <row r="2832" spans="14:19">
      <c r="N2832" s="34"/>
      <c r="O2832" s="34"/>
      <c r="P2832" s="34"/>
      <c r="Q2832" s="34"/>
      <c r="R2832" s="34"/>
      <c r="S2832" s="34"/>
    </row>
    <row r="2833" spans="14:19">
      <c r="N2833" s="34"/>
      <c r="O2833" s="34"/>
      <c r="P2833" s="34"/>
      <c r="Q2833" s="34"/>
      <c r="R2833" s="34"/>
      <c r="S2833" s="34"/>
    </row>
    <row r="2834" spans="14:19">
      <c r="N2834" s="34"/>
      <c r="O2834" s="34"/>
      <c r="P2834" s="34"/>
      <c r="Q2834" s="34"/>
      <c r="R2834" s="34"/>
      <c r="S2834" s="34"/>
    </row>
    <row r="2835" spans="14:19">
      <c r="N2835" s="34"/>
      <c r="O2835" s="34"/>
      <c r="P2835" s="34"/>
      <c r="Q2835" s="34"/>
      <c r="R2835" s="34"/>
      <c r="S2835" s="34"/>
    </row>
    <row r="2836" spans="14:19">
      <c r="N2836" s="34"/>
      <c r="O2836" s="34"/>
      <c r="P2836" s="34"/>
      <c r="Q2836" s="34"/>
      <c r="R2836" s="34"/>
      <c r="S2836" s="34"/>
    </row>
    <row r="2837" spans="14:19">
      <c r="N2837" s="34"/>
      <c r="O2837" s="34"/>
      <c r="P2837" s="34"/>
      <c r="Q2837" s="34"/>
      <c r="R2837" s="34"/>
      <c r="S2837" s="34"/>
    </row>
    <row r="2838" spans="14:19">
      <c r="N2838" s="34"/>
      <c r="O2838" s="34"/>
      <c r="P2838" s="34"/>
      <c r="Q2838" s="34"/>
      <c r="R2838" s="34"/>
      <c r="S2838" s="34"/>
    </row>
    <row r="2839" spans="14:19">
      <c r="N2839" s="34"/>
      <c r="O2839" s="34"/>
      <c r="P2839" s="34"/>
      <c r="Q2839" s="34"/>
      <c r="R2839" s="34"/>
      <c r="S2839" s="34"/>
    </row>
    <row r="2840" spans="14:19">
      <c r="N2840" s="34"/>
      <c r="O2840" s="34"/>
      <c r="P2840" s="34"/>
      <c r="Q2840" s="34"/>
      <c r="R2840" s="34"/>
      <c r="S2840" s="34"/>
    </row>
    <row r="2841" spans="14:19">
      <c r="N2841" s="34"/>
      <c r="O2841" s="34"/>
      <c r="P2841" s="34"/>
      <c r="Q2841" s="34"/>
      <c r="R2841" s="34"/>
      <c r="S2841" s="34"/>
    </row>
    <row r="2842" spans="14:19">
      <c r="N2842" s="34"/>
      <c r="O2842" s="34"/>
      <c r="P2842" s="34"/>
      <c r="Q2842" s="34"/>
      <c r="R2842" s="34"/>
      <c r="S2842" s="34"/>
    </row>
    <row r="2843" spans="14:19">
      <c r="N2843" s="34"/>
      <c r="O2843" s="34"/>
      <c r="P2843" s="34"/>
      <c r="Q2843" s="34"/>
      <c r="R2843" s="34"/>
      <c r="S2843" s="34"/>
    </row>
    <row r="2844" spans="14:19">
      <c r="N2844" s="34"/>
      <c r="O2844" s="34"/>
      <c r="P2844" s="34"/>
      <c r="Q2844" s="34"/>
      <c r="R2844" s="34"/>
      <c r="S2844" s="34"/>
    </row>
    <row r="2845" spans="14:19">
      <c r="N2845" s="34"/>
      <c r="O2845" s="34"/>
      <c r="P2845" s="34"/>
      <c r="Q2845" s="34"/>
      <c r="R2845" s="34"/>
      <c r="S2845" s="34"/>
    </row>
    <row r="2846" spans="14:19">
      <c r="N2846" s="34"/>
      <c r="O2846" s="34"/>
      <c r="P2846" s="34"/>
      <c r="Q2846" s="34"/>
      <c r="R2846" s="34"/>
      <c r="S2846" s="34"/>
    </row>
    <row r="2847" spans="14:19">
      <c r="N2847" s="34"/>
      <c r="O2847" s="34"/>
      <c r="P2847" s="34"/>
      <c r="Q2847" s="34"/>
      <c r="R2847" s="34"/>
      <c r="S2847" s="34"/>
    </row>
    <row r="2848" spans="14:19">
      <c r="N2848" s="34"/>
      <c r="O2848" s="34"/>
      <c r="P2848" s="34"/>
      <c r="Q2848" s="34"/>
      <c r="R2848" s="34"/>
      <c r="S2848" s="34"/>
    </row>
    <row r="2849" spans="14:19">
      <c r="N2849" s="34"/>
      <c r="O2849" s="34"/>
      <c r="P2849" s="34"/>
      <c r="Q2849" s="34"/>
      <c r="R2849" s="34"/>
      <c r="S2849" s="34"/>
    </row>
    <row r="2850" spans="14:19">
      <c r="N2850" s="34"/>
      <c r="O2850" s="34"/>
      <c r="P2850" s="34"/>
      <c r="Q2850" s="34"/>
      <c r="R2850" s="34"/>
      <c r="S2850" s="34"/>
    </row>
    <row r="2851" spans="14:19">
      <c r="N2851" s="34"/>
      <c r="O2851" s="34"/>
      <c r="P2851" s="34"/>
      <c r="Q2851" s="34"/>
      <c r="R2851" s="34"/>
      <c r="S2851" s="34"/>
    </row>
    <row r="2852" spans="14:19">
      <c r="N2852" s="34"/>
      <c r="O2852" s="34"/>
      <c r="P2852" s="34"/>
      <c r="Q2852" s="34"/>
      <c r="R2852" s="34"/>
      <c r="S2852" s="34"/>
    </row>
    <row r="2853" spans="14:19">
      <c r="N2853" s="34"/>
      <c r="O2853" s="34"/>
      <c r="P2853" s="34"/>
      <c r="Q2853" s="34"/>
      <c r="R2853" s="34"/>
      <c r="S2853" s="34"/>
    </row>
    <row r="2854" spans="14:19">
      <c r="N2854" s="34"/>
      <c r="O2854" s="34"/>
      <c r="P2854" s="34"/>
      <c r="Q2854" s="34"/>
      <c r="R2854" s="34"/>
      <c r="S2854" s="34"/>
    </row>
    <row r="2855" spans="14:19">
      <c r="N2855" s="34"/>
      <c r="O2855" s="34"/>
      <c r="P2855" s="34"/>
      <c r="Q2855" s="34"/>
      <c r="R2855" s="34"/>
      <c r="S2855" s="34"/>
    </row>
    <row r="2856" spans="14:19">
      <c r="N2856" s="34"/>
      <c r="O2856" s="34"/>
      <c r="P2856" s="34"/>
      <c r="Q2856" s="34"/>
      <c r="R2856" s="34"/>
      <c r="S2856" s="34"/>
    </row>
    <row r="2857" spans="14:19">
      <c r="N2857" s="34"/>
      <c r="O2857" s="34"/>
      <c r="P2857" s="34"/>
      <c r="Q2857" s="34"/>
      <c r="R2857" s="34"/>
      <c r="S2857" s="34"/>
    </row>
    <row r="2858" spans="14:19">
      <c r="N2858" s="34"/>
      <c r="O2858" s="34"/>
      <c r="P2858" s="34"/>
      <c r="Q2858" s="34"/>
      <c r="R2858" s="34"/>
      <c r="S2858" s="34"/>
    </row>
    <row r="2859" spans="14:19">
      <c r="N2859" s="34"/>
      <c r="O2859" s="34"/>
      <c r="P2859" s="34"/>
      <c r="Q2859" s="34"/>
      <c r="R2859" s="34"/>
      <c r="S2859" s="34"/>
    </row>
    <row r="2860" spans="14:19">
      <c r="N2860" s="34"/>
      <c r="O2860" s="34"/>
      <c r="P2860" s="34"/>
      <c r="Q2860" s="34"/>
      <c r="R2860" s="34"/>
      <c r="S2860" s="34"/>
    </row>
    <row r="2861" spans="14:19">
      <c r="N2861" s="34"/>
      <c r="O2861" s="34"/>
      <c r="P2861" s="34"/>
      <c r="Q2861" s="34"/>
      <c r="R2861" s="34"/>
      <c r="S2861" s="34"/>
    </row>
    <row r="2862" spans="14:19">
      <c r="N2862" s="34"/>
      <c r="O2862" s="34"/>
      <c r="P2862" s="34"/>
      <c r="Q2862" s="34"/>
      <c r="R2862" s="34"/>
      <c r="S2862" s="34"/>
    </row>
    <row r="2863" spans="14:19">
      <c r="N2863" s="34"/>
      <c r="O2863" s="34"/>
      <c r="P2863" s="34"/>
      <c r="Q2863" s="34"/>
      <c r="R2863" s="34"/>
      <c r="S2863" s="34"/>
    </row>
    <row r="2864" spans="14:19">
      <c r="N2864" s="34"/>
      <c r="O2864" s="34"/>
      <c r="P2864" s="34"/>
      <c r="Q2864" s="34"/>
      <c r="R2864" s="34"/>
      <c r="S2864" s="34"/>
    </row>
    <row r="2865" spans="14:19">
      <c r="N2865" s="34"/>
      <c r="O2865" s="34"/>
      <c r="P2865" s="34"/>
      <c r="Q2865" s="34"/>
      <c r="R2865" s="34"/>
      <c r="S2865" s="34"/>
    </row>
    <row r="2866" spans="14:19">
      <c r="N2866" s="34"/>
      <c r="O2866" s="34"/>
      <c r="P2866" s="34"/>
      <c r="Q2866" s="34"/>
      <c r="R2866" s="34"/>
      <c r="S2866" s="34"/>
    </row>
    <row r="2867" spans="14:19">
      <c r="N2867" s="34"/>
      <c r="O2867" s="34"/>
      <c r="P2867" s="34"/>
      <c r="Q2867" s="34"/>
      <c r="R2867" s="34"/>
      <c r="S2867" s="34"/>
    </row>
    <row r="2868" spans="14:19">
      <c r="N2868" s="34"/>
      <c r="O2868" s="34"/>
      <c r="P2868" s="34"/>
      <c r="Q2868" s="34"/>
      <c r="R2868" s="34"/>
      <c r="S2868" s="34"/>
    </row>
    <row r="2869" spans="14:19">
      <c r="N2869" s="34"/>
      <c r="O2869" s="34"/>
      <c r="P2869" s="34"/>
      <c r="Q2869" s="34"/>
      <c r="R2869" s="34"/>
      <c r="S2869" s="34"/>
    </row>
    <row r="2870" spans="14:19">
      <c r="N2870" s="34"/>
      <c r="O2870" s="34"/>
      <c r="P2870" s="34"/>
      <c r="Q2870" s="34"/>
      <c r="R2870" s="34"/>
      <c r="S2870" s="34"/>
    </row>
    <row r="2871" spans="14:19">
      <c r="N2871" s="34"/>
      <c r="O2871" s="34"/>
      <c r="P2871" s="34"/>
      <c r="Q2871" s="34"/>
      <c r="R2871" s="34"/>
      <c r="S2871" s="34"/>
    </row>
    <row r="2872" spans="14:19">
      <c r="N2872" s="34"/>
      <c r="O2872" s="34"/>
      <c r="P2872" s="34"/>
      <c r="Q2872" s="34"/>
      <c r="R2872" s="34"/>
      <c r="S2872" s="34"/>
    </row>
    <row r="2873" spans="14:19">
      <c r="N2873" s="34"/>
      <c r="O2873" s="34"/>
      <c r="P2873" s="34"/>
      <c r="Q2873" s="34"/>
      <c r="R2873" s="34"/>
      <c r="S2873" s="34"/>
    </row>
    <row r="2874" spans="14:19">
      <c r="N2874" s="34"/>
      <c r="O2874" s="34"/>
      <c r="P2874" s="34"/>
      <c r="Q2874" s="34"/>
      <c r="R2874" s="34"/>
      <c r="S2874" s="34"/>
    </row>
    <row r="2875" spans="14:19">
      <c r="N2875" s="34"/>
      <c r="O2875" s="34"/>
      <c r="P2875" s="34"/>
      <c r="Q2875" s="34"/>
      <c r="R2875" s="34"/>
      <c r="S2875" s="34"/>
    </row>
    <row r="2876" spans="14:19">
      <c r="N2876" s="34"/>
      <c r="O2876" s="34"/>
      <c r="P2876" s="34"/>
      <c r="Q2876" s="34"/>
      <c r="R2876" s="34"/>
      <c r="S2876" s="34"/>
    </row>
    <row r="2877" spans="14:19">
      <c r="N2877" s="34"/>
      <c r="O2877" s="34"/>
      <c r="P2877" s="34"/>
      <c r="Q2877" s="34"/>
      <c r="R2877" s="34"/>
      <c r="S2877" s="34"/>
    </row>
    <row r="2878" spans="14:19">
      <c r="N2878" s="34"/>
      <c r="O2878" s="34"/>
      <c r="P2878" s="34"/>
      <c r="Q2878" s="34"/>
      <c r="R2878" s="34"/>
      <c r="S2878" s="34"/>
    </row>
    <row r="2879" spans="14:19">
      <c r="N2879" s="34"/>
      <c r="O2879" s="34"/>
      <c r="P2879" s="34"/>
      <c r="Q2879" s="34"/>
      <c r="R2879" s="34"/>
      <c r="S2879" s="34"/>
    </row>
    <row r="2880" spans="14:19">
      <c r="N2880" s="34"/>
      <c r="O2880" s="34"/>
      <c r="P2880" s="34"/>
      <c r="Q2880" s="34"/>
      <c r="R2880" s="34"/>
      <c r="S2880" s="34"/>
    </row>
    <row r="2881" spans="14:19">
      <c r="N2881" s="34"/>
      <c r="O2881" s="34"/>
      <c r="P2881" s="34"/>
      <c r="Q2881" s="34"/>
      <c r="R2881" s="34"/>
      <c r="S2881" s="34"/>
    </row>
    <row r="2882" spans="14:19">
      <c r="N2882" s="34"/>
      <c r="O2882" s="34"/>
      <c r="P2882" s="34"/>
      <c r="Q2882" s="34"/>
      <c r="R2882" s="34"/>
      <c r="S2882" s="34"/>
    </row>
    <row r="2883" spans="14:19">
      <c r="N2883" s="34"/>
      <c r="O2883" s="34"/>
      <c r="P2883" s="34"/>
      <c r="Q2883" s="34"/>
      <c r="R2883" s="34"/>
      <c r="S2883" s="34"/>
    </row>
    <row r="2884" spans="14:19">
      <c r="N2884" s="34"/>
      <c r="O2884" s="34"/>
      <c r="P2884" s="34"/>
      <c r="Q2884" s="34"/>
      <c r="R2884" s="34"/>
      <c r="S2884" s="34"/>
    </row>
    <row r="2885" spans="14:19">
      <c r="N2885" s="34"/>
      <c r="O2885" s="34"/>
      <c r="P2885" s="34"/>
      <c r="Q2885" s="34"/>
      <c r="R2885" s="34"/>
      <c r="S2885" s="34"/>
    </row>
    <row r="2886" spans="14:19">
      <c r="N2886" s="34"/>
      <c r="O2886" s="34"/>
      <c r="P2886" s="34"/>
      <c r="Q2886" s="34"/>
      <c r="R2886" s="34"/>
      <c r="S2886" s="34"/>
    </row>
    <row r="2887" spans="14:19">
      <c r="N2887" s="34"/>
      <c r="O2887" s="34"/>
      <c r="P2887" s="34"/>
      <c r="Q2887" s="34"/>
      <c r="R2887" s="34"/>
      <c r="S2887" s="34"/>
    </row>
    <row r="2888" spans="14:19">
      <c r="N2888" s="34"/>
      <c r="O2888" s="34"/>
      <c r="P2888" s="34"/>
      <c r="Q2888" s="34"/>
      <c r="R2888" s="34"/>
      <c r="S2888" s="34"/>
    </row>
    <row r="2889" spans="14:19">
      <c r="N2889" s="34"/>
      <c r="O2889" s="34"/>
      <c r="P2889" s="34"/>
      <c r="Q2889" s="34"/>
      <c r="R2889" s="34"/>
      <c r="S2889" s="34"/>
    </row>
    <row r="2890" spans="14:19">
      <c r="N2890" s="34"/>
      <c r="O2890" s="34"/>
      <c r="P2890" s="34"/>
      <c r="Q2890" s="34"/>
      <c r="R2890" s="34"/>
      <c r="S2890" s="34"/>
    </row>
    <row r="2891" spans="14:19">
      <c r="N2891" s="34"/>
      <c r="O2891" s="34"/>
      <c r="P2891" s="34"/>
      <c r="Q2891" s="34"/>
      <c r="R2891" s="34"/>
      <c r="S2891" s="34"/>
    </row>
    <row r="2892" spans="14:19">
      <c r="N2892" s="34"/>
      <c r="O2892" s="34"/>
      <c r="P2892" s="34"/>
      <c r="Q2892" s="34"/>
      <c r="R2892" s="34"/>
      <c r="S2892" s="34"/>
    </row>
    <row r="2893" spans="14:19">
      <c r="N2893" s="34"/>
      <c r="O2893" s="34"/>
      <c r="P2893" s="34"/>
      <c r="Q2893" s="34"/>
      <c r="R2893" s="34"/>
      <c r="S2893" s="34"/>
    </row>
    <row r="2894" spans="14:19">
      <c r="N2894" s="34"/>
      <c r="O2894" s="34"/>
      <c r="P2894" s="34"/>
      <c r="Q2894" s="34"/>
      <c r="R2894" s="34"/>
      <c r="S2894" s="34"/>
    </row>
    <row r="2895" spans="14:19">
      <c r="N2895" s="34"/>
      <c r="O2895" s="34"/>
      <c r="P2895" s="34"/>
      <c r="Q2895" s="34"/>
      <c r="R2895" s="34"/>
      <c r="S2895" s="34"/>
    </row>
    <row r="2896" spans="14:19">
      <c r="N2896" s="34"/>
      <c r="O2896" s="34"/>
      <c r="P2896" s="34"/>
      <c r="Q2896" s="34"/>
      <c r="R2896" s="34"/>
      <c r="S2896" s="34"/>
    </row>
    <row r="2897" spans="14:19">
      <c r="N2897" s="34"/>
      <c r="O2897" s="34"/>
      <c r="P2897" s="34"/>
      <c r="Q2897" s="34"/>
      <c r="R2897" s="34"/>
      <c r="S2897" s="34"/>
    </row>
    <row r="2898" spans="14:19">
      <c r="N2898" s="34"/>
      <c r="O2898" s="34"/>
      <c r="P2898" s="34"/>
      <c r="Q2898" s="34"/>
      <c r="R2898" s="34"/>
      <c r="S2898" s="34"/>
    </row>
    <row r="2899" spans="14:19">
      <c r="N2899" s="34"/>
      <c r="O2899" s="34"/>
      <c r="P2899" s="34"/>
      <c r="Q2899" s="34"/>
      <c r="R2899" s="34"/>
      <c r="S2899" s="34"/>
    </row>
    <row r="2900" spans="14:19">
      <c r="N2900" s="34"/>
      <c r="O2900" s="34"/>
      <c r="P2900" s="34"/>
      <c r="Q2900" s="34"/>
      <c r="R2900" s="34"/>
      <c r="S2900" s="34"/>
    </row>
    <row r="2901" spans="14:19">
      <c r="N2901" s="34"/>
      <c r="O2901" s="34"/>
      <c r="P2901" s="34"/>
      <c r="Q2901" s="34"/>
      <c r="R2901" s="34"/>
      <c r="S2901" s="34"/>
    </row>
    <row r="2902" spans="14:19">
      <c r="N2902" s="34"/>
      <c r="O2902" s="34"/>
      <c r="P2902" s="34"/>
      <c r="Q2902" s="34"/>
      <c r="R2902" s="34"/>
      <c r="S2902" s="34"/>
    </row>
    <row r="2903" spans="14:19">
      <c r="N2903" s="34"/>
      <c r="O2903" s="34"/>
      <c r="P2903" s="34"/>
      <c r="Q2903" s="34"/>
      <c r="R2903" s="34"/>
      <c r="S2903" s="34"/>
    </row>
    <row r="2904" spans="14:19">
      <c r="N2904" s="34"/>
      <c r="O2904" s="34"/>
      <c r="P2904" s="34"/>
      <c r="Q2904" s="34"/>
      <c r="R2904" s="34"/>
      <c r="S2904" s="34"/>
    </row>
    <row r="2905" spans="14:19">
      <c r="N2905" s="34"/>
      <c r="O2905" s="34"/>
      <c r="P2905" s="34"/>
      <c r="Q2905" s="34"/>
      <c r="R2905" s="34"/>
      <c r="S2905" s="34"/>
    </row>
    <row r="2906" spans="14:19">
      <c r="N2906" s="34"/>
      <c r="O2906" s="34"/>
      <c r="P2906" s="34"/>
      <c r="Q2906" s="34"/>
      <c r="R2906" s="34"/>
      <c r="S2906" s="34"/>
    </row>
    <row r="2907" spans="14:19">
      <c r="N2907" s="34"/>
      <c r="O2907" s="34"/>
      <c r="P2907" s="34"/>
      <c r="Q2907" s="34"/>
      <c r="R2907" s="34"/>
      <c r="S2907" s="34"/>
    </row>
    <row r="2908" spans="14:19">
      <c r="N2908" s="34"/>
      <c r="O2908" s="34"/>
      <c r="P2908" s="34"/>
      <c r="Q2908" s="34"/>
      <c r="R2908" s="34"/>
      <c r="S2908" s="34"/>
    </row>
    <row r="2909" spans="14:19">
      <c r="N2909" s="34"/>
      <c r="O2909" s="34"/>
      <c r="P2909" s="34"/>
      <c r="Q2909" s="34"/>
      <c r="R2909" s="34"/>
      <c r="S2909" s="34"/>
    </row>
    <row r="2910" spans="14:19">
      <c r="N2910" s="34"/>
      <c r="O2910" s="34"/>
      <c r="P2910" s="34"/>
      <c r="Q2910" s="34"/>
      <c r="R2910" s="34"/>
      <c r="S2910" s="34"/>
    </row>
    <row r="2911" spans="14:19">
      <c r="N2911" s="34"/>
      <c r="O2911" s="34"/>
      <c r="P2911" s="34"/>
      <c r="Q2911" s="34"/>
      <c r="R2911" s="34"/>
      <c r="S2911" s="34"/>
    </row>
    <row r="2912" spans="14:19">
      <c r="N2912" s="34"/>
      <c r="O2912" s="34"/>
      <c r="P2912" s="34"/>
      <c r="Q2912" s="34"/>
      <c r="R2912" s="34"/>
      <c r="S2912" s="34"/>
    </row>
    <row r="2913" spans="14:19">
      <c r="N2913" s="34"/>
      <c r="O2913" s="34"/>
      <c r="P2913" s="34"/>
      <c r="Q2913" s="34"/>
      <c r="R2913" s="34"/>
      <c r="S2913" s="34"/>
    </row>
    <row r="2914" spans="14:19">
      <c r="N2914" s="34"/>
      <c r="O2914" s="34"/>
      <c r="P2914" s="34"/>
      <c r="Q2914" s="34"/>
      <c r="R2914" s="34"/>
      <c r="S2914" s="34"/>
    </row>
    <row r="2915" spans="14:19">
      <c r="N2915" s="34"/>
      <c r="O2915" s="34"/>
      <c r="P2915" s="34"/>
      <c r="Q2915" s="34"/>
      <c r="R2915" s="34"/>
      <c r="S2915" s="34"/>
    </row>
    <row r="2916" spans="14:19">
      <c r="N2916" s="34"/>
      <c r="O2916" s="34"/>
      <c r="P2916" s="34"/>
      <c r="Q2916" s="34"/>
      <c r="R2916" s="34"/>
      <c r="S2916" s="34"/>
    </row>
    <row r="2917" spans="14:19">
      <c r="N2917" s="34"/>
      <c r="O2917" s="34"/>
      <c r="P2917" s="34"/>
      <c r="Q2917" s="34"/>
      <c r="R2917" s="34"/>
      <c r="S2917" s="34"/>
    </row>
    <row r="2918" spans="14:19">
      <c r="N2918" s="34"/>
      <c r="O2918" s="34"/>
      <c r="P2918" s="34"/>
      <c r="Q2918" s="34"/>
      <c r="R2918" s="34"/>
      <c r="S2918" s="34"/>
    </row>
    <row r="2919" spans="14:19">
      <c r="N2919" s="34"/>
      <c r="O2919" s="34"/>
      <c r="P2919" s="34"/>
      <c r="Q2919" s="34"/>
      <c r="R2919" s="34"/>
      <c r="S2919" s="34"/>
    </row>
    <row r="2920" spans="14:19">
      <c r="N2920" s="34"/>
      <c r="O2920" s="34"/>
      <c r="P2920" s="34"/>
      <c r="Q2920" s="34"/>
      <c r="R2920" s="34"/>
      <c r="S2920" s="34"/>
    </row>
    <row r="2921" spans="14:19">
      <c r="N2921" s="34"/>
      <c r="O2921" s="34"/>
      <c r="P2921" s="34"/>
      <c r="Q2921" s="34"/>
      <c r="R2921" s="34"/>
      <c r="S2921" s="34"/>
    </row>
    <row r="2922" spans="14:19">
      <c r="N2922" s="34"/>
      <c r="O2922" s="34"/>
      <c r="P2922" s="34"/>
      <c r="Q2922" s="34"/>
      <c r="R2922" s="34"/>
      <c r="S2922" s="34"/>
    </row>
    <row r="2923" spans="14:19">
      <c r="N2923" s="34"/>
      <c r="O2923" s="34"/>
      <c r="P2923" s="34"/>
      <c r="Q2923" s="34"/>
      <c r="R2923" s="34"/>
      <c r="S2923" s="34"/>
    </row>
    <row r="2924" spans="14:19">
      <c r="N2924" s="34"/>
      <c r="O2924" s="34"/>
      <c r="P2924" s="34"/>
      <c r="Q2924" s="34"/>
      <c r="R2924" s="34"/>
      <c r="S2924" s="34"/>
    </row>
    <row r="2925" spans="14:19">
      <c r="N2925" s="34"/>
      <c r="O2925" s="34"/>
      <c r="P2925" s="34"/>
      <c r="Q2925" s="34"/>
      <c r="R2925" s="34"/>
      <c r="S2925" s="34"/>
    </row>
    <row r="2926" spans="14:19">
      <c r="N2926" s="34"/>
      <c r="O2926" s="34"/>
      <c r="P2926" s="34"/>
      <c r="Q2926" s="34"/>
      <c r="R2926" s="34"/>
      <c r="S2926" s="34"/>
    </row>
    <row r="2927" spans="14:19">
      <c r="N2927" s="34"/>
      <c r="O2927" s="34"/>
      <c r="P2927" s="34"/>
      <c r="Q2927" s="34"/>
      <c r="R2927" s="34"/>
      <c r="S2927" s="34"/>
    </row>
    <row r="2928" spans="14:19">
      <c r="N2928" s="34"/>
      <c r="O2928" s="34"/>
      <c r="P2928" s="34"/>
      <c r="Q2928" s="34"/>
      <c r="R2928" s="34"/>
      <c r="S2928" s="34"/>
    </row>
    <row r="2929" spans="14:19">
      <c r="N2929" s="34"/>
      <c r="O2929" s="34"/>
      <c r="P2929" s="34"/>
      <c r="Q2929" s="34"/>
      <c r="R2929" s="34"/>
      <c r="S2929" s="34"/>
    </row>
    <row r="2930" spans="14:19">
      <c r="N2930" s="34"/>
      <c r="O2930" s="34"/>
      <c r="P2930" s="34"/>
      <c r="Q2930" s="34"/>
      <c r="R2930" s="34"/>
      <c r="S2930" s="34"/>
    </row>
    <row r="2931" spans="14:19">
      <c r="N2931" s="34"/>
      <c r="O2931" s="34"/>
      <c r="P2931" s="34"/>
      <c r="Q2931" s="34"/>
      <c r="R2931" s="34"/>
      <c r="S2931" s="34"/>
    </row>
    <row r="2932" spans="14:19">
      <c r="N2932" s="34"/>
      <c r="O2932" s="34"/>
      <c r="P2932" s="34"/>
      <c r="Q2932" s="34"/>
      <c r="R2932" s="34"/>
      <c r="S2932" s="34"/>
    </row>
    <row r="2933" spans="14:19">
      <c r="N2933" s="34"/>
      <c r="O2933" s="34"/>
      <c r="P2933" s="34"/>
      <c r="Q2933" s="34"/>
      <c r="R2933" s="34"/>
      <c r="S2933" s="34"/>
    </row>
    <row r="2934" spans="14:19">
      <c r="N2934" s="34"/>
      <c r="O2934" s="34"/>
      <c r="P2934" s="34"/>
      <c r="Q2934" s="34"/>
      <c r="R2934" s="34"/>
      <c r="S2934" s="34"/>
    </row>
    <row r="2935" spans="14:19">
      <c r="N2935" s="34"/>
      <c r="O2935" s="34"/>
      <c r="P2935" s="34"/>
      <c r="Q2935" s="34"/>
      <c r="R2935" s="34"/>
      <c r="S2935" s="34"/>
    </row>
    <row r="2936" spans="14:19">
      <c r="N2936" s="34"/>
      <c r="O2936" s="34"/>
      <c r="P2936" s="34"/>
      <c r="Q2936" s="34"/>
      <c r="R2936" s="34"/>
      <c r="S2936" s="34"/>
    </row>
    <row r="2937" spans="14:19">
      <c r="N2937" s="34"/>
      <c r="O2937" s="34"/>
      <c r="P2937" s="34"/>
      <c r="Q2937" s="34"/>
      <c r="R2937" s="34"/>
      <c r="S2937" s="34"/>
    </row>
    <row r="2938" spans="14:19">
      <c r="N2938" s="34"/>
      <c r="O2938" s="34"/>
      <c r="P2938" s="34"/>
      <c r="Q2938" s="34"/>
      <c r="R2938" s="34"/>
      <c r="S2938" s="34"/>
    </row>
    <row r="2939" spans="14:19">
      <c r="N2939" s="34"/>
      <c r="O2939" s="34"/>
      <c r="P2939" s="34"/>
      <c r="Q2939" s="34"/>
      <c r="R2939" s="34"/>
      <c r="S2939" s="34"/>
    </row>
    <row r="2940" spans="14:19">
      <c r="N2940" s="34"/>
      <c r="O2940" s="34"/>
      <c r="P2940" s="34"/>
      <c r="Q2940" s="34"/>
      <c r="R2940" s="34"/>
      <c r="S2940" s="34"/>
    </row>
    <row r="2941" spans="14:19">
      <c r="N2941" s="34"/>
      <c r="O2941" s="34"/>
      <c r="P2941" s="34"/>
      <c r="Q2941" s="34"/>
      <c r="R2941" s="34"/>
      <c r="S2941" s="34"/>
    </row>
    <row r="2942" spans="14:19">
      <c r="N2942" s="34"/>
      <c r="O2942" s="34"/>
      <c r="P2942" s="34"/>
      <c r="Q2942" s="34"/>
      <c r="R2942" s="34"/>
      <c r="S2942" s="34"/>
    </row>
    <row r="2943" spans="14:19">
      <c r="N2943" s="34"/>
      <c r="O2943" s="34"/>
      <c r="P2943" s="34"/>
      <c r="Q2943" s="34"/>
      <c r="R2943" s="34"/>
      <c r="S2943" s="34"/>
    </row>
    <row r="2944" spans="14:19">
      <c r="N2944" s="34"/>
      <c r="O2944" s="34"/>
      <c r="P2944" s="34"/>
      <c r="Q2944" s="34"/>
      <c r="R2944" s="34"/>
      <c r="S2944" s="34"/>
    </row>
    <row r="2945" spans="14:19">
      <c r="N2945" s="34"/>
      <c r="O2945" s="34"/>
      <c r="P2945" s="34"/>
      <c r="Q2945" s="34"/>
      <c r="R2945" s="34"/>
      <c r="S2945" s="34"/>
    </row>
    <row r="2946" spans="14:19">
      <c r="N2946" s="34"/>
      <c r="O2946" s="34"/>
      <c r="P2946" s="34"/>
      <c r="Q2946" s="34"/>
      <c r="R2946" s="34"/>
      <c r="S2946" s="34"/>
    </row>
    <row r="2947" spans="14:19">
      <c r="N2947" s="34"/>
      <c r="O2947" s="34"/>
      <c r="P2947" s="34"/>
      <c r="Q2947" s="34"/>
      <c r="R2947" s="34"/>
      <c r="S2947" s="34"/>
    </row>
    <row r="2948" spans="14:19">
      <c r="N2948" s="34"/>
      <c r="O2948" s="34"/>
      <c r="P2948" s="34"/>
      <c r="Q2948" s="34"/>
      <c r="R2948" s="34"/>
      <c r="S2948" s="34"/>
    </row>
    <row r="2949" spans="14:19">
      <c r="N2949" s="34"/>
      <c r="O2949" s="34"/>
      <c r="P2949" s="34"/>
      <c r="Q2949" s="34"/>
      <c r="R2949" s="34"/>
      <c r="S2949" s="34"/>
    </row>
    <row r="2950" spans="14:19">
      <c r="N2950" s="34"/>
      <c r="O2950" s="34"/>
      <c r="P2950" s="34"/>
      <c r="Q2950" s="34"/>
      <c r="R2950" s="34"/>
      <c r="S2950" s="34"/>
    </row>
    <row r="2951" spans="14:19">
      <c r="N2951" s="34"/>
      <c r="O2951" s="34"/>
      <c r="P2951" s="34"/>
      <c r="Q2951" s="34"/>
      <c r="R2951" s="34"/>
      <c r="S2951" s="34"/>
    </row>
    <row r="2952" spans="14:19">
      <c r="N2952" s="34"/>
      <c r="O2952" s="34"/>
      <c r="P2952" s="34"/>
      <c r="Q2952" s="34"/>
      <c r="R2952" s="34"/>
      <c r="S2952" s="34"/>
    </row>
    <row r="2953" spans="14:19">
      <c r="N2953" s="34"/>
      <c r="O2953" s="34"/>
      <c r="P2953" s="34"/>
      <c r="Q2953" s="34"/>
      <c r="R2953" s="34"/>
      <c r="S2953" s="34"/>
    </row>
    <row r="2954" spans="14:19">
      <c r="N2954" s="34"/>
      <c r="O2954" s="34"/>
      <c r="P2954" s="34"/>
      <c r="Q2954" s="34"/>
      <c r="R2954" s="34"/>
      <c r="S2954" s="34"/>
    </row>
    <row r="2955" spans="14:19">
      <c r="N2955" s="34"/>
      <c r="O2955" s="34"/>
      <c r="P2955" s="34"/>
      <c r="Q2955" s="34"/>
      <c r="R2955" s="34"/>
      <c r="S2955" s="34"/>
    </row>
    <row r="2956" spans="14:19">
      <c r="N2956" s="34"/>
      <c r="O2956" s="34"/>
      <c r="P2956" s="34"/>
      <c r="Q2956" s="34"/>
      <c r="R2956" s="34"/>
      <c r="S2956" s="34"/>
    </row>
    <row r="2957" spans="14:19">
      <c r="N2957" s="34"/>
      <c r="O2957" s="34"/>
      <c r="P2957" s="34"/>
      <c r="Q2957" s="34"/>
      <c r="R2957" s="34"/>
      <c r="S2957" s="34"/>
    </row>
    <row r="2958" spans="14:19">
      <c r="N2958" s="34"/>
      <c r="O2958" s="34"/>
      <c r="P2958" s="34"/>
      <c r="Q2958" s="34"/>
      <c r="R2958" s="34"/>
      <c r="S2958" s="34"/>
    </row>
    <row r="2959" spans="14:19">
      <c r="N2959" s="34"/>
      <c r="O2959" s="34"/>
      <c r="P2959" s="34"/>
      <c r="Q2959" s="34"/>
      <c r="R2959" s="34"/>
      <c r="S2959" s="34"/>
    </row>
    <row r="2960" spans="14:19">
      <c r="N2960" s="34"/>
      <c r="O2960" s="34"/>
      <c r="P2960" s="34"/>
      <c r="Q2960" s="34"/>
      <c r="R2960" s="34"/>
      <c r="S2960" s="34"/>
    </row>
    <row r="2961" spans="14:19">
      <c r="N2961" s="34"/>
      <c r="O2961" s="34"/>
      <c r="P2961" s="34"/>
      <c r="Q2961" s="34"/>
      <c r="R2961" s="34"/>
      <c r="S2961" s="34"/>
    </row>
    <row r="2962" spans="14:19">
      <c r="N2962" s="34"/>
      <c r="O2962" s="34"/>
      <c r="P2962" s="34"/>
      <c r="Q2962" s="34"/>
      <c r="R2962" s="34"/>
      <c r="S2962" s="34"/>
    </row>
    <row r="2963" spans="14:19">
      <c r="N2963" s="34"/>
      <c r="O2963" s="34"/>
      <c r="P2963" s="34"/>
      <c r="Q2963" s="34"/>
      <c r="R2963" s="34"/>
      <c r="S2963" s="34"/>
    </row>
    <row r="2964" spans="14:19">
      <c r="N2964" s="34"/>
      <c r="O2964" s="34"/>
      <c r="P2964" s="34"/>
      <c r="Q2964" s="34"/>
      <c r="R2964" s="34"/>
      <c r="S2964" s="34"/>
    </row>
    <row r="2965" spans="14:19">
      <c r="N2965" s="34"/>
      <c r="O2965" s="34"/>
      <c r="P2965" s="34"/>
      <c r="Q2965" s="34"/>
      <c r="R2965" s="34"/>
      <c r="S2965" s="34"/>
    </row>
    <row r="2966" spans="14:19">
      <c r="N2966" s="34"/>
      <c r="O2966" s="34"/>
      <c r="P2966" s="34"/>
      <c r="Q2966" s="34"/>
      <c r="R2966" s="34"/>
      <c r="S2966" s="34"/>
    </row>
    <row r="2967" spans="14:19">
      <c r="N2967" s="34"/>
      <c r="O2967" s="34"/>
      <c r="P2967" s="34"/>
      <c r="Q2967" s="34"/>
      <c r="R2967" s="34"/>
      <c r="S2967" s="34"/>
    </row>
    <row r="2968" spans="14:19">
      <c r="N2968" s="34"/>
      <c r="O2968" s="34"/>
      <c r="P2968" s="34"/>
      <c r="Q2968" s="34"/>
      <c r="R2968" s="34"/>
      <c r="S2968" s="34"/>
    </row>
    <row r="2969" spans="14:19">
      <c r="N2969" s="34"/>
      <c r="O2969" s="34"/>
      <c r="P2969" s="34"/>
      <c r="Q2969" s="34"/>
      <c r="R2969" s="34"/>
      <c r="S2969" s="34"/>
    </row>
    <row r="2970" spans="14:19">
      <c r="N2970" s="34"/>
      <c r="O2970" s="34"/>
      <c r="P2970" s="34"/>
      <c r="Q2970" s="34"/>
      <c r="R2970" s="34"/>
      <c r="S2970" s="34"/>
    </row>
    <row r="2971" spans="14:19">
      <c r="N2971" s="34"/>
      <c r="O2971" s="34"/>
      <c r="P2971" s="34"/>
      <c r="Q2971" s="34"/>
      <c r="R2971" s="34"/>
      <c r="S2971" s="34"/>
    </row>
    <row r="2972" spans="14:19">
      <c r="N2972" s="34"/>
      <c r="O2972" s="34"/>
      <c r="P2972" s="34"/>
      <c r="Q2972" s="34"/>
      <c r="R2972" s="34"/>
      <c r="S2972" s="34"/>
    </row>
    <row r="2973" spans="14:19">
      <c r="N2973" s="34"/>
      <c r="O2973" s="34"/>
      <c r="P2973" s="34"/>
      <c r="Q2973" s="34"/>
      <c r="R2973" s="34"/>
      <c r="S2973" s="34"/>
    </row>
    <row r="2974" spans="14:19">
      <c r="N2974" s="34"/>
      <c r="O2974" s="34"/>
      <c r="P2974" s="34"/>
      <c r="Q2974" s="34"/>
      <c r="R2974" s="34"/>
      <c r="S2974" s="34"/>
    </row>
    <row r="2975" spans="14:19">
      <c r="N2975" s="34"/>
      <c r="O2975" s="34"/>
      <c r="P2975" s="34"/>
      <c r="Q2975" s="34"/>
      <c r="R2975" s="34"/>
      <c r="S2975" s="34"/>
    </row>
    <row r="2976" spans="14:19">
      <c r="N2976" s="34"/>
      <c r="O2976" s="34"/>
      <c r="P2976" s="34"/>
      <c r="Q2976" s="34"/>
      <c r="R2976" s="34"/>
      <c r="S2976" s="34"/>
    </row>
    <row r="2977" spans="14:19">
      <c r="N2977" s="34"/>
      <c r="O2977" s="34"/>
      <c r="P2977" s="34"/>
      <c r="Q2977" s="34"/>
      <c r="R2977" s="34"/>
      <c r="S2977" s="34"/>
    </row>
    <row r="2978" spans="14:19">
      <c r="N2978" s="34"/>
      <c r="O2978" s="34"/>
      <c r="P2978" s="34"/>
      <c r="Q2978" s="34"/>
      <c r="R2978" s="34"/>
      <c r="S2978" s="34"/>
    </row>
    <row r="2979" spans="14:19">
      <c r="N2979" s="34"/>
      <c r="O2979" s="34"/>
      <c r="P2979" s="34"/>
      <c r="Q2979" s="34"/>
      <c r="R2979" s="34"/>
      <c r="S2979" s="34"/>
    </row>
    <row r="2980" spans="14:19">
      <c r="N2980" s="34"/>
      <c r="O2980" s="34"/>
      <c r="P2980" s="34"/>
      <c r="Q2980" s="34"/>
      <c r="R2980" s="34"/>
      <c r="S2980" s="34"/>
    </row>
    <row r="2981" spans="14:19">
      <c r="N2981" s="34"/>
      <c r="O2981" s="34"/>
      <c r="P2981" s="34"/>
      <c r="Q2981" s="34"/>
      <c r="R2981" s="34"/>
      <c r="S2981" s="34"/>
    </row>
    <row r="2982" spans="14:19">
      <c r="N2982" s="34"/>
      <c r="O2982" s="34"/>
      <c r="P2982" s="34"/>
      <c r="Q2982" s="34"/>
      <c r="R2982" s="34"/>
      <c r="S2982" s="34"/>
    </row>
    <row r="2983" spans="14:19">
      <c r="N2983" s="34"/>
      <c r="O2983" s="34"/>
      <c r="P2983" s="34"/>
      <c r="Q2983" s="34"/>
      <c r="R2983" s="34"/>
      <c r="S2983" s="34"/>
    </row>
    <row r="2984" spans="14:19">
      <c r="N2984" s="34"/>
      <c r="O2984" s="34"/>
      <c r="P2984" s="34"/>
      <c r="Q2984" s="34"/>
      <c r="R2984" s="34"/>
      <c r="S2984" s="34"/>
    </row>
    <row r="2985" spans="14:19">
      <c r="N2985" s="34"/>
      <c r="O2985" s="34"/>
      <c r="P2985" s="34"/>
      <c r="Q2985" s="34"/>
      <c r="R2985" s="34"/>
      <c r="S2985" s="34"/>
    </row>
    <row r="2986" spans="14:19">
      <c r="N2986" s="34"/>
      <c r="O2986" s="34"/>
      <c r="P2986" s="34"/>
      <c r="Q2986" s="34"/>
      <c r="R2986" s="34"/>
      <c r="S2986" s="34"/>
    </row>
    <row r="2987" spans="14:19">
      <c r="N2987" s="34"/>
      <c r="O2987" s="34"/>
      <c r="P2987" s="34"/>
      <c r="Q2987" s="34"/>
      <c r="R2987" s="34"/>
      <c r="S2987" s="34"/>
    </row>
    <row r="2988" spans="14:19">
      <c r="N2988" s="34"/>
      <c r="O2988" s="34"/>
      <c r="P2988" s="34"/>
      <c r="Q2988" s="34"/>
      <c r="R2988" s="34"/>
      <c r="S2988" s="34"/>
    </row>
    <row r="2989" spans="14:19">
      <c r="N2989" s="34"/>
      <c r="O2989" s="34"/>
      <c r="P2989" s="34"/>
      <c r="Q2989" s="34"/>
      <c r="R2989" s="34"/>
      <c r="S2989" s="34"/>
    </row>
    <row r="2990" spans="14:19">
      <c r="N2990" s="34"/>
      <c r="O2990" s="34"/>
      <c r="P2990" s="34"/>
      <c r="Q2990" s="34"/>
      <c r="R2990" s="34"/>
      <c r="S2990" s="34"/>
    </row>
    <row r="2991" spans="14:19">
      <c r="N2991" s="34"/>
      <c r="O2991" s="34"/>
      <c r="P2991" s="34"/>
      <c r="Q2991" s="34"/>
      <c r="R2991" s="34"/>
      <c r="S2991" s="34"/>
    </row>
    <row r="2992" spans="14:19">
      <c r="N2992" s="34"/>
      <c r="O2992" s="34"/>
      <c r="P2992" s="34"/>
      <c r="Q2992" s="34"/>
      <c r="R2992" s="34"/>
      <c r="S2992" s="34"/>
    </row>
    <row r="2993" spans="14:19">
      <c r="N2993" s="34"/>
      <c r="O2993" s="34"/>
      <c r="P2993" s="34"/>
      <c r="Q2993" s="34"/>
      <c r="R2993" s="34"/>
      <c r="S2993" s="34"/>
    </row>
    <row r="2994" spans="14:19">
      <c r="N2994" s="34"/>
      <c r="O2994" s="34"/>
      <c r="P2994" s="34"/>
      <c r="Q2994" s="34"/>
      <c r="R2994" s="34"/>
      <c r="S2994" s="34"/>
    </row>
    <row r="2995" spans="14:19">
      <c r="N2995" s="34"/>
      <c r="O2995" s="34"/>
      <c r="P2995" s="34"/>
      <c r="Q2995" s="34"/>
      <c r="R2995" s="34"/>
      <c r="S2995" s="34"/>
    </row>
    <row r="2996" spans="14:19">
      <c r="N2996" s="34"/>
      <c r="O2996" s="34"/>
      <c r="P2996" s="34"/>
      <c r="Q2996" s="34"/>
      <c r="R2996" s="34"/>
      <c r="S2996" s="34"/>
    </row>
    <row r="2997" spans="14:19">
      <c r="N2997" s="34"/>
      <c r="O2997" s="34"/>
      <c r="P2997" s="34"/>
      <c r="Q2997" s="34"/>
      <c r="R2997" s="34"/>
      <c r="S2997" s="34"/>
    </row>
    <row r="2998" spans="14:19">
      <c r="N2998" s="34"/>
      <c r="O2998" s="34"/>
      <c r="P2998" s="34"/>
      <c r="Q2998" s="34"/>
      <c r="R2998" s="34"/>
      <c r="S2998" s="34"/>
    </row>
    <row r="2999" spans="14:19">
      <c r="N2999" s="34"/>
      <c r="O2999" s="34"/>
      <c r="P2999" s="34"/>
      <c r="Q2999" s="34"/>
      <c r="R2999" s="34"/>
      <c r="S2999" s="34"/>
    </row>
    <row r="3000" spans="14:19">
      <c r="N3000" s="34"/>
      <c r="O3000" s="34"/>
      <c r="P3000" s="34"/>
      <c r="Q3000" s="34"/>
      <c r="R3000" s="34"/>
      <c r="S3000" s="34"/>
    </row>
    <row r="3001" spans="14:19">
      <c r="N3001" s="34"/>
      <c r="O3001" s="34"/>
      <c r="P3001" s="34"/>
      <c r="Q3001" s="34"/>
      <c r="R3001" s="34"/>
      <c r="S3001" s="34"/>
    </row>
    <row r="3002" spans="14:19">
      <c r="N3002" s="34"/>
      <c r="O3002" s="34"/>
      <c r="P3002" s="34"/>
      <c r="Q3002" s="34"/>
      <c r="R3002" s="34"/>
      <c r="S3002" s="34"/>
    </row>
    <row r="3003" spans="14:19">
      <c r="N3003" s="34"/>
      <c r="O3003" s="34"/>
      <c r="P3003" s="34"/>
      <c r="Q3003" s="34"/>
      <c r="R3003" s="34"/>
      <c r="S3003" s="34"/>
    </row>
    <row r="3004" spans="14:19">
      <c r="N3004" s="34"/>
      <c r="O3004" s="34"/>
      <c r="P3004" s="34"/>
      <c r="Q3004" s="34"/>
      <c r="R3004" s="34"/>
      <c r="S3004" s="34"/>
    </row>
    <row r="3005" spans="14:19">
      <c r="N3005" s="34"/>
      <c r="O3005" s="34"/>
      <c r="P3005" s="34"/>
      <c r="Q3005" s="34"/>
      <c r="R3005" s="34"/>
      <c r="S3005" s="34"/>
    </row>
    <row r="3006" spans="14:19">
      <c r="N3006" s="34"/>
      <c r="O3006" s="34"/>
      <c r="P3006" s="34"/>
      <c r="Q3006" s="34"/>
      <c r="R3006" s="34"/>
      <c r="S3006" s="34"/>
    </row>
    <row r="3007" spans="14:19">
      <c r="N3007" s="34"/>
      <c r="O3007" s="34"/>
      <c r="P3007" s="34"/>
      <c r="Q3007" s="34"/>
      <c r="R3007" s="34"/>
      <c r="S3007" s="34"/>
    </row>
    <row r="3008" spans="14:19">
      <c r="N3008" s="34"/>
      <c r="O3008" s="34"/>
      <c r="P3008" s="34"/>
      <c r="Q3008" s="34"/>
      <c r="R3008" s="34"/>
      <c r="S3008" s="34"/>
    </row>
    <row r="3009" spans="14:19">
      <c r="N3009" s="34"/>
      <c r="O3009" s="34"/>
      <c r="P3009" s="34"/>
      <c r="Q3009" s="34"/>
      <c r="R3009" s="34"/>
      <c r="S3009" s="34"/>
    </row>
    <row r="3010" spans="14:19">
      <c r="N3010" s="34"/>
      <c r="O3010" s="34"/>
      <c r="P3010" s="34"/>
      <c r="Q3010" s="34"/>
      <c r="R3010" s="34"/>
      <c r="S3010" s="34"/>
    </row>
    <row r="3011" spans="14:19">
      <c r="N3011" s="34"/>
      <c r="O3011" s="34"/>
      <c r="P3011" s="34"/>
      <c r="Q3011" s="34"/>
      <c r="R3011" s="34"/>
      <c r="S3011" s="34"/>
    </row>
    <row r="3012" spans="14:19">
      <c r="N3012" s="34"/>
      <c r="O3012" s="34"/>
      <c r="P3012" s="34"/>
      <c r="Q3012" s="34"/>
      <c r="R3012" s="34"/>
      <c r="S3012" s="34"/>
    </row>
    <row r="3013" spans="14:19">
      <c r="N3013" s="34"/>
      <c r="O3013" s="34"/>
      <c r="P3013" s="34"/>
      <c r="Q3013" s="34"/>
      <c r="R3013" s="34"/>
      <c r="S3013" s="34"/>
    </row>
    <row r="3014" spans="14:19">
      <c r="N3014" s="34"/>
      <c r="O3014" s="34"/>
      <c r="P3014" s="34"/>
      <c r="Q3014" s="34"/>
      <c r="R3014" s="34"/>
      <c r="S3014" s="34"/>
    </row>
    <row r="3015" spans="14:19">
      <c r="N3015" s="34"/>
      <c r="O3015" s="34"/>
      <c r="P3015" s="34"/>
      <c r="Q3015" s="34"/>
      <c r="R3015" s="34"/>
      <c r="S3015" s="34"/>
    </row>
    <row r="3016" spans="14:19">
      <c r="N3016" s="34"/>
      <c r="O3016" s="34"/>
      <c r="P3016" s="34"/>
      <c r="Q3016" s="34"/>
      <c r="R3016" s="34"/>
      <c r="S3016" s="34"/>
    </row>
    <row r="3017" spans="14:19">
      <c r="N3017" s="34"/>
      <c r="O3017" s="34"/>
      <c r="P3017" s="34"/>
      <c r="Q3017" s="34"/>
      <c r="R3017" s="34"/>
      <c r="S3017" s="34"/>
    </row>
    <row r="3018" spans="14:19">
      <c r="N3018" s="34"/>
      <c r="O3018" s="34"/>
      <c r="P3018" s="34"/>
      <c r="Q3018" s="34"/>
      <c r="R3018" s="34"/>
      <c r="S3018" s="34"/>
    </row>
    <row r="3019" spans="14:19">
      <c r="N3019" s="34"/>
      <c r="O3019" s="34"/>
      <c r="P3019" s="34"/>
      <c r="Q3019" s="34"/>
      <c r="R3019" s="34"/>
      <c r="S3019" s="34"/>
    </row>
    <row r="3020" spans="14:19">
      <c r="N3020" s="34"/>
      <c r="O3020" s="34"/>
      <c r="P3020" s="34"/>
      <c r="Q3020" s="34"/>
      <c r="R3020" s="34"/>
      <c r="S3020" s="34"/>
    </row>
    <row r="3021" spans="14:19">
      <c r="N3021" s="34"/>
      <c r="O3021" s="34"/>
      <c r="P3021" s="34"/>
      <c r="Q3021" s="34"/>
      <c r="R3021" s="34"/>
      <c r="S3021" s="34"/>
    </row>
    <row r="3022" spans="14:19">
      <c r="N3022" s="34"/>
      <c r="O3022" s="34"/>
      <c r="P3022" s="34"/>
      <c r="Q3022" s="34"/>
      <c r="R3022" s="34"/>
      <c r="S3022" s="34"/>
    </row>
    <row r="3023" spans="14:19">
      <c r="N3023" s="34"/>
      <c r="O3023" s="34"/>
      <c r="P3023" s="34"/>
      <c r="Q3023" s="34"/>
      <c r="R3023" s="34"/>
      <c r="S3023" s="34"/>
    </row>
    <row r="3024" spans="14:19">
      <c r="N3024" s="34"/>
      <c r="O3024" s="34"/>
      <c r="P3024" s="34"/>
      <c r="Q3024" s="34"/>
      <c r="R3024" s="34"/>
      <c r="S3024" s="34"/>
    </row>
    <row r="3025" spans="14:19">
      <c r="N3025" s="34"/>
      <c r="O3025" s="34"/>
      <c r="P3025" s="34"/>
      <c r="Q3025" s="34"/>
      <c r="R3025" s="34"/>
      <c r="S3025" s="34"/>
    </row>
    <row r="3026" spans="14:19">
      <c r="N3026" s="34"/>
      <c r="O3026" s="34"/>
      <c r="P3026" s="34"/>
      <c r="Q3026" s="34"/>
      <c r="R3026" s="34"/>
      <c r="S3026" s="34"/>
    </row>
    <row r="3027" spans="14:19">
      <c r="N3027" s="34"/>
      <c r="O3027" s="34"/>
      <c r="P3027" s="34"/>
      <c r="Q3027" s="34"/>
      <c r="R3027" s="34"/>
      <c r="S3027" s="34"/>
    </row>
    <row r="3028" spans="14:19">
      <c r="N3028" s="34"/>
      <c r="O3028" s="34"/>
      <c r="P3028" s="34"/>
      <c r="Q3028" s="34"/>
      <c r="R3028" s="34"/>
      <c r="S3028" s="34"/>
    </row>
    <row r="3029" spans="14:19">
      <c r="N3029" s="34"/>
      <c r="O3029" s="34"/>
      <c r="P3029" s="34"/>
      <c r="Q3029" s="34"/>
      <c r="R3029" s="34"/>
      <c r="S3029" s="34"/>
    </row>
    <row r="3030" spans="14:19">
      <c r="N3030" s="34"/>
      <c r="O3030" s="34"/>
      <c r="P3030" s="34"/>
      <c r="Q3030" s="34"/>
      <c r="R3030" s="34"/>
      <c r="S3030" s="34"/>
    </row>
    <row r="3031" spans="14:19">
      <c r="N3031" s="34"/>
      <c r="O3031" s="34"/>
      <c r="P3031" s="34"/>
      <c r="Q3031" s="34"/>
      <c r="R3031" s="34"/>
      <c r="S3031" s="34"/>
    </row>
    <row r="3032" spans="14:19">
      <c r="N3032" s="34"/>
      <c r="O3032" s="34"/>
      <c r="P3032" s="34"/>
      <c r="Q3032" s="34"/>
      <c r="R3032" s="34"/>
      <c r="S3032" s="34"/>
    </row>
    <row r="3033" spans="14:19">
      <c r="N3033" s="34"/>
      <c r="O3033" s="34"/>
      <c r="P3033" s="34"/>
      <c r="Q3033" s="34"/>
      <c r="R3033" s="34"/>
      <c r="S3033" s="34"/>
    </row>
    <row r="3034" spans="14:19">
      <c r="N3034" s="34"/>
      <c r="O3034" s="34"/>
      <c r="P3034" s="34"/>
      <c r="Q3034" s="34"/>
      <c r="R3034" s="34"/>
      <c r="S3034" s="34"/>
    </row>
    <row r="3035" spans="14:19">
      <c r="N3035" s="34"/>
      <c r="O3035" s="34"/>
      <c r="P3035" s="34"/>
      <c r="Q3035" s="34"/>
      <c r="R3035" s="34"/>
      <c r="S3035" s="34"/>
    </row>
    <row r="3036" spans="14:19">
      <c r="N3036" s="34"/>
      <c r="O3036" s="34"/>
      <c r="P3036" s="34"/>
      <c r="Q3036" s="34"/>
      <c r="R3036" s="34"/>
      <c r="S3036" s="34"/>
    </row>
    <row r="3037" spans="14:19">
      <c r="N3037" s="34"/>
      <c r="O3037" s="34"/>
      <c r="P3037" s="34"/>
      <c r="Q3037" s="34"/>
      <c r="R3037" s="34"/>
      <c r="S3037" s="34"/>
    </row>
    <row r="3038" spans="14:19">
      <c r="N3038" s="34"/>
      <c r="O3038" s="34"/>
      <c r="P3038" s="34"/>
      <c r="Q3038" s="34"/>
      <c r="R3038" s="34"/>
      <c r="S3038" s="34"/>
    </row>
    <row r="3039" spans="14:19">
      <c r="N3039" s="34"/>
      <c r="O3039" s="34"/>
      <c r="P3039" s="34"/>
      <c r="Q3039" s="34"/>
      <c r="R3039" s="34"/>
      <c r="S3039" s="34"/>
    </row>
    <row r="3040" spans="14:19">
      <c r="N3040" s="34"/>
      <c r="O3040" s="34"/>
      <c r="P3040" s="34"/>
      <c r="Q3040" s="34"/>
      <c r="R3040" s="34"/>
      <c r="S3040" s="34"/>
    </row>
    <row r="3041" spans="14:19">
      <c r="N3041" s="34"/>
      <c r="O3041" s="34"/>
      <c r="P3041" s="34"/>
      <c r="Q3041" s="34"/>
      <c r="R3041" s="34"/>
      <c r="S3041" s="34"/>
    </row>
    <row r="3042" spans="14:19">
      <c r="N3042" s="34"/>
      <c r="O3042" s="34"/>
      <c r="P3042" s="34"/>
      <c r="Q3042" s="34"/>
      <c r="R3042" s="34"/>
      <c r="S3042" s="34"/>
    </row>
    <row r="3043" spans="14:19">
      <c r="N3043" s="34"/>
      <c r="O3043" s="34"/>
      <c r="P3043" s="34"/>
      <c r="Q3043" s="34"/>
      <c r="R3043" s="34"/>
      <c r="S3043" s="34"/>
    </row>
    <row r="3044" spans="14:19">
      <c r="N3044" s="34"/>
      <c r="O3044" s="34"/>
      <c r="P3044" s="34"/>
      <c r="Q3044" s="34"/>
      <c r="R3044" s="34"/>
      <c r="S3044" s="34"/>
    </row>
    <row r="3045" spans="14:19">
      <c r="N3045" s="34"/>
      <c r="O3045" s="34"/>
      <c r="P3045" s="34"/>
      <c r="Q3045" s="34"/>
      <c r="R3045" s="34"/>
      <c r="S3045" s="34"/>
    </row>
    <row r="3046" spans="14:19">
      <c r="N3046" s="34"/>
      <c r="O3046" s="34"/>
      <c r="P3046" s="34"/>
      <c r="Q3046" s="34"/>
      <c r="R3046" s="34"/>
      <c r="S3046" s="34"/>
    </row>
    <row r="3047" spans="14:19">
      <c r="N3047" s="34"/>
      <c r="O3047" s="34"/>
      <c r="P3047" s="34"/>
      <c r="Q3047" s="34"/>
      <c r="R3047" s="34"/>
      <c r="S3047" s="34"/>
    </row>
    <row r="3048" spans="14:19">
      <c r="N3048" s="34"/>
      <c r="O3048" s="34"/>
      <c r="P3048" s="34"/>
      <c r="Q3048" s="34"/>
      <c r="R3048" s="34"/>
      <c r="S3048" s="34"/>
    </row>
    <row r="3049" spans="14:19">
      <c r="N3049" s="34"/>
      <c r="O3049" s="34"/>
      <c r="P3049" s="34"/>
      <c r="Q3049" s="34"/>
      <c r="R3049" s="34"/>
      <c r="S3049" s="34"/>
    </row>
    <row r="3050" spans="14:19">
      <c r="N3050" s="34"/>
      <c r="O3050" s="34"/>
      <c r="P3050" s="34"/>
      <c r="Q3050" s="34"/>
      <c r="R3050" s="34"/>
      <c r="S3050" s="34"/>
    </row>
    <row r="3051" spans="14:19">
      <c r="N3051" s="34"/>
      <c r="O3051" s="34"/>
      <c r="P3051" s="34"/>
      <c r="Q3051" s="34"/>
      <c r="R3051" s="34"/>
      <c r="S3051" s="34"/>
    </row>
    <row r="3052" spans="14:19">
      <c r="N3052" s="34"/>
      <c r="O3052" s="34"/>
      <c r="P3052" s="34"/>
      <c r="Q3052" s="34"/>
      <c r="R3052" s="34"/>
      <c r="S3052" s="34"/>
    </row>
    <row r="3053" spans="14:19">
      <c r="N3053" s="34"/>
      <c r="O3053" s="34"/>
      <c r="P3053" s="34"/>
      <c r="Q3053" s="34"/>
      <c r="R3053" s="34"/>
      <c r="S3053" s="34"/>
    </row>
    <row r="3054" spans="14:19">
      <c r="N3054" s="34"/>
      <c r="O3054" s="34"/>
      <c r="P3054" s="34"/>
      <c r="Q3054" s="34"/>
      <c r="R3054" s="34"/>
      <c r="S3054" s="34"/>
    </row>
    <row r="3055" spans="14:19">
      <c r="N3055" s="34"/>
      <c r="O3055" s="34"/>
      <c r="P3055" s="34"/>
      <c r="Q3055" s="34"/>
      <c r="R3055" s="34"/>
      <c r="S3055" s="34"/>
    </row>
    <row r="3056" spans="14:19">
      <c r="N3056" s="34"/>
      <c r="O3056" s="34"/>
      <c r="P3056" s="34"/>
      <c r="Q3056" s="34"/>
      <c r="R3056" s="34"/>
      <c r="S3056" s="34"/>
    </row>
    <row r="3057" spans="14:19">
      <c r="N3057" s="34"/>
      <c r="O3057" s="34"/>
      <c r="P3057" s="34"/>
      <c r="Q3057" s="34"/>
      <c r="R3057" s="34"/>
      <c r="S3057" s="34"/>
    </row>
    <row r="3058" spans="14:19">
      <c r="N3058" s="34"/>
      <c r="O3058" s="34"/>
      <c r="P3058" s="34"/>
      <c r="Q3058" s="34"/>
      <c r="R3058" s="34"/>
      <c r="S3058" s="34"/>
    </row>
    <row r="3059" spans="14:19">
      <c r="N3059" s="34"/>
      <c r="O3059" s="34"/>
      <c r="P3059" s="34"/>
      <c r="Q3059" s="34"/>
      <c r="R3059" s="34"/>
      <c r="S3059" s="34"/>
    </row>
    <row r="3060" spans="14:19">
      <c r="N3060" s="34"/>
      <c r="O3060" s="34"/>
      <c r="P3060" s="34"/>
      <c r="Q3060" s="34"/>
      <c r="R3060" s="34"/>
      <c r="S3060" s="34"/>
    </row>
    <row r="3061" spans="14:19">
      <c r="N3061" s="34"/>
      <c r="O3061" s="34"/>
      <c r="P3061" s="34"/>
      <c r="Q3061" s="34"/>
      <c r="R3061" s="34"/>
      <c r="S3061" s="34"/>
    </row>
    <row r="3062" spans="14:19">
      <c r="N3062" s="34"/>
      <c r="O3062" s="34"/>
      <c r="P3062" s="34"/>
      <c r="Q3062" s="34"/>
      <c r="R3062" s="34"/>
      <c r="S3062" s="34"/>
    </row>
    <row r="3063" spans="14:19">
      <c r="N3063" s="34"/>
      <c r="O3063" s="34"/>
      <c r="P3063" s="34"/>
      <c r="Q3063" s="34"/>
      <c r="R3063" s="34"/>
      <c r="S3063" s="34"/>
    </row>
    <row r="3064" spans="14:19">
      <c r="N3064" s="34"/>
      <c r="O3064" s="34"/>
      <c r="P3064" s="34"/>
      <c r="Q3064" s="34"/>
      <c r="R3064" s="34"/>
      <c r="S3064" s="34"/>
    </row>
    <row r="3065" spans="14:19">
      <c r="N3065" s="34"/>
      <c r="O3065" s="34"/>
      <c r="P3065" s="34"/>
      <c r="Q3065" s="34"/>
      <c r="R3065" s="34"/>
      <c r="S3065" s="34"/>
    </row>
    <row r="3066" spans="14:19">
      <c r="N3066" s="34"/>
      <c r="O3066" s="34"/>
      <c r="P3066" s="34"/>
      <c r="Q3066" s="34"/>
      <c r="R3066" s="34"/>
      <c r="S3066" s="34"/>
    </row>
    <row r="3067" spans="14:19">
      <c r="N3067" s="34"/>
      <c r="O3067" s="34"/>
      <c r="P3067" s="34"/>
      <c r="Q3067" s="34"/>
      <c r="R3067" s="34"/>
      <c r="S3067" s="34"/>
    </row>
    <row r="3068" spans="14:19">
      <c r="N3068" s="34"/>
      <c r="O3068" s="34"/>
      <c r="P3068" s="34"/>
      <c r="Q3068" s="34"/>
      <c r="R3068" s="34"/>
      <c r="S3068" s="34"/>
    </row>
    <row r="3069" spans="14:19">
      <c r="N3069" s="34"/>
      <c r="O3069" s="34"/>
      <c r="P3069" s="34"/>
      <c r="Q3069" s="34"/>
      <c r="R3069" s="34"/>
      <c r="S3069" s="34"/>
    </row>
    <row r="3070" spans="14:19">
      <c r="N3070" s="34"/>
      <c r="O3070" s="34"/>
      <c r="P3070" s="34"/>
      <c r="Q3070" s="34"/>
      <c r="R3070" s="34"/>
      <c r="S3070" s="34"/>
    </row>
    <row r="3071" spans="14:19">
      <c r="N3071" s="34"/>
      <c r="O3071" s="34"/>
      <c r="P3071" s="34"/>
      <c r="Q3071" s="34"/>
      <c r="R3071" s="34"/>
      <c r="S3071" s="34"/>
    </row>
    <row r="3072" spans="14:19">
      <c r="N3072" s="34"/>
      <c r="O3072" s="34"/>
      <c r="P3072" s="34"/>
      <c r="Q3072" s="34"/>
      <c r="R3072" s="34"/>
      <c r="S3072" s="34"/>
    </row>
    <row r="3073" spans="14:19">
      <c r="N3073" s="34"/>
      <c r="O3073" s="34"/>
      <c r="P3073" s="34"/>
      <c r="Q3073" s="34"/>
      <c r="R3073" s="34"/>
      <c r="S3073" s="34"/>
    </row>
    <row r="3074" spans="14:19">
      <c r="N3074" s="34"/>
      <c r="O3074" s="34"/>
      <c r="P3074" s="34"/>
      <c r="Q3074" s="34"/>
      <c r="R3074" s="34"/>
      <c r="S3074" s="34"/>
    </row>
    <row r="3075" spans="14:19">
      <c r="N3075" s="34"/>
      <c r="O3075" s="34"/>
      <c r="P3075" s="34"/>
      <c r="Q3075" s="34"/>
      <c r="R3075" s="34"/>
      <c r="S3075" s="34"/>
    </row>
    <row r="3076" spans="14:19">
      <c r="N3076" s="34"/>
      <c r="O3076" s="34"/>
      <c r="P3076" s="34"/>
      <c r="Q3076" s="34"/>
      <c r="R3076" s="34"/>
      <c r="S3076" s="34"/>
    </row>
    <row r="3077" spans="14:19">
      <c r="N3077" s="34"/>
      <c r="O3077" s="34"/>
      <c r="P3077" s="34"/>
      <c r="Q3077" s="34"/>
      <c r="R3077" s="34"/>
      <c r="S3077" s="34"/>
    </row>
    <row r="3078" spans="14:19">
      <c r="N3078" s="34"/>
      <c r="O3078" s="34"/>
      <c r="P3078" s="34"/>
      <c r="Q3078" s="34"/>
      <c r="R3078" s="34"/>
      <c r="S3078" s="34"/>
    </row>
    <row r="3079" spans="14:19">
      <c r="N3079" s="34"/>
      <c r="O3079" s="34"/>
      <c r="P3079" s="34"/>
      <c r="Q3079" s="34"/>
      <c r="R3079" s="34"/>
      <c r="S3079" s="34"/>
    </row>
    <row r="3080" spans="14:19">
      <c r="N3080" s="34"/>
      <c r="O3080" s="34"/>
      <c r="P3080" s="34"/>
      <c r="Q3080" s="34"/>
      <c r="R3080" s="34"/>
      <c r="S3080" s="34"/>
    </row>
    <row r="3081" spans="14:19">
      <c r="N3081" s="34"/>
      <c r="O3081" s="34"/>
      <c r="P3081" s="34"/>
      <c r="Q3081" s="34"/>
      <c r="R3081" s="34"/>
      <c r="S3081" s="34"/>
    </row>
    <row r="3082" spans="14:19">
      <c r="N3082" s="34"/>
      <c r="O3082" s="34"/>
      <c r="P3082" s="34"/>
      <c r="Q3082" s="34"/>
      <c r="R3082" s="34"/>
      <c r="S3082" s="34"/>
    </row>
    <row r="3083" spans="14:19">
      <c r="N3083" s="34"/>
      <c r="O3083" s="34"/>
      <c r="P3083" s="34"/>
      <c r="Q3083" s="34"/>
      <c r="R3083" s="34"/>
      <c r="S3083" s="34"/>
    </row>
    <row r="3084" spans="14:19">
      <c r="N3084" s="34"/>
      <c r="O3084" s="34"/>
      <c r="P3084" s="34"/>
      <c r="Q3084" s="34"/>
      <c r="R3084" s="34"/>
      <c r="S3084" s="34"/>
    </row>
    <row r="3085" spans="14:19">
      <c r="N3085" s="34"/>
      <c r="O3085" s="34"/>
      <c r="P3085" s="34"/>
      <c r="Q3085" s="34"/>
      <c r="R3085" s="34"/>
      <c r="S3085" s="34"/>
    </row>
    <row r="3086" spans="14:19">
      <c r="N3086" s="34"/>
      <c r="O3086" s="34"/>
      <c r="P3086" s="34"/>
      <c r="Q3086" s="34"/>
      <c r="R3086" s="34"/>
      <c r="S3086" s="34"/>
    </row>
    <row r="3087" spans="14:19">
      <c r="N3087" s="34"/>
      <c r="O3087" s="34"/>
      <c r="P3087" s="34"/>
      <c r="Q3087" s="34"/>
      <c r="R3087" s="34"/>
      <c r="S3087" s="34"/>
    </row>
    <row r="3088" spans="14:19">
      <c r="N3088" s="34"/>
      <c r="O3088" s="34"/>
      <c r="P3088" s="34"/>
      <c r="Q3088" s="34"/>
      <c r="R3088" s="34"/>
      <c r="S3088" s="34"/>
    </row>
    <row r="3089" spans="14:19">
      <c r="N3089" s="34"/>
      <c r="O3089" s="34"/>
      <c r="P3089" s="34"/>
      <c r="Q3089" s="34"/>
      <c r="R3089" s="34"/>
      <c r="S3089" s="34"/>
    </row>
    <row r="3090" spans="14:19">
      <c r="N3090" s="34"/>
      <c r="O3090" s="34"/>
      <c r="P3090" s="34"/>
      <c r="Q3090" s="34"/>
      <c r="R3090" s="34"/>
      <c r="S3090" s="34"/>
    </row>
    <row r="3091" spans="14:19">
      <c r="N3091" s="34"/>
      <c r="O3091" s="34"/>
      <c r="P3091" s="34"/>
      <c r="Q3091" s="34"/>
      <c r="R3091" s="34"/>
      <c r="S3091" s="34"/>
    </row>
    <row r="3092" spans="14:19">
      <c r="N3092" s="34"/>
      <c r="O3092" s="34"/>
      <c r="P3092" s="34"/>
      <c r="Q3092" s="34"/>
      <c r="R3092" s="34"/>
      <c r="S3092" s="34"/>
    </row>
    <row r="3093" spans="14:19">
      <c r="N3093" s="34"/>
      <c r="O3093" s="34"/>
      <c r="P3093" s="34"/>
      <c r="Q3093" s="34"/>
      <c r="R3093" s="34"/>
      <c r="S3093" s="34"/>
    </row>
    <row r="3094" spans="14:19">
      <c r="N3094" s="34"/>
      <c r="O3094" s="34"/>
      <c r="P3094" s="34"/>
      <c r="Q3094" s="34"/>
      <c r="R3094" s="34"/>
      <c r="S3094" s="34"/>
    </row>
    <row r="3095" spans="14:19">
      <c r="N3095" s="34"/>
      <c r="O3095" s="34"/>
      <c r="P3095" s="34"/>
      <c r="Q3095" s="34"/>
      <c r="R3095" s="34"/>
      <c r="S3095" s="34"/>
    </row>
    <row r="3096" spans="14:19">
      <c r="N3096" s="34"/>
      <c r="O3096" s="34"/>
      <c r="P3096" s="34"/>
      <c r="Q3096" s="34"/>
      <c r="R3096" s="34"/>
      <c r="S3096" s="34"/>
    </row>
    <row r="3097" spans="14:19">
      <c r="N3097" s="34"/>
      <c r="O3097" s="34"/>
      <c r="P3097" s="34"/>
      <c r="Q3097" s="34"/>
      <c r="R3097" s="34"/>
      <c r="S3097" s="34"/>
    </row>
    <row r="3098" spans="14:19">
      <c r="N3098" s="34"/>
      <c r="O3098" s="34"/>
      <c r="P3098" s="34"/>
      <c r="Q3098" s="34"/>
      <c r="R3098" s="34"/>
      <c r="S3098" s="34"/>
    </row>
    <row r="3099" spans="14:19">
      <c r="N3099" s="34"/>
      <c r="O3099" s="34"/>
      <c r="P3099" s="34"/>
      <c r="Q3099" s="34"/>
      <c r="R3099" s="34"/>
      <c r="S3099" s="34"/>
    </row>
    <row r="3100" spans="14:19">
      <c r="N3100" s="34"/>
      <c r="O3100" s="34"/>
      <c r="P3100" s="34"/>
      <c r="Q3100" s="34"/>
      <c r="R3100" s="34"/>
      <c r="S3100" s="34"/>
    </row>
    <row r="3101" spans="14:19">
      <c r="N3101" s="34"/>
      <c r="O3101" s="34"/>
      <c r="P3101" s="34"/>
      <c r="Q3101" s="34"/>
      <c r="R3101" s="34"/>
      <c r="S3101" s="34"/>
    </row>
    <row r="3102" spans="14:19">
      <c r="N3102" s="34"/>
      <c r="O3102" s="34"/>
      <c r="P3102" s="34"/>
      <c r="Q3102" s="34"/>
      <c r="R3102" s="34"/>
      <c r="S3102" s="34"/>
    </row>
    <row r="3103" spans="14:19">
      <c r="N3103" s="34"/>
      <c r="O3103" s="34"/>
      <c r="P3103" s="34"/>
      <c r="Q3103" s="34"/>
      <c r="R3103" s="34"/>
      <c r="S3103" s="34"/>
    </row>
    <row r="3104" spans="14:19">
      <c r="N3104" s="34"/>
      <c r="O3104" s="34"/>
      <c r="P3104" s="34"/>
      <c r="Q3104" s="34"/>
      <c r="R3104" s="34"/>
      <c r="S3104" s="34"/>
    </row>
    <row r="3105" spans="14:19">
      <c r="N3105" s="34"/>
      <c r="O3105" s="34"/>
      <c r="P3105" s="34"/>
      <c r="Q3105" s="34"/>
      <c r="R3105" s="34"/>
      <c r="S3105" s="34"/>
    </row>
    <row r="3106" spans="14:19">
      <c r="N3106" s="34"/>
      <c r="O3106" s="34"/>
      <c r="P3106" s="34"/>
      <c r="Q3106" s="34"/>
      <c r="R3106" s="34"/>
      <c r="S3106" s="34"/>
    </row>
    <row r="3107" spans="14:19">
      <c r="N3107" s="34"/>
      <c r="O3107" s="34"/>
      <c r="P3107" s="34"/>
      <c r="Q3107" s="34"/>
      <c r="R3107" s="34"/>
      <c r="S3107" s="34"/>
    </row>
    <row r="3108" spans="14:19">
      <c r="N3108" s="34"/>
      <c r="O3108" s="34"/>
      <c r="P3108" s="34"/>
      <c r="Q3108" s="34"/>
      <c r="R3108" s="34"/>
      <c r="S3108" s="34"/>
    </row>
    <row r="3109" spans="14:19">
      <c r="N3109" s="34"/>
      <c r="O3109" s="34"/>
      <c r="P3109" s="34"/>
      <c r="Q3109" s="34"/>
      <c r="R3109" s="34"/>
      <c r="S3109" s="34"/>
    </row>
    <row r="3110" spans="14:19">
      <c r="N3110" s="34"/>
      <c r="O3110" s="34"/>
      <c r="P3110" s="34"/>
      <c r="Q3110" s="34"/>
      <c r="R3110" s="34"/>
      <c r="S3110" s="34"/>
    </row>
    <row r="3111" spans="14:19">
      <c r="N3111" s="34"/>
      <c r="O3111" s="34"/>
      <c r="P3111" s="34"/>
      <c r="Q3111" s="34"/>
      <c r="R3111" s="34"/>
      <c r="S3111" s="34"/>
    </row>
    <row r="3112" spans="14:19">
      <c r="N3112" s="34"/>
      <c r="O3112" s="34"/>
      <c r="P3112" s="34"/>
      <c r="Q3112" s="34"/>
      <c r="R3112" s="34"/>
      <c r="S3112" s="34"/>
    </row>
    <row r="3113" spans="14:19">
      <c r="N3113" s="34"/>
      <c r="O3113" s="34"/>
      <c r="P3113" s="34"/>
      <c r="Q3113" s="34"/>
      <c r="R3113" s="34"/>
      <c r="S3113" s="34"/>
    </row>
    <row r="3114" spans="14:19">
      <c r="N3114" s="34"/>
      <c r="O3114" s="34"/>
      <c r="P3114" s="34"/>
      <c r="Q3114" s="34"/>
      <c r="R3114" s="34"/>
      <c r="S3114" s="34"/>
    </row>
    <row r="3115" spans="14:19">
      <c r="N3115" s="34"/>
      <c r="O3115" s="34"/>
      <c r="P3115" s="34"/>
      <c r="Q3115" s="34"/>
      <c r="R3115" s="34"/>
      <c r="S3115" s="34"/>
    </row>
    <row r="3116" spans="14:19">
      <c r="N3116" s="34"/>
      <c r="O3116" s="34"/>
      <c r="P3116" s="34"/>
      <c r="Q3116" s="34"/>
      <c r="R3116" s="34"/>
      <c r="S3116" s="34"/>
    </row>
    <row r="3117" spans="14:19">
      <c r="N3117" s="34"/>
      <c r="O3117" s="34"/>
      <c r="P3117" s="34"/>
      <c r="Q3117" s="34"/>
      <c r="R3117" s="34"/>
      <c r="S3117" s="34"/>
    </row>
    <row r="3118" spans="14:19">
      <c r="N3118" s="34"/>
      <c r="O3118" s="34"/>
      <c r="P3118" s="34"/>
      <c r="Q3118" s="34"/>
      <c r="R3118" s="34"/>
      <c r="S3118" s="34"/>
    </row>
    <row r="3119" spans="14:19">
      <c r="N3119" s="34"/>
      <c r="O3119" s="34"/>
      <c r="P3119" s="34"/>
      <c r="Q3119" s="34"/>
      <c r="R3119" s="34"/>
      <c r="S3119" s="34"/>
    </row>
    <row r="3120" spans="14:19">
      <c r="N3120" s="34"/>
      <c r="O3120" s="34"/>
      <c r="P3120" s="34"/>
      <c r="Q3120" s="34"/>
      <c r="R3120" s="34"/>
      <c r="S3120" s="34"/>
    </row>
    <row r="3121" spans="14:19">
      <c r="N3121" s="34"/>
      <c r="O3121" s="34"/>
      <c r="P3121" s="34"/>
      <c r="Q3121" s="34"/>
      <c r="R3121" s="34"/>
      <c r="S3121" s="34"/>
    </row>
    <row r="3122" spans="14:19">
      <c r="N3122" s="34"/>
      <c r="O3122" s="34"/>
      <c r="P3122" s="34"/>
      <c r="Q3122" s="34"/>
      <c r="R3122" s="34"/>
      <c r="S3122" s="34"/>
    </row>
    <row r="3123" spans="14:19">
      <c r="N3123" s="34"/>
      <c r="O3123" s="34"/>
      <c r="P3123" s="34"/>
      <c r="Q3123" s="34"/>
      <c r="R3123" s="34"/>
      <c r="S3123" s="34"/>
    </row>
    <row r="3124" spans="14:19">
      <c r="N3124" s="34"/>
      <c r="O3124" s="34"/>
      <c r="P3124" s="34"/>
      <c r="Q3124" s="34"/>
      <c r="R3124" s="34"/>
      <c r="S3124" s="34"/>
    </row>
    <row r="3125" spans="14:19">
      <c r="N3125" s="34"/>
      <c r="O3125" s="34"/>
      <c r="P3125" s="34"/>
      <c r="Q3125" s="34"/>
      <c r="R3125" s="34"/>
      <c r="S3125" s="34"/>
    </row>
    <row r="3126" spans="14:19">
      <c r="N3126" s="34"/>
      <c r="O3126" s="34"/>
      <c r="P3126" s="34"/>
      <c r="Q3126" s="34"/>
      <c r="R3126" s="34"/>
      <c r="S3126" s="34"/>
    </row>
    <row r="3127" spans="14:19">
      <c r="N3127" s="34"/>
      <c r="O3127" s="34"/>
      <c r="P3127" s="34"/>
      <c r="Q3127" s="34"/>
      <c r="R3127" s="34"/>
      <c r="S3127" s="34"/>
    </row>
    <row r="3128" spans="14:19">
      <c r="N3128" s="34"/>
      <c r="O3128" s="34"/>
      <c r="P3128" s="34"/>
      <c r="Q3128" s="34"/>
      <c r="R3128" s="34"/>
      <c r="S3128" s="34"/>
    </row>
    <row r="3129" spans="14:19">
      <c r="N3129" s="34"/>
      <c r="O3129" s="34"/>
      <c r="P3129" s="34"/>
      <c r="Q3129" s="34"/>
      <c r="R3129" s="34"/>
      <c r="S3129" s="34"/>
    </row>
    <row r="3130" spans="14:19">
      <c r="N3130" s="34"/>
      <c r="O3130" s="34"/>
      <c r="P3130" s="34"/>
      <c r="Q3130" s="34"/>
      <c r="R3130" s="34"/>
      <c r="S3130" s="34"/>
    </row>
    <row r="3131" spans="14:19">
      <c r="N3131" s="34"/>
      <c r="O3131" s="34"/>
      <c r="P3131" s="34"/>
      <c r="Q3131" s="34"/>
      <c r="R3131" s="34"/>
      <c r="S3131" s="34"/>
    </row>
    <row r="3132" spans="14:19">
      <c r="N3132" s="34"/>
      <c r="O3132" s="34"/>
      <c r="P3132" s="34"/>
      <c r="Q3132" s="34"/>
      <c r="R3132" s="34"/>
      <c r="S3132" s="34"/>
    </row>
    <row r="3133" spans="14:19">
      <c r="N3133" s="34"/>
      <c r="O3133" s="34"/>
      <c r="P3133" s="34"/>
      <c r="Q3133" s="34"/>
      <c r="R3133" s="34"/>
      <c r="S3133" s="34"/>
    </row>
    <row r="3134" spans="14:19">
      <c r="N3134" s="34"/>
      <c r="O3134" s="34"/>
      <c r="P3134" s="34"/>
      <c r="Q3134" s="34"/>
      <c r="R3134" s="34"/>
      <c r="S3134" s="34"/>
    </row>
    <row r="3135" spans="14:19">
      <c r="N3135" s="34"/>
      <c r="O3135" s="34"/>
      <c r="P3135" s="34"/>
      <c r="Q3135" s="34"/>
      <c r="R3135" s="34"/>
      <c r="S3135" s="34"/>
    </row>
    <row r="3136" spans="14:19">
      <c r="N3136" s="34"/>
      <c r="O3136" s="34"/>
      <c r="P3136" s="34"/>
      <c r="Q3136" s="34"/>
      <c r="R3136" s="34"/>
      <c r="S3136" s="34"/>
    </row>
    <row r="3137" spans="14:19">
      <c r="N3137" s="34"/>
      <c r="O3137" s="34"/>
      <c r="P3137" s="34"/>
      <c r="Q3137" s="34"/>
      <c r="R3137" s="34"/>
      <c r="S3137" s="34"/>
    </row>
    <row r="3138" spans="14:19">
      <c r="N3138" s="34"/>
      <c r="O3138" s="34"/>
      <c r="P3138" s="34"/>
      <c r="Q3138" s="34"/>
      <c r="R3138" s="34"/>
      <c r="S3138" s="34"/>
    </row>
    <row r="3139" spans="14:19">
      <c r="N3139" s="34"/>
      <c r="O3139" s="34"/>
      <c r="P3139" s="34"/>
      <c r="Q3139" s="34"/>
      <c r="R3139" s="34"/>
      <c r="S3139" s="34"/>
    </row>
    <row r="3140" spans="14:19">
      <c r="N3140" s="34"/>
      <c r="O3140" s="34"/>
      <c r="P3140" s="34"/>
      <c r="Q3140" s="34"/>
      <c r="R3140" s="34"/>
      <c r="S3140" s="34"/>
    </row>
    <row r="3141" spans="14:19">
      <c r="N3141" s="34"/>
      <c r="O3141" s="34"/>
      <c r="P3141" s="34"/>
      <c r="Q3141" s="34"/>
      <c r="R3141" s="34"/>
      <c r="S3141" s="34"/>
    </row>
    <row r="3142" spans="14:19">
      <c r="N3142" s="34"/>
      <c r="O3142" s="34"/>
      <c r="P3142" s="34"/>
      <c r="Q3142" s="34"/>
      <c r="R3142" s="34"/>
      <c r="S3142" s="34"/>
    </row>
    <row r="3143" spans="14:19">
      <c r="N3143" s="34"/>
      <c r="O3143" s="34"/>
      <c r="P3143" s="34"/>
      <c r="Q3143" s="34"/>
      <c r="R3143" s="34"/>
      <c r="S3143" s="34"/>
    </row>
    <row r="3144" spans="14:19">
      <c r="N3144" s="34"/>
      <c r="O3144" s="34"/>
      <c r="P3144" s="34"/>
      <c r="Q3144" s="34"/>
      <c r="R3144" s="34"/>
      <c r="S3144" s="34"/>
    </row>
    <row r="3145" spans="14:19">
      <c r="N3145" s="34"/>
      <c r="O3145" s="34"/>
      <c r="P3145" s="34"/>
      <c r="Q3145" s="34"/>
      <c r="R3145" s="34"/>
      <c r="S3145" s="34"/>
    </row>
    <row r="3146" spans="14:19">
      <c r="N3146" s="34"/>
      <c r="O3146" s="34"/>
      <c r="P3146" s="34"/>
      <c r="Q3146" s="34"/>
      <c r="R3146" s="34"/>
      <c r="S3146" s="34"/>
    </row>
    <row r="3147" spans="14:19">
      <c r="N3147" s="34"/>
      <c r="O3147" s="34"/>
      <c r="P3147" s="34"/>
      <c r="Q3147" s="34"/>
      <c r="R3147" s="34"/>
      <c r="S3147" s="34"/>
    </row>
    <row r="3148" spans="14:19">
      <c r="N3148" s="34"/>
      <c r="O3148" s="34"/>
      <c r="P3148" s="34"/>
      <c r="Q3148" s="34"/>
      <c r="R3148" s="34"/>
      <c r="S3148" s="34"/>
    </row>
    <row r="3149" spans="14:19">
      <c r="N3149" s="34"/>
      <c r="O3149" s="34"/>
      <c r="P3149" s="34"/>
      <c r="Q3149" s="34"/>
      <c r="R3149" s="34"/>
      <c r="S3149" s="34"/>
    </row>
    <row r="3150" spans="14:19">
      <c r="N3150" s="34"/>
      <c r="O3150" s="34"/>
      <c r="P3150" s="34"/>
      <c r="Q3150" s="34"/>
      <c r="R3150" s="34"/>
      <c r="S3150" s="34"/>
    </row>
    <row r="3151" spans="14:19">
      <c r="N3151" s="34"/>
      <c r="O3151" s="34"/>
      <c r="P3151" s="34"/>
      <c r="Q3151" s="34"/>
      <c r="R3151" s="34"/>
      <c r="S3151" s="34"/>
    </row>
    <row r="3152" spans="14:19">
      <c r="N3152" s="34"/>
      <c r="O3152" s="34"/>
      <c r="P3152" s="34"/>
      <c r="Q3152" s="34"/>
      <c r="R3152" s="34"/>
      <c r="S3152" s="34"/>
    </row>
    <row r="3153" spans="14:19">
      <c r="N3153" s="34"/>
      <c r="O3153" s="34"/>
      <c r="P3153" s="34"/>
      <c r="Q3153" s="34"/>
      <c r="R3153" s="34"/>
      <c r="S3153" s="34"/>
    </row>
    <row r="3154" spans="14:19">
      <c r="N3154" s="34"/>
      <c r="O3154" s="34"/>
      <c r="P3154" s="34"/>
      <c r="Q3154" s="34"/>
      <c r="R3154" s="34"/>
      <c r="S3154" s="34"/>
    </row>
    <row r="3155" spans="14:19">
      <c r="N3155" s="34"/>
      <c r="O3155" s="34"/>
      <c r="P3155" s="34"/>
      <c r="Q3155" s="34"/>
      <c r="R3155" s="34"/>
      <c r="S3155" s="34"/>
    </row>
    <row r="3156" spans="14:19">
      <c r="N3156" s="34"/>
      <c r="O3156" s="34"/>
      <c r="P3156" s="34"/>
      <c r="Q3156" s="34"/>
      <c r="R3156" s="34"/>
      <c r="S3156" s="34"/>
    </row>
    <row r="3157" spans="14:19">
      <c r="N3157" s="34"/>
      <c r="O3157" s="34"/>
      <c r="P3157" s="34"/>
      <c r="Q3157" s="34"/>
      <c r="R3157" s="34"/>
      <c r="S3157" s="34"/>
    </row>
    <row r="3158" spans="14:19">
      <c r="N3158" s="34"/>
      <c r="O3158" s="34"/>
      <c r="P3158" s="34"/>
      <c r="Q3158" s="34"/>
      <c r="R3158" s="34"/>
      <c r="S3158" s="34"/>
    </row>
    <row r="3159" spans="14:19">
      <c r="N3159" s="34"/>
      <c r="O3159" s="34"/>
      <c r="P3159" s="34"/>
      <c r="Q3159" s="34"/>
      <c r="R3159" s="34"/>
      <c r="S3159" s="34"/>
    </row>
    <row r="3160" spans="14:19">
      <c r="N3160" s="34"/>
      <c r="O3160" s="34"/>
      <c r="P3160" s="34"/>
      <c r="Q3160" s="34"/>
      <c r="R3160" s="34"/>
      <c r="S3160" s="34"/>
    </row>
    <row r="3161" spans="14:19">
      <c r="N3161" s="34"/>
      <c r="O3161" s="34"/>
      <c r="P3161" s="34"/>
      <c r="Q3161" s="34"/>
      <c r="R3161" s="34"/>
      <c r="S3161" s="34"/>
    </row>
    <row r="3162" spans="14:19">
      <c r="N3162" s="34"/>
      <c r="O3162" s="34"/>
      <c r="P3162" s="34"/>
      <c r="Q3162" s="34"/>
      <c r="R3162" s="34"/>
      <c r="S3162" s="34"/>
    </row>
    <row r="3163" spans="14:19">
      <c r="N3163" s="34"/>
      <c r="O3163" s="34"/>
      <c r="P3163" s="34"/>
      <c r="Q3163" s="34"/>
      <c r="R3163" s="34"/>
      <c r="S3163" s="34"/>
    </row>
    <row r="3164" spans="14:19">
      <c r="N3164" s="34"/>
      <c r="O3164" s="34"/>
      <c r="P3164" s="34"/>
      <c r="Q3164" s="34"/>
      <c r="R3164" s="34"/>
      <c r="S3164" s="34"/>
    </row>
    <row r="3165" spans="14:19">
      <c r="N3165" s="34"/>
      <c r="O3165" s="34"/>
      <c r="P3165" s="34"/>
      <c r="Q3165" s="34"/>
      <c r="R3165" s="34"/>
      <c r="S3165" s="34"/>
    </row>
    <row r="3166" spans="14:19">
      <c r="N3166" s="34"/>
      <c r="O3166" s="34"/>
      <c r="P3166" s="34"/>
      <c r="Q3166" s="34"/>
      <c r="R3166" s="34"/>
      <c r="S3166" s="34"/>
    </row>
    <row r="3167" spans="14:19">
      <c r="N3167" s="34"/>
      <c r="O3167" s="34"/>
      <c r="P3167" s="34"/>
      <c r="Q3167" s="34"/>
      <c r="R3167" s="34"/>
      <c r="S3167" s="34"/>
    </row>
    <row r="3168" spans="14:19">
      <c r="N3168" s="34"/>
      <c r="O3168" s="34"/>
      <c r="P3168" s="34"/>
      <c r="Q3168" s="34"/>
      <c r="R3168" s="34"/>
      <c r="S3168" s="34"/>
    </row>
    <row r="3169" spans="14:19">
      <c r="N3169" s="34"/>
      <c r="O3169" s="34"/>
      <c r="P3169" s="34"/>
      <c r="Q3169" s="34"/>
      <c r="R3169" s="34"/>
      <c r="S3169" s="34"/>
    </row>
    <row r="3170" spans="14:19">
      <c r="N3170" s="34"/>
      <c r="O3170" s="34"/>
      <c r="P3170" s="34"/>
      <c r="Q3170" s="34"/>
      <c r="R3170" s="34"/>
      <c r="S3170" s="34"/>
    </row>
    <row r="3171" spans="14:19">
      <c r="N3171" s="34"/>
      <c r="O3171" s="34"/>
      <c r="P3171" s="34"/>
      <c r="Q3171" s="34"/>
      <c r="R3171" s="34"/>
      <c r="S3171" s="34"/>
    </row>
    <row r="3172" spans="14:19">
      <c r="N3172" s="34"/>
      <c r="O3172" s="34"/>
      <c r="P3172" s="34"/>
      <c r="Q3172" s="34"/>
      <c r="R3172" s="34"/>
      <c r="S3172" s="34"/>
    </row>
    <row r="3173" spans="14:19">
      <c r="N3173" s="34"/>
      <c r="O3173" s="34"/>
      <c r="P3173" s="34"/>
      <c r="Q3173" s="34"/>
      <c r="R3173" s="34"/>
      <c r="S3173" s="34"/>
    </row>
    <row r="3174" spans="14:19">
      <c r="N3174" s="34"/>
      <c r="O3174" s="34"/>
      <c r="P3174" s="34"/>
      <c r="Q3174" s="34"/>
      <c r="R3174" s="34"/>
      <c r="S3174" s="34"/>
    </row>
    <row r="3175" spans="14:19">
      <c r="N3175" s="34"/>
      <c r="O3175" s="34"/>
      <c r="P3175" s="34"/>
      <c r="Q3175" s="34"/>
      <c r="R3175" s="34"/>
      <c r="S3175" s="34"/>
    </row>
    <row r="3176" spans="14:19">
      <c r="N3176" s="34"/>
      <c r="O3176" s="34"/>
      <c r="P3176" s="34"/>
      <c r="Q3176" s="34"/>
      <c r="R3176" s="34"/>
      <c r="S3176" s="34"/>
    </row>
    <row r="3177" spans="14:19">
      <c r="N3177" s="34"/>
      <c r="O3177" s="34"/>
      <c r="P3177" s="34"/>
      <c r="Q3177" s="34"/>
      <c r="R3177" s="34"/>
      <c r="S3177" s="34"/>
    </row>
    <row r="3178" spans="14:19">
      <c r="N3178" s="34"/>
      <c r="O3178" s="34"/>
      <c r="P3178" s="34"/>
      <c r="Q3178" s="34"/>
      <c r="R3178" s="34"/>
      <c r="S3178" s="34"/>
    </row>
    <row r="3179" spans="14:19">
      <c r="N3179" s="34"/>
      <c r="O3179" s="34"/>
      <c r="P3179" s="34"/>
      <c r="Q3179" s="34"/>
      <c r="R3179" s="34"/>
      <c r="S3179" s="34"/>
    </row>
    <row r="3180" spans="14:19">
      <c r="N3180" s="34"/>
      <c r="O3180" s="34"/>
      <c r="P3180" s="34"/>
      <c r="Q3180" s="34"/>
      <c r="R3180" s="34"/>
      <c r="S3180" s="34"/>
    </row>
    <row r="3181" spans="14:19">
      <c r="N3181" s="34"/>
      <c r="O3181" s="34"/>
      <c r="P3181" s="34"/>
      <c r="Q3181" s="34"/>
      <c r="R3181" s="34"/>
      <c r="S3181" s="34"/>
    </row>
    <row r="3182" spans="14:19">
      <c r="N3182" s="34"/>
      <c r="O3182" s="34"/>
      <c r="P3182" s="34"/>
      <c r="Q3182" s="34"/>
      <c r="R3182" s="34"/>
      <c r="S3182" s="34"/>
    </row>
    <row r="3183" spans="14:19">
      <c r="N3183" s="34"/>
      <c r="O3183" s="34"/>
      <c r="P3183" s="34"/>
      <c r="Q3183" s="34"/>
      <c r="R3183" s="34"/>
      <c r="S3183" s="34"/>
    </row>
    <row r="3184" spans="14:19">
      <c r="N3184" s="34"/>
      <c r="O3184" s="34"/>
      <c r="P3184" s="34"/>
      <c r="Q3184" s="34"/>
      <c r="R3184" s="34"/>
      <c r="S3184" s="34"/>
    </row>
    <row r="3185" spans="14:19">
      <c r="N3185" s="34"/>
      <c r="O3185" s="34"/>
      <c r="P3185" s="34"/>
      <c r="Q3185" s="34"/>
      <c r="R3185" s="34"/>
      <c r="S3185" s="34"/>
    </row>
    <row r="3186" spans="14:19">
      <c r="N3186" s="34"/>
      <c r="O3186" s="34"/>
      <c r="P3186" s="34"/>
      <c r="Q3186" s="34"/>
      <c r="R3186" s="34"/>
      <c r="S3186" s="34"/>
    </row>
    <row r="3187" spans="14:19">
      <c r="N3187" s="34"/>
      <c r="O3187" s="34"/>
      <c r="P3187" s="34"/>
      <c r="Q3187" s="34"/>
      <c r="R3187" s="34"/>
      <c r="S3187" s="34"/>
    </row>
    <row r="3188" spans="14:19">
      <c r="N3188" s="34"/>
      <c r="O3188" s="34"/>
      <c r="P3188" s="34"/>
      <c r="Q3188" s="34"/>
      <c r="R3188" s="34"/>
      <c r="S3188" s="34"/>
    </row>
    <row r="3189" spans="14:19">
      <c r="N3189" s="34"/>
      <c r="O3189" s="34"/>
      <c r="P3189" s="34"/>
      <c r="Q3189" s="34"/>
      <c r="R3189" s="34"/>
      <c r="S3189" s="34"/>
    </row>
    <row r="3190" spans="14:19">
      <c r="N3190" s="34"/>
      <c r="O3190" s="34"/>
      <c r="P3190" s="34"/>
      <c r="Q3190" s="34"/>
      <c r="R3190" s="34"/>
      <c r="S3190" s="34"/>
    </row>
    <row r="3191" spans="14:19">
      <c r="N3191" s="34"/>
      <c r="O3191" s="34"/>
      <c r="P3191" s="34"/>
      <c r="Q3191" s="34"/>
      <c r="R3191" s="34"/>
      <c r="S3191" s="34"/>
    </row>
    <row r="3192" spans="14:19">
      <c r="N3192" s="34"/>
      <c r="O3192" s="34"/>
      <c r="P3192" s="34"/>
      <c r="Q3192" s="34"/>
      <c r="R3192" s="34"/>
      <c r="S3192" s="34"/>
    </row>
    <row r="3193" spans="14:19">
      <c r="N3193" s="34"/>
      <c r="O3193" s="34"/>
      <c r="P3193" s="34"/>
      <c r="Q3193" s="34"/>
      <c r="R3193" s="34"/>
      <c r="S3193" s="34"/>
    </row>
    <row r="3194" spans="14:19">
      <c r="N3194" s="34"/>
      <c r="O3194" s="34"/>
      <c r="P3194" s="34"/>
      <c r="Q3194" s="34"/>
      <c r="R3194" s="34"/>
      <c r="S3194" s="34"/>
    </row>
    <row r="3195" spans="14:19">
      <c r="N3195" s="34"/>
      <c r="O3195" s="34"/>
      <c r="P3195" s="34"/>
      <c r="Q3195" s="34"/>
      <c r="R3195" s="34"/>
      <c r="S3195" s="34"/>
    </row>
    <row r="3196" spans="14:19">
      <c r="N3196" s="34"/>
      <c r="O3196" s="34"/>
      <c r="P3196" s="34"/>
      <c r="Q3196" s="34"/>
      <c r="R3196" s="34"/>
      <c r="S3196" s="34"/>
    </row>
    <row r="3197" spans="14:19">
      <c r="N3197" s="34"/>
      <c r="O3197" s="34"/>
      <c r="P3197" s="34"/>
      <c r="Q3197" s="34"/>
      <c r="R3197" s="34"/>
      <c r="S3197" s="34"/>
    </row>
    <row r="3198" spans="14:19">
      <c r="N3198" s="34"/>
      <c r="O3198" s="34"/>
      <c r="P3198" s="34"/>
      <c r="Q3198" s="34"/>
      <c r="R3198" s="34"/>
      <c r="S3198" s="34"/>
    </row>
    <row r="3199" spans="14:19">
      <c r="N3199" s="34"/>
      <c r="O3199" s="34"/>
      <c r="P3199" s="34"/>
      <c r="Q3199" s="34"/>
      <c r="R3199" s="34"/>
      <c r="S3199" s="34"/>
    </row>
    <row r="3200" spans="14:19">
      <c r="N3200" s="34"/>
      <c r="O3200" s="34"/>
      <c r="P3200" s="34"/>
      <c r="Q3200" s="34"/>
      <c r="R3200" s="34"/>
      <c r="S3200" s="34"/>
    </row>
    <row r="3201" spans="14:19">
      <c r="N3201" s="34"/>
      <c r="O3201" s="34"/>
      <c r="P3201" s="34"/>
      <c r="Q3201" s="34"/>
      <c r="R3201" s="34"/>
      <c r="S3201" s="34"/>
    </row>
    <row r="3202" spans="14:19">
      <c r="N3202" s="34"/>
      <c r="O3202" s="34"/>
      <c r="P3202" s="34"/>
      <c r="Q3202" s="34"/>
      <c r="R3202" s="34"/>
      <c r="S3202" s="34"/>
    </row>
    <row r="3203" spans="14:19">
      <c r="N3203" s="34"/>
      <c r="O3203" s="34"/>
      <c r="P3203" s="34"/>
      <c r="Q3203" s="34"/>
      <c r="R3203" s="34"/>
      <c r="S3203" s="34"/>
    </row>
    <row r="3204" spans="14:19">
      <c r="N3204" s="34"/>
      <c r="O3204" s="34"/>
      <c r="P3204" s="34"/>
      <c r="Q3204" s="34"/>
      <c r="R3204" s="34"/>
      <c r="S3204" s="34"/>
    </row>
    <row r="3205" spans="14:19">
      <c r="N3205" s="34"/>
      <c r="O3205" s="34"/>
      <c r="P3205" s="34"/>
      <c r="Q3205" s="34"/>
      <c r="R3205" s="34"/>
      <c r="S3205" s="34"/>
    </row>
    <row r="3206" spans="14:19">
      <c r="N3206" s="34"/>
      <c r="O3206" s="34"/>
      <c r="P3206" s="34"/>
      <c r="Q3206" s="34"/>
      <c r="R3206" s="34"/>
      <c r="S3206" s="34"/>
    </row>
    <row r="3207" spans="14:19">
      <c r="N3207" s="34"/>
      <c r="O3207" s="34"/>
      <c r="P3207" s="34"/>
      <c r="Q3207" s="34"/>
      <c r="R3207" s="34"/>
      <c r="S3207" s="34"/>
    </row>
    <row r="3208" spans="14:19">
      <c r="N3208" s="34"/>
      <c r="O3208" s="34"/>
      <c r="P3208" s="34"/>
      <c r="Q3208" s="34"/>
      <c r="R3208" s="34"/>
      <c r="S3208" s="34"/>
    </row>
    <row r="3209" spans="14:19">
      <c r="N3209" s="34"/>
      <c r="O3209" s="34"/>
      <c r="P3209" s="34"/>
      <c r="Q3209" s="34"/>
      <c r="R3209" s="34"/>
      <c r="S3209" s="34"/>
    </row>
    <row r="3210" spans="14:19">
      <c r="N3210" s="34"/>
      <c r="O3210" s="34"/>
      <c r="P3210" s="34"/>
      <c r="Q3210" s="34"/>
      <c r="R3210" s="34"/>
      <c r="S3210" s="34"/>
    </row>
    <row r="3211" spans="14:19">
      <c r="N3211" s="34"/>
      <c r="O3211" s="34"/>
      <c r="P3211" s="34"/>
      <c r="Q3211" s="34"/>
      <c r="R3211" s="34"/>
      <c r="S3211" s="34"/>
    </row>
    <row r="3212" spans="14:19">
      <c r="N3212" s="34"/>
      <c r="O3212" s="34"/>
      <c r="P3212" s="34"/>
      <c r="Q3212" s="34"/>
      <c r="R3212" s="34"/>
      <c r="S3212" s="34"/>
    </row>
    <row r="3213" spans="14:19">
      <c r="N3213" s="34"/>
      <c r="O3213" s="34"/>
      <c r="P3213" s="34"/>
      <c r="Q3213" s="34"/>
      <c r="R3213" s="34"/>
      <c r="S3213" s="34"/>
    </row>
    <row r="3214" spans="14:19">
      <c r="N3214" s="34"/>
      <c r="O3214" s="34"/>
      <c r="P3214" s="34"/>
      <c r="Q3214" s="34"/>
      <c r="R3214" s="34"/>
      <c r="S3214" s="34"/>
    </row>
    <row r="3215" spans="14:19">
      <c r="N3215" s="34"/>
      <c r="O3215" s="34"/>
      <c r="P3215" s="34"/>
      <c r="Q3215" s="34"/>
      <c r="R3215" s="34"/>
      <c r="S3215" s="34"/>
    </row>
    <row r="3216" spans="14:19">
      <c r="N3216" s="34"/>
      <c r="O3216" s="34"/>
      <c r="P3216" s="34"/>
      <c r="Q3216" s="34"/>
      <c r="R3216" s="34"/>
      <c r="S3216" s="34"/>
    </row>
    <row r="3217" spans="14:19">
      <c r="N3217" s="34"/>
      <c r="O3217" s="34"/>
      <c r="P3217" s="34"/>
      <c r="Q3217" s="34"/>
      <c r="R3217" s="34"/>
      <c r="S3217" s="34"/>
    </row>
    <row r="3218" spans="14:19">
      <c r="N3218" s="34"/>
      <c r="O3218" s="34"/>
      <c r="P3218" s="34"/>
      <c r="Q3218" s="34"/>
      <c r="R3218" s="34"/>
      <c r="S3218" s="34"/>
    </row>
    <row r="3219" spans="14:19">
      <c r="N3219" s="34"/>
      <c r="O3219" s="34"/>
      <c r="P3219" s="34"/>
      <c r="Q3219" s="34"/>
      <c r="R3219" s="34"/>
      <c r="S3219" s="34"/>
    </row>
    <row r="3220" spans="14:19">
      <c r="N3220" s="34"/>
      <c r="O3220" s="34"/>
      <c r="P3220" s="34"/>
      <c r="Q3220" s="34"/>
      <c r="R3220" s="34"/>
      <c r="S3220" s="34"/>
    </row>
    <row r="3221" spans="14:19">
      <c r="N3221" s="34"/>
      <c r="O3221" s="34"/>
      <c r="P3221" s="34"/>
      <c r="Q3221" s="34"/>
      <c r="R3221" s="34"/>
      <c r="S3221" s="34"/>
    </row>
    <row r="3222" spans="14:19">
      <c r="N3222" s="34"/>
      <c r="O3222" s="34"/>
      <c r="P3222" s="34"/>
      <c r="Q3222" s="34"/>
      <c r="R3222" s="34"/>
      <c r="S3222" s="34"/>
    </row>
    <row r="3223" spans="14:19">
      <c r="N3223" s="34"/>
      <c r="O3223" s="34"/>
      <c r="P3223" s="34"/>
      <c r="Q3223" s="34"/>
      <c r="R3223" s="34"/>
      <c r="S3223" s="34"/>
    </row>
    <row r="3224" spans="14:19">
      <c r="N3224" s="34"/>
      <c r="O3224" s="34"/>
      <c r="P3224" s="34"/>
      <c r="Q3224" s="34"/>
      <c r="R3224" s="34"/>
      <c r="S3224" s="34"/>
    </row>
    <row r="3225" spans="14:19">
      <c r="N3225" s="34"/>
      <c r="O3225" s="34"/>
      <c r="P3225" s="34"/>
      <c r="Q3225" s="34"/>
      <c r="R3225" s="34"/>
      <c r="S3225" s="34"/>
    </row>
    <row r="3226" spans="14:19">
      <c r="N3226" s="34"/>
      <c r="O3226" s="34"/>
      <c r="P3226" s="34"/>
      <c r="Q3226" s="34"/>
      <c r="R3226" s="34"/>
      <c r="S3226" s="34"/>
    </row>
    <row r="3227" spans="14:19">
      <c r="N3227" s="34"/>
      <c r="O3227" s="34"/>
      <c r="P3227" s="34"/>
      <c r="Q3227" s="34"/>
      <c r="R3227" s="34"/>
      <c r="S3227" s="34"/>
    </row>
    <row r="3228" spans="14:19">
      <c r="N3228" s="34"/>
      <c r="O3228" s="34"/>
      <c r="P3228" s="34"/>
      <c r="Q3228" s="34"/>
      <c r="R3228" s="34"/>
      <c r="S3228" s="34"/>
    </row>
    <row r="3229" spans="14:19">
      <c r="N3229" s="34"/>
      <c r="O3229" s="34"/>
      <c r="P3229" s="34"/>
      <c r="Q3229" s="34"/>
      <c r="R3229" s="34"/>
      <c r="S3229" s="34"/>
    </row>
    <row r="3230" spans="14:19">
      <c r="N3230" s="34"/>
      <c r="O3230" s="34"/>
      <c r="P3230" s="34"/>
      <c r="Q3230" s="34"/>
      <c r="R3230" s="34"/>
      <c r="S3230" s="34"/>
    </row>
    <row r="3231" spans="14:19">
      <c r="N3231" s="34"/>
      <c r="O3231" s="34"/>
      <c r="P3231" s="34"/>
      <c r="Q3231" s="34"/>
      <c r="R3231" s="34"/>
      <c r="S3231" s="34"/>
    </row>
    <row r="3232" spans="14:19">
      <c r="N3232" s="34"/>
      <c r="O3232" s="34"/>
      <c r="P3232" s="34"/>
      <c r="Q3232" s="34"/>
      <c r="R3232" s="34"/>
      <c r="S3232" s="34"/>
    </row>
    <row r="3233" spans="14:19">
      <c r="N3233" s="34"/>
      <c r="O3233" s="34"/>
      <c r="P3233" s="34"/>
      <c r="Q3233" s="34"/>
      <c r="R3233" s="34"/>
      <c r="S3233" s="34"/>
    </row>
    <row r="3234" spans="14:19">
      <c r="N3234" s="34"/>
      <c r="O3234" s="34"/>
      <c r="P3234" s="34"/>
      <c r="Q3234" s="34"/>
      <c r="R3234" s="34"/>
      <c r="S3234" s="34"/>
    </row>
    <row r="3235" spans="14:19">
      <c r="N3235" s="34"/>
      <c r="O3235" s="34"/>
      <c r="P3235" s="34"/>
      <c r="Q3235" s="34"/>
      <c r="R3235" s="34"/>
      <c r="S3235" s="34"/>
    </row>
    <row r="3236" spans="14:19">
      <c r="N3236" s="34"/>
      <c r="O3236" s="34"/>
      <c r="P3236" s="34"/>
      <c r="Q3236" s="34"/>
      <c r="R3236" s="34"/>
      <c r="S3236" s="34"/>
    </row>
    <row r="3237" spans="14:19">
      <c r="N3237" s="34"/>
      <c r="O3237" s="34"/>
      <c r="P3237" s="34"/>
      <c r="Q3237" s="34"/>
      <c r="R3237" s="34"/>
      <c r="S3237" s="34"/>
    </row>
    <row r="3238" spans="14:19">
      <c r="N3238" s="34"/>
      <c r="O3238" s="34"/>
      <c r="P3238" s="34"/>
      <c r="Q3238" s="34"/>
      <c r="R3238" s="34"/>
      <c r="S3238" s="34"/>
    </row>
    <row r="3239" spans="14:19">
      <c r="N3239" s="34"/>
      <c r="O3239" s="34"/>
      <c r="P3239" s="34"/>
      <c r="Q3239" s="34"/>
      <c r="R3239" s="34"/>
      <c r="S3239" s="34"/>
    </row>
    <row r="3240" spans="14:19">
      <c r="N3240" s="34"/>
      <c r="O3240" s="34"/>
      <c r="P3240" s="34"/>
      <c r="Q3240" s="34"/>
      <c r="R3240" s="34"/>
      <c r="S3240" s="34"/>
    </row>
    <row r="3241" spans="14:19">
      <c r="N3241" s="34"/>
      <c r="O3241" s="34"/>
      <c r="P3241" s="34"/>
      <c r="Q3241" s="34"/>
      <c r="R3241" s="34"/>
      <c r="S3241" s="34"/>
    </row>
    <row r="3242" spans="14:19">
      <c r="N3242" s="34"/>
      <c r="O3242" s="34"/>
      <c r="P3242" s="34"/>
      <c r="Q3242" s="34"/>
      <c r="R3242" s="34"/>
      <c r="S3242" s="34"/>
    </row>
    <row r="3243" spans="14:19">
      <c r="N3243" s="34"/>
      <c r="O3243" s="34"/>
      <c r="P3243" s="34"/>
      <c r="Q3243" s="34"/>
      <c r="R3243" s="34"/>
      <c r="S3243" s="34"/>
    </row>
    <row r="3244" spans="14:19">
      <c r="N3244" s="34"/>
      <c r="O3244" s="34"/>
      <c r="P3244" s="34"/>
      <c r="Q3244" s="34"/>
      <c r="R3244" s="34"/>
      <c r="S3244" s="34"/>
    </row>
    <row r="3245" spans="14:19">
      <c r="N3245" s="34"/>
      <c r="O3245" s="34"/>
      <c r="P3245" s="34"/>
      <c r="Q3245" s="34"/>
      <c r="R3245" s="34"/>
      <c r="S3245" s="34"/>
    </row>
    <row r="3246" spans="14:19">
      <c r="N3246" s="34"/>
      <c r="O3246" s="34"/>
      <c r="P3246" s="34"/>
      <c r="Q3246" s="34"/>
      <c r="R3246" s="34"/>
      <c r="S3246" s="34"/>
    </row>
    <row r="3247" spans="14:19">
      <c r="N3247" s="34"/>
      <c r="O3247" s="34"/>
      <c r="P3247" s="34"/>
      <c r="Q3247" s="34"/>
      <c r="R3247" s="34"/>
      <c r="S3247" s="34"/>
    </row>
    <row r="3248" spans="14:19">
      <c r="N3248" s="34"/>
      <c r="O3248" s="34"/>
      <c r="P3248" s="34"/>
      <c r="Q3248" s="34"/>
      <c r="R3248" s="34"/>
      <c r="S3248" s="34"/>
    </row>
    <row r="3249" spans="14:19">
      <c r="N3249" s="34"/>
      <c r="O3249" s="34"/>
      <c r="P3249" s="34"/>
      <c r="Q3249" s="34"/>
      <c r="R3249" s="34"/>
      <c r="S3249" s="34"/>
    </row>
    <row r="3250" spans="14:19">
      <c r="N3250" s="34"/>
      <c r="O3250" s="34"/>
      <c r="P3250" s="34"/>
      <c r="Q3250" s="34"/>
      <c r="R3250" s="34"/>
      <c r="S3250" s="34"/>
    </row>
    <row r="3251" spans="14:19">
      <c r="N3251" s="34"/>
      <c r="O3251" s="34"/>
      <c r="P3251" s="34"/>
      <c r="Q3251" s="34"/>
      <c r="R3251" s="34"/>
      <c r="S3251" s="34"/>
    </row>
    <row r="3252" spans="14:19">
      <c r="N3252" s="34"/>
      <c r="O3252" s="34"/>
      <c r="P3252" s="34"/>
      <c r="Q3252" s="34"/>
      <c r="R3252" s="34"/>
      <c r="S3252" s="34"/>
    </row>
    <row r="3253" spans="14:19">
      <c r="N3253" s="34"/>
      <c r="O3253" s="34"/>
      <c r="P3253" s="34"/>
      <c r="Q3253" s="34"/>
      <c r="R3253" s="34"/>
      <c r="S3253" s="34"/>
    </row>
    <row r="3254" spans="14:19">
      <c r="N3254" s="34"/>
      <c r="O3254" s="34"/>
      <c r="P3254" s="34"/>
      <c r="Q3254" s="34"/>
      <c r="R3254" s="34"/>
      <c r="S3254" s="34"/>
    </row>
    <row r="3255" spans="14:19">
      <c r="N3255" s="34"/>
      <c r="O3255" s="34"/>
      <c r="P3255" s="34"/>
      <c r="Q3255" s="34"/>
      <c r="R3255" s="34"/>
      <c r="S3255" s="34"/>
    </row>
    <row r="3256" spans="14:19">
      <c r="N3256" s="34"/>
      <c r="O3256" s="34"/>
      <c r="P3256" s="34"/>
      <c r="Q3256" s="34"/>
      <c r="R3256" s="34"/>
      <c r="S3256" s="34"/>
    </row>
    <row r="3257" spans="14:19">
      <c r="N3257" s="34"/>
      <c r="O3257" s="34"/>
      <c r="P3257" s="34"/>
      <c r="Q3257" s="34"/>
      <c r="R3257" s="34"/>
      <c r="S3257" s="34"/>
    </row>
    <row r="3258" spans="14:19">
      <c r="N3258" s="34"/>
      <c r="O3258" s="34"/>
      <c r="P3258" s="34"/>
      <c r="Q3258" s="34"/>
      <c r="R3258" s="34"/>
      <c r="S3258" s="34"/>
    </row>
    <row r="3259" spans="14:19">
      <c r="N3259" s="34"/>
      <c r="O3259" s="34"/>
      <c r="P3259" s="34"/>
      <c r="Q3259" s="34"/>
      <c r="R3259" s="34"/>
      <c r="S3259" s="34"/>
    </row>
    <row r="3260" spans="14:19">
      <c r="N3260" s="34"/>
      <c r="O3260" s="34"/>
      <c r="P3260" s="34"/>
      <c r="Q3260" s="34"/>
      <c r="R3260" s="34"/>
      <c r="S3260" s="34"/>
    </row>
    <row r="3261" spans="14:19">
      <c r="N3261" s="34"/>
      <c r="O3261" s="34"/>
      <c r="P3261" s="34"/>
      <c r="Q3261" s="34"/>
      <c r="R3261" s="34"/>
      <c r="S3261" s="34"/>
    </row>
    <row r="3262" spans="14:19">
      <c r="N3262" s="34"/>
      <c r="O3262" s="34"/>
      <c r="P3262" s="34"/>
      <c r="Q3262" s="34"/>
      <c r="R3262" s="34"/>
      <c r="S3262" s="34"/>
    </row>
    <row r="3263" spans="14:19">
      <c r="N3263" s="34"/>
      <c r="O3263" s="34"/>
      <c r="P3263" s="34"/>
      <c r="Q3263" s="34"/>
      <c r="R3263" s="34"/>
      <c r="S3263" s="34"/>
    </row>
    <row r="3264" spans="14:19">
      <c r="N3264" s="34"/>
      <c r="O3264" s="34"/>
      <c r="P3264" s="34"/>
      <c r="Q3264" s="34"/>
      <c r="R3264" s="34"/>
      <c r="S3264" s="34"/>
    </row>
    <row r="3265" spans="14:19">
      <c r="N3265" s="34"/>
      <c r="O3265" s="34"/>
      <c r="P3265" s="34"/>
      <c r="Q3265" s="34"/>
      <c r="R3265" s="34"/>
      <c r="S3265" s="34"/>
    </row>
    <row r="3266" spans="14:19">
      <c r="N3266" s="34"/>
      <c r="O3266" s="34"/>
      <c r="P3266" s="34"/>
      <c r="Q3266" s="34"/>
      <c r="R3266" s="34"/>
      <c r="S3266" s="34"/>
    </row>
    <row r="3267" spans="14:19">
      <c r="N3267" s="34"/>
      <c r="O3267" s="34"/>
      <c r="P3267" s="34"/>
      <c r="Q3267" s="34"/>
      <c r="R3267" s="34"/>
      <c r="S3267" s="34"/>
    </row>
    <row r="3268" spans="14:19">
      <c r="N3268" s="34"/>
      <c r="O3268" s="34"/>
      <c r="P3268" s="34"/>
      <c r="Q3268" s="34"/>
      <c r="R3268" s="34"/>
      <c r="S3268" s="34"/>
    </row>
    <row r="3269" spans="14:19">
      <c r="N3269" s="34"/>
      <c r="O3269" s="34"/>
      <c r="P3269" s="34"/>
      <c r="Q3269" s="34"/>
      <c r="R3269" s="34"/>
      <c r="S3269" s="34"/>
    </row>
    <row r="3270" spans="14:19">
      <c r="N3270" s="34"/>
      <c r="O3270" s="34"/>
      <c r="P3270" s="34"/>
      <c r="Q3270" s="34"/>
      <c r="R3270" s="34"/>
      <c r="S3270" s="34"/>
    </row>
    <row r="3271" spans="14:19">
      <c r="N3271" s="34"/>
      <c r="O3271" s="34"/>
      <c r="P3271" s="34"/>
      <c r="Q3271" s="34"/>
      <c r="R3271" s="34"/>
      <c r="S3271" s="34"/>
    </row>
    <row r="3272" spans="14:19">
      <c r="N3272" s="34"/>
      <c r="O3272" s="34"/>
      <c r="P3272" s="34"/>
      <c r="Q3272" s="34"/>
      <c r="R3272" s="34"/>
      <c r="S3272" s="34"/>
    </row>
    <row r="3273" spans="14:19">
      <c r="N3273" s="34"/>
      <c r="O3273" s="34"/>
      <c r="P3273" s="34"/>
      <c r="Q3273" s="34"/>
      <c r="R3273" s="34"/>
      <c r="S3273" s="34"/>
    </row>
    <row r="3274" spans="14:19">
      <c r="N3274" s="34"/>
      <c r="O3274" s="34"/>
      <c r="P3274" s="34"/>
      <c r="Q3274" s="34"/>
      <c r="R3274" s="34"/>
      <c r="S3274" s="34"/>
    </row>
    <row r="3275" spans="14:19">
      <c r="N3275" s="34"/>
      <c r="O3275" s="34"/>
      <c r="P3275" s="34"/>
      <c r="Q3275" s="34"/>
      <c r="R3275" s="34"/>
      <c r="S3275" s="34"/>
    </row>
    <row r="3276" spans="14:19">
      <c r="N3276" s="34"/>
      <c r="O3276" s="34"/>
      <c r="P3276" s="34"/>
      <c r="Q3276" s="34"/>
      <c r="R3276" s="34"/>
      <c r="S3276" s="34"/>
    </row>
    <row r="3277" spans="14:19">
      <c r="N3277" s="34"/>
      <c r="O3277" s="34"/>
      <c r="P3277" s="34"/>
      <c r="Q3277" s="34"/>
      <c r="R3277" s="34"/>
      <c r="S3277" s="34"/>
    </row>
    <row r="3278" spans="14:19">
      <c r="N3278" s="34"/>
      <c r="O3278" s="34"/>
      <c r="P3278" s="34"/>
      <c r="Q3278" s="34"/>
      <c r="R3278" s="34"/>
      <c r="S3278" s="34"/>
    </row>
    <row r="3279" spans="14:19">
      <c r="N3279" s="34"/>
      <c r="O3279" s="34"/>
      <c r="P3279" s="34"/>
      <c r="Q3279" s="34"/>
      <c r="R3279" s="34"/>
      <c r="S3279" s="34"/>
    </row>
    <row r="3280" spans="14:19">
      <c r="N3280" s="34"/>
      <c r="O3280" s="34"/>
      <c r="P3280" s="34"/>
      <c r="Q3280" s="34"/>
      <c r="R3280" s="34"/>
      <c r="S3280" s="34"/>
    </row>
    <row r="3281" spans="14:19">
      <c r="N3281" s="34"/>
      <c r="O3281" s="34"/>
      <c r="P3281" s="34"/>
      <c r="Q3281" s="34"/>
      <c r="R3281" s="34"/>
      <c r="S3281" s="34"/>
    </row>
    <row r="3282" spans="14:19">
      <c r="N3282" s="34"/>
      <c r="O3282" s="34"/>
      <c r="P3282" s="34"/>
      <c r="Q3282" s="34"/>
      <c r="R3282" s="34"/>
      <c r="S3282" s="34"/>
    </row>
    <row r="3283" spans="14:19">
      <c r="N3283" s="34"/>
      <c r="O3283" s="34"/>
      <c r="P3283" s="34"/>
      <c r="Q3283" s="34"/>
      <c r="R3283" s="34"/>
      <c r="S3283" s="34"/>
    </row>
    <row r="3284" spans="14:19">
      <c r="N3284" s="34"/>
      <c r="O3284" s="34"/>
      <c r="P3284" s="34"/>
      <c r="Q3284" s="34"/>
      <c r="R3284" s="34"/>
      <c r="S3284" s="34"/>
    </row>
    <row r="3285" spans="14:19">
      <c r="N3285" s="34"/>
      <c r="O3285" s="34"/>
      <c r="P3285" s="34"/>
      <c r="Q3285" s="34"/>
      <c r="R3285" s="34"/>
      <c r="S3285" s="34"/>
    </row>
    <row r="3286" spans="14:19">
      <c r="N3286" s="34"/>
      <c r="O3286" s="34"/>
      <c r="P3286" s="34"/>
      <c r="Q3286" s="34"/>
      <c r="R3286" s="34"/>
      <c r="S3286" s="34"/>
    </row>
    <row r="3287" spans="14:19">
      <c r="N3287" s="34"/>
      <c r="O3287" s="34"/>
      <c r="P3287" s="34"/>
      <c r="Q3287" s="34"/>
      <c r="R3287" s="34"/>
      <c r="S3287" s="34"/>
    </row>
    <row r="3288" spans="14:19">
      <c r="N3288" s="34"/>
      <c r="O3288" s="34"/>
      <c r="P3288" s="34"/>
      <c r="Q3288" s="34"/>
      <c r="R3288" s="34"/>
      <c r="S3288" s="34"/>
    </row>
    <row r="3289" spans="14:19">
      <c r="N3289" s="34"/>
      <c r="O3289" s="34"/>
      <c r="P3289" s="34"/>
      <c r="Q3289" s="34"/>
      <c r="R3289" s="34"/>
      <c r="S3289" s="34"/>
    </row>
    <row r="3290" spans="14:19">
      <c r="N3290" s="34"/>
      <c r="O3290" s="34"/>
      <c r="P3290" s="34"/>
      <c r="Q3290" s="34"/>
      <c r="R3290" s="34"/>
      <c r="S3290" s="34"/>
    </row>
    <row r="3291" spans="14:19">
      <c r="N3291" s="34"/>
      <c r="O3291" s="34"/>
      <c r="P3291" s="34"/>
      <c r="Q3291" s="34"/>
      <c r="R3291" s="34"/>
      <c r="S3291" s="34"/>
    </row>
    <row r="3292" spans="14:19">
      <c r="N3292" s="34"/>
      <c r="O3292" s="34"/>
      <c r="P3292" s="34"/>
      <c r="Q3292" s="34"/>
      <c r="R3292" s="34"/>
      <c r="S3292" s="34"/>
    </row>
    <row r="3293" spans="14:19">
      <c r="N3293" s="34"/>
      <c r="O3293" s="34"/>
      <c r="P3293" s="34"/>
      <c r="Q3293" s="34"/>
      <c r="R3293" s="34"/>
      <c r="S3293" s="34"/>
    </row>
    <row r="3294" spans="14:19">
      <c r="N3294" s="34"/>
      <c r="O3294" s="34"/>
      <c r="P3294" s="34"/>
      <c r="Q3294" s="34"/>
      <c r="R3294" s="34"/>
      <c r="S3294" s="34"/>
    </row>
    <row r="3295" spans="14:19">
      <c r="N3295" s="34"/>
      <c r="O3295" s="34"/>
      <c r="P3295" s="34"/>
      <c r="Q3295" s="34"/>
      <c r="R3295" s="34"/>
      <c r="S3295" s="34"/>
    </row>
    <row r="3296" spans="14:19">
      <c r="N3296" s="34"/>
      <c r="O3296" s="34"/>
      <c r="P3296" s="34"/>
      <c r="Q3296" s="34"/>
      <c r="R3296" s="34"/>
      <c r="S3296" s="34"/>
    </row>
    <row r="3297" spans="14:19">
      <c r="N3297" s="34"/>
      <c r="O3297" s="34"/>
      <c r="P3297" s="34"/>
      <c r="Q3297" s="34"/>
      <c r="R3297" s="34"/>
      <c r="S3297" s="34"/>
    </row>
    <row r="3298" spans="14:19">
      <c r="N3298" s="34"/>
      <c r="O3298" s="34"/>
      <c r="P3298" s="34"/>
      <c r="Q3298" s="34"/>
      <c r="R3298" s="34"/>
      <c r="S3298" s="34"/>
    </row>
    <row r="3299" spans="14:19">
      <c r="N3299" s="34"/>
      <c r="O3299" s="34"/>
      <c r="P3299" s="34"/>
      <c r="Q3299" s="34"/>
      <c r="R3299" s="34"/>
      <c r="S3299" s="34"/>
    </row>
    <row r="3300" spans="14:19">
      <c r="N3300" s="34"/>
      <c r="O3300" s="34"/>
      <c r="P3300" s="34"/>
      <c r="Q3300" s="34"/>
      <c r="R3300" s="34"/>
      <c r="S3300" s="34"/>
    </row>
    <row r="3301" spans="14:19">
      <c r="N3301" s="34"/>
      <c r="O3301" s="34"/>
      <c r="P3301" s="34"/>
      <c r="Q3301" s="34"/>
      <c r="R3301" s="34"/>
      <c r="S3301" s="34"/>
    </row>
    <row r="3302" spans="14:19">
      <c r="N3302" s="34"/>
      <c r="O3302" s="34"/>
      <c r="P3302" s="34"/>
      <c r="Q3302" s="34"/>
      <c r="R3302" s="34"/>
      <c r="S3302" s="34"/>
    </row>
    <row r="3303" spans="14:19">
      <c r="N3303" s="34"/>
      <c r="O3303" s="34"/>
      <c r="P3303" s="34"/>
      <c r="Q3303" s="34"/>
      <c r="R3303" s="34"/>
      <c r="S3303" s="34"/>
    </row>
    <row r="3304" spans="14:19">
      <c r="N3304" s="34"/>
      <c r="O3304" s="34"/>
      <c r="P3304" s="34"/>
      <c r="Q3304" s="34"/>
      <c r="R3304" s="34"/>
      <c r="S3304" s="34"/>
    </row>
    <row r="3305" spans="14:19">
      <c r="N3305" s="34"/>
      <c r="O3305" s="34"/>
      <c r="P3305" s="34"/>
      <c r="Q3305" s="34"/>
      <c r="R3305" s="34"/>
      <c r="S3305" s="34"/>
    </row>
    <row r="3306" spans="14:19">
      <c r="N3306" s="34"/>
      <c r="O3306" s="34"/>
      <c r="P3306" s="34"/>
      <c r="Q3306" s="34"/>
      <c r="R3306" s="34"/>
      <c r="S3306" s="34"/>
    </row>
    <row r="3307" spans="14:19">
      <c r="N3307" s="34"/>
      <c r="O3307" s="34"/>
      <c r="P3307" s="34"/>
      <c r="Q3307" s="34"/>
      <c r="R3307" s="34"/>
      <c r="S3307" s="34"/>
    </row>
    <row r="3308" spans="14:19">
      <c r="N3308" s="34"/>
      <c r="O3308" s="34"/>
      <c r="P3308" s="34"/>
      <c r="Q3308" s="34"/>
      <c r="R3308" s="34"/>
      <c r="S3308" s="34"/>
    </row>
    <row r="3309" spans="14:19">
      <c r="N3309" s="34"/>
      <c r="O3309" s="34"/>
      <c r="P3309" s="34"/>
      <c r="Q3309" s="34"/>
      <c r="R3309" s="34"/>
      <c r="S3309" s="34"/>
    </row>
    <row r="3310" spans="14:19">
      <c r="N3310" s="34"/>
      <c r="O3310" s="34"/>
      <c r="P3310" s="34"/>
      <c r="Q3310" s="34"/>
      <c r="R3310" s="34"/>
      <c r="S3310" s="34"/>
    </row>
    <row r="3311" spans="14:19">
      <c r="N3311" s="34"/>
      <c r="O3311" s="34"/>
      <c r="P3311" s="34"/>
      <c r="Q3311" s="34"/>
      <c r="R3311" s="34"/>
      <c r="S3311" s="34"/>
    </row>
    <row r="3312" spans="14:19">
      <c r="N3312" s="34"/>
      <c r="O3312" s="34"/>
      <c r="P3312" s="34"/>
      <c r="Q3312" s="34"/>
      <c r="R3312" s="34"/>
      <c r="S3312" s="34"/>
    </row>
    <row r="3313" spans="14:19">
      <c r="N3313" s="34"/>
      <c r="O3313" s="34"/>
      <c r="P3313" s="34"/>
      <c r="Q3313" s="34"/>
      <c r="R3313" s="34"/>
      <c r="S3313" s="34"/>
    </row>
    <row r="3314" spans="14:19">
      <c r="N3314" s="34"/>
      <c r="O3314" s="34"/>
      <c r="P3314" s="34"/>
      <c r="Q3314" s="34"/>
      <c r="R3314" s="34"/>
      <c r="S3314" s="34"/>
    </row>
    <row r="3315" spans="14:19">
      <c r="N3315" s="34"/>
      <c r="O3315" s="34"/>
      <c r="P3315" s="34"/>
      <c r="Q3315" s="34"/>
      <c r="R3315" s="34"/>
      <c r="S3315" s="34"/>
    </row>
    <row r="3316" spans="14:19">
      <c r="N3316" s="34"/>
      <c r="O3316" s="34"/>
      <c r="P3316" s="34"/>
      <c r="Q3316" s="34"/>
      <c r="R3316" s="34"/>
      <c r="S3316" s="34"/>
    </row>
    <row r="3317" spans="14:19">
      <c r="N3317" s="34"/>
      <c r="O3317" s="34"/>
      <c r="P3317" s="34"/>
      <c r="Q3317" s="34"/>
      <c r="R3317" s="34"/>
      <c r="S3317" s="34"/>
    </row>
    <row r="3318" spans="14:19">
      <c r="N3318" s="34"/>
      <c r="O3318" s="34"/>
      <c r="P3318" s="34"/>
      <c r="Q3318" s="34"/>
      <c r="R3318" s="34"/>
      <c r="S3318" s="34"/>
    </row>
    <row r="3319" spans="14:19">
      <c r="N3319" s="34"/>
      <c r="O3319" s="34"/>
      <c r="P3319" s="34"/>
      <c r="Q3319" s="34"/>
      <c r="R3319" s="34"/>
      <c r="S3319" s="34"/>
    </row>
    <row r="3320" spans="14:19">
      <c r="N3320" s="34"/>
      <c r="O3320" s="34"/>
      <c r="P3320" s="34"/>
      <c r="Q3320" s="34"/>
      <c r="R3320" s="34"/>
      <c r="S3320" s="34"/>
    </row>
    <row r="3321" spans="14:19">
      <c r="N3321" s="34"/>
      <c r="O3321" s="34"/>
      <c r="P3321" s="34"/>
      <c r="Q3321" s="34"/>
      <c r="R3321" s="34"/>
      <c r="S3321" s="34"/>
    </row>
    <row r="3322" spans="14:19">
      <c r="N3322" s="34"/>
      <c r="O3322" s="34"/>
      <c r="P3322" s="34"/>
      <c r="Q3322" s="34"/>
      <c r="R3322" s="34"/>
      <c r="S3322" s="34"/>
    </row>
    <row r="3323" spans="14:19">
      <c r="N3323" s="34"/>
      <c r="O3323" s="34"/>
      <c r="P3323" s="34"/>
      <c r="Q3323" s="34"/>
      <c r="R3323" s="34"/>
      <c r="S3323" s="34"/>
    </row>
    <row r="3324" spans="14:19">
      <c r="N3324" s="34"/>
      <c r="O3324" s="34"/>
      <c r="P3324" s="34"/>
      <c r="Q3324" s="34"/>
      <c r="R3324" s="34"/>
      <c r="S3324" s="34"/>
    </row>
    <row r="3325" spans="14:19">
      <c r="N3325" s="34"/>
      <c r="O3325" s="34"/>
      <c r="P3325" s="34"/>
      <c r="Q3325" s="34"/>
      <c r="R3325" s="34"/>
      <c r="S3325" s="34"/>
    </row>
    <row r="3326" spans="14:19">
      <c r="N3326" s="34"/>
      <c r="O3326" s="34"/>
      <c r="P3326" s="34"/>
      <c r="Q3326" s="34"/>
      <c r="R3326" s="34"/>
      <c r="S3326" s="34"/>
    </row>
    <row r="3327" spans="14:19">
      <c r="N3327" s="34"/>
      <c r="O3327" s="34"/>
      <c r="P3327" s="34"/>
      <c r="Q3327" s="34"/>
      <c r="R3327" s="34"/>
      <c r="S3327" s="34"/>
    </row>
    <row r="3328" spans="14:19">
      <c r="N3328" s="34"/>
      <c r="O3328" s="34"/>
      <c r="P3328" s="34"/>
      <c r="Q3328" s="34"/>
      <c r="R3328" s="34"/>
      <c r="S3328" s="34"/>
    </row>
    <row r="3329" spans="14:19">
      <c r="N3329" s="34"/>
      <c r="O3329" s="34"/>
      <c r="P3329" s="34"/>
      <c r="Q3329" s="34"/>
      <c r="R3329" s="34"/>
      <c r="S3329" s="34"/>
    </row>
    <row r="3330" spans="14:19">
      <c r="N3330" s="34"/>
      <c r="O3330" s="34"/>
      <c r="P3330" s="34"/>
      <c r="Q3330" s="34"/>
      <c r="R3330" s="34"/>
      <c r="S3330" s="34"/>
    </row>
    <row r="3331" spans="14:19">
      <c r="N3331" s="34"/>
      <c r="O3331" s="34"/>
      <c r="P3331" s="34"/>
      <c r="Q3331" s="34"/>
      <c r="R3331" s="34"/>
      <c r="S3331" s="34"/>
    </row>
    <row r="3332" spans="14:19">
      <c r="N3332" s="34"/>
      <c r="O3332" s="34"/>
      <c r="P3332" s="34"/>
      <c r="Q3332" s="34"/>
      <c r="R3332" s="34"/>
      <c r="S3332" s="34"/>
    </row>
    <row r="3333" spans="14:19">
      <c r="N3333" s="34"/>
      <c r="O3333" s="34"/>
      <c r="P3333" s="34"/>
      <c r="Q3333" s="34"/>
      <c r="R3333" s="34"/>
      <c r="S3333" s="34"/>
    </row>
    <row r="3334" spans="14:19">
      <c r="N3334" s="34"/>
      <c r="O3334" s="34"/>
      <c r="P3334" s="34"/>
      <c r="Q3334" s="34"/>
      <c r="R3334" s="34"/>
      <c r="S3334" s="34"/>
    </row>
    <row r="3335" spans="14:19">
      <c r="N3335" s="34"/>
      <c r="O3335" s="34"/>
      <c r="P3335" s="34"/>
      <c r="Q3335" s="34"/>
      <c r="R3335" s="34"/>
      <c r="S3335" s="34"/>
    </row>
    <row r="3336" spans="14:19">
      <c r="N3336" s="34"/>
      <c r="O3336" s="34"/>
      <c r="P3336" s="34"/>
      <c r="Q3336" s="34"/>
      <c r="R3336" s="34"/>
      <c r="S3336" s="34"/>
    </row>
    <row r="3337" spans="14:19">
      <c r="N3337" s="34"/>
      <c r="O3337" s="34"/>
      <c r="P3337" s="34"/>
      <c r="Q3337" s="34"/>
      <c r="R3337" s="34"/>
      <c r="S3337" s="34"/>
    </row>
    <row r="3338" spans="14:19">
      <c r="N3338" s="34"/>
      <c r="O3338" s="34"/>
      <c r="P3338" s="34"/>
      <c r="Q3338" s="34"/>
      <c r="R3338" s="34"/>
      <c r="S3338" s="34"/>
    </row>
    <row r="3339" spans="14:19">
      <c r="N3339" s="34"/>
      <c r="O3339" s="34"/>
      <c r="P3339" s="34"/>
      <c r="Q3339" s="34"/>
      <c r="R3339" s="34"/>
      <c r="S3339" s="34"/>
    </row>
    <row r="3340" spans="14:19">
      <c r="N3340" s="34"/>
      <c r="O3340" s="34"/>
      <c r="P3340" s="34"/>
      <c r="Q3340" s="34"/>
      <c r="R3340" s="34"/>
      <c r="S3340" s="34"/>
    </row>
    <row r="3341" spans="14:19">
      <c r="N3341" s="34"/>
      <c r="O3341" s="34"/>
      <c r="P3341" s="34"/>
      <c r="Q3341" s="34"/>
      <c r="R3341" s="34"/>
      <c r="S3341" s="34"/>
    </row>
    <row r="3342" spans="14:19">
      <c r="N3342" s="34"/>
      <c r="O3342" s="34"/>
      <c r="P3342" s="34"/>
      <c r="Q3342" s="34"/>
      <c r="R3342" s="34"/>
      <c r="S3342" s="34"/>
    </row>
    <row r="3343" spans="14:19">
      <c r="N3343" s="34"/>
      <c r="O3343" s="34"/>
      <c r="P3343" s="34"/>
      <c r="Q3343" s="34"/>
      <c r="R3343" s="34"/>
      <c r="S3343" s="34"/>
    </row>
    <row r="3344" spans="14:19">
      <c r="N3344" s="34"/>
      <c r="O3344" s="34"/>
      <c r="P3344" s="34"/>
      <c r="Q3344" s="34"/>
      <c r="R3344" s="34"/>
      <c r="S3344" s="34"/>
    </row>
    <row r="3345" spans="14:19">
      <c r="N3345" s="34"/>
      <c r="O3345" s="34"/>
      <c r="P3345" s="34"/>
      <c r="Q3345" s="34"/>
      <c r="R3345" s="34"/>
      <c r="S3345" s="34"/>
    </row>
    <row r="3346" spans="14:19">
      <c r="N3346" s="34"/>
      <c r="O3346" s="34"/>
      <c r="P3346" s="34"/>
      <c r="Q3346" s="34"/>
      <c r="R3346" s="34"/>
      <c r="S3346" s="34"/>
    </row>
    <row r="3347" spans="14:19">
      <c r="N3347" s="34"/>
      <c r="O3347" s="34"/>
      <c r="P3347" s="34"/>
      <c r="Q3347" s="34"/>
      <c r="R3347" s="34"/>
      <c r="S3347" s="34"/>
    </row>
    <row r="3348" spans="14:19">
      <c r="N3348" s="34"/>
      <c r="O3348" s="34"/>
      <c r="P3348" s="34"/>
      <c r="Q3348" s="34"/>
      <c r="R3348" s="34"/>
      <c r="S3348" s="34"/>
    </row>
    <row r="3349" spans="14:19">
      <c r="N3349" s="34"/>
      <c r="O3349" s="34"/>
      <c r="P3349" s="34"/>
      <c r="Q3349" s="34"/>
      <c r="R3349" s="34"/>
      <c r="S3349" s="34"/>
    </row>
    <row r="3350" spans="14:19">
      <c r="N3350" s="34"/>
      <c r="O3350" s="34"/>
      <c r="P3350" s="34"/>
      <c r="Q3350" s="34"/>
      <c r="R3350" s="34"/>
      <c r="S3350" s="34"/>
    </row>
    <row r="3351" spans="14:19">
      <c r="N3351" s="34"/>
      <c r="O3351" s="34"/>
      <c r="P3351" s="34"/>
      <c r="Q3351" s="34"/>
      <c r="R3351" s="34"/>
      <c r="S3351" s="34"/>
    </row>
    <row r="3352" spans="14:19">
      <c r="N3352" s="34"/>
      <c r="O3352" s="34"/>
      <c r="P3352" s="34"/>
      <c r="Q3352" s="34"/>
      <c r="R3352" s="34"/>
      <c r="S3352" s="34"/>
    </row>
    <row r="3353" spans="14:19">
      <c r="N3353" s="34"/>
      <c r="O3353" s="34"/>
      <c r="P3353" s="34"/>
      <c r="Q3353" s="34"/>
      <c r="R3353" s="34"/>
      <c r="S3353" s="34"/>
    </row>
    <row r="3354" spans="14:19">
      <c r="N3354" s="34"/>
      <c r="O3354" s="34"/>
      <c r="P3354" s="34"/>
      <c r="Q3354" s="34"/>
      <c r="R3354" s="34"/>
      <c r="S3354" s="34"/>
    </row>
    <row r="3355" spans="14:19">
      <c r="N3355" s="34"/>
      <c r="O3355" s="34"/>
      <c r="P3355" s="34"/>
      <c r="Q3355" s="34"/>
      <c r="R3355" s="34"/>
      <c r="S3355" s="34"/>
    </row>
    <row r="3356" spans="14:19">
      <c r="N3356" s="34"/>
      <c r="O3356" s="34"/>
      <c r="P3356" s="34"/>
      <c r="Q3356" s="34"/>
      <c r="R3356" s="34"/>
      <c r="S3356" s="34"/>
    </row>
    <row r="3357" spans="14:19">
      <c r="N3357" s="34"/>
      <c r="O3357" s="34"/>
      <c r="P3357" s="34"/>
      <c r="Q3357" s="34"/>
      <c r="R3357" s="34"/>
      <c r="S3357" s="34"/>
    </row>
    <row r="3358" spans="14:19">
      <c r="N3358" s="34"/>
      <c r="O3358" s="34"/>
      <c r="P3358" s="34"/>
      <c r="Q3358" s="34"/>
      <c r="R3358" s="34"/>
      <c r="S3358" s="34"/>
    </row>
    <row r="3359" spans="14:19">
      <c r="N3359" s="34"/>
      <c r="O3359" s="34"/>
      <c r="P3359" s="34"/>
      <c r="Q3359" s="34"/>
      <c r="R3359" s="34"/>
      <c r="S3359" s="34"/>
    </row>
    <row r="3360" spans="14:19">
      <c r="N3360" s="34"/>
      <c r="O3360" s="34"/>
      <c r="P3360" s="34"/>
      <c r="Q3360" s="34"/>
      <c r="R3360" s="34"/>
      <c r="S3360" s="34"/>
    </row>
    <row r="3361" spans="14:19">
      <c r="N3361" s="34"/>
      <c r="O3361" s="34"/>
      <c r="P3361" s="34"/>
      <c r="Q3361" s="34"/>
      <c r="R3361" s="34"/>
      <c r="S3361" s="34"/>
    </row>
    <row r="3362" spans="14:19">
      <c r="N3362" s="34"/>
      <c r="O3362" s="34"/>
      <c r="P3362" s="34"/>
      <c r="Q3362" s="34"/>
      <c r="R3362" s="34"/>
      <c r="S3362" s="34"/>
    </row>
    <row r="3363" spans="14:19">
      <c r="N3363" s="34"/>
      <c r="O3363" s="34"/>
      <c r="P3363" s="34"/>
      <c r="Q3363" s="34"/>
      <c r="R3363" s="34"/>
      <c r="S3363" s="34"/>
    </row>
    <row r="3364" spans="14:19">
      <c r="N3364" s="34"/>
      <c r="O3364" s="34"/>
      <c r="P3364" s="34"/>
      <c r="Q3364" s="34"/>
      <c r="R3364" s="34"/>
      <c r="S3364" s="34"/>
    </row>
    <row r="3365" spans="14:19">
      <c r="N3365" s="34"/>
      <c r="O3365" s="34"/>
      <c r="P3365" s="34"/>
      <c r="Q3365" s="34"/>
      <c r="R3365" s="34"/>
      <c r="S3365" s="34"/>
    </row>
    <row r="3366" spans="14:19">
      <c r="N3366" s="34"/>
      <c r="O3366" s="34"/>
      <c r="P3366" s="34"/>
      <c r="Q3366" s="34"/>
      <c r="R3366" s="34"/>
      <c r="S3366" s="34"/>
    </row>
    <row r="3367" spans="14:19">
      <c r="N3367" s="34"/>
      <c r="O3367" s="34"/>
      <c r="P3367" s="34"/>
      <c r="Q3367" s="34"/>
      <c r="R3367" s="34"/>
      <c r="S3367" s="34"/>
    </row>
    <row r="3368" spans="14:19">
      <c r="N3368" s="34"/>
      <c r="O3368" s="34"/>
      <c r="P3368" s="34"/>
      <c r="Q3368" s="34"/>
      <c r="R3368" s="34"/>
      <c r="S3368" s="34"/>
    </row>
    <row r="3369" spans="14:19">
      <c r="N3369" s="34"/>
      <c r="O3369" s="34"/>
      <c r="P3369" s="34"/>
      <c r="Q3369" s="34"/>
      <c r="R3369" s="34"/>
      <c r="S3369" s="34"/>
    </row>
    <row r="3370" spans="14:19">
      <c r="N3370" s="34"/>
      <c r="O3370" s="34"/>
      <c r="P3370" s="34"/>
      <c r="Q3370" s="34"/>
      <c r="R3370" s="34"/>
      <c r="S3370" s="34"/>
    </row>
    <row r="3371" spans="14:19">
      <c r="N3371" s="34"/>
      <c r="O3371" s="34"/>
      <c r="P3371" s="34"/>
      <c r="Q3371" s="34"/>
      <c r="R3371" s="34"/>
      <c r="S3371" s="34"/>
    </row>
    <row r="3372" spans="14:19">
      <c r="N3372" s="34"/>
      <c r="O3372" s="34"/>
      <c r="P3372" s="34"/>
      <c r="Q3372" s="34"/>
      <c r="R3372" s="34"/>
      <c r="S3372" s="34"/>
    </row>
    <row r="3373" spans="14:19">
      <c r="N3373" s="34"/>
      <c r="O3373" s="34"/>
      <c r="P3373" s="34"/>
      <c r="Q3373" s="34"/>
      <c r="R3373" s="34"/>
      <c r="S3373" s="34"/>
    </row>
    <row r="3374" spans="14:19">
      <c r="N3374" s="34"/>
      <c r="O3374" s="34"/>
      <c r="P3374" s="34"/>
      <c r="Q3374" s="34"/>
      <c r="R3374" s="34"/>
      <c r="S3374" s="34"/>
    </row>
    <row r="3375" spans="14:19">
      <c r="N3375" s="34"/>
      <c r="O3375" s="34"/>
      <c r="P3375" s="34"/>
      <c r="Q3375" s="34"/>
      <c r="R3375" s="34"/>
      <c r="S3375" s="34"/>
    </row>
    <row r="3376" spans="14:19">
      <c r="N3376" s="34"/>
      <c r="O3376" s="34"/>
      <c r="P3376" s="34"/>
      <c r="Q3376" s="34"/>
      <c r="R3376" s="34"/>
      <c r="S3376" s="34"/>
    </row>
    <row r="3377" spans="14:19">
      <c r="N3377" s="34"/>
      <c r="O3377" s="34"/>
      <c r="P3377" s="34"/>
      <c r="Q3377" s="34"/>
      <c r="R3377" s="34"/>
      <c r="S3377" s="34"/>
    </row>
    <row r="3378" spans="14:19">
      <c r="N3378" s="34"/>
      <c r="O3378" s="34"/>
      <c r="P3378" s="34"/>
      <c r="Q3378" s="34"/>
      <c r="R3378" s="34"/>
      <c r="S3378" s="34"/>
    </row>
    <row r="3379" spans="14:19">
      <c r="N3379" s="34"/>
      <c r="O3379" s="34"/>
      <c r="P3379" s="34"/>
      <c r="Q3379" s="34"/>
      <c r="R3379" s="34"/>
      <c r="S3379" s="34"/>
    </row>
    <row r="3380" spans="14:19">
      <c r="N3380" s="34"/>
      <c r="O3380" s="34"/>
      <c r="P3380" s="34"/>
      <c r="Q3380" s="34"/>
      <c r="R3380" s="34"/>
      <c r="S3380" s="34"/>
    </row>
    <row r="3381" spans="14:19">
      <c r="N3381" s="34"/>
      <c r="O3381" s="34"/>
      <c r="P3381" s="34"/>
      <c r="Q3381" s="34"/>
      <c r="R3381" s="34"/>
      <c r="S3381" s="34"/>
    </row>
    <row r="3382" spans="14:19">
      <c r="N3382" s="34"/>
      <c r="O3382" s="34"/>
      <c r="P3382" s="34"/>
      <c r="Q3382" s="34"/>
      <c r="R3382" s="34"/>
      <c r="S3382" s="34"/>
    </row>
    <row r="3383" spans="14:19">
      <c r="N3383" s="34"/>
      <c r="O3383" s="34"/>
      <c r="P3383" s="34"/>
      <c r="Q3383" s="34"/>
      <c r="R3383" s="34"/>
      <c r="S3383" s="34"/>
    </row>
    <row r="3384" spans="14:19">
      <c r="N3384" s="34"/>
      <c r="O3384" s="34"/>
      <c r="P3384" s="34"/>
      <c r="Q3384" s="34"/>
      <c r="R3384" s="34"/>
      <c r="S3384" s="34"/>
    </row>
    <row r="3385" spans="14:19">
      <c r="N3385" s="34"/>
      <c r="O3385" s="34"/>
      <c r="P3385" s="34"/>
      <c r="Q3385" s="34"/>
      <c r="R3385" s="34"/>
      <c r="S3385" s="34"/>
    </row>
    <row r="3386" spans="14:19">
      <c r="N3386" s="34"/>
      <c r="O3386" s="34"/>
      <c r="P3386" s="34"/>
      <c r="Q3386" s="34"/>
      <c r="R3386" s="34"/>
      <c r="S3386" s="34"/>
    </row>
    <row r="3387" spans="14:19">
      <c r="N3387" s="34"/>
      <c r="O3387" s="34"/>
      <c r="P3387" s="34"/>
      <c r="Q3387" s="34"/>
      <c r="R3387" s="34"/>
      <c r="S3387" s="34"/>
    </row>
    <row r="3388" spans="14:19">
      <c r="N3388" s="34"/>
      <c r="O3388" s="34"/>
      <c r="P3388" s="34"/>
      <c r="Q3388" s="34"/>
      <c r="R3388" s="34"/>
      <c r="S3388" s="34"/>
    </row>
    <row r="3389" spans="14:19">
      <c r="N3389" s="34"/>
      <c r="O3389" s="34"/>
      <c r="P3389" s="34"/>
      <c r="Q3389" s="34"/>
      <c r="R3389" s="34"/>
      <c r="S3389" s="34"/>
    </row>
    <row r="3390" spans="14:19">
      <c r="N3390" s="34"/>
      <c r="O3390" s="34"/>
      <c r="P3390" s="34"/>
      <c r="Q3390" s="34"/>
      <c r="R3390" s="34"/>
      <c r="S3390" s="34"/>
    </row>
    <row r="3391" spans="14:19">
      <c r="N3391" s="34"/>
      <c r="O3391" s="34"/>
      <c r="P3391" s="34"/>
      <c r="Q3391" s="34"/>
      <c r="R3391" s="34"/>
      <c r="S3391" s="34"/>
    </row>
    <row r="3392" spans="14:19">
      <c r="N3392" s="34"/>
      <c r="O3392" s="34"/>
      <c r="P3392" s="34"/>
      <c r="Q3392" s="34"/>
      <c r="R3392" s="34"/>
      <c r="S3392" s="34"/>
    </row>
    <row r="3393" spans="14:19">
      <c r="N3393" s="34"/>
      <c r="O3393" s="34"/>
      <c r="P3393" s="34"/>
      <c r="Q3393" s="34"/>
      <c r="R3393" s="34"/>
      <c r="S3393" s="34"/>
    </row>
    <row r="3394" spans="14:19">
      <c r="N3394" s="34"/>
      <c r="O3394" s="34"/>
      <c r="P3394" s="34"/>
      <c r="Q3394" s="34"/>
      <c r="R3394" s="34"/>
      <c r="S3394" s="34"/>
    </row>
    <row r="3395" spans="14:19">
      <c r="N3395" s="34"/>
      <c r="O3395" s="34"/>
      <c r="P3395" s="34"/>
      <c r="Q3395" s="34"/>
      <c r="R3395" s="34"/>
      <c r="S3395" s="34"/>
    </row>
    <row r="3396" spans="14:19">
      <c r="N3396" s="34"/>
      <c r="O3396" s="34"/>
      <c r="P3396" s="34"/>
      <c r="Q3396" s="34"/>
      <c r="R3396" s="34"/>
      <c r="S3396" s="34"/>
    </row>
    <row r="3397" spans="14:19">
      <c r="N3397" s="34"/>
      <c r="O3397" s="34"/>
      <c r="P3397" s="34"/>
      <c r="Q3397" s="34"/>
      <c r="R3397" s="34"/>
      <c r="S3397" s="34"/>
    </row>
    <row r="3398" spans="14:19">
      <c r="N3398" s="34"/>
      <c r="O3398" s="34"/>
      <c r="P3398" s="34"/>
      <c r="Q3398" s="34"/>
      <c r="R3398" s="34"/>
      <c r="S3398" s="34"/>
    </row>
    <row r="3399" spans="14:19">
      <c r="N3399" s="34"/>
      <c r="O3399" s="34"/>
      <c r="P3399" s="34"/>
      <c r="Q3399" s="34"/>
      <c r="R3399" s="34"/>
      <c r="S3399" s="34"/>
    </row>
    <row r="3400" spans="14:19">
      <c r="N3400" s="34"/>
      <c r="O3400" s="34"/>
      <c r="P3400" s="34"/>
      <c r="Q3400" s="34"/>
      <c r="R3400" s="34"/>
      <c r="S3400" s="34"/>
    </row>
    <row r="3401" spans="14:19">
      <c r="N3401" s="34"/>
      <c r="O3401" s="34"/>
      <c r="P3401" s="34"/>
      <c r="Q3401" s="34"/>
      <c r="R3401" s="34"/>
      <c r="S3401" s="34"/>
    </row>
    <row r="3402" spans="14:19">
      <c r="N3402" s="34"/>
      <c r="O3402" s="34"/>
      <c r="P3402" s="34"/>
      <c r="Q3402" s="34"/>
      <c r="R3402" s="34"/>
      <c r="S3402" s="34"/>
    </row>
    <row r="3403" spans="14:19">
      <c r="N3403" s="34"/>
      <c r="O3403" s="34"/>
      <c r="P3403" s="34"/>
      <c r="Q3403" s="34"/>
      <c r="R3403" s="34"/>
      <c r="S3403" s="34"/>
    </row>
    <row r="3404" spans="14:19">
      <c r="N3404" s="34"/>
      <c r="O3404" s="34"/>
      <c r="P3404" s="34"/>
      <c r="Q3404" s="34"/>
      <c r="R3404" s="34"/>
      <c r="S3404" s="34"/>
    </row>
    <row r="3405" spans="14:19">
      <c r="N3405" s="34"/>
      <c r="O3405" s="34"/>
      <c r="P3405" s="34"/>
      <c r="Q3405" s="34"/>
      <c r="R3405" s="34"/>
      <c r="S3405" s="34"/>
    </row>
    <row r="3406" spans="14:19">
      <c r="N3406" s="34"/>
      <c r="O3406" s="34"/>
      <c r="P3406" s="34"/>
      <c r="Q3406" s="34"/>
      <c r="R3406" s="34"/>
      <c r="S3406" s="34"/>
    </row>
    <row r="3407" spans="14:19">
      <c r="N3407" s="34"/>
      <c r="O3407" s="34"/>
      <c r="P3407" s="34"/>
      <c r="Q3407" s="34"/>
      <c r="R3407" s="34"/>
      <c r="S3407" s="34"/>
    </row>
    <row r="3408" spans="14:19">
      <c r="N3408" s="34"/>
      <c r="O3408" s="34"/>
      <c r="P3408" s="34"/>
      <c r="Q3408" s="34"/>
      <c r="R3408" s="34"/>
      <c r="S3408" s="34"/>
    </row>
    <row r="3409" spans="14:19">
      <c r="N3409" s="34"/>
      <c r="O3409" s="34"/>
      <c r="P3409" s="34"/>
      <c r="Q3409" s="34"/>
      <c r="R3409" s="34"/>
      <c r="S3409" s="34"/>
    </row>
    <row r="3410" spans="14:19">
      <c r="N3410" s="34"/>
      <c r="O3410" s="34"/>
      <c r="P3410" s="34"/>
      <c r="Q3410" s="34"/>
      <c r="R3410" s="34"/>
      <c r="S3410" s="34"/>
    </row>
    <row r="3411" spans="14:19">
      <c r="N3411" s="34"/>
      <c r="O3411" s="34"/>
      <c r="P3411" s="34"/>
      <c r="Q3411" s="34"/>
      <c r="R3411" s="34"/>
      <c r="S3411" s="34"/>
    </row>
    <row r="3412" spans="14:19">
      <c r="N3412" s="34"/>
      <c r="O3412" s="34"/>
      <c r="P3412" s="34"/>
      <c r="Q3412" s="34"/>
      <c r="R3412" s="34"/>
      <c r="S3412" s="34"/>
    </row>
    <row r="3413" spans="14:19">
      <c r="N3413" s="34"/>
      <c r="O3413" s="34"/>
      <c r="P3413" s="34"/>
      <c r="Q3413" s="34"/>
      <c r="R3413" s="34"/>
      <c r="S3413" s="34"/>
    </row>
    <row r="3414" spans="14:19">
      <c r="N3414" s="34"/>
      <c r="O3414" s="34"/>
      <c r="P3414" s="34"/>
      <c r="Q3414" s="34"/>
      <c r="R3414" s="34"/>
      <c r="S3414" s="34"/>
    </row>
    <row r="3415" spans="14:19">
      <c r="N3415" s="34"/>
      <c r="O3415" s="34"/>
      <c r="P3415" s="34"/>
      <c r="Q3415" s="34"/>
      <c r="R3415" s="34"/>
      <c r="S3415" s="34"/>
    </row>
    <row r="3416" spans="14:19">
      <c r="N3416" s="34"/>
      <c r="O3416" s="34"/>
      <c r="P3416" s="34"/>
      <c r="Q3416" s="34"/>
      <c r="R3416" s="34"/>
      <c r="S3416" s="34"/>
    </row>
    <row r="3417" spans="14:19">
      <c r="N3417" s="34"/>
      <c r="O3417" s="34"/>
      <c r="P3417" s="34"/>
      <c r="Q3417" s="34"/>
      <c r="R3417" s="34"/>
      <c r="S3417" s="34"/>
    </row>
    <row r="3418" spans="14:19">
      <c r="N3418" s="34"/>
      <c r="O3418" s="34"/>
      <c r="P3418" s="34"/>
      <c r="Q3418" s="34"/>
      <c r="R3418" s="34"/>
      <c r="S3418" s="34"/>
    </row>
    <row r="3419" spans="14:19">
      <c r="N3419" s="34"/>
      <c r="O3419" s="34"/>
      <c r="P3419" s="34"/>
      <c r="Q3419" s="34"/>
      <c r="R3419" s="34"/>
      <c r="S3419" s="34"/>
    </row>
    <row r="3420" spans="14:19">
      <c r="N3420" s="34"/>
      <c r="O3420" s="34"/>
      <c r="P3420" s="34"/>
      <c r="Q3420" s="34"/>
      <c r="R3420" s="34"/>
      <c r="S3420" s="34"/>
    </row>
    <row r="3421" spans="14:19">
      <c r="N3421" s="34"/>
      <c r="O3421" s="34"/>
      <c r="P3421" s="34"/>
      <c r="Q3421" s="34"/>
      <c r="R3421" s="34"/>
      <c r="S3421" s="34"/>
    </row>
    <row r="3422" spans="14:19">
      <c r="N3422" s="34"/>
      <c r="O3422" s="34"/>
      <c r="P3422" s="34"/>
      <c r="Q3422" s="34"/>
      <c r="R3422" s="34"/>
      <c r="S3422" s="34"/>
    </row>
    <row r="3423" spans="14:19">
      <c r="N3423" s="34"/>
      <c r="O3423" s="34"/>
      <c r="P3423" s="34"/>
      <c r="Q3423" s="34"/>
      <c r="R3423" s="34"/>
      <c r="S3423" s="34"/>
    </row>
    <row r="3424" spans="14:19">
      <c r="N3424" s="34"/>
      <c r="O3424" s="34"/>
      <c r="P3424" s="34"/>
      <c r="Q3424" s="34"/>
      <c r="R3424" s="34"/>
      <c r="S3424" s="34"/>
    </row>
    <row r="3425" spans="14:19">
      <c r="N3425" s="34"/>
      <c r="O3425" s="34"/>
      <c r="P3425" s="34"/>
      <c r="Q3425" s="34"/>
      <c r="R3425" s="34"/>
      <c r="S3425" s="34"/>
    </row>
    <row r="3426" spans="14:19">
      <c r="N3426" s="34"/>
      <c r="O3426" s="34"/>
      <c r="P3426" s="34"/>
      <c r="Q3426" s="34"/>
      <c r="R3426" s="34"/>
      <c r="S3426" s="34"/>
    </row>
    <row r="3427" spans="14:19">
      <c r="N3427" s="34"/>
      <c r="O3427" s="34"/>
      <c r="P3427" s="34"/>
      <c r="Q3427" s="34"/>
      <c r="R3427" s="34"/>
      <c r="S3427" s="34"/>
    </row>
    <row r="3428" spans="14:19">
      <c r="N3428" s="34"/>
      <c r="O3428" s="34"/>
      <c r="P3428" s="34"/>
      <c r="Q3428" s="34"/>
      <c r="R3428" s="34"/>
      <c r="S3428" s="34"/>
    </row>
    <row r="3429" spans="14:19">
      <c r="N3429" s="34"/>
      <c r="O3429" s="34"/>
      <c r="P3429" s="34"/>
      <c r="Q3429" s="34"/>
      <c r="R3429" s="34"/>
      <c r="S3429" s="34"/>
    </row>
    <row r="3430" spans="14:19">
      <c r="N3430" s="34"/>
      <c r="O3430" s="34"/>
      <c r="P3430" s="34"/>
      <c r="Q3430" s="34"/>
      <c r="R3430" s="34"/>
      <c r="S3430" s="34"/>
    </row>
    <row r="3431" spans="14:19">
      <c r="N3431" s="34"/>
      <c r="O3431" s="34"/>
      <c r="P3431" s="34"/>
      <c r="Q3431" s="34"/>
      <c r="R3431" s="34"/>
      <c r="S3431" s="34"/>
    </row>
    <row r="3432" spans="14:19">
      <c r="N3432" s="34"/>
      <c r="O3432" s="34"/>
      <c r="P3432" s="34"/>
      <c r="Q3432" s="34"/>
      <c r="R3432" s="34"/>
      <c r="S3432" s="34"/>
    </row>
    <row r="3433" spans="14:19">
      <c r="N3433" s="34"/>
      <c r="O3433" s="34"/>
      <c r="P3433" s="34"/>
      <c r="Q3433" s="34"/>
      <c r="R3433" s="34"/>
      <c r="S3433" s="34"/>
    </row>
    <row r="3434" spans="14:19">
      <c r="N3434" s="34"/>
      <c r="O3434" s="34"/>
      <c r="P3434" s="34"/>
      <c r="Q3434" s="34"/>
      <c r="R3434" s="34"/>
      <c r="S3434" s="34"/>
    </row>
    <row r="3435" spans="14:19">
      <c r="N3435" s="34"/>
      <c r="O3435" s="34"/>
      <c r="P3435" s="34"/>
      <c r="Q3435" s="34"/>
      <c r="R3435" s="34"/>
      <c r="S3435" s="34"/>
    </row>
    <row r="3436" spans="14:19">
      <c r="N3436" s="34"/>
      <c r="O3436" s="34"/>
      <c r="P3436" s="34"/>
      <c r="Q3436" s="34"/>
      <c r="R3436" s="34"/>
      <c r="S3436" s="34"/>
    </row>
    <row r="3437" spans="14:19">
      <c r="N3437" s="34"/>
      <c r="O3437" s="34"/>
      <c r="P3437" s="34"/>
      <c r="Q3437" s="34"/>
      <c r="R3437" s="34"/>
      <c r="S3437" s="34"/>
    </row>
    <row r="3438" spans="14:19">
      <c r="N3438" s="34"/>
      <c r="O3438" s="34"/>
      <c r="P3438" s="34"/>
      <c r="Q3438" s="34"/>
      <c r="R3438" s="34"/>
      <c r="S3438" s="34"/>
    </row>
    <row r="3439" spans="14:19">
      <c r="N3439" s="34"/>
      <c r="O3439" s="34"/>
      <c r="P3439" s="34"/>
      <c r="Q3439" s="34"/>
      <c r="R3439" s="34"/>
      <c r="S3439" s="34"/>
    </row>
    <row r="3440" spans="14:19">
      <c r="N3440" s="34"/>
      <c r="O3440" s="34"/>
      <c r="P3440" s="34"/>
      <c r="Q3440" s="34"/>
      <c r="R3440" s="34"/>
      <c r="S3440" s="34"/>
    </row>
    <row r="3441" spans="14:19">
      <c r="N3441" s="34"/>
      <c r="O3441" s="34"/>
      <c r="P3441" s="34"/>
      <c r="Q3441" s="34"/>
      <c r="R3441" s="34"/>
      <c r="S3441" s="34"/>
    </row>
    <row r="3442" spans="14:19">
      <c r="N3442" s="34"/>
      <c r="O3442" s="34"/>
      <c r="P3442" s="34"/>
      <c r="Q3442" s="34"/>
      <c r="R3442" s="34"/>
      <c r="S3442" s="34"/>
    </row>
    <row r="3443" spans="14:19">
      <c r="N3443" s="34"/>
      <c r="O3443" s="34"/>
      <c r="P3443" s="34"/>
      <c r="Q3443" s="34"/>
      <c r="R3443" s="34"/>
      <c r="S3443" s="34"/>
    </row>
    <row r="3444" spans="14:19">
      <c r="N3444" s="34"/>
      <c r="O3444" s="34"/>
      <c r="P3444" s="34"/>
      <c r="Q3444" s="34"/>
      <c r="R3444" s="34"/>
      <c r="S3444" s="34"/>
    </row>
    <row r="3445" spans="14:19">
      <c r="N3445" s="34"/>
      <c r="O3445" s="34"/>
      <c r="P3445" s="34"/>
      <c r="Q3445" s="34"/>
      <c r="R3445" s="34"/>
      <c r="S3445" s="34"/>
    </row>
    <row r="3446" spans="14:19">
      <c r="N3446" s="34"/>
      <c r="O3446" s="34"/>
      <c r="P3446" s="34"/>
      <c r="Q3446" s="34"/>
      <c r="R3446" s="34"/>
      <c r="S3446" s="34"/>
    </row>
    <row r="3447" spans="14:19">
      <c r="N3447" s="34"/>
      <c r="O3447" s="34"/>
      <c r="P3447" s="34"/>
      <c r="Q3447" s="34"/>
      <c r="R3447" s="34"/>
      <c r="S3447" s="34"/>
    </row>
    <row r="3448" spans="14:19">
      <c r="N3448" s="34"/>
      <c r="O3448" s="34"/>
      <c r="P3448" s="34"/>
      <c r="Q3448" s="34"/>
      <c r="R3448" s="34"/>
      <c r="S3448" s="34"/>
    </row>
    <row r="3449" spans="14:19">
      <c r="N3449" s="34"/>
      <c r="O3449" s="34"/>
      <c r="P3449" s="34"/>
      <c r="Q3449" s="34"/>
      <c r="R3449" s="34"/>
      <c r="S3449" s="34"/>
    </row>
    <row r="3450" spans="14:19">
      <c r="N3450" s="34"/>
      <c r="O3450" s="34"/>
      <c r="P3450" s="34"/>
      <c r="Q3450" s="34"/>
      <c r="R3450" s="34"/>
      <c r="S3450" s="34"/>
    </row>
    <row r="3451" spans="14:19">
      <c r="N3451" s="34"/>
      <c r="O3451" s="34"/>
      <c r="P3451" s="34"/>
      <c r="Q3451" s="34"/>
      <c r="R3451" s="34"/>
      <c r="S3451" s="34"/>
    </row>
    <row r="3452" spans="14:19">
      <c r="N3452" s="34"/>
      <c r="O3452" s="34"/>
      <c r="P3452" s="34"/>
      <c r="Q3452" s="34"/>
      <c r="R3452" s="34"/>
      <c r="S3452" s="34"/>
    </row>
    <row r="3453" spans="14:19">
      <c r="N3453" s="34"/>
      <c r="O3453" s="34"/>
      <c r="P3453" s="34"/>
      <c r="Q3453" s="34"/>
      <c r="R3453" s="34"/>
      <c r="S3453" s="34"/>
    </row>
    <row r="3454" spans="14:19">
      <c r="N3454" s="34"/>
      <c r="O3454" s="34"/>
      <c r="P3454" s="34"/>
      <c r="Q3454" s="34"/>
      <c r="R3454" s="34"/>
      <c r="S3454" s="34"/>
    </row>
    <row r="3455" spans="14:19">
      <c r="N3455" s="34"/>
      <c r="O3455" s="34"/>
      <c r="P3455" s="34"/>
      <c r="Q3455" s="34"/>
      <c r="R3455" s="34"/>
      <c r="S3455" s="34"/>
    </row>
    <row r="3456" spans="14:19">
      <c r="N3456" s="34"/>
      <c r="O3456" s="34"/>
      <c r="P3456" s="34"/>
      <c r="Q3456" s="34"/>
      <c r="R3456" s="34"/>
      <c r="S3456" s="34"/>
    </row>
    <row r="3457" spans="14:19">
      <c r="N3457" s="34"/>
      <c r="O3457" s="34"/>
      <c r="P3457" s="34"/>
      <c r="Q3457" s="34"/>
      <c r="R3457" s="34"/>
      <c r="S3457" s="34"/>
    </row>
    <row r="3458" spans="14:19">
      <c r="N3458" s="34"/>
      <c r="O3458" s="34"/>
      <c r="P3458" s="34"/>
      <c r="Q3458" s="34"/>
      <c r="R3458" s="34"/>
      <c r="S3458" s="34"/>
    </row>
    <row r="3459" spans="14:19">
      <c r="N3459" s="34"/>
      <c r="O3459" s="34"/>
      <c r="P3459" s="34"/>
      <c r="Q3459" s="34"/>
      <c r="R3459" s="34"/>
      <c r="S3459" s="34"/>
    </row>
    <row r="3460" spans="14:19">
      <c r="N3460" s="34"/>
      <c r="O3460" s="34"/>
      <c r="P3460" s="34"/>
      <c r="Q3460" s="34"/>
      <c r="R3460" s="34"/>
      <c r="S3460" s="34"/>
    </row>
    <row r="3461" spans="14:19">
      <c r="N3461" s="34"/>
      <c r="O3461" s="34"/>
      <c r="P3461" s="34"/>
      <c r="Q3461" s="34"/>
      <c r="R3461" s="34"/>
      <c r="S3461" s="34"/>
    </row>
    <row r="3462" spans="14:19">
      <c r="N3462" s="34"/>
      <c r="O3462" s="34"/>
      <c r="P3462" s="34"/>
      <c r="Q3462" s="34"/>
      <c r="R3462" s="34"/>
      <c r="S3462" s="34"/>
    </row>
    <row r="3463" spans="14:19">
      <c r="N3463" s="34"/>
      <c r="O3463" s="34"/>
      <c r="P3463" s="34"/>
      <c r="Q3463" s="34"/>
      <c r="R3463" s="34"/>
      <c r="S3463" s="34"/>
    </row>
    <row r="3464" spans="14:19">
      <c r="N3464" s="34"/>
      <c r="O3464" s="34"/>
      <c r="P3464" s="34"/>
      <c r="Q3464" s="34"/>
      <c r="R3464" s="34"/>
      <c r="S3464" s="34"/>
    </row>
    <row r="3465" spans="14:19">
      <c r="N3465" s="34"/>
      <c r="O3465" s="34"/>
      <c r="P3465" s="34"/>
      <c r="Q3465" s="34"/>
      <c r="R3465" s="34"/>
      <c r="S3465" s="34"/>
    </row>
    <row r="3466" spans="14:19">
      <c r="N3466" s="34"/>
      <c r="O3466" s="34"/>
      <c r="P3466" s="34"/>
      <c r="Q3466" s="34"/>
      <c r="R3466" s="34"/>
      <c r="S3466" s="34"/>
    </row>
    <row r="3467" spans="14:19">
      <c r="N3467" s="34"/>
      <c r="O3467" s="34"/>
      <c r="P3467" s="34"/>
      <c r="Q3467" s="34"/>
      <c r="R3467" s="34"/>
      <c r="S3467" s="34"/>
    </row>
    <row r="3468" spans="14:19">
      <c r="N3468" s="34"/>
      <c r="O3468" s="34"/>
      <c r="P3468" s="34"/>
      <c r="Q3468" s="34"/>
      <c r="R3468" s="34"/>
      <c r="S3468" s="34"/>
    </row>
    <row r="3469" spans="14:19">
      <c r="N3469" s="34"/>
      <c r="O3469" s="34"/>
      <c r="P3469" s="34"/>
      <c r="Q3469" s="34"/>
      <c r="R3469" s="34"/>
      <c r="S3469" s="34"/>
    </row>
    <row r="3470" spans="14:19">
      <c r="N3470" s="34"/>
      <c r="O3470" s="34"/>
      <c r="P3470" s="34"/>
      <c r="Q3470" s="34"/>
      <c r="R3470" s="34"/>
      <c r="S3470" s="34"/>
    </row>
    <row r="3471" spans="14:19">
      <c r="N3471" s="34"/>
      <c r="O3471" s="34"/>
      <c r="P3471" s="34"/>
      <c r="Q3471" s="34"/>
      <c r="R3471" s="34"/>
      <c r="S3471" s="34"/>
    </row>
    <row r="3472" spans="14:19">
      <c r="N3472" s="34"/>
      <c r="O3472" s="34"/>
      <c r="P3472" s="34"/>
      <c r="Q3472" s="34"/>
      <c r="R3472" s="34"/>
      <c r="S3472" s="34"/>
    </row>
    <row r="3473" spans="14:19">
      <c r="N3473" s="34"/>
      <c r="O3473" s="34"/>
      <c r="P3473" s="34"/>
      <c r="Q3473" s="34"/>
      <c r="R3473" s="34"/>
      <c r="S3473" s="34"/>
    </row>
    <row r="3474" spans="14:19">
      <c r="N3474" s="34"/>
      <c r="O3474" s="34"/>
      <c r="P3474" s="34"/>
      <c r="Q3474" s="34"/>
      <c r="R3474" s="34"/>
      <c r="S3474" s="34"/>
    </row>
    <row r="3475" spans="14:19">
      <c r="N3475" s="34"/>
      <c r="O3475" s="34"/>
      <c r="P3475" s="34"/>
      <c r="Q3475" s="34"/>
      <c r="R3475" s="34"/>
      <c r="S3475" s="34"/>
    </row>
    <row r="3476" spans="14:19">
      <c r="N3476" s="34"/>
      <c r="O3476" s="34"/>
      <c r="P3476" s="34"/>
      <c r="Q3476" s="34"/>
      <c r="R3476" s="34"/>
      <c r="S3476" s="34"/>
    </row>
    <row r="3477" spans="14:19">
      <c r="N3477" s="34"/>
      <c r="O3477" s="34"/>
      <c r="P3477" s="34"/>
      <c r="Q3477" s="34"/>
      <c r="R3477" s="34"/>
      <c r="S3477" s="34"/>
    </row>
    <row r="3478" spans="14:19">
      <c r="N3478" s="34"/>
      <c r="O3478" s="34"/>
      <c r="P3478" s="34"/>
      <c r="Q3478" s="34"/>
      <c r="R3478" s="34"/>
      <c r="S3478" s="34"/>
    </row>
    <row r="3479" spans="14:19">
      <c r="N3479" s="34"/>
      <c r="O3479" s="34"/>
      <c r="P3479" s="34"/>
      <c r="Q3479" s="34"/>
      <c r="R3479" s="34"/>
      <c r="S3479" s="34"/>
    </row>
    <row r="3480" spans="14:19">
      <c r="N3480" s="34"/>
      <c r="O3480" s="34"/>
      <c r="P3480" s="34"/>
      <c r="Q3480" s="34"/>
      <c r="R3480" s="34"/>
      <c r="S3480" s="34"/>
    </row>
    <row r="3481" spans="14:19">
      <c r="N3481" s="34"/>
      <c r="O3481" s="34"/>
      <c r="P3481" s="34"/>
      <c r="Q3481" s="34"/>
      <c r="R3481" s="34"/>
      <c r="S3481" s="34"/>
    </row>
    <row r="3482" spans="14:19">
      <c r="N3482" s="34"/>
      <c r="O3482" s="34"/>
      <c r="P3482" s="34"/>
      <c r="Q3482" s="34"/>
      <c r="R3482" s="34"/>
      <c r="S3482" s="34"/>
    </row>
    <row r="3483" spans="14:19">
      <c r="N3483" s="34"/>
      <c r="O3483" s="34"/>
      <c r="P3483" s="34"/>
      <c r="Q3483" s="34"/>
      <c r="R3483" s="34"/>
      <c r="S3483" s="34"/>
    </row>
    <row r="3484" spans="14:19">
      <c r="N3484" s="34"/>
      <c r="O3484" s="34"/>
      <c r="P3484" s="34"/>
      <c r="Q3484" s="34"/>
      <c r="R3484" s="34"/>
      <c r="S3484" s="34"/>
    </row>
    <row r="3485" spans="14:19">
      <c r="N3485" s="34"/>
      <c r="O3485" s="34"/>
      <c r="P3485" s="34"/>
      <c r="Q3485" s="34"/>
      <c r="R3485" s="34"/>
      <c r="S3485" s="34"/>
    </row>
    <row r="3486" spans="14:19">
      <c r="N3486" s="34"/>
      <c r="O3486" s="34"/>
      <c r="P3486" s="34"/>
      <c r="Q3486" s="34"/>
      <c r="R3486" s="34"/>
      <c r="S3486" s="34"/>
    </row>
    <row r="3487" spans="14:19">
      <c r="N3487" s="34"/>
      <c r="O3487" s="34"/>
      <c r="P3487" s="34"/>
      <c r="Q3487" s="34"/>
      <c r="R3487" s="34"/>
      <c r="S3487" s="34"/>
    </row>
    <row r="3488" spans="14:19">
      <c r="N3488" s="34"/>
      <c r="O3488" s="34"/>
      <c r="P3488" s="34"/>
      <c r="Q3488" s="34"/>
      <c r="R3488" s="34"/>
      <c r="S3488" s="34"/>
    </row>
    <row r="3489" spans="14:19">
      <c r="N3489" s="34"/>
      <c r="O3489" s="34"/>
      <c r="P3489" s="34"/>
      <c r="Q3489" s="34"/>
      <c r="R3489" s="34"/>
      <c r="S3489" s="34"/>
    </row>
    <row r="3490" spans="14:19">
      <c r="N3490" s="34"/>
      <c r="O3490" s="34"/>
      <c r="P3490" s="34"/>
      <c r="Q3490" s="34"/>
      <c r="R3490" s="34"/>
      <c r="S3490" s="34"/>
    </row>
    <row r="3491" spans="14:19">
      <c r="N3491" s="34"/>
      <c r="O3491" s="34"/>
      <c r="P3491" s="34"/>
      <c r="Q3491" s="34"/>
      <c r="R3491" s="34"/>
      <c r="S3491" s="34"/>
    </row>
    <row r="3492" spans="14:19">
      <c r="N3492" s="34"/>
      <c r="O3492" s="34"/>
      <c r="P3492" s="34"/>
      <c r="Q3492" s="34"/>
      <c r="R3492" s="34"/>
      <c r="S3492" s="34"/>
    </row>
    <row r="3493" spans="14:19">
      <c r="N3493" s="34"/>
      <c r="O3493" s="34"/>
      <c r="P3493" s="34"/>
      <c r="Q3493" s="34"/>
      <c r="R3493" s="34"/>
      <c r="S3493" s="34"/>
    </row>
    <row r="3494" spans="14:19">
      <c r="N3494" s="34"/>
      <c r="O3494" s="34"/>
      <c r="P3494" s="34"/>
      <c r="Q3494" s="34"/>
      <c r="R3494" s="34"/>
      <c r="S3494" s="34"/>
    </row>
    <row r="3495" spans="14:19">
      <c r="N3495" s="34"/>
      <c r="O3495" s="34"/>
      <c r="P3495" s="34"/>
      <c r="Q3495" s="34"/>
      <c r="R3495" s="34"/>
      <c r="S3495" s="34"/>
    </row>
    <row r="3496" spans="14:19">
      <c r="N3496" s="34"/>
      <c r="O3496" s="34"/>
      <c r="P3496" s="34"/>
      <c r="Q3496" s="34"/>
      <c r="R3496" s="34"/>
      <c r="S3496" s="34"/>
    </row>
    <row r="3497" spans="14:19">
      <c r="N3497" s="34"/>
      <c r="O3497" s="34"/>
      <c r="P3497" s="34"/>
      <c r="Q3497" s="34"/>
      <c r="R3497" s="34"/>
      <c r="S3497" s="34"/>
    </row>
    <row r="3498" spans="14:19">
      <c r="N3498" s="34"/>
      <c r="O3498" s="34"/>
      <c r="P3498" s="34"/>
      <c r="Q3498" s="34"/>
      <c r="R3498" s="34"/>
      <c r="S3498" s="34"/>
    </row>
    <row r="3499" spans="14:19">
      <c r="N3499" s="34"/>
      <c r="O3499" s="34"/>
      <c r="P3499" s="34"/>
      <c r="Q3499" s="34"/>
      <c r="R3499" s="34"/>
      <c r="S3499" s="34"/>
    </row>
    <row r="3500" spans="14:19">
      <c r="N3500" s="34"/>
      <c r="O3500" s="34"/>
      <c r="P3500" s="34"/>
      <c r="Q3500" s="34"/>
      <c r="R3500" s="34"/>
      <c r="S3500" s="34"/>
    </row>
    <row r="3501" spans="14:19">
      <c r="N3501" s="34"/>
      <c r="O3501" s="34"/>
      <c r="P3501" s="34"/>
      <c r="Q3501" s="34"/>
      <c r="R3501" s="34"/>
      <c r="S3501" s="34"/>
    </row>
    <row r="3502" spans="14:19">
      <c r="N3502" s="34"/>
      <c r="O3502" s="34"/>
      <c r="P3502" s="34"/>
      <c r="Q3502" s="34"/>
      <c r="R3502" s="34"/>
      <c r="S3502" s="34"/>
    </row>
    <row r="3503" spans="14:19">
      <c r="N3503" s="34"/>
      <c r="O3503" s="34"/>
      <c r="P3503" s="34"/>
      <c r="Q3503" s="34"/>
      <c r="R3503" s="34"/>
      <c r="S3503" s="34"/>
    </row>
    <row r="3504" spans="14:19">
      <c r="N3504" s="34"/>
      <c r="O3504" s="34"/>
      <c r="P3504" s="34"/>
      <c r="Q3504" s="34"/>
      <c r="R3504" s="34"/>
      <c r="S3504" s="34"/>
    </row>
    <row r="3505" spans="14:19">
      <c r="N3505" s="34"/>
      <c r="O3505" s="34"/>
      <c r="P3505" s="34"/>
      <c r="Q3505" s="34"/>
      <c r="R3505" s="34"/>
      <c r="S3505" s="34"/>
    </row>
    <row r="3506" spans="14:19">
      <c r="N3506" s="34"/>
      <c r="O3506" s="34"/>
      <c r="P3506" s="34"/>
      <c r="Q3506" s="34"/>
      <c r="R3506" s="34"/>
      <c r="S3506" s="34"/>
    </row>
    <row r="3507" spans="14:19">
      <c r="N3507" s="34"/>
      <c r="O3507" s="34"/>
      <c r="P3507" s="34"/>
      <c r="Q3507" s="34"/>
      <c r="R3507" s="34"/>
      <c r="S3507" s="34"/>
    </row>
    <row r="3508" spans="14:19">
      <c r="N3508" s="34"/>
      <c r="O3508" s="34"/>
      <c r="P3508" s="34"/>
      <c r="Q3508" s="34"/>
      <c r="R3508" s="34"/>
      <c r="S3508" s="34"/>
    </row>
    <row r="3509" spans="14:19">
      <c r="N3509" s="34"/>
      <c r="O3509" s="34"/>
      <c r="P3509" s="34"/>
      <c r="Q3509" s="34"/>
      <c r="R3509" s="34"/>
      <c r="S3509" s="34"/>
    </row>
    <row r="3510" spans="14:19">
      <c r="N3510" s="34"/>
      <c r="O3510" s="34"/>
      <c r="P3510" s="34"/>
      <c r="Q3510" s="34"/>
      <c r="R3510" s="34"/>
      <c r="S3510" s="34"/>
    </row>
    <row r="3511" spans="14:19">
      <c r="N3511" s="34"/>
      <c r="O3511" s="34"/>
      <c r="P3511" s="34"/>
      <c r="Q3511" s="34"/>
      <c r="R3511" s="34"/>
      <c r="S3511" s="34"/>
    </row>
    <row r="3512" spans="14:19">
      <c r="N3512" s="34"/>
      <c r="O3512" s="34"/>
      <c r="P3512" s="34"/>
      <c r="Q3512" s="34"/>
      <c r="R3512" s="34"/>
      <c r="S3512" s="34"/>
    </row>
    <row r="3513" spans="14:19">
      <c r="N3513" s="34"/>
      <c r="O3513" s="34"/>
      <c r="P3513" s="34"/>
      <c r="Q3513" s="34"/>
      <c r="R3513" s="34"/>
      <c r="S3513" s="34"/>
    </row>
    <row r="3514" spans="14:19">
      <c r="N3514" s="34"/>
      <c r="O3514" s="34"/>
      <c r="P3514" s="34"/>
      <c r="Q3514" s="34"/>
      <c r="R3514" s="34"/>
      <c r="S3514" s="34"/>
    </row>
    <row r="3515" spans="14:19">
      <c r="N3515" s="34"/>
      <c r="O3515" s="34"/>
      <c r="P3515" s="34"/>
      <c r="Q3515" s="34"/>
      <c r="R3515" s="34"/>
      <c r="S3515" s="34"/>
    </row>
    <row r="3516" spans="14:19">
      <c r="N3516" s="34"/>
      <c r="O3516" s="34"/>
      <c r="P3516" s="34"/>
      <c r="Q3516" s="34"/>
      <c r="R3516" s="34"/>
      <c r="S3516" s="34"/>
    </row>
    <row r="3517" spans="14:19">
      <c r="N3517" s="34"/>
      <c r="O3517" s="34"/>
      <c r="P3517" s="34"/>
      <c r="Q3517" s="34"/>
      <c r="R3517" s="34"/>
      <c r="S3517" s="34"/>
    </row>
    <row r="3518" spans="14:19">
      <c r="N3518" s="34"/>
      <c r="O3518" s="34"/>
      <c r="P3518" s="34"/>
      <c r="Q3518" s="34"/>
      <c r="R3518" s="34"/>
      <c r="S3518" s="34"/>
    </row>
    <row r="3519" spans="14:19">
      <c r="N3519" s="34"/>
      <c r="O3519" s="34"/>
      <c r="P3519" s="34"/>
      <c r="Q3519" s="34"/>
      <c r="R3519" s="34"/>
      <c r="S3519" s="34"/>
    </row>
    <row r="3520" spans="14:19">
      <c r="N3520" s="34"/>
      <c r="O3520" s="34"/>
      <c r="P3520" s="34"/>
      <c r="Q3520" s="34"/>
      <c r="R3520" s="34"/>
      <c r="S3520" s="34"/>
    </row>
    <row r="3521" spans="14:19">
      <c r="N3521" s="34"/>
      <c r="O3521" s="34"/>
      <c r="P3521" s="34"/>
      <c r="Q3521" s="34"/>
      <c r="R3521" s="34"/>
      <c r="S3521" s="34"/>
    </row>
    <row r="3522" spans="14:19">
      <c r="N3522" s="34"/>
      <c r="O3522" s="34"/>
      <c r="P3522" s="34"/>
      <c r="Q3522" s="34"/>
      <c r="R3522" s="34"/>
      <c r="S3522" s="34"/>
    </row>
    <row r="3523" spans="14:19">
      <c r="N3523" s="34"/>
      <c r="O3523" s="34"/>
      <c r="P3523" s="34"/>
      <c r="Q3523" s="34"/>
      <c r="R3523" s="34"/>
      <c r="S3523" s="34"/>
    </row>
    <row r="3524" spans="14:19">
      <c r="N3524" s="34"/>
      <c r="O3524" s="34"/>
      <c r="P3524" s="34"/>
      <c r="Q3524" s="34"/>
      <c r="R3524" s="34"/>
      <c r="S3524" s="34"/>
    </row>
    <row r="3525" spans="14:19">
      <c r="N3525" s="34"/>
      <c r="O3525" s="34"/>
      <c r="P3525" s="34"/>
      <c r="Q3525" s="34"/>
      <c r="R3525" s="34"/>
      <c r="S3525" s="34"/>
    </row>
    <row r="3526" spans="14:19">
      <c r="N3526" s="34"/>
      <c r="O3526" s="34"/>
      <c r="P3526" s="34"/>
      <c r="Q3526" s="34"/>
      <c r="R3526" s="34"/>
      <c r="S3526" s="34"/>
    </row>
    <row r="3527" spans="14:19">
      <c r="N3527" s="34"/>
      <c r="O3527" s="34"/>
      <c r="P3527" s="34"/>
      <c r="Q3527" s="34"/>
      <c r="R3527" s="34"/>
      <c r="S3527" s="34"/>
    </row>
    <row r="3528" spans="14:19">
      <c r="N3528" s="34"/>
      <c r="O3528" s="34"/>
      <c r="P3528" s="34"/>
      <c r="Q3528" s="34"/>
      <c r="R3528" s="34"/>
      <c r="S3528" s="34"/>
    </row>
    <row r="3529" spans="14:19">
      <c r="N3529" s="34"/>
      <c r="O3529" s="34"/>
      <c r="P3529" s="34"/>
      <c r="Q3529" s="34"/>
      <c r="R3529" s="34"/>
      <c r="S3529" s="34"/>
    </row>
    <row r="3530" spans="14:19">
      <c r="N3530" s="34"/>
      <c r="O3530" s="34"/>
      <c r="P3530" s="34"/>
      <c r="Q3530" s="34"/>
      <c r="R3530" s="34"/>
      <c r="S3530" s="34"/>
    </row>
    <row r="3531" spans="14:19">
      <c r="N3531" s="34"/>
      <c r="O3531" s="34"/>
      <c r="P3531" s="34"/>
      <c r="Q3531" s="34"/>
      <c r="R3531" s="34"/>
      <c r="S3531" s="34"/>
    </row>
    <row r="3532" spans="14:19">
      <c r="N3532" s="34"/>
      <c r="O3532" s="34"/>
      <c r="P3532" s="34"/>
      <c r="Q3532" s="34"/>
      <c r="R3532" s="34"/>
      <c r="S3532" s="34"/>
    </row>
    <row r="3533" spans="14:19">
      <c r="N3533" s="34"/>
      <c r="O3533" s="34"/>
      <c r="P3533" s="34"/>
      <c r="Q3533" s="34"/>
      <c r="R3533" s="34"/>
      <c r="S3533" s="34"/>
    </row>
    <row r="3534" spans="14:19">
      <c r="N3534" s="34"/>
      <c r="O3534" s="34"/>
      <c r="P3534" s="34"/>
      <c r="Q3534" s="34"/>
      <c r="R3534" s="34"/>
      <c r="S3534" s="34"/>
    </row>
    <row r="3535" spans="14:19">
      <c r="N3535" s="34"/>
      <c r="O3535" s="34"/>
      <c r="P3535" s="34"/>
      <c r="Q3535" s="34"/>
      <c r="R3535" s="34"/>
      <c r="S3535" s="34"/>
    </row>
    <row r="3536" spans="14:19">
      <c r="N3536" s="34"/>
      <c r="O3536" s="34"/>
      <c r="P3536" s="34"/>
      <c r="Q3536" s="34"/>
      <c r="R3536" s="34"/>
      <c r="S3536" s="34"/>
    </row>
    <row r="3537" spans="14:19">
      <c r="N3537" s="34"/>
      <c r="O3537" s="34"/>
      <c r="P3537" s="34"/>
      <c r="Q3537" s="34"/>
      <c r="R3537" s="34"/>
      <c r="S3537" s="34"/>
    </row>
    <row r="3538" spans="14:19">
      <c r="N3538" s="34"/>
      <c r="O3538" s="34"/>
      <c r="P3538" s="34"/>
      <c r="Q3538" s="34"/>
      <c r="R3538" s="34"/>
      <c r="S3538" s="34"/>
    </row>
    <row r="3539" spans="14:19">
      <c r="N3539" s="34"/>
      <c r="O3539" s="34"/>
      <c r="P3539" s="34"/>
      <c r="Q3539" s="34"/>
      <c r="R3539" s="34"/>
      <c r="S3539" s="34"/>
    </row>
    <row r="3540" spans="14:19">
      <c r="N3540" s="34"/>
      <c r="O3540" s="34"/>
      <c r="P3540" s="34"/>
      <c r="Q3540" s="34"/>
      <c r="R3540" s="34"/>
      <c r="S3540" s="34"/>
    </row>
    <row r="3541" spans="14:19">
      <c r="N3541" s="34"/>
      <c r="O3541" s="34"/>
      <c r="P3541" s="34"/>
      <c r="Q3541" s="34"/>
      <c r="R3541" s="34"/>
      <c r="S3541" s="34"/>
    </row>
    <row r="3542" spans="14:19">
      <c r="N3542" s="34"/>
      <c r="O3542" s="34"/>
      <c r="P3542" s="34"/>
      <c r="Q3542" s="34"/>
      <c r="R3542" s="34"/>
      <c r="S3542" s="34"/>
    </row>
    <row r="3543" spans="14:19">
      <c r="N3543" s="34"/>
      <c r="O3543" s="34"/>
      <c r="P3543" s="34"/>
      <c r="Q3543" s="34"/>
      <c r="R3543" s="34"/>
      <c r="S3543" s="34"/>
    </row>
    <row r="3544" spans="14:19">
      <c r="N3544" s="34"/>
      <c r="O3544" s="34"/>
      <c r="P3544" s="34"/>
      <c r="Q3544" s="34"/>
      <c r="R3544" s="34"/>
      <c r="S3544" s="34"/>
    </row>
    <row r="3545" spans="14:19">
      <c r="N3545" s="34"/>
      <c r="O3545" s="34"/>
      <c r="P3545" s="34"/>
      <c r="Q3545" s="34"/>
      <c r="R3545" s="34"/>
      <c r="S3545" s="34"/>
    </row>
    <row r="3546" spans="14:19">
      <c r="N3546" s="34"/>
      <c r="O3546" s="34"/>
      <c r="P3546" s="34"/>
      <c r="Q3546" s="34"/>
      <c r="R3546" s="34"/>
      <c r="S3546" s="34"/>
    </row>
    <row r="3547" spans="14:19">
      <c r="N3547" s="34"/>
      <c r="O3547" s="34"/>
      <c r="P3547" s="34"/>
      <c r="Q3547" s="34"/>
      <c r="R3547" s="34"/>
      <c r="S3547" s="34"/>
    </row>
    <row r="3548" spans="14:19">
      <c r="N3548" s="34"/>
      <c r="O3548" s="34"/>
      <c r="P3548" s="34"/>
      <c r="Q3548" s="34"/>
      <c r="R3548" s="34"/>
      <c r="S3548" s="34"/>
    </row>
    <row r="3549" spans="14:19">
      <c r="N3549" s="34"/>
      <c r="O3549" s="34"/>
      <c r="P3549" s="34"/>
      <c r="Q3549" s="34"/>
      <c r="R3549" s="34"/>
      <c r="S3549" s="34"/>
    </row>
    <row r="3550" spans="14:19">
      <c r="N3550" s="34"/>
      <c r="O3550" s="34"/>
      <c r="P3550" s="34"/>
      <c r="Q3550" s="34"/>
      <c r="R3550" s="34"/>
      <c r="S3550" s="34"/>
    </row>
    <row r="3551" spans="14:19">
      <c r="N3551" s="34"/>
      <c r="O3551" s="34"/>
      <c r="P3551" s="34"/>
      <c r="Q3551" s="34"/>
      <c r="R3551" s="34"/>
      <c r="S3551" s="34"/>
    </row>
    <row r="3552" spans="14:19">
      <c r="N3552" s="34"/>
      <c r="O3552" s="34"/>
      <c r="P3552" s="34"/>
      <c r="Q3552" s="34"/>
      <c r="R3552" s="34"/>
      <c r="S3552" s="34"/>
    </row>
    <row r="3553" spans="14:19">
      <c r="N3553" s="34"/>
      <c r="O3553" s="34"/>
      <c r="P3553" s="34"/>
      <c r="Q3553" s="34"/>
      <c r="R3553" s="34"/>
      <c r="S3553" s="34"/>
    </row>
    <row r="3554" spans="14:19">
      <c r="N3554" s="34"/>
      <c r="O3554" s="34"/>
      <c r="P3554" s="34"/>
      <c r="Q3554" s="34"/>
      <c r="R3554" s="34"/>
      <c r="S3554" s="34"/>
    </row>
    <row r="3555" spans="14:19">
      <c r="N3555" s="34"/>
      <c r="O3555" s="34"/>
      <c r="P3555" s="34"/>
      <c r="Q3555" s="34"/>
      <c r="R3555" s="34"/>
      <c r="S3555" s="34"/>
    </row>
    <row r="3556" spans="14:19">
      <c r="N3556" s="34"/>
      <c r="O3556" s="34"/>
      <c r="P3556" s="34"/>
      <c r="Q3556" s="34"/>
      <c r="R3556" s="34"/>
      <c r="S3556" s="34"/>
    </row>
    <row r="3557" spans="14:19">
      <c r="N3557" s="34"/>
      <c r="O3557" s="34"/>
      <c r="P3557" s="34"/>
      <c r="Q3557" s="34"/>
      <c r="R3557" s="34"/>
      <c r="S3557" s="34"/>
    </row>
    <row r="3558" spans="14:19">
      <c r="N3558" s="34"/>
      <c r="O3558" s="34"/>
      <c r="P3558" s="34"/>
      <c r="Q3558" s="34"/>
      <c r="R3558" s="34"/>
      <c r="S3558" s="34"/>
    </row>
    <row r="3559" spans="14:19">
      <c r="N3559" s="34"/>
      <c r="O3559" s="34"/>
      <c r="P3559" s="34"/>
      <c r="Q3559" s="34"/>
      <c r="R3559" s="34"/>
      <c r="S3559" s="34"/>
    </row>
    <row r="3560" spans="14:19">
      <c r="N3560" s="34"/>
      <c r="O3560" s="34"/>
      <c r="P3560" s="34"/>
      <c r="Q3560" s="34"/>
      <c r="R3560" s="34"/>
      <c r="S3560" s="34"/>
    </row>
    <row r="3561" spans="14:19">
      <c r="N3561" s="34"/>
      <c r="O3561" s="34"/>
      <c r="P3561" s="34"/>
      <c r="Q3561" s="34"/>
      <c r="R3561" s="34"/>
      <c r="S3561" s="34"/>
    </row>
    <row r="3562" spans="14:19">
      <c r="N3562" s="34"/>
      <c r="O3562" s="34"/>
      <c r="P3562" s="34"/>
      <c r="Q3562" s="34"/>
      <c r="R3562" s="34"/>
      <c r="S3562" s="34"/>
    </row>
    <row r="3563" spans="14:19">
      <c r="N3563" s="34"/>
      <c r="O3563" s="34"/>
      <c r="P3563" s="34"/>
      <c r="Q3563" s="34"/>
      <c r="R3563" s="34"/>
      <c r="S3563" s="34"/>
    </row>
    <row r="3564" spans="14:19">
      <c r="N3564" s="34"/>
      <c r="O3564" s="34"/>
      <c r="P3564" s="34"/>
      <c r="Q3564" s="34"/>
      <c r="R3564" s="34"/>
      <c r="S3564" s="34"/>
    </row>
    <row r="3565" spans="14:19">
      <c r="N3565" s="34"/>
      <c r="O3565" s="34"/>
      <c r="P3565" s="34"/>
      <c r="Q3565" s="34"/>
      <c r="R3565" s="34"/>
      <c r="S3565" s="34"/>
    </row>
    <row r="3566" spans="14:19">
      <c r="N3566" s="34"/>
      <c r="O3566" s="34"/>
      <c r="P3566" s="34"/>
      <c r="Q3566" s="34"/>
      <c r="R3566" s="34"/>
      <c r="S3566" s="34"/>
    </row>
    <row r="3567" spans="14:19">
      <c r="N3567" s="34"/>
      <c r="O3567" s="34"/>
      <c r="P3567" s="34"/>
      <c r="Q3567" s="34"/>
      <c r="R3567" s="34"/>
      <c r="S3567" s="34"/>
    </row>
    <row r="3568" spans="14:19">
      <c r="N3568" s="34"/>
      <c r="O3568" s="34"/>
      <c r="P3568" s="34"/>
      <c r="Q3568" s="34"/>
      <c r="R3568" s="34"/>
      <c r="S3568" s="34"/>
    </row>
    <row r="3569" spans="14:19">
      <c r="N3569" s="34"/>
      <c r="O3569" s="34"/>
      <c r="P3569" s="34"/>
      <c r="Q3569" s="34"/>
      <c r="R3569" s="34"/>
      <c r="S3569" s="34"/>
    </row>
    <row r="3570" spans="14:19">
      <c r="N3570" s="34"/>
      <c r="O3570" s="34"/>
      <c r="P3570" s="34"/>
      <c r="Q3570" s="34"/>
      <c r="R3570" s="34"/>
      <c r="S3570" s="34"/>
    </row>
    <row r="3571" spans="14:19">
      <c r="N3571" s="34"/>
      <c r="O3571" s="34"/>
      <c r="P3571" s="34"/>
      <c r="Q3571" s="34"/>
      <c r="R3571" s="34"/>
      <c r="S3571" s="34"/>
    </row>
    <row r="3572" spans="14:19">
      <c r="N3572" s="34"/>
      <c r="O3572" s="34"/>
      <c r="P3572" s="34"/>
      <c r="Q3572" s="34"/>
      <c r="R3572" s="34"/>
      <c r="S3572" s="34"/>
    </row>
    <row r="3573" spans="14:19">
      <c r="N3573" s="34"/>
      <c r="O3573" s="34"/>
      <c r="P3573" s="34"/>
      <c r="Q3573" s="34"/>
      <c r="R3573" s="34"/>
      <c r="S3573" s="34"/>
    </row>
    <row r="3574" spans="14:19">
      <c r="N3574" s="34"/>
      <c r="O3574" s="34"/>
      <c r="P3574" s="34"/>
      <c r="Q3574" s="34"/>
      <c r="R3574" s="34"/>
      <c r="S3574" s="34"/>
    </row>
    <row r="3575" spans="14:19">
      <c r="N3575" s="34"/>
      <c r="O3575" s="34"/>
      <c r="P3575" s="34"/>
      <c r="Q3575" s="34"/>
      <c r="R3575" s="34"/>
      <c r="S3575" s="34"/>
    </row>
    <row r="3576" spans="14:19">
      <c r="N3576" s="34"/>
      <c r="O3576" s="34"/>
      <c r="P3576" s="34"/>
      <c r="Q3576" s="34"/>
      <c r="R3576" s="34"/>
      <c r="S3576" s="34"/>
    </row>
    <row r="3577" spans="14:19">
      <c r="N3577" s="34"/>
      <c r="O3577" s="34"/>
      <c r="P3577" s="34"/>
      <c r="Q3577" s="34"/>
      <c r="R3577" s="34"/>
      <c r="S3577" s="34"/>
    </row>
    <row r="3578" spans="14:19">
      <c r="N3578" s="34"/>
      <c r="O3578" s="34"/>
      <c r="P3578" s="34"/>
      <c r="Q3578" s="34"/>
      <c r="R3578" s="34"/>
      <c r="S3578" s="34"/>
    </row>
    <row r="3579" spans="14:19">
      <c r="N3579" s="34"/>
      <c r="O3579" s="34"/>
      <c r="P3579" s="34"/>
      <c r="Q3579" s="34"/>
      <c r="R3579" s="34"/>
      <c r="S3579" s="34"/>
    </row>
    <row r="3580" spans="14:19">
      <c r="N3580" s="34"/>
      <c r="O3580" s="34"/>
      <c r="P3580" s="34"/>
      <c r="Q3580" s="34"/>
      <c r="R3580" s="34"/>
      <c r="S3580" s="34"/>
    </row>
    <row r="3581" spans="14:19">
      <c r="N3581" s="34"/>
      <c r="O3581" s="34"/>
      <c r="P3581" s="34"/>
      <c r="Q3581" s="34"/>
      <c r="R3581" s="34"/>
      <c r="S3581" s="34"/>
    </row>
    <row r="3582" spans="14:19">
      <c r="N3582" s="34"/>
      <c r="O3582" s="34"/>
      <c r="P3582" s="34"/>
      <c r="Q3582" s="34"/>
      <c r="R3582" s="34"/>
      <c r="S3582" s="34"/>
    </row>
    <row r="3583" spans="14:19">
      <c r="N3583" s="34"/>
      <c r="O3583" s="34"/>
      <c r="P3583" s="34"/>
      <c r="Q3583" s="34"/>
      <c r="R3583" s="34"/>
      <c r="S3583" s="34"/>
    </row>
    <row r="3584" spans="14:19">
      <c r="N3584" s="34"/>
      <c r="O3584" s="34"/>
      <c r="P3584" s="34"/>
      <c r="Q3584" s="34"/>
      <c r="R3584" s="34"/>
      <c r="S3584" s="34"/>
    </row>
    <row r="3585" spans="14:19">
      <c r="N3585" s="34"/>
      <c r="O3585" s="34"/>
      <c r="P3585" s="34"/>
      <c r="Q3585" s="34"/>
      <c r="R3585" s="34"/>
      <c r="S3585" s="34"/>
    </row>
    <row r="3586" spans="14:19">
      <c r="N3586" s="34"/>
      <c r="O3586" s="34"/>
      <c r="P3586" s="34"/>
      <c r="Q3586" s="34"/>
      <c r="R3586" s="34"/>
      <c r="S3586" s="34"/>
    </row>
    <row r="3587" spans="14:19">
      <c r="N3587" s="34"/>
      <c r="O3587" s="34"/>
      <c r="P3587" s="34"/>
      <c r="Q3587" s="34"/>
      <c r="R3587" s="34"/>
      <c r="S3587" s="34"/>
    </row>
    <row r="3588" spans="14:19">
      <c r="N3588" s="34"/>
      <c r="O3588" s="34"/>
      <c r="P3588" s="34"/>
      <c r="Q3588" s="34"/>
      <c r="R3588" s="34"/>
      <c r="S3588" s="34"/>
    </row>
    <row r="3589" spans="14:19">
      <c r="N3589" s="34"/>
      <c r="O3589" s="34"/>
      <c r="P3589" s="34"/>
      <c r="Q3589" s="34"/>
      <c r="R3589" s="34"/>
      <c r="S3589" s="34"/>
    </row>
    <row r="3590" spans="14:19">
      <c r="N3590" s="34"/>
      <c r="O3590" s="34"/>
      <c r="P3590" s="34"/>
      <c r="Q3590" s="34"/>
      <c r="R3590" s="34"/>
      <c r="S3590" s="34"/>
    </row>
    <row r="3591" spans="14:19">
      <c r="N3591" s="34"/>
      <c r="O3591" s="34"/>
      <c r="P3591" s="34"/>
      <c r="Q3591" s="34"/>
      <c r="R3591" s="34"/>
      <c r="S3591" s="34"/>
    </row>
    <row r="3592" spans="14:19">
      <c r="N3592" s="34"/>
      <c r="O3592" s="34"/>
      <c r="P3592" s="34"/>
      <c r="Q3592" s="34"/>
      <c r="R3592" s="34"/>
      <c r="S3592" s="34"/>
    </row>
    <row r="3593" spans="14:19">
      <c r="N3593" s="34"/>
      <c r="O3593" s="34"/>
      <c r="P3593" s="34"/>
      <c r="Q3593" s="34"/>
      <c r="R3593" s="34"/>
      <c r="S3593" s="34"/>
    </row>
    <row r="3594" spans="14:19">
      <c r="N3594" s="34"/>
      <c r="O3594" s="34"/>
      <c r="P3594" s="34"/>
      <c r="Q3594" s="34"/>
      <c r="R3594" s="34"/>
      <c r="S3594" s="34"/>
    </row>
    <row r="3595" spans="14:19">
      <c r="N3595" s="34"/>
      <c r="O3595" s="34"/>
      <c r="P3595" s="34"/>
      <c r="Q3595" s="34"/>
      <c r="R3595" s="34"/>
      <c r="S3595" s="34"/>
    </row>
    <row r="3596" spans="14:19">
      <c r="N3596" s="34"/>
      <c r="O3596" s="34"/>
      <c r="P3596" s="34"/>
      <c r="Q3596" s="34"/>
      <c r="R3596" s="34"/>
      <c r="S3596" s="34"/>
    </row>
    <row r="3597" spans="14:19">
      <c r="N3597" s="34"/>
      <c r="O3597" s="34"/>
      <c r="P3597" s="34"/>
      <c r="Q3597" s="34"/>
      <c r="R3597" s="34"/>
      <c r="S3597" s="34"/>
    </row>
    <row r="3598" spans="14:19">
      <c r="N3598" s="34"/>
      <c r="O3598" s="34"/>
      <c r="P3598" s="34"/>
      <c r="Q3598" s="34"/>
      <c r="R3598" s="34"/>
      <c r="S3598" s="34"/>
    </row>
    <row r="3599" spans="14:19">
      <c r="N3599" s="34"/>
      <c r="O3599" s="34"/>
      <c r="P3599" s="34"/>
      <c r="Q3599" s="34"/>
      <c r="R3599" s="34"/>
      <c r="S3599" s="34"/>
    </row>
    <row r="3600" spans="14:19">
      <c r="N3600" s="34"/>
      <c r="O3600" s="34"/>
      <c r="P3600" s="34"/>
      <c r="Q3600" s="34"/>
      <c r="R3600" s="34"/>
      <c r="S3600" s="34"/>
    </row>
    <row r="3601" spans="14:19">
      <c r="N3601" s="34"/>
      <c r="O3601" s="34"/>
      <c r="P3601" s="34"/>
      <c r="Q3601" s="34"/>
      <c r="R3601" s="34"/>
      <c r="S3601" s="34"/>
    </row>
    <row r="3602" spans="14:19">
      <c r="N3602" s="34"/>
      <c r="O3602" s="34"/>
      <c r="P3602" s="34"/>
      <c r="Q3602" s="34"/>
      <c r="R3602" s="34"/>
      <c r="S3602" s="34"/>
    </row>
    <row r="3603" spans="14:19">
      <c r="N3603" s="34"/>
      <c r="O3603" s="34"/>
      <c r="P3603" s="34"/>
      <c r="Q3603" s="34"/>
      <c r="R3603" s="34"/>
      <c r="S3603" s="34"/>
    </row>
    <row r="3604" spans="14:19">
      <c r="N3604" s="34"/>
      <c r="O3604" s="34"/>
      <c r="P3604" s="34"/>
      <c r="Q3604" s="34"/>
      <c r="R3604" s="34"/>
      <c r="S3604" s="34"/>
    </row>
    <row r="3605" spans="14:19">
      <c r="N3605" s="34"/>
      <c r="O3605" s="34"/>
      <c r="P3605" s="34"/>
      <c r="Q3605" s="34"/>
      <c r="R3605" s="34"/>
      <c r="S3605" s="34"/>
    </row>
    <row r="3606" spans="14:19">
      <c r="N3606" s="34"/>
      <c r="O3606" s="34"/>
      <c r="P3606" s="34"/>
      <c r="Q3606" s="34"/>
      <c r="R3606" s="34"/>
      <c r="S3606" s="34"/>
    </row>
    <row r="3607" spans="14:19">
      <c r="N3607" s="34"/>
      <c r="O3607" s="34"/>
      <c r="P3607" s="34"/>
      <c r="Q3607" s="34"/>
      <c r="R3607" s="34"/>
      <c r="S3607" s="34"/>
    </row>
    <row r="3608" spans="14:19">
      <c r="N3608" s="34"/>
      <c r="O3608" s="34"/>
      <c r="P3608" s="34"/>
      <c r="Q3608" s="34"/>
      <c r="R3608" s="34"/>
      <c r="S3608" s="34"/>
    </row>
    <row r="3609" spans="14:19">
      <c r="N3609" s="34"/>
      <c r="O3609" s="34"/>
      <c r="P3609" s="34"/>
      <c r="Q3609" s="34"/>
      <c r="R3609" s="34"/>
      <c r="S3609" s="34"/>
    </row>
    <row r="3610" spans="14:19">
      <c r="N3610" s="34"/>
      <c r="O3610" s="34"/>
      <c r="P3610" s="34"/>
      <c r="Q3610" s="34"/>
      <c r="R3610" s="34"/>
      <c r="S3610" s="34"/>
    </row>
    <row r="3611" spans="14:19">
      <c r="N3611" s="34"/>
      <c r="O3611" s="34"/>
      <c r="P3611" s="34"/>
      <c r="Q3611" s="34"/>
      <c r="R3611" s="34"/>
      <c r="S3611" s="34"/>
    </row>
    <row r="3612" spans="14:19">
      <c r="N3612" s="34"/>
      <c r="O3612" s="34"/>
      <c r="P3612" s="34"/>
      <c r="Q3612" s="34"/>
      <c r="R3612" s="34"/>
      <c r="S3612" s="34"/>
    </row>
    <row r="3613" spans="14:19">
      <c r="N3613" s="34"/>
      <c r="O3613" s="34"/>
      <c r="P3613" s="34"/>
      <c r="Q3613" s="34"/>
      <c r="R3613" s="34"/>
      <c r="S3613" s="34"/>
    </row>
    <row r="3614" spans="14:19">
      <c r="N3614" s="34"/>
      <c r="O3614" s="34"/>
      <c r="P3614" s="34"/>
      <c r="Q3614" s="34"/>
      <c r="R3614" s="34"/>
      <c r="S3614" s="34"/>
    </row>
    <row r="3615" spans="14:19">
      <c r="N3615" s="34"/>
      <c r="O3615" s="34"/>
      <c r="P3615" s="34"/>
      <c r="Q3615" s="34"/>
      <c r="R3615" s="34"/>
      <c r="S3615" s="34"/>
    </row>
    <row r="3616" spans="14:19">
      <c r="N3616" s="34"/>
      <c r="O3616" s="34"/>
      <c r="P3616" s="34"/>
      <c r="Q3616" s="34"/>
      <c r="R3616" s="34"/>
      <c r="S3616" s="34"/>
    </row>
    <row r="3617" spans="14:19">
      <c r="N3617" s="34"/>
      <c r="O3617" s="34"/>
      <c r="P3617" s="34"/>
      <c r="Q3617" s="34"/>
      <c r="R3617" s="34"/>
      <c r="S3617" s="34"/>
    </row>
    <row r="3618" spans="14:19">
      <c r="N3618" s="34"/>
      <c r="O3618" s="34"/>
      <c r="P3618" s="34"/>
      <c r="Q3618" s="34"/>
      <c r="R3618" s="34"/>
      <c r="S3618" s="34"/>
    </row>
    <row r="3619" spans="14:19">
      <c r="N3619" s="34"/>
      <c r="O3619" s="34"/>
      <c r="P3619" s="34"/>
      <c r="Q3619" s="34"/>
      <c r="R3619" s="34"/>
      <c r="S3619" s="34"/>
    </row>
    <row r="3620" spans="14:19">
      <c r="N3620" s="34"/>
      <c r="O3620" s="34"/>
      <c r="P3620" s="34"/>
      <c r="Q3620" s="34"/>
      <c r="R3620" s="34"/>
      <c r="S3620" s="34"/>
    </row>
    <row r="3621" spans="14:19">
      <c r="N3621" s="34"/>
      <c r="O3621" s="34"/>
      <c r="P3621" s="34"/>
      <c r="Q3621" s="34"/>
      <c r="R3621" s="34"/>
      <c r="S3621" s="34"/>
    </row>
    <row r="3622" spans="14:19">
      <c r="N3622" s="34"/>
      <c r="O3622" s="34"/>
      <c r="P3622" s="34"/>
      <c r="Q3622" s="34"/>
      <c r="R3622" s="34"/>
      <c r="S3622" s="34"/>
    </row>
    <row r="3623" spans="14:19">
      <c r="N3623" s="34"/>
      <c r="O3623" s="34"/>
      <c r="P3623" s="34"/>
      <c r="Q3623" s="34"/>
      <c r="R3623" s="34"/>
      <c r="S3623" s="34"/>
    </row>
    <row r="3624" spans="14:19">
      <c r="N3624" s="34"/>
      <c r="O3624" s="34"/>
      <c r="P3624" s="34"/>
      <c r="Q3624" s="34"/>
      <c r="R3624" s="34"/>
      <c r="S3624" s="34"/>
    </row>
    <row r="3625" spans="14:19">
      <c r="N3625" s="34"/>
      <c r="O3625" s="34"/>
      <c r="P3625" s="34"/>
      <c r="Q3625" s="34"/>
      <c r="R3625" s="34"/>
      <c r="S3625" s="34"/>
    </row>
    <row r="3626" spans="14:19">
      <c r="N3626" s="34"/>
      <c r="O3626" s="34"/>
      <c r="P3626" s="34"/>
      <c r="Q3626" s="34"/>
      <c r="R3626" s="34"/>
      <c r="S3626" s="34"/>
    </row>
    <row r="3627" spans="14:19">
      <c r="N3627" s="34"/>
      <c r="O3627" s="34"/>
      <c r="P3627" s="34"/>
      <c r="Q3627" s="34"/>
      <c r="R3627" s="34"/>
      <c r="S3627" s="34"/>
    </row>
    <row r="3628" spans="14:19">
      <c r="N3628" s="34"/>
      <c r="O3628" s="34"/>
      <c r="P3628" s="34"/>
      <c r="Q3628" s="34"/>
      <c r="R3628" s="34"/>
      <c r="S3628" s="34"/>
    </row>
    <row r="3629" spans="14:19">
      <c r="N3629" s="34"/>
      <c r="O3629" s="34"/>
      <c r="P3629" s="34"/>
      <c r="Q3629" s="34"/>
      <c r="R3629" s="34"/>
      <c r="S3629" s="34"/>
    </row>
    <row r="3630" spans="14:19">
      <c r="N3630" s="34"/>
      <c r="O3630" s="34"/>
      <c r="P3630" s="34"/>
      <c r="Q3630" s="34"/>
      <c r="R3630" s="34"/>
      <c r="S3630" s="34"/>
    </row>
    <row r="3631" spans="14:19">
      <c r="N3631" s="34"/>
      <c r="O3631" s="34"/>
      <c r="P3631" s="34"/>
      <c r="Q3631" s="34"/>
      <c r="R3631" s="34"/>
      <c r="S3631" s="34"/>
    </row>
    <row r="3632" spans="14:19">
      <c r="N3632" s="34"/>
      <c r="O3632" s="34"/>
      <c r="P3632" s="34"/>
      <c r="Q3632" s="34"/>
      <c r="R3632" s="34"/>
      <c r="S3632" s="34"/>
    </row>
    <row r="3633" spans="14:19">
      <c r="N3633" s="34"/>
      <c r="O3633" s="34"/>
      <c r="P3633" s="34"/>
      <c r="Q3633" s="34"/>
      <c r="R3633" s="34"/>
      <c r="S3633" s="34"/>
    </row>
    <row r="3634" spans="14:19">
      <c r="N3634" s="34"/>
      <c r="O3634" s="34"/>
      <c r="P3634" s="34"/>
      <c r="Q3634" s="34"/>
      <c r="R3634" s="34"/>
      <c r="S3634" s="34"/>
    </row>
    <row r="3635" spans="14:19">
      <c r="N3635" s="34"/>
      <c r="O3635" s="34"/>
      <c r="P3635" s="34"/>
      <c r="Q3635" s="34"/>
      <c r="R3635" s="34"/>
      <c r="S3635" s="34"/>
    </row>
    <row r="3636" spans="14:19">
      <c r="N3636" s="34"/>
      <c r="O3636" s="34"/>
      <c r="P3636" s="34"/>
      <c r="Q3636" s="34"/>
      <c r="R3636" s="34"/>
      <c r="S3636" s="34"/>
    </row>
    <row r="3637" spans="14:19">
      <c r="N3637" s="34"/>
      <c r="O3637" s="34"/>
      <c r="P3637" s="34"/>
      <c r="Q3637" s="34"/>
      <c r="R3637" s="34"/>
      <c r="S3637" s="34"/>
    </row>
    <row r="3638" spans="14:19">
      <c r="N3638" s="34"/>
      <c r="O3638" s="34"/>
      <c r="P3638" s="34"/>
      <c r="Q3638" s="34"/>
      <c r="R3638" s="34"/>
      <c r="S3638" s="34"/>
    </row>
    <row r="3639" spans="14:19">
      <c r="N3639" s="34"/>
      <c r="O3639" s="34"/>
      <c r="P3639" s="34"/>
      <c r="Q3639" s="34"/>
      <c r="R3639" s="34"/>
      <c r="S3639" s="34"/>
    </row>
    <row r="3640" spans="14:19">
      <c r="N3640" s="34"/>
      <c r="O3640" s="34"/>
      <c r="P3640" s="34"/>
      <c r="Q3640" s="34"/>
      <c r="R3640" s="34"/>
      <c r="S3640" s="34"/>
    </row>
    <row r="3641" spans="14:19">
      <c r="N3641" s="34"/>
      <c r="O3641" s="34"/>
      <c r="P3641" s="34"/>
      <c r="Q3641" s="34"/>
      <c r="R3641" s="34"/>
      <c r="S3641" s="34"/>
    </row>
    <row r="3642" spans="14:19">
      <c r="N3642" s="34"/>
      <c r="O3642" s="34"/>
      <c r="P3642" s="34"/>
      <c r="Q3642" s="34"/>
      <c r="R3642" s="34"/>
      <c r="S3642" s="34"/>
    </row>
    <row r="3643" spans="14:19">
      <c r="N3643" s="34"/>
      <c r="O3643" s="34"/>
      <c r="P3643" s="34"/>
      <c r="Q3643" s="34"/>
      <c r="R3643" s="34"/>
      <c r="S3643" s="34"/>
    </row>
    <row r="3644" spans="14:19">
      <c r="N3644" s="34"/>
      <c r="O3644" s="34"/>
      <c r="P3644" s="34"/>
      <c r="Q3644" s="34"/>
      <c r="R3644" s="34"/>
      <c r="S3644" s="34"/>
    </row>
    <row r="3645" spans="14:19">
      <c r="N3645" s="34"/>
      <c r="O3645" s="34"/>
      <c r="P3645" s="34"/>
      <c r="Q3645" s="34"/>
      <c r="R3645" s="34"/>
      <c r="S3645" s="34"/>
    </row>
    <row r="3646" spans="14:19">
      <c r="N3646" s="34"/>
      <c r="O3646" s="34"/>
      <c r="P3646" s="34"/>
      <c r="Q3646" s="34"/>
      <c r="R3646" s="34"/>
      <c r="S3646" s="34"/>
    </row>
    <row r="3647" spans="14:19">
      <c r="N3647" s="34"/>
      <c r="O3647" s="34"/>
      <c r="P3647" s="34"/>
      <c r="Q3647" s="34"/>
      <c r="R3647" s="34"/>
      <c r="S3647" s="34"/>
    </row>
    <row r="3648" spans="14:19">
      <c r="N3648" s="34"/>
      <c r="O3648" s="34"/>
      <c r="P3648" s="34"/>
      <c r="Q3648" s="34"/>
      <c r="R3648" s="34"/>
      <c r="S3648" s="34"/>
    </row>
    <row r="3649" spans="14:19">
      <c r="N3649" s="34"/>
      <c r="O3649" s="34"/>
      <c r="P3649" s="34"/>
      <c r="Q3649" s="34"/>
      <c r="R3649" s="34"/>
      <c r="S3649" s="34"/>
    </row>
    <row r="3650" spans="14:19">
      <c r="N3650" s="34"/>
      <c r="O3650" s="34"/>
      <c r="P3650" s="34"/>
      <c r="Q3650" s="34"/>
      <c r="R3650" s="34"/>
      <c r="S3650" s="34"/>
    </row>
    <row r="3651" spans="14:19">
      <c r="N3651" s="34"/>
      <c r="O3651" s="34"/>
      <c r="P3651" s="34"/>
      <c r="Q3651" s="34"/>
      <c r="R3651" s="34"/>
      <c r="S3651" s="34"/>
    </row>
    <row r="3652" spans="14:19">
      <c r="N3652" s="34"/>
      <c r="O3652" s="34"/>
      <c r="P3652" s="34"/>
      <c r="Q3652" s="34"/>
      <c r="R3652" s="34"/>
      <c r="S3652" s="34"/>
    </row>
    <row r="3653" spans="14:19">
      <c r="N3653" s="34"/>
      <c r="O3653" s="34"/>
      <c r="P3653" s="34"/>
      <c r="Q3653" s="34"/>
      <c r="R3653" s="34"/>
      <c r="S3653" s="34"/>
    </row>
    <row r="3654" spans="14:19">
      <c r="N3654" s="34"/>
      <c r="O3654" s="34"/>
      <c r="P3654" s="34"/>
      <c r="Q3654" s="34"/>
      <c r="R3654" s="34"/>
      <c r="S3654" s="34"/>
    </row>
    <row r="3655" spans="14:19">
      <c r="N3655" s="34"/>
      <c r="O3655" s="34"/>
      <c r="P3655" s="34"/>
      <c r="Q3655" s="34"/>
      <c r="R3655" s="34"/>
      <c r="S3655" s="34"/>
    </row>
    <row r="3656" spans="14:19">
      <c r="N3656" s="34"/>
      <c r="O3656" s="34"/>
      <c r="P3656" s="34"/>
      <c r="Q3656" s="34"/>
      <c r="R3656" s="34"/>
      <c r="S3656" s="34"/>
    </row>
    <row r="3657" spans="14:19">
      <c r="N3657" s="34"/>
      <c r="O3657" s="34"/>
      <c r="P3657" s="34"/>
      <c r="Q3657" s="34"/>
      <c r="R3657" s="34"/>
      <c r="S3657" s="34"/>
    </row>
    <row r="3658" spans="14:19">
      <c r="N3658" s="34"/>
      <c r="O3658" s="34"/>
      <c r="P3658" s="34"/>
      <c r="Q3658" s="34"/>
      <c r="R3658" s="34"/>
      <c r="S3658" s="34"/>
    </row>
    <row r="3659" spans="14:19">
      <c r="N3659" s="34"/>
      <c r="O3659" s="34"/>
      <c r="P3659" s="34"/>
      <c r="Q3659" s="34"/>
      <c r="R3659" s="34"/>
      <c r="S3659" s="34"/>
    </row>
    <row r="3660" spans="14:19">
      <c r="N3660" s="34"/>
      <c r="O3660" s="34"/>
      <c r="P3660" s="34"/>
      <c r="Q3660" s="34"/>
      <c r="R3660" s="34"/>
      <c r="S3660" s="34"/>
    </row>
    <row r="3661" spans="14:19">
      <c r="N3661" s="34"/>
      <c r="O3661" s="34"/>
      <c r="P3661" s="34"/>
      <c r="Q3661" s="34"/>
      <c r="R3661" s="34"/>
      <c r="S3661" s="34"/>
    </row>
    <row r="3662" spans="14:19">
      <c r="N3662" s="34"/>
      <c r="O3662" s="34"/>
      <c r="P3662" s="34"/>
      <c r="Q3662" s="34"/>
      <c r="R3662" s="34"/>
      <c r="S3662" s="34"/>
    </row>
    <row r="3663" spans="14:19">
      <c r="N3663" s="34"/>
      <c r="O3663" s="34"/>
      <c r="P3663" s="34"/>
      <c r="Q3663" s="34"/>
      <c r="R3663" s="34"/>
      <c r="S3663" s="34"/>
    </row>
    <row r="3664" spans="14:19">
      <c r="N3664" s="34"/>
      <c r="O3664" s="34"/>
      <c r="P3664" s="34"/>
      <c r="Q3664" s="34"/>
      <c r="R3664" s="34"/>
      <c r="S3664" s="34"/>
    </row>
    <row r="3665" spans="14:19">
      <c r="N3665" s="34"/>
      <c r="O3665" s="34"/>
      <c r="P3665" s="34"/>
      <c r="Q3665" s="34"/>
      <c r="R3665" s="34"/>
      <c r="S3665" s="34"/>
    </row>
    <row r="3666" spans="14:19">
      <c r="N3666" s="34"/>
      <c r="O3666" s="34"/>
      <c r="P3666" s="34"/>
      <c r="Q3666" s="34"/>
      <c r="R3666" s="34"/>
      <c r="S3666" s="34"/>
    </row>
    <row r="3667" spans="14:19">
      <c r="N3667" s="34"/>
      <c r="O3667" s="34"/>
      <c r="P3667" s="34"/>
      <c r="Q3667" s="34"/>
      <c r="R3667" s="34"/>
      <c r="S3667" s="34"/>
    </row>
    <row r="3668" spans="14:19">
      <c r="N3668" s="34"/>
      <c r="O3668" s="34"/>
      <c r="P3668" s="34"/>
      <c r="Q3668" s="34"/>
      <c r="R3668" s="34"/>
      <c r="S3668" s="34"/>
    </row>
    <row r="3669" spans="14:19">
      <c r="N3669" s="34"/>
      <c r="O3669" s="34"/>
      <c r="P3669" s="34"/>
      <c r="Q3669" s="34"/>
      <c r="R3669" s="34"/>
      <c r="S3669" s="34"/>
    </row>
    <row r="3670" spans="14:19">
      <c r="N3670" s="34"/>
      <c r="O3670" s="34"/>
      <c r="P3670" s="34"/>
      <c r="Q3670" s="34"/>
      <c r="R3670" s="34"/>
      <c r="S3670" s="34"/>
    </row>
    <row r="3671" spans="14:19">
      <c r="N3671" s="34"/>
      <c r="O3671" s="34"/>
      <c r="P3671" s="34"/>
      <c r="Q3671" s="34"/>
      <c r="R3671" s="34"/>
      <c r="S3671" s="34"/>
    </row>
    <row r="3672" spans="14:19">
      <c r="N3672" s="34"/>
      <c r="O3672" s="34"/>
      <c r="P3672" s="34"/>
      <c r="Q3672" s="34"/>
      <c r="R3672" s="34"/>
      <c r="S3672" s="34"/>
    </row>
    <row r="3673" spans="14:19">
      <c r="N3673" s="34"/>
      <c r="O3673" s="34"/>
      <c r="P3673" s="34"/>
      <c r="Q3673" s="34"/>
      <c r="R3673" s="34"/>
      <c r="S3673" s="34"/>
    </row>
    <row r="3674" spans="14:19">
      <c r="N3674" s="34"/>
      <c r="O3674" s="34"/>
      <c r="P3674" s="34"/>
      <c r="Q3674" s="34"/>
      <c r="R3674" s="34"/>
      <c r="S3674" s="34"/>
    </row>
    <row r="3675" spans="14:19">
      <c r="N3675" s="34"/>
      <c r="O3675" s="34"/>
      <c r="P3675" s="34"/>
      <c r="Q3675" s="34"/>
      <c r="R3675" s="34"/>
      <c r="S3675" s="34"/>
    </row>
    <row r="3676" spans="14:19">
      <c r="N3676" s="34"/>
      <c r="O3676" s="34"/>
      <c r="P3676" s="34"/>
      <c r="Q3676" s="34"/>
      <c r="R3676" s="34"/>
      <c r="S3676" s="34"/>
    </row>
    <row r="3677" spans="14:19">
      <c r="N3677" s="34"/>
      <c r="O3677" s="34"/>
      <c r="P3677" s="34"/>
      <c r="Q3677" s="34"/>
      <c r="R3677" s="34"/>
      <c r="S3677" s="34"/>
    </row>
    <row r="3678" spans="14:19">
      <c r="N3678" s="34"/>
      <c r="O3678" s="34"/>
      <c r="P3678" s="34"/>
      <c r="Q3678" s="34"/>
      <c r="R3678" s="34"/>
      <c r="S3678" s="34"/>
    </row>
    <row r="3679" spans="14:19">
      <c r="N3679" s="34"/>
      <c r="O3679" s="34"/>
      <c r="P3679" s="34"/>
      <c r="Q3679" s="34"/>
      <c r="R3679" s="34"/>
      <c r="S3679" s="34"/>
    </row>
    <row r="3680" spans="14:19">
      <c r="N3680" s="34"/>
      <c r="O3680" s="34"/>
      <c r="P3680" s="34"/>
      <c r="Q3680" s="34"/>
      <c r="R3680" s="34"/>
      <c r="S3680" s="34"/>
    </row>
    <row r="3681" spans="14:19">
      <c r="N3681" s="34"/>
      <c r="O3681" s="34"/>
      <c r="P3681" s="34"/>
      <c r="Q3681" s="34"/>
      <c r="R3681" s="34"/>
      <c r="S3681" s="34"/>
    </row>
    <row r="3682" spans="14:19">
      <c r="N3682" s="34"/>
      <c r="O3682" s="34"/>
      <c r="P3682" s="34"/>
      <c r="Q3682" s="34"/>
      <c r="R3682" s="34"/>
      <c r="S3682" s="34"/>
    </row>
    <row r="3683" spans="14:19">
      <c r="N3683" s="34"/>
      <c r="O3683" s="34"/>
      <c r="P3683" s="34"/>
      <c r="Q3683" s="34"/>
      <c r="R3683" s="34"/>
      <c r="S3683" s="34"/>
    </row>
    <row r="3684" spans="14:19">
      <c r="N3684" s="34"/>
      <c r="O3684" s="34"/>
      <c r="P3684" s="34"/>
      <c r="Q3684" s="34"/>
      <c r="R3684" s="34"/>
      <c r="S3684" s="34"/>
    </row>
    <row r="3685" spans="14:19">
      <c r="N3685" s="34"/>
      <c r="O3685" s="34"/>
      <c r="P3685" s="34"/>
      <c r="Q3685" s="34"/>
      <c r="R3685" s="34"/>
      <c r="S3685" s="34"/>
    </row>
    <row r="3686" spans="14:19">
      <c r="N3686" s="34"/>
      <c r="O3686" s="34"/>
      <c r="P3686" s="34"/>
      <c r="Q3686" s="34"/>
      <c r="R3686" s="34"/>
      <c r="S3686" s="34"/>
    </row>
    <row r="3687" spans="14:19">
      <c r="N3687" s="34"/>
      <c r="O3687" s="34"/>
      <c r="P3687" s="34"/>
      <c r="Q3687" s="34"/>
      <c r="R3687" s="34"/>
      <c r="S3687" s="34"/>
    </row>
    <row r="3688" spans="14:19">
      <c r="N3688" s="34"/>
      <c r="O3688" s="34"/>
      <c r="P3688" s="34"/>
      <c r="Q3688" s="34"/>
      <c r="R3688" s="34"/>
      <c r="S3688" s="34"/>
    </row>
    <row r="3689" spans="14:19">
      <c r="N3689" s="34"/>
      <c r="O3689" s="34"/>
      <c r="P3689" s="34"/>
      <c r="Q3689" s="34"/>
      <c r="R3689" s="34"/>
      <c r="S3689" s="34"/>
    </row>
    <row r="3690" spans="14:19">
      <c r="N3690" s="34"/>
      <c r="O3690" s="34"/>
      <c r="P3690" s="34"/>
      <c r="Q3690" s="34"/>
      <c r="R3690" s="34"/>
      <c r="S3690" s="34"/>
    </row>
    <row r="3691" spans="14:19">
      <c r="N3691" s="34"/>
      <c r="O3691" s="34"/>
      <c r="P3691" s="34"/>
      <c r="Q3691" s="34"/>
      <c r="R3691" s="34"/>
      <c r="S3691" s="34"/>
    </row>
    <row r="3692" spans="14:19">
      <c r="N3692" s="34"/>
      <c r="O3692" s="34"/>
      <c r="P3692" s="34"/>
      <c r="Q3692" s="34"/>
      <c r="R3692" s="34"/>
      <c r="S3692" s="34"/>
    </row>
    <row r="3693" spans="14:19">
      <c r="N3693" s="34"/>
      <c r="O3693" s="34"/>
      <c r="P3693" s="34"/>
      <c r="Q3693" s="34"/>
      <c r="R3693" s="34"/>
      <c r="S3693" s="34"/>
    </row>
    <row r="3694" spans="14:19">
      <c r="N3694" s="34"/>
      <c r="O3694" s="34"/>
      <c r="P3694" s="34"/>
      <c r="Q3694" s="34"/>
      <c r="R3694" s="34"/>
      <c r="S3694" s="34"/>
    </row>
    <row r="3695" spans="14:19">
      <c r="N3695" s="34"/>
      <c r="O3695" s="34"/>
      <c r="P3695" s="34"/>
      <c r="Q3695" s="34"/>
      <c r="R3695" s="34"/>
      <c r="S3695" s="34"/>
    </row>
    <row r="3696" spans="14:19">
      <c r="N3696" s="34"/>
      <c r="O3696" s="34"/>
      <c r="P3696" s="34"/>
      <c r="Q3696" s="34"/>
      <c r="R3696" s="34"/>
      <c r="S3696" s="34"/>
    </row>
    <row r="3697" spans="14:19">
      <c r="N3697" s="34"/>
      <c r="O3697" s="34"/>
      <c r="P3697" s="34"/>
      <c r="Q3697" s="34"/>
      <c r="R3697" s="34"/>
      <c r="S3697" s="34"/>
    </row>
    <row r="3698" spans="14:19">
      <c r="N3698" s="34"/>
      <c r="O3698" s="34"/>
      <c r="P3698" s="34"/>
      <c r="Q3698" s="34"/>
      <c r="R3698" s="34"/>
      <c r="S3698" s="34"/>
    </row>
    <row r="3699" spans="14:19">
      <c r="N3699" s="34"/>
      <c r="O3699" s="34"/>
      <c r="P3699" s="34"/>
      <c r="Q3699" s="34"/>
      <c r="R3699" s="34"/>
      <c r="S3699" s="34"/>
    </row>
    <row r="3700" spans="14:19">
      <c r="N3700" s="34"/>
      <c r="O3700" s="34"/>
      <c r="P3700" s="34"/>
      <c r="Q3700" s="34"/>
      <c r="R3700" s="34"/>
      <c r="S3700" s="34"/>
    </row>
    <row r="3701" spans="14:19">
      <c r="N3701" s="34"/>
      <c r="O3701" s="34"/>
      <c r="P3701" s="34"/>
      <c r="Q3701" s="34"/>
      <c r="R3701" s="34"/>
      <c r="S3701" s="34"/>
    </row>
    <row r="3702" spans="14:19">
      <c r="N3702" s="34"/>
      <c r="O3702" s="34"/>
      <c r="P3702" s="34"/>
      <c r="Q3702" s="34"/>
      <c r="R3702" s="34"/>
      <c r="S3702" s="34"/>
    </row>
    <row r="3703" spans="14:19">
      <c r="N3703" s="34"/>
      <c r="O3703" s="34"/>
      <c r="P3703" s="34"/>
      <c r="Q3703" s="34"/>
      <c r="R3703" s="34"/>
      <c r="S3703" s="34"/>
    </row>
    <row r="3704" spans="14:19">
      <c r="N3704" s="34"/>
      <c r="O3704" s="34"/>
      <c r="P3704" s="34"/>
      <c r="Q3704" s="34"/>
      <c r="R3704" s="34"/>
      <c r="S3704" s="34"/>
    </row>
    <row r="3705" spans="14:19">
      <c r="N3705" s="34"/>
      <c r="O3705" s="34"/>
      <c r="P3705" s="34"/>
      <c r="Q3705" s="34"/>
      <c r="R3705" s="34"/>
      <c r="S3705" s="34"/>
    </row>
    <row r="3706" spans="14:19">
      <c r="N3706" s="34"/>
      <c r="O3706" s="34"/>
      <c r="P3706" s="34"/>
      <c r="Q3706" s="34"/>
      <c r="R3706" s="34"/>
      <c r="S3706" s="34"/>
    </row>
    <row r="3707" spans="14:19">
      <c r="N3707" s="34"/>
      <c r="O3707" s="34"/>
      <c r="P3707" s="34"/>
      <c r="Q3707" s="34"/>
      <c r="R3707" s="34"/>
      <c r="S3707" s="34"/>
    </row>
    <row r="3708" spans="14:19">
      <c r="N3708" s="34"/>
      <c r="O3708" s="34"/>
      <c r="P3708" s="34"/>
      <c r="Q3708" s="34"/>
      <c r="R3708" s="34"/>
      <c r="S3708" s="34"/>
    </row>
    <row r="3709" spans="14:19">
      <c r="N3709" s="34"/>
      <c r="O3709" s="34"/>
      <c r="P3709" s="34"/>
      <c r="Q3709" s="34"/>
      <c r="R3709" s="34"/>
      <c r="S3709" s="34"/>
    </row>
    <row r="3710" spans="14:19">
      <c r="N3710" s="34"/>
      <c r="O3710" s="34"/>
      <c r="P3710" s="34"/>
      <c r="Q3710" s="34"/>
      <c r="R3710" s="34"/>
      <c r="S3710" s="34"/>
    </row>
    <row r="3711" spans="14:19">
      <c r="N3711" s="34"/>
      <c r="O3711" s="34"/>
      <c r="P3711" s="34"/>
      <c r="Q3711" s="34"/>
      <c r="R3711" s="34"/>
      <c r="S3711" s="34"/>
    </row>
    <row r="3712" spans="14:19">
      <c r="N3712" s="34"/>
      <c r="O3712" s="34"/>
      <c r="P3712" s="34"/>
      <c r="Q3712" s="34"/>
      <c r="R3712" s="34"/>
      <c r="S3712" s="34"/>
    </row>
    <row r="3713" spans="14:19">
      <c r="N3713" s="34"/>
      <c r="O3713" s="34"/>
      <c r="P3713" s="34"/>
      <c r="Q3713" s="34"/>
      <c r="R3713" s="34"/>
      <c r="S3713" s="34"/>
    </row>
    <row r="3714" spans="14:19">
      <c r="N3714" s="34"/>
      <c r="O3714" s="34"/>
      <c r="P3714" s="34"/>
      <c r="Q3714" s="34"/>
      <c r="R3714" s="34"/>
      <c r="S3714" s="34"/>
    </row>
    <row r="3715" spans="14:19">
      <c r="N3715" s="34"/>
      <c r="O3715" s="34"/>
      <c r="P3715" s="34"/>
      <c r="Q3715" s="34"/>
      <c r="R3715" s="34"/>
      <c r="S3715" s="34"/>
    </row>
    <row r="3716" spans="14:19">
      <c r="N3716" s="34"/>
      <c r="O3716" s="34"/>
      <c r="P3716" s="34"/>
      <c r="Q3716" s="34"/>
      <c r="R3716" s="34"/>
      <c r="S3716" s="34"/>
    </row>
    <row r="3717" spans="14:19">
      <c r="N3717" s="34"/>
      <c r="O3717" s="34"/>
      <c r="P3717" s="34"/>
      <c r="Q3717" s="34"/>
      <c r="R3717" s="34"/>
      <c r="S3717" s="34"/>
    </row>
    <row r="3718" spans="14:19">
      <c r="N3718" s="34"/>
      <c r="O3718" s="34"/>
      <c r="P3718" s="34"/>
      <c r="Q3718" s="34"/>
      <c r="R3718" s="34"/>
      <c r="S3718" s="34"/>
    </row>
    <row r="3719" spans="14:19">
      <c r="N3719" s="34"/>
      <c r="O3719" s="34"/>
      <c r="P3719" s="34"/>
      <c r="Q3719" s="34"/>
      <c r="R3719" s="34"/>
      <c r="S3719" s="34"/>
    </row>
    <row r="3720" spans="14:19">
      <c r="N3720" s="34"/>
      <c r="O3720" s="34"/>
      <c r="P3720" s="34"/>
      <c r="Q3720" s="34"/>
      <c r="R3720" s="34"/>
      <c r="S3720" s="34"/>
    </row>
    <row r="3721" spans="14:19">
      <c r="N3721" s="34"/>
      <c r="O3721" s="34"/>
      <c r="P3721" s="34"/>
      <c r="Q3721" s="34"/>
      <c r="R3721" s="34"/>
      <c r="S3721" s="34"/>
    </row>
    <row r="3722" spans="14:19">
      <c r="N3722" s="34"/>
      <c r="O3722" s="34"/>
      <c r="P3722" s="34"/>
      <c r="Q3722" s="34"/>
      <c r="R3722" s="34"/>
      <c r="S3722" s="34"/>
    </row>
    <row r="3723" spans="14:19">
      <c r="N3723" s="34"/>
      <c r="O3723" s="34"/>
      <c r="P3723" s="34"/>
      <c r="Q3723" s="34"/>
      <c r="R3723" s="34"/>
      <c r="S3723" s="34"/>
    </row>
    <row r="3724" spans="14:19">
      <c r="N3724" s="34"/>
      <c r="O3724" s="34"/>
      <c r="P3724" s="34"/>
      <c r="Q3724" s="34"/>
      <c r="R3724" s="34"/>
      <c r="S3724" s="34"/>
    </row>
    <row r="3725" spans="14:19">
      <c r="N3725" s="34"/>
      <c r="O3725" s="34"/>
      <c r="P3725" s="34"/>
      <c r="Q3725" s="34"/>
      <c r="R3725" s="34"/>
      <c r="S3725" s="34"/>
    </row>
    <row r="3726" spans="14:19">
      <c r="N3726" s="34"/>
      <c r="O3726" s="34"/>
      <c r="P3726" s="34"/>
      <c r="Q3726" s="34"/>
      <c r="R3726" s="34"/>
      <c r="S3726" s="34"/>
    </row>
    <row r="3727" spans="14:19">
      <c r="N3727" s="34"/>
      <c r="O3727" s="34"/>
      <c r="P3727" s="34"/>
      <c r="Q3727" s="34"/>
      <c r="R3727" s="34"/>
      <c r="S3727" s="34"/>
    </row>
    <row r="3728" spans="14:19">
      <c r="N3728" s="34"/>
      <c r="O3728" s="34"/>
      <c r="P3728" s="34"/>
      <c r="Q3728" s="34"/>
      <c r="R3728" s="34"/>
      <c r="S3728" s="34"/>
    </row>
    <row r="3729" spans="14:19">
      <c r="N3729" s="34"/>
      <c r="O3729" s="34"/>
      <c r="P3729" s="34"/>
      <c r="Q3729" s="34"/>
      <c r="R3729" s="34"/>
      <c r="S3729" s="34"/>
    </row>
    <row r="3730" spans="14:19">
      <c r="N3730" s="34"/>
      <c r="O3730" s="34"/>
      <c r="P3730" s="34"/>
      <c r="Q3730" s="34"/>
      <c r="R3730" s="34"/>
      <c r="S3730" s="34"/>
    </row>
    <row r="3731" spans="14:19">
      <c r="N3731" s="34"/>
      <c r="O3731" s="34"/>
      <c r="P3731" s="34"/>
      <c r="Q3731" s="34"/>
      <c r="R3731" s="34"/>
      <c r="S3731" s="34"/>
    </row>
    <row r="3732" spans="14:19">
      <c r="N3732" s="34"/>
      <c r="O3732" s="34"/>
      <c r="P3732" s="34"/>
      <c r="Q3732" s="34"/>
      <c r="R3732" s="34"/>
      <c r="S3732" s="34"/>
    </row>
    <row r="3733" spans="14:19">
      <c r="N3733" s="34"/>
      <c r="O3733" s="34"/>
      <c r="P3733" s="34"/>
      <c r="Q3733" s="34"/>
      <c r="R3733" s="34"/>
      <c r="S3733" s="34"/>
    </row>
    <row r="3734" spans="14:19">
      <c r="N3734" s="34"/>
      <c r="O3734" s="34"/>
      <c r="P3734" s="34"/>
      <c r="Q3734" s="34"/>
      <c r="R3734" s="34"/>
      <c r="S3734" s="34"/>
    </row>
    <row r="3735" spans="14:19">
      <c r="N3735" s="34"/>
      <c r="O3735" s="34"/>
      <c r="P3735" s="34"/>
      <c r="Q3735" s="34"/>
      <c r="R3735" s="34"/>
      <c r="S3735" s="34"/>
    </row>
    <row r="3736" spans="14:19">
      <c r="N3736" s="34"/>
      <c r="O3736" s="34"/>
      <c r="P3736" s="34"/>
      <c r="Q3736" s="34"/>
      <c r="R3736" s="34"/>
      <c r="S3736" s="34"/>
    </row>
    <row r="3737" spans="14:19">
      <c r="N3737" s="34"/>
      <c r="O3737" s="34"/>
      <c r="P3737" s="34"/>
      <c r="Q3737" s="34"/>
      <c r="R3737" s="34"/>
      <c r="S3737" s="34"/>
    </row>
    <row r="3738" spans="14:19">
      <c r="N3738" s="34"/>
      <c r="O3738" s="34"/>
      <c r="P3738" s="34"/>
      <c r="Q3738" s="34"/>
      <c r="R3738" s="34"/>
      <c r="S3738" s="34"/>
    </row>
    <row r="3739" spans="14:19">
      <c r="N3739" s="34"/>
      <c r="O3739" s="34"/>
      <c r="P3739" s="34"/>
      <c r="Q3739" s="34"/>
      <c r="R3739" s="34"/>
      <c r="S3739" s="34"/>
    </row>
    <row r="3740" spans="14:19">
      <c r="N3740" s="34"/>
      <c r="O3740" s="34"/>
      <c r="P3740" s="34"/>
      <c r="Q3740" s="34"/>
      <c r="R3740" s="34"/>
      <c r="S3740" s="34"/>
    </row>
    <row r="3741" spans="14:19">
      <c r="N3741" s="34"/>
      <c r="O3741" s="34"/>
      <c r="P3741" s="34"/>
      <c r="Q3741" s="34"/>
      <c r="R3741" s="34"/>
      <c r="S3741" s="34"/>
    </row>
    <row r="3742" spans="14:19">
      <c r="N3742" s="34"/>
      <c r="O3742" s="34"/>
      <c r="P3742" s="34"/>
      <c r="Q3742" s="34"/>
      <c r="R3742" s="34"/>
      <c r="S3742" s="34"/>
    </row>
    <row r="3743" spans="14:19">
      <c r="N3743" s="34"/>
      <c r="O3743" s="34"/>
      <c r="P3743" s="34"/>
      <c r="Q3743" s="34"/>
      <c r="R3743" s="34"/>
      <c r="S3743" s="34"/>
    </row>
    <row r="3744" spans="14:19">
      <c r="N3744" s="34"/>
      <c r="O3744" s="34"/>
      <c r="P3744" s="34"/>
      <c r="Q3744" s="34"/>
      <c r="R3744" s="34"/>
      <c r="S3744" s="34"/>
    </row>
    <row r="3745" spans="14:19">
      <c r="N3745" s="34"/>
      <c r="O3745" s="34"/>
      <c r="P3745" s="34"/>
      <c r="Q3745" s="34"/>
      <c r="R3745" s="34"/>
      <c r="S3745" s="34"/>
    </row>
    <row r="3746" spans="14:19">
      <c r="N3746" s="34"/>
      <c r="O3746" s="34"/>
      <c r="P3746" s="34"/>
      <c r="Q3746" s="34"/>
      <c r="R3746" s="34"/>
      <c r="S3746" s="34"/>
    </row>
    <row r="3747" spans="14:19">
      <c r="N3747" s="34"/>
      <c r="O3747" s="34"/>
      <c r="P3747" s="34"/>
      <c r="Q3747" s="34"/>
      <c r="R3747" s="34"/>
      <c r="S3747" s="34"/>
    </row>
    <row r="3748" spans="14:19">
      <c r="N3748" s="34"/>
      <c r="O3748" s="34"/>
      <c r="P3748" s="34"/>
      <c r="Q3748" s="34"/>
      <c r="R3748" s="34"/>
      <c r="S3748" s="34"/>
    </row>
    <row r="3749" spans="14:19">
      <c r="N3749" s="34"/>
      <c r="O3749" s="34"/>
      <c r="P3749" s="34"/>
      <c r="Q3749" s="34"/>
      <c r="R3749" s="34"/>
      <c r="S3749" s="34"/>
    </row>
    <row r="3750" spans="14:19">
      <c r="N3750" s="34"/>
      <c r="O3750" s="34"/>
      <c r="P3750" s="34"/>
      <c r="Q3750" s="34"/>
      <c r="R3750" s="34"/>
      <c r="S3750" s="34"/>
    </row>
    <row r="3751" spans="14:19">
      <c r="N3751" s="34"/>
      <c r="O3751" s="34"/>
      <c r="P3751" s="34"/>
      <c r="Q3751" s="34"/>
      <c r="R3751" s="34"/>
      <c r="S3751" s="34"/>
    </row>
    <row r="3752" spans="14:19">
      <c r="N3752" s="34"/>
      <c r="O3752" s="34"/>
      <c r="P3752" s="34"/>
      <c r="Q3752" s="34"/>
      <c r="R3752" s="34"/>
      <c r="S3752" s="34"/>
    </row>
    <row r="3753" spans="14:19">
      <c r="N3753" s="34"/>
      <c r="O3753" s="34"/>
      <c r="P3753" s="34"/>
      <c r="Q3753" s="34"/>
      <c r="R3753" s="34"/>
      <c r="S3753" s="34"/>
    </row>
    <row r="3754" spans="14:19">
      <c r="N3754" s="34"/>
      <c r="O3754" s="34"/>
      <c r="P3754" s="34"/>
      <c r="Q3754" s="34"/>
      <c r="R3754" s="34"/>
      <c r="S3754" s="34"/>
    </row>
    <row r="3755" spans="14:19">
      <c r="N3755" s="34"/>
      <c r="O3755" s="34"/>
      <c r="P3755" s="34"/>
      <c r="Q3755" s="34"/>
      <c r="R3755" s="34"/>
      <c r="S3755" s="34"/>
    </row>
    <row r="3756" spans="14:19">
      <c r="N3756" s="34"/>
      <c r="O3756" s="34"/>
      <c r="P3756" s="34"/>
      <c r="Q3756" s="34"/>
      <c r="R3756" s="34"/>
      <c r="S3756" s="34"/>
    </row>
    <row r="3757" spans="14:19">
      <c r="N3757" s="34"/>
      <c r="O3757" s="34"/>
      <c r="P3757" s="34"/>
      <c r="Q3757" s="34"/>
      <c r="R3757" s="34"/>
      <c r="S3757" s="34"/>
    </row>
    <row r="3758" spans="14:19">
      <c r="N3758" s="34"/>
      <c r="O3758" s="34"/>
      <c r="P3758" s="34"/>
      <c r="Q3758" s="34"/>
      <c r="R3758" s="34"/>
      <c r="S3758" s="34"/>
    </row>
    <row r="3759" spans="14:19">
      <c r="N3759" s="34"/>
      <c r="O3759" s="34"/>
      <c r="P3759" s="34"/>
      <c r="Q3759" s="34"/>
      <c r="R3759" s="34"/>
      <c r="S3759" s="34"/>
    </row>
    <row r="3760" spans="14:19">
      <c r="N3760" s="34"/>
      <c r="O3760" s="34"/>
      <c r="P3760" s="34"/>
      <c r="Q3760" s="34"/>
      <c r="R3760" s="34"/>
      <c r="S3760" s="34"/>
    </row>
    <row r="3761" spans="14:19">
      <c r="N3761" s="34"/>
      <c r="O3761" s="34"/>
      <c r="P3761" s="34"/>
      <c r="Q3761" s="34"/>
      <c r="R3761" s="34"/>
      <c r="S3761" s="34"/>
    </row>
    <row r="3762" spans="14:19">
      <c r="N3762" s="34"/>
      <c r="O3762" s="34"/>
      <c r="P3762" s="34"/>
      <c r="Q3762" s="34"/>
      <c r="R3762" s="34"/>
      <c r="S3762" s="34"/>
    </row>
    <row r="3763" spans="14:19">
      <c r="N3763" s="34"/>
      <c r="O3763" s="34"/>
      <c r="P3763" s="34"/>
      <c r="Q3763" s="34"/>
      <c r="R3763" s="34"/>
      <c r="S3763" s="34"/>
    </row>
    <row r="3764" spans="14:19">
      <c r="N3764" s="34"/>
      <c r="O3764" s="34"/>
      <c r="P3764" s="34"/>
      <c r="Q3764" s="34"/>
      <c r="R3764" s="34"/>
      <c r="S3764" s="34"/>
    </row>
    <row r="3765" spans="14:19">
      <c r="N3765" s="34"/>
      <c r="O3765" s="34"/>
      <c r="P3765" s="34"/>
      <c r="Q3765" s="34"/>
      <c r="R3765" s="34"/>
      <c r="S3765" s="34"/>
    </row>
    <row r="3766" spans="14:19">
      <c r="N3766" s="34"/>
      <c r="O3766" s="34"/>
      <c r="P3766" s="34"/>
      <c r="Q3766" s="34"/>
      <c r="R3766" s="34"/>
      <c r="S3766" s="34"/>
    </row>
    <row r="3767" spans="14:19">
      <c r="N3767" s="34"/>
      <c r="O3767" s="34"/>
      <c r="P3767" s="34"/>
      <c r="Q3767" s="34"/>
      <c r="R3767" s="34"/>
      <c r="S3767" s="34"/>
    </row>
    <row r="3768" spans="14:19">
      <c r="N3768" s="34"/>
      <c r="O3768" s="34"/>
      <c r="P3768" s="34"/>
      <c r="Q3768" s="34"/>
      <c r="R3768" s="34"/>
      <c r="S3768" s="34"/>
    </row>
    <row r="3769" spans="14:19">
      <c r="N3769" s="34"/>
      <c r="O3769" s="34"/>
      <c r="P3769" s="34"/>
      <c r="Q3769" s="34"/>
      <c r="R3769" s="34"/>
      <c r="S3769" s="34"/>
    </row>
    <row r="3770" spans="14:19">
      <c r="N3770" s="34"/>
      <c r="O3770" s="34"/>
      <c r="P3770" s="34"/>
      <c r="Q3770" s="34"/>
      <c r="R3770" s="34"/>
      <c r="S3770" s="34"/>
    </row>
    <row r="3771" spans="14:19">
      <c r="N3771" s="34"/>
      <c r="O3771" s="34"/>
      <c r="P3771" s="34"/>
      <c r="Q3771" s="34"/>
      <c r="R3771" s="34"/>
      <c r="S3771" s="34"/>
    </row>
    <row r="3772" spans="14:19">
      <c r="N3772" s="34"/>
      <c r="O3772" s="34"/>
      <c r="P3772" s="34"/>
      <c r="Q3772" s="34"/>
      <c r="R3772" s="34"/>
      <c r="S3772" s="34"/>
    </row>
    <row r="3773" spans="14:19">
      <c r="N3773" s="34"/>
      <c r="O3773" s="34"/>
      <c r="P3773" s="34"/>
      <c r="Q3773" s="34"/>
      <c r="R3773" s="34"/>
      <c r="S3773" s="34"/>
    </row>
    <row r="3774" spans="14:19">
      <c r="N3774" s="34"/>
      <c r="O3774" s="34"/>
      <c r="P3774" s="34"/>
      <c r="Q3774" s="34"/>
      <c r="R3774" s="34"/>
      <c r="S3774" s="34"/>
    </row>
    <row r="3775" spans="14:19">
      <c r="N3775" s="34"/>
      <c r="O3775" s="34"/>
      <c r="P3775" s="34"/>
      <c r="Q3775" s="34"/>
      <c r="R3775" s="34"/>
      <c r="S3775" s="34"/>
    </row>
    <row r="3776" spans="14:19">
      <c r="N3776" s="34"/>
      <c r="O3776" s="34"/>
      <c r="P3776" s="34"/>
      <c r="Q3776" s="34"/>
      <c r="R3776" s="34"/>
      <c r="S3776" s="34"/>
    </row>
    <row r="3777" spans="14:19">
      <c r="N3777" s="34"/>
      <c r="O3777" s="34"/>
      <c r="P3777" s="34"/>
      <c r="Q3777" s="34"/>
      <c r="R3777" s="34"/>
      <c r="S3777" s="34"/>
    </row>
    <row r="3778" spans="14:19">
      <c r="N3778" s="34"/>
      <c r="O3778" s="34"/>
      <c r="P3778" s="34"/>
      <c r="Q3778" s="34"/>
      <c r="R3778" s="34"/>
      <c r="S3778" s="34"/>
    </row>
    <row r="3779" spans="14:19">
      <c r="N3779" s="34"/>
      <c r="O3779" s="34"/>
      <c r="P3779" s="34"/>
      <c r="Q3779" s="34"/>
      <c r="R3779" s="34"/>
      <c r="S3779" s="34"/>
    </row>
    <row r="3780" spans="14:19">
      <c r="N3780" s="34"/>
      <c r="O3780" s="34"/>
      <c r="P3780" s="34"/>
      <c r="Q3780" s="34"/>
      <c r="R3780" s="34"/>
      <c r="S3780" s="34"/>
    </row>
    <row r="3781" spans="14:19">
      <c r="N3781" s="34"/>
      <c r="O3781" s="34"/>
      <c r="P3781" s="34"/>
      <c r="Q3781" s="34"/>
      <c r="R3781" s="34"/>
      <c r="S3781" s="34"/>
    </row>
    <row r="3782" spans="14:19">
      <c r="N3782" s="34"/>
      <c r="O3782" s="34"/>
      <c r="P3782" s="34"/>
      <c r="Q3782" s="34"/>
      <c r="R3782" s="34"/>
      <c r="S3782" s="34"/>
    </row>
    <row r="3783" spans="14:19">
      <c r="N3783" s="34"/>
      <c r="O3783" s="34"/>
      <c r="P3783" s="34"/>
      <c r="Q3783" s="34"/>
      <c r="R3783" s="34"/>
      <c r="S3783" s="34"/>
    </row>
    <row r="3784" spans="14:19">
      <c r="N3784" s="34"/>
      <c r="O3784" s="34"/>
      <c r="P3784" s="34"/>
      <c r="Q3784" s="34"/>
      <c r="R3784" s="34"/>
      <c r="S3784" s="34"/>
    </row>
    <row r="3785" spans="14:19">
      <c r="N3785" s="34"/>
      <c r="O3785" s="34"/>
      <c r="P3785" s="34"/>
      <c r="Q3785" s="34"/>
      <c r="R3785" s="34"/>
      <c r="S3785" s="34"/>
    </row>
    <row r="3786" spans="14:19">
      <c r="N3786" s="34"/>
      <c r="O3786" s="34"/>
      <c r="P3786" s="34"/>
      <c r="Q3786" s="34"/>
      <c r="R3786" s="34"/>
      <c r="S3786" s="34"/>
    </row>
    <row r="3787" spans="14:19">
      <c r="N3787" s="34"/>
      <c r="O3787" s="34"/>
      <c r="P3787" s="34"/>
      <c r="Q3787" s="34"/>
      <c r="R3787" s="34"/>
      <c r="S3787" s="34"/>
    </row>
    <row r="3788" spans="14:19">
      <c r="N3788" s="34"/>
      <c r="O3788" s="34"/>
      <c r="P3788" s="34"/>
      <c r="Q3788" s="34"/>
      <c r="R3788" s="34"/>
      <c r="S3788" s="34"/>
    </row>
    <row r="3789" spans="14:19">
      <c r="N3789" s="34"/>
      <c r="O3789" s="34"/>
      <c r="P3789" s="34"/>
      <c r="Q3789" s="34"/>
      <c r="R3789" s="34"/>
      <c r="S3789" s="34"/>
    </row>
    <row r="3790" spans="14:19">
      <c r="N3790" s="34"/>
      <c r="O3790" s="34"/>
      <c r="P3790" s="34"/>
      <c r="Q3790" s="34"/>
      <c r="R3790" s="34"/>
      <c r="S3790" s="34"/>
    </row>
    <row r="3791" spans="14:19">
      <c r="N3791" s="34"/>
      <c r="O3791" s="34"/>
      <c r="P3791" s="34"/>
      <c r="Q3791" s="34"/>
      <c r="R3791" s="34"/>
      <c r="S3791" s="34"/>
    </row>
    <row r="3792" spans="14:19">
      <c r="N3792" s="34"/>
      <c r="O3792" s="34"/>
      <c r="P3792" s="34"/>
      <c r="Q3792" s="34"/>
      <c r="R3792" s="34"/>
      <c r="S3792" s="34"/>
    </row>
    <row r="3793" spans="14:19">
      <c r="N3793" s="34"/>
      <c r="O3793" s="34"/>
      <c r="P3793" s="34"/>
      <c r="Q3793" s="34"/>
      <c r="R3793" s="34"/>
      <c r="S3793" s="34"/>
    </row>
    <row r="3794" spans="14:19">
      <c r="N3794" s="34"/>
      <c r="O3794" s="34"/>
      <c r="P3794" s="34"/>
      <c r="Q3794" s="34"/>
      <c r="R3794" s="34"/>
      <c r="S3794" s="34"/>
    </row>
    <row r="3795" spans="14:19">
      <c r="N3795" s="34"/>
      <c r="O3795" s="34"/>
      <c r="P3795" s="34"/>
      <c r="Q3795" s="34"/>
      <c r="R3795" s="34"/>
      <c r="S3795" s="34"/>
    </row>
    <row r="3796" spans="14:19">
      <c r="N3796" s="34"/>
      <c r="O3796" s="34"/>
      <c r="P3796" s="34"/>
      <c r="Q3796" s="34"/>
      <c r="R3796" s="34"/>
      <c r="S3796" s="34"/>
    </row>
    <row r="3797" spans="14:19">
      <c r="N3797" s="34"/>
      <c r="O3797" s="34"/>
      <c r="P3797" s="34"/>
      <c r="Q3797" s="34"/>
      <c r="R3797" s="34"/>
      <c r="S3797" s="34"/>
    </row>
    <row r="3798" spans="14:19">
      <c r="N3798" s="34"/>
      <c r="O3798" s="34"/>
      <c r="P3798" s="34"/>
      <c r="Q3798" s="34"/>
      <c r="R3798" s="34"/>
      <c r="S3798" s="34"/>
    </row>
    <row r="3799" spans="14:19">
      <c r="N3799" s="34"/>
      <c r="O3799" s="34"/>
      <c r="P3799" s="34"/>
      <c r="Q3799" s="34"/>
      <c r="R3799" s="34"/>
      <c r="S3799" s="34"/>
    </row>
    <row r="3800" spans="14:19">
      <c r="N3800" s="34"/>
      <c r="O3800" s="34"/>
      <c r="P3800" s="34"/>
      <c r="Q3800" s="34"/>
      <c r="R3800" s="34"/>
      <c r="S3800" s="34"/>
    </row>
    <row r="3801" spans="14:19">
      <c r="N3801" s="34"/>
      <c r="O3801" s="34"/>
      <c r="P3801" s="34"/>
      <c r="Q3801" s="34"/>
      <c r="R3801" s="34"/>
      <c r="S3801" s="34"/>
    </row>
    <row r="3802" spans="14:19">
      <c r="N3802" s="34"/>
      <c r="O3802" s="34"/>
      <c r="P3802" s="34"/>
      <c r="Q3802" s="34"/>
      <c r="R3802" s="34"/>
      <c r="S3802" s="34"/>
    </row>
    <row r="3803" spans="14:19">
      <c r="N3803" s="34"/>
      <c r="O3803" s="34"/>
      <c r="P3803" s="34"/>
      <c r="Q3803" s="34"/>
      <c r="R3803" s="34"/>
      <c r="S3803" s="34"/>
    </row>
    <row r="3804" spans="14:19">
      <c r="N3804" s="34"/>
      <c r="O3804" s="34"/>
      <c r="P3804" s="34"/>
      <c r="Q3804" s="34"/>
      <c r="R3804" s="34"/>
      <c r="S3804" s="34"/>
    </row>
    <row r="3805" spans="14:19">
      <c r="N3805" s="34"/>
      <c r="O3805" s="34"/>
      <c r="P3805" s="34"/>
      <c r="Q3805" s="34"/>
      <c r="R3805" s="34"/>
      <c r="S3805" s="34"/>
    </row>
    <row r="3806" spans="14:19">
      <c r="N3806" s="34"/>
      <c r="O3806" s="34"/>
      <c r="P3806" s="34"/>
      <c r="Q3806" s="34"/>
      <c r="R3806" s="34"/>
      <c r="S3806" s="34"/>
    </row>
    <row r="3807" spans="14:19">
      <c r="N3807" s="34"/>
      <c r="O3807" s="34"/>
      <c r="P3807" s="34"/>
      <c r="Q3807" s="34"/>
      <c r="R3807" s="34"/>
      <c r="S3807" s="34"/>
    </row>
    <row r="3808" spans="14:19">
      <c r="N3808" s="34"/>
      <c r="O3808" s="34"/>
      <c r="P3808" s="34"/>
      <c r="Q3808" s="34"/>
      <c r="R3808" s="34"/>
      <c r="S3808" s="34"/>
    </row>
    <row r="3809" spans="14:19">
      <c r="N3809" s="34"/>
      <c r="O3809" s="34"/>
      <c r="P3809" s="34"/>
      <c r="Q3809" s="34"/>
      <c r="R3809" s="34"/>
      <c r="S3809" s="34"/>
    </row>
    <row r="3810" spans="14:19">
      <c r="N3810" s="34"/>
      <c r="O3810" s="34"/>
      <c r="P3810" s="34"/>
      <c r="Q3810" s="34"/>
      <c r="R3810" s="34"/>
      <c r="S3810" s="34"/>
    </row>
    <row r="3811" spans="14:19">
      <c r="N3811" s="34"/>
      <c r="O3811" s="34"/>
      <c r="P3811" s="34"/>
      <c r="Q3811" s="34"/>
      <c r="R3811" s="34"/>
      <c r="S3811" s="34"/>
    </row>
    <row r="3812" spans="14:19">
      <c r="N3812" s="34"/>
      <c r="O3812" s="34"/>
      <c r="P3812" s="34"/>
      <c r="Q3812" s="34"/>
      <c r="R3812" s="34"/>
      <c r="S3812" s="34"/>
    </row>
    <row r="3813" spans="14:19">
      <c r="N3813" s="34"/>
      <c r="O3813" s="34"/>
      <c r="P3813" s="34"/>
      <c r="Q3813" s="34"/>
      <c r="R3813" s="34"/>
      <c r="S3813" s="34"/>
    </row>
    <row r="3814" spans="14:19">
      <c r="N3814" s="34"/>
      <c r="O3814" s="34"/>
      <c r="P3814" s="34"/>
      <c r="Q3814" s="34"/>
      <c r="R3814" s="34"/>
      <c r="S3814" s="34"/>
    </row>
    <row r="3815" spans="14:19">
      <c r="N3815" s="34"/>
      <c r="O3815" s="34"/>
      <c r="P3815" s="34"/>
      <c r="Q3815" s="34"/>
      <c r="R3815" s="34"/>
      <c r="S3815" s="34"/>
    </row>
    <row r="3816" spans="14:19">
      <c r="N3816" s="34"/>
      <c r="O3816" s="34"/>
      <c r="P3816" s="34"/>
      <c r="Q3816" s="34"/>
      <c r="R3816" s="34"/>
      <c r="S3816" s="34"/>
    </row>
    <row r="3817" spans="14:19">
      <c r="N3817" s="34"/>
      <c r="O3817" s="34"/>
      <c r="P3817" s="34"/>
      <c r="Q3817" s="34"/>
      <c r="R3817" s="34"/>
      <c r="S3817" s="34"/>
    </row>
    <row r="3818" spans="14:19">
      <c r="N3818" s="34"/>
      <c r="O3818" s="34"/>
      <c r="P3818" s="34"/>
      <c r="Q3818" s="34"/>
      <c r="R3818" s="34"/>
      <c r="S3818" s="34"/>
    </row>
    <row r="3819" spans="14:19">
      <c r="N3819" s="34"/>
      <c r="O3819" s="34"/>
      <c r="P3819" s="34"/>
      <c r="Q3819" s="34"/>
      <c r="R3819" s="34"/>
      <c r="S3819" s="34"/>
    </row>
    <row r="3820" spans="14:19">
      <c r="N3820" s="34"/>
      <c r="O3820" s="34"/>
      <c r="P3820" s="34"/>
      <c r="Q3820" s="34"/>
      <c r="R3820" s="34"/>
      <c r="S3820" s="34"/>
    </row>
    <row r="3821" spans="14:19">
      <c r="N3821" s="34"/>
      <c r="O3821" s="34"/>
      <c r="P3821" s="34"/>
      <c r="Q3821" s="34"/>
      <c r="R3821" s="34"/>
      <c r="S3821" s="34"/>
    </row>
    <row r="3822" spans="14:19">
      <c r="N3822" s="34"/>
      <c r="O3822" s="34"/>
      <c r="P3822" s="34"/>
      <c r="Q3822" s="34"/>
      <c r="R3822" s="34"/>
      <c r="S3822" s="34"/>
    </row>
    <row r="3823" spans="14:19">
      <c r="N3823" s="34"/>
      <c r="O3823" s="34"/>
      <c r="P3823" s="34"/>
      <c r="Q3823" s="34"/>
      <c r="R3823" s="34"/>
      <c r="S3823" s="34"/>
    </row>
    <row r="3824" spans="14:19">
      <c r="N3824" s="34"/>
      <c r="O3824" s="34"/>
      <c r="P3824" s="34"/>
      <c r="Q3824" s="34"/>
      <c r="R3824" s="34"/>
      <c r="S3824" s="34"/>
    </row>
    <row r="3825" spans="14:19">
      <c r="N3825" s="34"/>
      <c r="O3825" s="34"/>
      <c r="P3825" s="34"/>
      <c r="Q3825" s="34"/>
      <c r="R3825" s="34"/>
      <c r="S3825" s="34"/>
    </row>
    <row r="3826" spans="14:19">
      <c r="N3826" s="34"/>
      <c r="O3826" s="34"/>
      <c r="P3826" s="34"/>
      <c r="Q3826" s="34"/>
      <c r="R3826" s="34"/>
      <c r="S3826" s="34"/>
    </row>
    <row r="3827" spans="14:19">
      <c r="N3827" s="34"/>
      <c r="O3827" s="34"/>
      <c r="P3827" s="34"/>
      <c r="Q3827" s="34"/>
      <c r="R3827" s="34"/>
      <c r="S3827" s="34"/>
    </row>
    <row r="3828" spans="14:19">
      <c r="N3828" s="34"/>
      <c r="O3828" s="34"/>
      <c r="P3828" s="34"/>
      <c r="Q3828" s="34"/>
      <c r="R3828" s="34"/>
      <c r="S3828" s="34"/>
    </row>
    <row r="3829" spans="14:19">
      <c r="N3829" s="34"/>
      <c r="O3829" s="34"/>
      <c r="P3829" s="34"/>
      <c r="Q3829" s="34"/>
      <c r="R3829" s="34"/>
      <c r="S3829" s="34"/>
    </row>
    <row r="3830" spans="14:19">
      <c r="N3830" s="34"/>
      <c r="O3830" s="34"/>
      <c r="P3830" s="34"/>
      <c r="Q3830" s="34"/>
      <c r="R3830" s="34"/>
      <c r="S3830" s="34"/>
    </row>
    <row r="3831" spans="14:19">
      <c r="N3831" s="34"/>
      <c r="O3831" s="34"/>
      <c r="P3831" s="34"/>
      <c r="Q3831" s="34"/>
      <c r="R3831" s="34"/>
      <c r="S3831" s="34"/>
    </row>
    <row r="3832" spans="14:19">
      <c r="N3832" s="34"/>
      <c r="O3832" s="34"/>
      <c r="P3832" s="34"/>
      <c r="Q3832" s="34"/>
      <c r="R3832" s="34"/>
      <c r="S3832" s="34"/>
    </row>
    <row r="3833" spans="14:19">
      <c r="N3833" s="34"/>
      <c r="O3833" s="34"/>
      <c r="P3833" s="34"/>
      <c r="Q3833" s="34"/>
      <c r="R3833" s="34"/>
      <c r="S3833" s="34"/>
    </row>
    <row r="3834" spans="14:19">
      <c r="N3834" s="34"/>
      <c r="O3834" s="34"/>
      <c r="P3834" s="34"/>
      <c r="Q3834" s="34"/>
      <c r="R3834" s="34"/>
      <c r="S3834" s="34"/>
    </row>
    <row r="3835" spans="14:19">
      <c r="N3835" s="34"/>
      <c r="O3835" s="34"/>
      <c r="P3835" s="34"/>
      <c r="Q3835" s="34"/>
      <c r="R3835" s="34"/>
      <c r="S3835" s="34"/>
    </row>
    <row r="3836" spans="14:19">
      <c r="N3836" s="34"/>
      <c r="O3836" s="34"/>
      <c r="P3836" s="34"/>
      <c r="Q3836" s="34"/>
      <c r="R3836" s="34"/>
      <c r="S3836" s="34"/>
    </row>
    <row r="3837" spans="14:19">
      <c r="N3837" s="34"/>
      <c r="O3837" s="34"/>
      <c r="P3837" s="34"/>
      <c r="Q3837" s="34"/>
      <c r="R3837" s="34"/>
      <c r="S3837" s="34"/>
    </row>
    <row r="3838" spans="14:19">
      <c r="N3838" s="34"/>
      <c r="O3838" s="34"/>
      <c r="P3838" s="34"/>
      <c r="Q3838" s="34"/>
      <c r="R3838" s="34"/>
      <c r="S3838" s="34"/>
    </row>
    <row r="3839" spans="14:19">
      <c r="N3839" s="34"/>
      <c r="O3839" s="34"/>
      <c r="P3839" s="34"/>
      <c r="Q3839" s="34"/>
      <c r="R3839" s="34"/>
      <c r="S3839" s="34"/>
    </row>
    <row r="3840" spans="14:19">
      <c r="N3840" s="34"/>
      <c r="O3840" s="34"/>
      <c r="P3840" s="34"/>
      <c r="Q3840" s="34"/>
      <c r="R3840" s="34"/>
      <c r="S3840" s="34"/>
    </row>
    <row r="3841" spans="14:19">
      <c r="N3841" s="34"/>
      <c r="O3841" s="34"/>
      <c r="P3841" s="34"/>
      <c r="Q3841" s="34"/>
      <c r="R3841" s="34"/>
      <c r="S3841" s="34"/>
    </row>
    <row r="3842" spans="14:19">
      <c r="N3842" s="34"/>
      <c r="O3842" s="34"/>
      <c r="P3842" s="34"/>
      <c r="Q3842" s="34"/>
      <c r="R3842" s="34"/>
      <c r="S3842" s="34"/>
    </row>
    <row r="3843" spans="14:19">
      <c r="N3843" s="34"/>
      <c r="O3843" s="34"/>
      <c r="P3843" s="34"/>
      <c r="Q3843" s="34"/>
      <c r="R3843" s="34"/>
      <c r="S3843" s="34"/>
    </row>
    <row r="3844" spans="14:19">
      <c r="N3844" s="34"/>
      <c r="O3844" s="34"/>
      <c r="P3844" s="34"/>
      <c r="Q3844" s="34"/>
      <c r="R3844" s="34"/>
      <c r="S3844" s="34"/>
    </row>
    <row r="3845" spans="14:19">
      <c r="N3845" s="34"/>
      <c r="O3845" s="34"/>
      <c r="P3845" s="34"/>
      <c r="Q3845" s="34"/>
      <c r="R3845" s="34"/>
      <c r="S3845" s="34"/>
    </row>
    <row r="3846" spans="14:19">
      <c r="N3846" s="34"/>
      <c r="O3846" s="34"/>
      <c r="P3846" s="34"/>
      <c r="Q3846" s="34"/>
      <c r="R3846" s="34"/>
      <c r="S3846" s="34"/>
    </row>
    <row r="3847" spans="14:19">
      <c r="N3847" s="34"/>
      <c r="O3847" s="34"/>
      <c r="P3847" s="34"/>
      <c r="Q3847" s="34"/>
      <c r="R3847" s="34"/>
      <c r="S3847" s="34"/>
    </row>
    <row r="3848" spans="14:19">
      <c r="N3848" s="34"/>
      <c r="O3848" s="34"/>
      <c r="P3848" s="34"/>
      <c r="Q3848" s="34"/>
      <c r="R3848" s="34"/>
      <c r="S3848" s="34"/>
    </row>
    <row r="3849" spans="14:19">
      <c r="N3849" s="34"/>
      <c r="O3849" s="34"/>
      <c r="P3849" s="34"/>
      <c r="Q3849" s="34"/>
      <c r="R3849" s="34"/>
      <c r="S3849" s="34"/>
    </row>
    <row r="3850" spans="14:19">
      <c r="N3850" s="34"/>
      <c r="O3850" s="34"/>
      <c r="P3850" s="34"/>
      <c r="Q3850" s="34"/>
      <c r="R3850" s="34"/>
      <c r="S3850" s="34"/>
    </row>
    <row r="3851" spans="14:19">
      <c r="N3851" s="34"/>
      <c r="O3851" s="34"/>
      <c r="P3851" s="34"/>
      <c r="Q3851" s="34"/>
      <c r="R3851" s="34"/>
      <c r="S3851" s="34"/>
    </row>
    <row r="3852" spans="14:19">
      <c r="N3852" s="34"/>
      <c r="O3852" s="34"/>
      <c r="P3852" s="34"/>
      <c r="Q3852" s="34"/>
      <c r="R3852" s="34"/>
      <c r="S3852" s="34"/>
    </row>
    <row r="3853" spans="14:19">
      <c r="N3853" s="34"/>
      <c r="O3853" s="34"/>
      <c r="P3853" s="34"/>
      <c r="Q3853" s="34"/>
      <c r="R3853" s="34"/>
      <c r="S3853" s="34"/>
    </row>
    <row r="3854" spans="14:19">
      <c r="N3854" s="34"/>
      <c r="O3854" s="34"/>
      <c r="P3854" s="34"/>
      <c r="Q3854" s="34"/>
      <c r="R3854" s="34"/>
      <c r="S3854" s="34"/>
    </row>
    <row r="3855" spans="14:19">
      <c r="N3855" s="34"/>
      <c r="O3855" s="34"/>
      <c r="P3855" s="34"/>
      <c r="Q3855" s="34"/>
      <c r="R3855" s="34"/>
      <c r="S3855" s="34"/>
    </row>
    <row r="3856" spans="14:19">
      <c r="N3856" s="34"/>
      <c r="O3856" s="34"/>
      <c r="P3856" s="34"/>
      <c r="Q3856" s="34"/>
      <c r="R3856" s="34"/>
      <c r="S3856" s="34"/>
    </row>
    <row r="3857" spans="14:19">
      <c r="N3857" s="34"/>
      <c r="O3857" s="34"/>
      <c r="P3857" s="34"/>
      <c r="Q3857" s="34"/>
      <c r="R3857" s="34"/>
      <c r="S3857" s="34"/>
    </row>
    <row r="3858" spans="14:19">
      <c r="N3858" s="34"/>
      <c r="O3858" s="34"/>
      <c r="P3858" s="34"/>
      <c r="Q3858" s="34"/>
      <c r="R3858" s="34"/>
      <c r="S3858" s="34"/>
    </row>
    <row r="3859" spans="14:19">
      <c r="N3859" s="34"/>
      <c r="O3859" s="34"/>
      <c r="P3859" s="34"/>
      <c r="Q3859" s="34"/>
      <c r="R3859" s="34"/>
      <c r="S3859" s="34"/>
    </row>
    <row r="3860" spans="14:19">
      <c r="N3860" s="34"/>
      <c r="O3860" s="34"/>
      <c r="P3860" s="34"/>
      <c r="Q3860" s="34"/>
      <c r="R3860" s="34"/>
      <c r="S3860" s="34"/>
    </row>
    <row r="3861" spans="14:19">
      <c r="N3861" s="34"/>
      <c r="O3861" s="34"/>
      <c r="P3861" s="34"/>
      <c r="Q3861" s="34"/>
      <c r="R3861" s="34"/>
      <c r="S3861" s="34"/>
    </row>
    <row r="3862" spans="14:19">
      <c r="N3862" s="34"/>
      <c r="O3862" s="34"/>
      <c r="P3862" s="34"/>
      <c r="Q3862" s="34"/>
      <c r="R3862" s="34"/>
      <c r="S3862" s="34"/>
    </row>
    <row r="3863" spans="14:19">
      <c r="N3863" s="34"/>
      <c r="O3863" s="34"/>
      <c r="P3863" s="34"/>
      <c r="Q3863" s="34"/>
      <c r="R3863" s="34"/>
      <c r="S3863" s="34"/>
    </row>
    <row r="3864" spans="14:19">
      <c r="N3864" s="34"/>
      <c r="O3864" s="34"/>
      <c r="P3864" s="34"/>
      <c r="Q3864" s="34"/>
      <c r="R3864" s="34"/>
      <c r="S3864" s="34"/>
    </row>
    <row r="3865" spans="14:19">
      <c r="N3865" s="34"/>
      <c r="O3865" s="34"/>
      <c r="P3865" s="34"/>
      <c r="Q3865" s="34"/>
      <c r="R3865" s="34"/>
      <c r="S3865" s="34"/>
    </row>
    <row r="3866" spans="14:19">
      <c r="N3866" s="34"/>
      <c r="O3866" s="34"/>
      <c r="P3866" s="34"/>
      <c r="Q3866" s="34"/>
      <c r="R3866" s="34"/>
      <c r="S3866" s="34"/>
    </row>
    <row r="3867" spans="14:19">
      <c r="N3867" s="34"/>
      <c r="O3867" s="34"/>
      <c r="P3867" s="34"/>
      <c r="Q3867" s="34"/>
      <c r="R3867" s="34"/>
      <c r="S3867" s="34"/>
    </row>
    <row r="3868" spans="14:19">
      <c r="N3868" s="34"/>
      <c r="O3868" s="34"/>
      <c r="P3868" s="34"/>
      <c r="Q3868" s="34"/>
      <c r="R3868" s="34"/>
      <c r="S3868" s="34"/>
    </row>
    <row r="3869" spans="14:19">
      <c r="N3869" s="34"/>
      <c r="O3869" s="34"/>
      <c r="P3869" s="34"/>
      <c r="Q3869" s="34"/>
      <c r="R3869" s="34"/>
      <c r="S3869" s="34"/>
    </row>
    <row r="3870" spans="14:19">
      <c r="N3870" s="34"/>
      <c r="O3870" s="34"/>
      <c r="P3870" s="34"/>
      <c r="Q3870" s="34"/>
      <c r="R3870" s="34"/>
      <c r="S3870" s="34"/>
    </row>
    <row r="3871" spans="14:19">
      <c r="N3871" s="34"/>
      <c r="O3871" s="34"/>
      <c r="P3871" s="34"/>
      <c r="Q3871" s="34"/>
      <c r="R3871" s="34"/>
      <c r="S3871" s="34"/>
    </row>
    <row r="3872" spans="14:19">
      <c r="N3872" s="34"/>
      <c r="O3872" s="34"/>
      <c r="P3872" s="34"/>
      <c r="Q3872" s="34"/>
      <c r="R3872" s="34"/>
      <c r="S3872" s="34"/>
    </row>
    <row r="3873" spans="14:19">
      <c r="N3873" s="34"/>
      <c r="O3873" s="34"/>
      <c r="P3873" s="34"/>
      <c r="Q3873" s="34"/>
      <c r="R3873" s="34"/>
      <c r="S3873" s="34"/>
    </row>
    <row r="3874" spans="14:19">
      <c r="N3874" s="34"/>
      <c r="O3874" s="34"/>
      <c r="P3874" s="34"/>
      <c r="Q3874" s="34"/>
      <c r="R3874" s="34"/>
      <c r="S3874" s="34"/>
    </row>
    <row r="3875" spans="14:19">
      <c r="N3875" s="34"/>
      <c r="O3875" s="34"/>
      <c r="P3875" s="34"/>
      <c r="Q3875" s="34"/>
      <c r="R3875" s="34"/>
      <c r="S3875" s="34"/>
    </row>
    <row r="3876" spans="14:19">
      <c r="N3876" s="34"/>
      <c r="O3876" s="34"/>
      <c r="P3876" s="34"/>
      <c r="Q3876" s="34"/>
      <c r="R3876" s="34"/>
      <c r="S3876" s="34"/>
    </row>
    <row r="3877" spans="14:19">
      <c r="N3877" s="34"/>
      <c r="O3877" s="34"/>
      <c r="P3877" s="34"/>
      <c r="Q3877" s="34"/>
      <c r="R3877" s="34"/>
      <c r="S3877" s="34"/>
    </row>
    <row r="3878" spans="14:19">
      <c r="N3878" s="34"/>
      <c r="O3878" s="34"/>
      <c r="P3878" s="34"/>
      <c r="Q3878" s="34"/>
      <c r="R3878" s="34"/>
      <c r="S3878" s="34"/>
    </row>
    <row r="3879" spans="14:19">
      <c r="N3879" s="34"/>
      <c r="O3879" s="34"/>
      <c r="P3879" s="34"/>
      <c r="Q3879" s="34"/>
      <c r="R3879" s="34"/>
      <c r="S3879" s="34"/>
    </row>
    <row r="3880" spans="14:19">
      <c r="N3880" s="34"/>
      <c r="O3880" s="34"/>
      <c r="P3880" s="34"/>
      <c r="Q3880" s="34"/>
      <c r="R3880" s="34"/>
      <c r="S3880" s="34"/>
    </row>
    <row r="3881" spans="14:19">
      <c r="N3881" s="34"/>
      <c r="O3881" s="34"/>
      <c r="P3881" s="34"/>
      <c r="Q3881" s="34"/>
      <c r="R3881" s="34"/>
      <c r="S3881" s="34"/>
    </row>
    <row r="3882" spans="14:19">
      <c r="N3882" s="34"/>
      <c r="O3882" s="34"/>
      <c r="P3882" s="34"/>
      <c r="Q3882" s="34"/>
      <c r="R3882" s="34"/>
      <c r="S3882" s="34"/>
    </row>
    <row r="3883" spans="14:19">
      <c r="N3883" s="34"/>
      <c r="O3883" s="34"/>
      <c r="P3883" s="34"/>
      <c r="Q3883" s="34"/>
      <c r="R3883" s="34"/>
      <c r="S3883" s="34"/>
    </row>
    <row r="3884" spans="14:19">
      <c r="N3884" s="34"/>
      <c r="O3884" s="34"/>
      <c r="P3884" s="34"/>
      <c r="Q3884" s="34"/>
      <c r="R3884" s="34"/>
      <c r="S3884" s="34"/>
    </row>
    <row r="3885" spans="14:19">
      <c r="N3885" s="34"/>
      <c r="O3885" s="34"/>
      <c r="P3885" s="34"/>
      <c r="Q3885" s="34"/>
      <c r="R3885" s="34"/>
      <c r="S3885" s="34"/>
    </row>
    <row r="3886" spans="14:19">
      <c r="N3886" s="34"/>
      <c r="O3886" s="34"/>
      <c r="P3886" s="34"/>
      <c r="Q3886" s="34"/>
      <c r="R3886" s="34"/>
      <c r="S3886" s="34"/>
    </row>
    <row r="3887" spans="14:19">
      <c r="N3887" s="34"/>
      <c r="O3887" s="34"/>
      <c r="P3887" s="34"/>
      <c r="Q3887" s="34"/>
      <c r="R3887" s="34"/>
      <c r="S3887" s="34"/>
    </row>
    <row r="3888" spans="14:19">
      <c r="N3888" s="34"/>
      <c r="O3888" s="34"/>
      <c r="P3888" s="34"/>
      <c r="Q3888" s="34"/>
      <c r="R3888" s="34"/>
      <c r="S3888" s="34"/>
    </row>
    <row r="3889" spans="14:19">
      <c r="N3889" s="34"/>
      <c r="O3889" s="34"/>
      <c r="P3889" s="34"/>
      <c r="Q3889" s="34"/>
      <c r="R3889" s="34"/>
      <c r="S3889" s="34"/>
    </row>
    <row r="3890" spans="14:19">
      <c r="N3890" s="34"/>
      <c r="O3890" s="34"/>
      <c r="P3890" s="34"/>
      <c r="Q3890" s="34"/>
      <c r="R3890" s="34"/>
      <c r="S3890" s="34"/>
    </row>
    <row r="3891" spans="14:19">
      <c r="N3891" s="34"/>
      <c r="O3891" s="34"/>
      <c r="P3891" s="34"/>
      <c r="Q3891" s="34"/>
      <c r="R3891" s="34"/>
      <c r="S3891" s="34"/>
    </row>
    <row r="3892" spans="14:19">
      <c r="N3892" s="34"/>
      <c r="O3892" s="34"/>
      <c r="P3892" s="34"/>
      <c r="Q3892" s="34"/>
      <c r="R3892" s="34"/>
      <c r="S3892" s="34"/>
    </row>
    <row r="3893" spans="14:19">
      <c r="N3893" s="34"/>
      <c r="O3893" s="34"/>
      <c r="P3893" s="34"/>
      <c r="Q3893" s="34"/>
      <c r="R3893" s="34"/>
      <c r="S3893" s="34"/>
    </row>
    <row r="3894" spans="14:19">
      <c r="N3894" s="34"/>
      <c r="O3894" s="34"/>
      <c r="P3894" s="34"/>
      <c r="Q3894" s="34"/>
      <c r="R3894" s="34"/>
      <c r="S3894" s="34"/>
    </row>
    <row r="3895" spans="14:19">
      <c r="N3895" s="34"/>
      <c r="O3895" s="34"/>
      <c r="P3895" s="34"/>
      <c r="Q3895" s="34"/>
      <c r="R3895" s="34"/>
      <c r="S3895" s="34"/>
    </row>
    <row r="3896" spans="14:19">
      <c r="N3896" s="34"/>
      <c r="O3896" s="34"/>
      <c r="P3896" s="34"/>
      <c r="Q3896" s="34"/>
      <c r="R3896" s="34"/>
      <c r="S3896" s="34"/>
    </row>
    <row r="3897" spans="14:19">
      <c r="N3897" s="34"/>
      <c r="O3897" s="34"/>
      <c r="P3897" s="34"/>
      <c r="Q3897" s="34"/>
      <c r="R3897" s="34"/>
      <c r="S3897" s="34"/>
    </row>
    <row r="3898" spans="14:19">
      <c r="N3898" s="34"/>
      <c r="O3898" s="34"/>
      <c r="P3898" s="34"/>
      <c r="Q3898" s="34"/>
      <c r="R3898" s="34"/>
      <c r="S3898" s="34"/>
    </row>
    <row r="3899" spans="14:19">
      <c r="N3899" s="34"/>
      <c r="O3899" s="34"/>
      <c r="P3899" s="34"/>
      <c r="Q3899" s="34"/>
      <c r="R3899" s="34"/>
      <c r="S3899" s="34"/>
    </row>
    <row r="3900" spans="14:19">
      <c r="N3900" s="34"/>
      <c r="O3900" s="34"/>
      <c r="P3900" s="34"/>
      <c r="Q3900" s="34"/>
      <c r="R3900" s="34"/>
      <c r="S3900" s="34"/>
    </row>
    <row r="3901" spans="14:19">
      <c r="N3901" s="34"/>
      <c r="O3901" s="34"/>
      <c r="P3901" s="34"/>
      <c r="Q3901" s="34"/>
      <c r="R3901" s="34"/>
      <c r="S3901" s="34"/>
    </row>
    <row r="3902" spans="14:19">
      <c r="N3902" s="34"/>
      <c r="O3902" s="34"/>
      <c r="P3902" s="34"/>
      <c r="Q3902" s="34"/>
      <c r="R3902" s="34"/>
      <c r="S3902" s="34"/>
    </row>
    <row r="3903" spans="14:19">
      <c r="N3903" s="34"/>
      <c r="O3903" s="34"/>
      <c r="P3903" s="34"/>
      <c r="Q3903" s="34"/>
      <c r="R3903" s="34"/>
      <c r="S3903" s="34"/>
    </row>
    <row r="3904" spans="14:19">
      <c r="N3904" s="34"/>
      <c r="O3904" s="34"/>
      <c r="P3904" s="34"/>
      <c r="Q3904" s="34"/>
      <c r="R3904" s="34"/>
      <c r="S3904" s="34"/>
    </row>
    <row r="3905" spans="14:19">
      <c r="N3905" s="34"/>
      <c r="O3905" s="34"/>
      <c r="P3905" s="34"/>
      <c r="Q3905" s="34"/>
      <c r="R3905" s="34"/>
      <c r="S3905" s="34"/>
    </row>
    <row r="3906" spans="14:19">
      <c r="N3906" s="34"/>
      <c r="O3906" s="34"/>
      <c r="P3906" s="34"/>
      <c r="Q3906" s="34"/>
      <c r="R3906" s="34"/>
      <c r="S3906" s="34"/>
    </row>
    <row r="3907" spans="14:19">
      <c r="N3907" s="34"/>
      <c r="O3907" s="34"/>
      <c r="P3907" s="34"/>
      <c r="Q3907" s="34"/>
      <c r="R3907" s="34"/>
      <c r="S3907" s="34"/>
    </row>
    <row r="3908" spans="14:19">
      <c r="N3908" s="34"/>
      <c r="O3908" s="34"/>
      <c r="P3908" s="34"/>
      <c r="Q3908" s="34"/>
      <c r="R3908" s="34"/>
      <c r="S3908" s="34"/>
    </row>
    <row r="3909" spans="14:19">
      <c r="N3909" s="34"/>
      <c r="O3909" s="34"/>
      <c r="P3909" s="34"/>
      <c r="Q3909" s="34"/>
      <c r="R3909" s="34"/>
      <c r="S3909" s="34"/>
    </row>
    <row r="3910" spans="14:19">
      <c r="N3910" s="34"/>
      <c r="O3910" s="34"/>
      <c r="P3910" s="34"/>
      <c r="Q3910" s="34"/>
      <c r="R3910" s="34"/>
      <c r="S3910" s="34"/>
    </row>
    <row r="3911" spans="14:19">
      <c r="N3911" s="34"/>
      <c r="O3911" s="34"/>
      <c r="P3911" s="34"/>
      <c r="Q3911" s="34"/>
      <c r="R3911" s="34"/>
      <c r="S3911" s="34"/>
    </row>
    <row r="3912" spans="14:19">
      <c r="N3912" s="34"/>
      <c r="O3912" s="34"/>
      <c r="P3912" s="34"/>
      <c r="Q3912" s="34"/>
      <c r="R3912" s="34"/>
      <c r="S3912" s="34"/>
    </row>
    <row r="3913" spans="14:19">
      <c r="N3913" s="34"/>
      <c r="O3913" s="34"/>
      <c r="P3913" s="34"/>
      <c r="Q3913" s="34"/>
      <c r="R3913" s="34"/>
      <c r="S3913" s="34"/>
    </row>
    <row r="3914" spans="14:19">
      <c r="N3914" s="34"/>
      <c r="O3914" s="34"/>
      <c r="P3914" s="34"/>
      <c r="Q3914" s="34"/>
      <c r="R3914" s="34"/>
      <c r="S3914" s="34"/>
    </row>
    <row r="3915" spans="14:19">
      <c r="N3915" s="34"/>
      <c r="O3915" s="34"/>
      <c r="P3915" s="34"/>
      <c r="Q3915" s="34"/>
      <c r="R3915" s="34"/>
      <c r="S3915" s="34"/>
    </row>
    <row r="3916" spans="14:19">
      <c r="N3916" s="34"/>
      <c r="O3916" s="34"/>
      <c r="P3916" s="34"/>
      <c r="Q3916" s="34"/>
      <c r="R3916" s="34"/>
      <c r="S3916" s="34"/>
    </row>
    <row r="3917" spans="14:19">
      <c r="N3917" s="34"/>
      <c r="O3917" s="34"/>
      <c r="P3917" s="34"/>
      <c r="Q3917" s="34"/>
      <c r="R3917" s="34"/>
      <c r="S3917" s="34"/>
    </row>
    <row r="3918" spans="14:19">
      <c r="N3918" s="34"/>
      <c r="O3918" s="34"/>
      <c r="P3918" s="34"/>
      <c r="Q3918" s="34"/>
      <c r="R3918" s="34"/>
      <c r="S3918" s="34"/>
    </row>
    <row r="3919" spans="14:19">
      <c r="N3919" s="34"/>
      <c r="O3919" s="34"/>
      <c r="P3919" s="34"/>
      <c r="Q3919" s="34"/>
      <c r="R3919" s="34"/>
      <c r="S3919" s="34"/>
    </row>
    <row r="3920" spans="14:19">
      <c r="N3920" s="34"/>
      <c r="O3920" s="34"/>
      <c r="P3920" s="34"/>
      <c r="Q3920" s="34"/>
      <c r="R3920" s="34"/>
      <c r="S3920" s="34"/>
    </row>
    <row r="3921" spans="14:19">
      <c r="N3921" s="34"/>
      <c r="O3921" s="34"/>
      <c r="P3921" s="34"/>
      <c r="Q3921" s="34"/>
      <c r="R3921" s="34"/>
      <c r="S3921" s="34"/>
    </row>
    <row r="3922" spans="14:19">
      <c r="N3922" s="34"/>
      <c r="O3922" s="34"/>
      <c r="P3922" s="34"/>
      <c r="Q3922" s="34"/>
      <c r="R3922" s="34"/>
      <c r="S3922" s="34"/>
    </row>
    <row r="3923" spans="14:19">
      <c r="N3923" s="34"/>
      <c r="O3923" s="34"/>
      <c r="P3923" s="34"/>
      <c r="Q3923" s="34"/>
      <c r="R3923" s="34"/>
      <c r="S3923" s="34"/>
    </row>
    <row r="3924" spans="14:19">
      <c r="N3924" s="34"/>
      <c r="O3924" s="34"/>
      <c r="P3924" s="34"/>
      <c r="Q3924" s="34"/>
      <c r="R3924" s="34"/>
      <c r="S3924" s="34"/>
    </row>
    <row r="3925" spans="14:19">
      <c r="N3925" s="34"/>
      <c r="O3925" s="34"/>
      <c r="P3925" s="34"/>
      <c r="Q3925" s="34"/>
      <c r="R3925" s="34"/>
      <c r="S3925" s="34"/>
    </row>
    <row r="3926" spans="14:19">
      <c r="N3926" s="34"/>
      <c r="O3926" s="34"/>
      <c r="P3926" s="34"/>
      <c r="Q3926" s="34"/>
      <c r="R3926" s="34"/>
      <c r="S3926" s="34"/>
    </row>
    <row r="3927" spans="14:19">
      <c r="N3927" s="34"/>
      <c r="O3927" s="34"/>
      <c r="P3927" s="34"/>
      <c r="Q3927" s="34"/>
      <c r="R3927" s="34"/>
      <c r="S3927" s="34"/>
    </row>
    <row r="3928" spans="14:19">
      <c r="N3928" s="34"/>
      <c r="O3928" s="34"/>
      <c r="P3928" s="34"/>
      <c r="Q3928" s="34"/>
      <c r="R3928" s="34"/>
      <c r="S3928" s="34"/>
    </row>
    <row r="3929" spans="14:19">
      <c r="N3929" s="34"/>
      <c r="O3929" s="34"/>
      <c r="P3929" s="34"/>
      <c r="Q3929" s="34"/>
      <c r="R3929" s="34"/>
      <c r="S3929" s="34"/>
    </row>
    <row r="3930" spans="14:19">
      <c r="N3930" s="34"/>
      <c r="O3930" s="34"/>
      <c r="P3930" s="34"/>
      <c r="Q3930" s="34"/>
      <c r="R3930" s="34"/>
      <c r="S3930" s="34"/>
    </row>
    <row r="3931" spans="14:19">
      <c r="N3931" s="34"/>
      <c r="O3931" s="34"/>
      <c r="P3931" s="34"/>
      <c r="Q3931" s="34"/>
      <c r="R3931" s="34"/>
      <c r="S3931" s="34"/>
    </row>
    <row r="3932" spans="14:19">
      <c r="N3932" s="34"/>
      <c r="O3932" s="34"/>
      <c r="P3932" s="34"/>
      <c r="Q3932" s="34"/>
      <c r="R3932" s="34"/>
      <c r="S3932" s="34"/>
    </row>
    <row r="3933" spans="14:19">
      <c r="N3933" s="34"/>
      <c r="O3933" s="34"/>
      <c r="P3933" s="34"/>
      <c r="Q3933" s="34"/>
      <c r="R3933" s="34"/>
      <c r="S3933" s="34"/>
    </row>
    <row r="3934" spans="14:19">
      <c r="N3934" s="34"/>
      <c r="O3934" s="34"/>
      <c r="P3934" s="34"/>
      <c r="Q3934" s="34"/>
      <c r="R3934" s="34"/>
      <c r="S3934" s="34"/>
    </row>
    <row r="3935" spans="14:19">
      <c r="N3935" s="34"/>
      <c r="O3935" s="34"/>
      <c r="P3935" s="34"/>
      <c r="Q3935" s="34"/>
      <c r="R3935" s="34"/>
      <c r="S3935" s="34"/>
    </row>
    <row r="3936" spans="14:19">
      <c r="N3936" s="34"/>
      <c r="O3936" s="34"/>
      <c r="P3936" s="34"/>
      <c r="Q3936" s="34"/>
      <c r="R3936" s="34"/>
      <c r="S3936" s="34"/>
    </row>
    <row r="3937" spans="14:19">
      <c r="N3937" s="34"/>
      <c r="O3937" s="34"/>
      <c r="P3937" s="34"/>
      <c r="Q3937" s="34"/>
      <c r="R3937" s="34"/>
      <c r="S3937" s="34"/>
    </row>
    <row r="3938" spans="14:19">
      <c r="N3938" s="34"/>
      <c r="O3938" s="34"/>
      <c r="P3938" s="34"/>
      <c r="Q3938" s="34"/>
      <c r="R3938" s="34"/>
      <c r="S3938" s="34"/>
    </row>
    <row r="3939" spans="14:19">
      <c r="N3939" s="34"/>
      <c r="O3939" s="34"/>
      <c r="P3939" s="34"/>
      <c r="Q3939" s="34"/>
      <c r="R3939" s="34"/>
      <c r="S3939" s="34"/>
    </row>
    <row r="3940" spans="14:19">
      <c r="N3940" s="34"/>
      <c r="O3940" s="34"/>
      <c r="P3940" s="34"/>
      <c r="Q3940" s="34"/>
      <c r="R3940" s="34"/>
      <c r="S3940" s="34"/>
    </row>
    <row r="3941" spans="14:19">
      <c r="N3941" s="34"/>
      <c r="O3941" s="34"/>
      <c r="P3941" s="34"/>
      <c r="Q3941" s="34"/>
      <c r="R3941" s="34"/>
      <c r="S3941" s="34"/>
    </row>
    <row r="3942" spans="14:19">
      <c r="N3942" s="34"/>
      <c r="O3942" s="34"/>
      <c r="P3942" s="34"/>
      <c r="Q3942" s="34"/>
      <c r="R3942" s="34"/>
      <c r="S3942" s="34"/>
    </row>
    <row r="3943" spans="14:19">
      <c r="N3943" s="34"/>
      <c r="O3943" s="34"/>
      <c r="P3943" s="34"/>
      <c r="Q3943" s="34"/>
      <c r="R3943" s="34"/>
      <c r="S3943" s="34"/>
    </row>
    <row r="3944" spans="14:19">
      <c r="N3944" s="34"/>
      <c r="O3944" s="34"/>
      <c r="P3944" s="34"/>
      <c r="Q3944" s="34"/>
      <c r="R3944" s="34"/>
      <c r="S3944" s="34"/>
    </row>
    <row r="3945" spans="14:19">
      <c r="N3945" s="34"/>
      <c r="O3945" s="34"/>
      <c r="P3945" s="34"/>
      <c r="Q3945" s="34"/>
      <c r="R3945" s="34"/>
      <c r="S3945" s="34"/>
    </row>
    <row r="3946" spans="14:19">
      <c r="N3946" s="34"/>
      <c r="O3946" s="34"/>
      <c r="P3946" s="34"/>
      <c r="Q3946" s="34"/>
      <c r="R3946" s="34"/>
      <c r="S3946" s="34"/>
    </row>
    <row r="3947" spans="14:19">
      <c r="N3947" s="34"/>
      <c r="O3947" s="34"/>
      <c r="P3947" s="34"/>
      <c r="Q3947" s="34"/>
      <c r="R3947" s="34"/>
      <c r="S3947" s="34"/>
    </row>
    <row r="3948" spans="14:19">
      <c r="N3948" s="34"/>
      <c r="O3948" s="34"/>
      <c r="P3948" s="34"/>
      <c r="Q3948" s="34"/>
      <c r="R3948" s="34"/>
      <c r="S3948" s="34"/>
    </row>
    <row r="3949" spans="14:19">
      <c r="N3949" s="34"/>
      <c r="O3949" s="34"/>
      <c r="P3949" s="34"/>
      <c r="Q3949" s="34"/>
      <c r="R3949" s="34"/>
      <c r="S3949" s="34"/>
    </row>
    <row r="3950" spans="14:19">
      <c r="N3950" s="34"/>
      <c r="O3950" s="34"/>
      <c r="P3950" s="34"/>
      <c r="Q3950" s="34"/>
      <c r="R3950" s="34"/>
      <c r="S3950" s="34"/>
    </row>
    <row r="3951" spans="14:19">
      <c r="N3951" s="34"/>
      <c r="O3951" s="34"/>
      <c r="P3951" s="34"/>
      <c r="Q3951" s="34"/>
      <c r="R3951" s="34"/>
      <c r="S3951" s="34"/>
    </row>
    <row r="3952" spans="14:19">
      <c r="N3952" s="34"/>
      <c r="O3952" s="34"/>
      <c r="P3952" s="34"/>
      <c r="Q3952" s="34"/>
      <c r="R3952" s="34"/>
      <c r="S3952" s="34"/>
    </row>
    <row r="3953" spans="14:19">
      <c r="N3953" s="34"/>
      <c r="O3953" s="34"/>
      <c r="P3953" s="34"/>
      <c r="Q3953" s="34"/>
      <c r="R3953" s="34"/>
      <c r="S3953" s="34"/>
    </row>
    <row r="3954" spans="14:19">
      <c r="N3954" s="34"/>
      <c r="O3954" s="34"/>
      <c r="P3954" s="34"/>
      <c r="Q3954" s="34"/>
      <c r="R3954" s="34"/>
      <c r="S3954" s="34"/>
    </row>
    <row r="3955" spans="14:19">
      <c r="N3955" s="34"/>
      <c r="O3955" s="34"/>
      <c r="P3955" s="34"/>
      <c r="Q3955" s="34"/>
      <c r="R3955" s="34"/>
      <c r="S3955" s="34"/>
    </row>
    <row r="3956" spans="14:19">
      <c r="N3956" s="34"/>
      <c r="O3956" s="34"/>
      <c r="P3956" s="34"/>
      <c r="Q3956" s="34"/>
      <c r="R3956" s="34"/>
      <c r="S3956" s="34"/>
    </row>
    <row r="3957" spans="14:19">
      <c r="N3957" s="34"/>
      <c r="O3957" s="34"/>
      <c r="P3957" s="34"/>
      <c r="Q3957" s="34"/>
      <c r="R3957" s="34"/>
      <c r="S3957" s="34"/>
    </row>
    <row r="3958" spans="14:19">
      <c r="N3958" s="34"/>
      <c r="O3958" s="34"/>
      <c r="P3958" s="34"/>
      <c r="Q3958" s="34"/>
      <c r="R3958" s="34"/>
      <c r="S3958" s="34"/>
    </row>
    <row r="3959" spans="14:19">
      <c r="N3959" s="34"/>
      <c r="O3959" s="34"/>
      <c r="P3959" s="34"/>
      <c r="Q3959" s="34"/>
      <c r="R3959" s="34"/>
      <c r="S3959" s="34"/>
    </row>
    <row r="3960" spans="14:19">
      <c r="N3960" s="34"/>
      <c r="O3960" s="34"/>
      <c r="P3960" s="34"/>
      <c r="Q3960" s="34"/>
      <c r="R3960" s="34"/>
      <c r="S3960" s="34"/>
    </row>
    <row r="3961" spans="14:19">
      <c r="N3961" s="34"/>
      <c r="O3961" s="34"/>
      <c r="P3961" s="34"/>
      <c r="Q3961" s="34"/>
      <c r="R3961" s="34"/>
      <c r="S3961" s="34"/>
    </row>
    <row r="3962" spans="14:19">
      <c r="N3962" s="34"/>
      <c r="O3962" s="34"/>
      <c r="P3962" s="34"/>
      <c r="Q3962" s="34"/>
      <c r="R3962" s="34"/>
      <c r="S3962" s="34"/>
    </row>
    <row r="3963" spans="14:19">
      <c r="N3963" s="34"/>
      <c r="O3963" s="34"/>
      <c r="P3963" s="34"/>
      <c r="Q3963" s="34"/>
      <c r="R3963" s="34"/>
      <c r="S3963" s="34"/>
    </row>
    <row r="3964" spans="14:19">
      <c r="N3964" s="34"/>
      <c r="O3964" s="34"/>
      <c r="P3964" s="34"/>
      <c r="Q3964" s="34"/>
      <c r="R3964" s="34"/>
      <c r="S3964" s="34"/>
    </row>
    <row r="3965" spans="14:19">
      <c r="N3965" s="34"/>
      <c r="O3965" s="34"/>
      <c r="P3965" s="34"/>
      <c r="Q3965" s="34"/>
      <c r="R3965" s="34"/>
      <c r="S3965" s="34"/>
    </row>
    <row r="3966" spans="14:19">
      <c r="N3966" s="34"/>
      <c r="O3966" s="34"/>
      <c r="P3966" s="34"/>
      <c r="Q3966" s="34"/>
      <c r="R3966" s="34"/>
      <c r="S3966" s="34"/>
    </row>
    <row r="3967" spans="14:19">
      <c r="N3967" s="34"/>
      <c r="O3967" s="34"/>
      <c r="P3967" s="34"/>
      <c r="Q3967" s="34"/>
      <c r="R3967" s="34"/>
      <c r="S3967" s="34"/>
    </row>
    <row r="3968" spans="14:19">
      <c r="N3968" s="34"/>
      <c r="O3968" s="34"/>
      <c r="P3968" s="34"/>
      <c r="Q3968" s="34"/>
      <c r="R3968" s="34"/>
      <c r="S3968" s="34"/>
    </row>
    <row r="3969" spans="14:19">
      <c r="N3969" s="34"/>
      <c r="O3969" s="34"/>
      <c r="P3969" s="34"/>
      <c r="Q3969" s="34"/>
      <c r="R3969" s="34"/>
      <c r="S3969" s="34"/>
    </row>
    <row r="3970" spans="14:19">
      <c r="N3970" s="34"/>
      <c r="O3970" s="34"/>
      <c r="P3970" s="34"/>
      <c r="Q3970" s="34"/>
      <c r="R3970" s="34"/>
      <c r="S3970" s="34"/>
    </row>
    <row r="3971" spans="14:19">
      <c r="N3971" s="34"/>
      <c r="O3971" s="34"/>
      <c r="P3971" s="34"/>
      <c r="Q3971" s="34"/>
      <c r="R3971" s="34"/>
      <c r="S3971" s="34"/>
    </row>
    <row r="3972" spans="14:19">
      <c r="N3972" s="34"/>
      <c r="O3972" s="34"/>
      <c r="P3972" s="34"/>
      <c r="Q3972" s="34"/>
      <c r="R3972" s="34"/>
      <c r="S3972" s="34"/>
    </row>
    <row r="3973" spans="14:19">
      <c r="N3973" s="34"/>
      <c r="O3973" s="34"/>
      <c r="P3973" s="34"/>
      <c r="Q3973" s="34"/>
      <c r="R3973" s="34"/>
      <c r="S3973" s="34"/>
    </row>
    <row r="3974" spans="14:19">
      <c r="N3974" s="34"/>
      <c r="O3974" s="34"/>
      <c r="P3974" s="34"/>
      <c r="Q3974" s="34"/>
      <c r="R3974" s="34"/>
      <c r="S3974" s="34"/>
    </row>
    <row r="3975" spans="14:19">
      <c r="N3975" s="34"/>
      <c r="O3975" s="34"/>
      <c r="P3975" s="34"/>
      <c r="Q3975" s="34"/>
      <c r="R3975" s="34"/>
      <c r="S3975" s="34"/>
    </row>
    <row r="3976" spans="14:19">
      <c r="N3976" s="34"/>
      <c r="O3976" s="34"/>
      <c r="P3976" s="34"/>
      <c r="Q3976" s="34"/>
      <c r="R3976" s="34"/>
      <c r="S3976" s="34"/>
    </row>
    <row r="3977" spans="14:19">
      <c r="N3977" s="34"/>
      <c r="O3977" s="34"/>
      <c r="P3977" s="34"/>
      <c r="Q3977" s="34"/>
      <c r="R3977" s="34"/>
      <c r="S3977" s="34"/>
    </row>
    <row r="3978" spans="14:19">
      <c r="N3978" s="34"/>
      <c r="O3978" s="34"/>
      <c r="P3978" s="34"/>
      <c r="Q3978" s="34"/>
      <c r="R3978" s="34"/>
      <c r="S3978" s="34"/>
    </row>
    <row r="3979" spans="14:19">
      <c r="N3979" s="34"/>
      <c r="O3979" s="34"/>
      <c r="P3979" s="34"/>
      <c r="Q3979" s="34"/>
      <c r="R3979" s="34"/>
      <c r="S3979" s="34"/>
    </row>
    <row r="3980" spans="14:19">
      <c r="N3980" s="34"/>
      <c r="O3980" s="34"/>
      <c r="P3980" s="34"/>
      <c r="Q3980" s="34"/>
      <c r="R3980" s="34"/>
      <c r="S3980" s="34"/>
    </row>
    <row r="3981" spans="14:19">
      <c r="N3981" s="34"/>
      <c r="O3981" s="34"/>
      <c r="P3981" s="34"/>
      <c r="Q3981" s="34"/>
      <c r="R3981" s="34"/>
      <c r="S3981" s="34"/>
    </row>
    <row r="3982" spans="14:19">
      <c r="N3982" s="34"/>
      <c r="O3982" s="34"/>
      <c r="P3982" s="34"/>
      <c r="Q3982" s="34"/>
      <c r="R3982" s="34"/>
      <c r="S3982" s="34"/>
    </row>
    <row r="3983" spans="14:19">
      <c r="N3983" s="34"/>
      <c r="O3983" s="34"/>
      <c r="P3983" s="34"/>
      <c r="Q3983" s="34"/>
      <c r="R3983" s="34"/>
      <c r="S3983" s="34"/>
    </row>
    <row r="3984" spans="14:19">
      <c r="N3984" s="34"/>
      <c r="O3984" s="34"/>
      <c r="P3984" s="34"/>
      <c r="Q3984" s="34"/>
      <c r="R3984" s="34"/>
      <c r="S3984" s="34"/>
    </row>
    <row r="3985" spans="14:19">
      <c r="N3985" s="34"/>
      <c r="O3985" s="34"/>
      <c r="P3985" s="34"/>
      <c r="Q3985" s="34"/>
      <c r="R3985" s="34"/>
      <c r="S3985" s="34"/>
    </row>
    <row r="3986" spans="14:19">
      <c r="N3986" s="34"/>
      <c r="O3986" s="34"/>
      <c r="P3986" s="34"/>
      <c r="Q3986" s="34"/>
      <c r="R3986" s="34"/>
      <c r="S3986" s="34"/>
    </row>
    <row r="3987" spans="14:19">
      <c r="N3987" s="34"/>
      <c r="O3987" s="34"/>
      <c r="P3987" s="34"/>
      <c r="Q3987" s="34"/>
      <c r="R3987" s="34"/>
      <c r="S3987" s="34"/>
    </row>
    <row r="3988" spans="14:19">
      <c r="N3988" s="34"/>
      <c r="O3988" s="34"/>
      <c r="P3988" s="34"/>
      <c r="Q3988" s="34"/>
      <c r="R3988" s="34"/>
      <c r="S3988" s="34"/>
    </row>
    <row r="3989" spans="14:19">
      <c r="N3989" s="34"/>
      <c r="O3989" s="34"/>
      <c r="P3989" s="34"/>
      <c r="Q3989" s="34"/>
      <c r="R3989" s="34"/>
      <c r="S3989" s="34"/>
    </row>
    <row r="3990" spans="14:19">
      <c r="N3990" s="34"/>
      <c r="O3990" s="34"/>
      <c r="P3990" s="34"/>
      <c r="Q3990" s="34"/>
      <c r="R3990" s="34"/>
      <c r="S3990" s="34"/>
    </row>
    <row r="3991" spans="14:19">
      <c r="N3991" s="34"/>
      <c r="O3991" s="34"/>
      <c r="P3991" s="34"/>
      <c r="Q3991" s="34"/>
      <c r="R3991" s="34"/>
      <c r="S3991" s="34"/>
    </row>
    <row r="3992" spans="14:19">
      <c r="N3992" s="34"/>
      <c r="O3992" s="34"/>
      <c r="P3992" s="34"/>
      <c r="Q3992" s="34"/>
      <c r="R3992" s="34"/>
      <c r="S3992" s="34"/>
    </row>
    <row r="3993" spans="14:19">
      <c r="N3993" s="34"/>
      <c r="O3993" s="34"/>
      <c r="P3993" s="34"/>
      <c r="Q3993" s="34"/>
      <c r="R3993" s="34"/>
      <c r="S3993" s="34"/>
    </row>
    <row r="3994" spans="14:19">
      <c r="N3994" s="34"/>
      <c r="O3994" s="34"/>
      <c r="P3994" s="34"/>
      <c r="Q3994" s="34"/>
      <c r="R3994" s="34"/>
      <c r="S3994" s="34"/>
    </row>
    <row r="3995" spans="14:19">
      <c r="N3995" s="34"/>
      <c r="O3995" s="34"/>
      <c r="P3995" s="34"/>
      <c r="Q3995" s="34"/>
      <c r="R3995" s="34"/>
      <c r="S3995" s="34"/>
    </row>
    <row r="3996" spans="14:19">
      <c r="N3996" s="34"/>
      <c r="O3996" s="34"/>
      <c r="P3996" s="34"/>
      <c r="Q3996" s="34"/>
      <c r="R3996" s="34"/>
      <c r="S3996" s="34"/>
    </row>
    <row r="3997" spans="14:19">
      <c r="N3997" s="34"/>
      <c r="O3997" s="34"/>
      <c r="P3997" s="34"/>
      <c r="Q3997" s="34"/>
      <c r="R3997" s="34"/>
      <c r="S3997" s="34"/>
    </row>
    <row r="3998" spans="14:19">
      <c r="N3998" s="34"/>
      <c r="O3998" s="34"/>
      <c r="P3998" s="34"/>
      <c r="Q3998" s="34"/>
      <c r="R3998" s="34"/>
      <c r="S3998" s="34"/>
    </row>
    <row r="3999" spans="14:19">
      <c r="N3999" s="34"/>
      <c r="O3999" s="34"/>
      <c r="P3999" s="34"/>
      <c r="Q3999" s="34"/>
      <c r="R3999" s="34"/>
      <c r="S3999" s="34"/>
    </row>
    <row r="4000" spans="14:19">
      <c r="N4000" s="34"/>
      <c r="O4000" s="34"/>
      <c r="P4000" s="34"/>
      <c r="Q4000" s="34"/>
      <c r="R4000" s="34"/>
      <c r="S4000" s="34"/>
    </row>
    <row r="4001" spans="14:19">
      <c r="N4001" s="34"/>
      <c r="O4001" s="34"/>
      <c r="P4001" s="34"/>
      <c r="Q4001" s="34"/>
      <c r="R4001" s="34"/>
      <c r="S4001" s="34"/>
    </row>
    <row r="4002" spans="14:19">
      <c r="N4002" s="34"/>
      <c r="O4002" s="34"/>
      <c r="P4002" s="34"/>
      <c r="Q4002" s="34"/>
      <c r="R4002" s="34"/>
      <c r="S4002" s="34"/>
    </row>
    <row r="4003" spans="14:19">
      <c r="N4003" s="34"/>
      <c r="O4003" s="34"/>
      <c r="P4003" s="34"/>
      <c r="Q4003" s="34"/>
      <c r="R4003" s="34"/>
      <c r="S4003" s="34"/>
    </row>
    <row r="4004" spans="14:19">
      <c r="N4004" s="34"/>
      <c r="O4004" s="34"/>
      <c r="P4004" s="34"/>
      <c r="Q4004" s="34"/>
      <c r="R4004" s="34"/>
      <c r="S4004" s="34"/>
    </row>
    <row r="4005" spans="14:19">
      <c r="N4005" s="34"/>
      <c r="O4005" s="34"/>
      <c r="P4005" s="34"/>
      <c r="Q4005" s="34"/>
      <c r="R4005" s="34"/>
      <c r="S4005" s="34"/>
    </row>
    <row r="4006" spans="14:19">
      <c r="N4006" s="34"/>
      <c r="O4006" s="34"/>
      <c r="P4006" s="34"/>
      <c r="Q4006" s="34"/>
      <c r="R4006" s="34"/>
      <c r="S4006" s="34"/>
    </row>
    <row r="4007" spans="14:19">
      <c r="N4007" s="34"/>
      <c r="O4007" s="34"/>
      <c r="P4007" s="34"/>
      <c r="Q4007" s="34"/>
      <c r="R4007" s="34"/>
      <c r="S4007" s="34"/>
    </row>
    <row r="4008" spans="14:19">
      <c r="N4008" s="34"/>
      <c r="O4008" s="34"/>
      <c r="P4008" s="34"/>
      <c r="Q4008" s="34"/>
      <c r="R4008" s="34"/>
      <c r="S4008" s="34"/>
    </row>
    <row r="4009" spans="14:19">
      <c r="N4009" s="34"/>
      <c r="O4009" s="34"/>
      <c r="P4009" s="34"/>
      <c r="Q4009" s="34"/>
      <c r="R4009" s="34"/>
      <c r="S4009" s="34"/>
    </row>
    <row r="4010" spans="14:19">
      <c r="N4010" s="34"/>
      <c r="O4010" s="34"/>
      <c r="P4010" s="34"/>
      <c r="Q4010" s="34"/>
      <c r="R4010" s="34"/>
      <c r="S4010" s="34"/>
    </row>
    <row r="4011" spans="14:19">
      <c r="N4011" s="34"/>
      <c r="O4011" s="34"/>
      <c r="P4011" s="34"/>
      <c r="Q4011" s="34"/>
      <c r="R4011" s="34"/>
      <c r="S4011" s="34"/>
    </row>
    <row r="4012" spans="14:19">
      <c r="N4012" s="34"/>
      <c r="O4012" s="34"/>
      <c r="P4012" s="34"/>
      <c r="Q4012" s="34"/>
      <c r="R4012" s="34"/>
      <c r="S4012" s="34"/>
    </row>
    <row r="4013" spans="14:19">
      <c r="N4013" s="34"/>
      <c r="O4013" s="34"/>
      <c r="P4013" s="34"/>
      <c r="Q4013" s="34"/>
      <c r="R4013" s="34"/>
      <c r="S4013" s="34"/>
    </row>
    <row r="4014" spans="14:19">
      <c r="N4014" s="34"/>
      <c r="O4014" s="34"/>
      <c r="P4014" s="34"/>
      <c r="Q4014" s="34"/>
      <c r="R4014" s="34"/>
      <c r="S4014" s="34"/>
    </row>
    <row r="4015" spans="14:19">
      <c r="N4015" s="34"/>
      <c r="O4015" s="34"/>
      <c r="P4015" s="34"/>
      <c r="Q4015" s="34"/>
      <c r="R4015" s="34"/>
      <c r="S4015" s="34"/>
    </row>
    <row r="4016" spans="14:19">
      <c r="N4016" s="34"/>
      <c r="O4016" s="34"/>
      <c r="P4016" s="34"/>
      <c r="Q4016" s="34"/>
      <c r="R4016" s="34"/>
      <c r="S4016" s="34"/>
    </row>
    <row r="4017" spans="14:19">
      <c r="N4017" s="34"/>
      <c r="O4017" s="34"/>
      <c r="P4017" s="34"/>
      <c r="Q4017" s="34"/>
      <c r="R4017" s="34"/>
      <c r="S4017" s="34"/>
    </row>
    <row r="4018" spans="14:19">
      <c r="N4018" s="34"/>
      <c r="O4018" s="34"/>
      <c r="P4018" s="34"/>
      <c r="Q4018" s="34"/>
      <c r="R4018" s="34"/>
      <c r="S4018" s="34"/>
    </row>
    <row r="4019" spans="14:19">
      <c r="N4019" s="34"/>
      <c r="O4019" s="34"/>
      <c r="P4019" s="34"/>
      <c r="Q4019" s="34"/>
      <c r="R4019" s="34"/>
      <c r="S4019" s="34"/>
    </row>
    <row r="4020" spans="14:19">
      <c r="N4020" s="34"/>
      <c r="O4020" s="34"/>
      <c r="P4020" s="34"/>
      <c r="Q4020" s="34"/>
      <c r="R4020" s="34"/>
      <c r="S4020" s="34"/>
    </row>
    <row r="4021" spans="14:19">
      <c r="N4021" s="34"/>
      <c r="O4021" s="34"/>
      <c r="P4021" s="34"/>
      <c r="Q4021" s="34"/>
      <c r="R4021" s="34"/>
      <c r="S4021" s="34"/>
    </row>
    <row r="4022" spans="14:19">
      <c r="N4022" s="34"/>
      <c r="O4022" s="34"/>
      <c r="P4022" s="34"/>
      <c r="Q4022" s="34"/>
      <c r="R4022" s="34"/>
      <c r="S4022" s="34"/>
    </row>
    <row r="4023" spans="14:19">
      <c r="N4023" s="34"/>
      <c r="O4023" s="34"/>
      <c r="P4023" s="34"/>
      <c r="Q4023" s="34"/>
      <c r="R4023" s="34"/>
      <c r="S4023" s="34"/>
    </row>
    <row r="4024" spans="14:19">
      <c r="N4024" s="34"/>
      <c r="O4024" s="34"/>
      <c r="P4024" s="34"/>
      <c r="Q4024" s="34"/>
      <c r="R4024" s="34"/>
      <c r="S4024" s="34"/>
    </row>
    <row r="4025" spans="14:19">
      <c r="N4025" s="34"/>
      <c r="O4025" s="34"/>
      <c r="P4025" s="34"/>
      <c r="Q4025" s="34"/>
      <c r="R4025" s="34"/>
      <c r="S4025" s="34"/>
    </row>
    <row r="4026" spans="14:19">
      <c r="N4026" s="34"/>
      <c r="O4026" s="34"/>
      <c r="P4026" s="34"/>
      <c r="Q4026" s="34"/>
      <c r="R4026" s="34"/>
      <c r="S4026" s="34"/>
    </row>
    <row r="4027" spans="14:19">
      <c r="N4027" s="34"/>
      <c r="O4027" s="34"/>
      <c r="P4027" s="34"/>
      <c r="Q4027" s="34"/>
      <c r="R4027" s="34"/>
      <c r="S4027" s="34"/>
    </row>
    <row r="4028" spans="14:19">
      <c r="N4028" s="34"/>
      <c r="O4028" s="34"/>
      <c r="P4028" s="34"/>
      <c r="Q4028" s="34"/>
      <c r="R4028" s="34"/>
      <c r="S4028" s="34"/>
    </row>
    <row r="4029" spans="14:19">
      <c r="N4029" s="34"/>
      <c r="O4029" s="34"/>
      <c r="P4029" s="34"/>
      <c r="Q4029" s="34"/>
      <c r="R4029" s="34"/>
      <c r="S4029" s="34"/>
    </row>
    <row r="4030" spans="14:19">
      <c r="N4030" s="34"/>
      <c r="O4030" s="34"/>
      <c r="P4030" s="34"/>
      <c r="Q4030" s="34"/>
      <c r="R4030" s="34"/>
      <c r="S4030" s="34"/>
    </row>
    <row r="4031" spans="14:19">
      <c r="N4031" s="34"/>
      <c r="O4031" s="34"/>
      <c r="P4031" s="34"/>
      <c r="Q4031" s="34"/>
      <c r="R4031" s="34"/>
      <c r="S4031" s="34"/>
    </row>
    <row r="4032" spans="14:19">
      <c r="N4032" s="34"/>
      <c r="O4032" s="34"/>
      <c r="P4032" s="34"/>
      <c r="Q4032" s="34"/>
      <c r="R4032" s="34"/>
      <c r="S4032" s="34"/>
    </row>
    <row r="4033" spans="14:19">
      <c r="N4033" s="34"/>
      <c r="O4033" s="34"/>
      <c r="P4033" s="34"/>
      <c r="Q4033" s="34"/>
      <c r="R4033" s="34"/>
      <c r="S4033" s="34"/>
    </row>
    <row r="4034" spans="14:19">
      <c r="N4034" s="34"/>
      <c r="O4034" s="34"/>
      <c r="P4034" s="34"/>
      <c r="Q4034" s="34"/>
      <c r="R4034" s="34"/>
      <c r="S4034" s="34"/>
    </row>
    <row r="4035" spans="14:19">
      <c r="N4035" s="34"/>
      <c r="O4035" s="34"/>
      <c r="P4035" s="34"/>
      <c r="Q4035" s="34"/>
      <c r="R4035" s="34"/>
      <c r="S4035" s="34"/>
    </row>
    <row r="4036" spans="14:19">
      <c r="N4036" s="34"/>
      <c r="O4036" s="34"/>
      <c r="P4036" s="34"/>
      <c r="Q4036" s="34"/>
      <c r="R4036" s="34"/>
      <c r="S4036" s="34"/>
    </row>
    <row r="4037" spans="14:19">
      <c r="N4037" s="34"/>
      <c r="O4037" s="34"/>
      <c r="P4037" s="34"/>
      <c r="Q4037" s="34"/>
      <c r="R4037" s="34"/>
      <c r="S4037" s="34"/>
    </row>
    <row r="4038" spans="14:19">
      <c r="N4038" s="34"/>
      <c r="O4038" s="34"/>
      <c r="P4038" s="34"/>
      <c r="Q4038" s="34"/>
      <c r="R4038" s="34"/>
      <c r="S4038" s="34"/>
    </row>
    <row r="4039" spans="14:19">
      <c r="N4039" s="34"/>
      <c r="O4039" s="34"/>
      <c r="P4039" s="34"/>
      <c r="Q4039" s="34"/>
      <c r="R4039" s="34"/>
      <c r="S4039" s="34"/>
    </row>
    <row r="4040" spans="14:19">
      <c r="N4040" s="34"/>
      <c r="O4040" s="34"/>
      <c r="P4040" s="34"/>
      <c r="Q4040" s="34"/>
      <c r="R4040" s="34"/>
      <c r="S4040" s="34"/>
    </row>
    <row r="4041" spans="14:19">
      <c r="N4041" s="34"/>
      <c r="O4041" s="34"/>
      <c r="P4041" s="34"/>
      <c r="Q4041" s="34"/>
      <c r="R4041" s="34"/>
      <c r="S4041" s="34"/>
    </row>
    <row r="4042" spans="14:19">
      <c r="N4042" s="34"/>
      <c r="O4042" s="34"/>
      <c r="P4042" s="34"/>
      <c r="Q4042" s="34"/>
      <c r="R4042" s="34"/>
      <c r="S4042" s="34"/>
    </row>
    <row r="4043" spans="14:19">
      <c r="N4043" s="34"/>
      <c r="O4043" s="34"/>
      <c r="P4043" s="34"/>
      <c r="Q4043" s="34"/>
      <c r="R4043" s="34"/>
      <c r="S4043" s="34"/>
    </row>
    <row r="4044" spans="14:19">
      <c r="N4044" s="34"/>
      <c r="O4044" s="34"/>
      <c r="P4044" s="34"/>
      <c r="Q4044" s="34"/>
      <c r="R4044" s="34"/>
      <c r="S4044" s="34"/>
    </row>
    <row r="4045" spans="14:19">
      <c r="N4045" s="34"/>
      <c r="O4045" s="34"/>
      <c r="P4045" s="34"/>
      <c r="Q4045" s="34"/>
      <c r="R4045" s="34"/>
      <c r="S4045" s="34"/>
    </row>
    <row r="4046" spans="14:19">
      <c r="N4046" s="34"/>
      <c r="O4046" s="34"/>
      <c r="P4046" s="34"/>
      <c r="Q4046" s="34"/>
      <c r="R4046" s="34"/>
      <c r="S4046" s="34"/>
    </row>
    <row r="4047" spans="14:19">
      <c r="N4047" s="34"/>
      <c r="O4047" s="34"/>
      <c r="P4047" s="34"/>
      <c r="Q4047" s="34"/>
      <c r="R4047" s="34"/>
      <c r="S4047" s="34"/>
    </row>
    <row r="4048" spans="14:19">
      <c r="N4048" s="34"/>
      <c r="O4048" s="34"/>
      <c r="P4048" s="34"/>
      <c r="Q4048" s="34"/>
      <c r="R4048" s="34"/>
      <c r="S4048" s="34"/>
    </row>
    <row r="4049" spans="14:19">
      <c r="N4049" s="34"/>
      <c r="O4049" s="34"/>
      <c r="P4049" s="34"/>
      <c r="Q4049" s="34"/>
      <c r="R4049" s="34"/>
      <c r="S4049" s="34"/>
    </row>
    <row r="4050" spans="14:19">
      <c r="N4050" s="34"/>
      <c r="O4050" s="34"/>
      <c r="P4050" s="34"/>
      <c r="Q4050" s="34"/>
      <c r="R4050" s="34"/>
      <c r="S4050" s="34"/>
    </row>
    <row r="4051" spans="14:19">
      <c r="N4051" s="34"/>
      <c r="O4051" s="34"/>
      <c r="P4051" s="34"/>
      <c r="Q4051" s="34"/>
      <c r="R4051" s="34"/>
      <c r="S4051" s="34"/>
    </row>
    <row r="4052" spans="14:19">
      <c r="N4052" s="34"/>
      <c r="O4052" s="34"/>
      <c r="P4052" s="34"/>
      <c r="Q4052" s="34"/>
      <c r="R4052" s="34"/>
      <c r="S4052" s="34"/>
    </row>
    <row r="4053" spans="14:19">
      <c r="N4053" s="34"/>
      <c r="O4053" s="34"/>
      <c r="P4053" s="34"/>
      <c r="Q4053" s="34"/>
      <c r="R4053" s="34"/>
      <c r="S4053" s="34"/>
    </row>
    <row r="4054" spans="14:19">
      <c r="N4054" s="34"/>
      <c r="O4054" s="34"/>
      <c r="P4054" s="34"/>
      <c r="Q4054" s="34"/>
      <c r="R4054" s="34"/>
      <c r="S4054" s="34"/>
    </row>
    <row r="4055" spans="14:19">
      <c r="N4055" s="34"/>
      <c r="O4055" s="34"/>
      <c r="P4055" s="34"/>
      <c r="Q4055" s="34"/>
      <c r="R4055" s="34"/>
      <c r="S4055" s="34"/>
    </row>
    <row r="4056" spans="14:19">
      <c r="N4056" s="34"/>
      <c r="O4056" s="34"/>
      <c r="P4056" s="34"/>
      <c r="Q4056" s="34"/>
      <c r="R4056" s="34"/>
      <c r="S4056" s="34"/>
    </row>
    <row r="4057" spans="14:19">
      <c r="N4057" s="34"/>
      <c r="O4057" s="34"/>
      <c r="P4057" s="34"/>
      <c r="Q4057" s="34"/>
      <c r="R4057" s="34"/>
      <c r="S4057" s="34"/>
    </row>
    <row r="4058" spans="14:19">
      <c r="N4058" s="34"/>
      <c r="O4058" s="34"/>
      <c r="P4058" s="34"/>
      <c r="Q4058" s="34"/>
      <c r="R4058" s="34"/>
      <c r="S4058" s="34"/>
    </row>
    <row r="4059" spans="14:19">
      <c r="N4059" s="34"/>
      <c r="O4059" s="34"/>
      <c r="P4059" s="34"/>
      <c r="Q4059" s="34"/>
      <c r="R4059" s="34"/>
      <c r="S4059" s="34"/>
    </row>
    <row r="4060" spans="14:19">
      <c r="N4060" s="34"/>
      <c r="O4060" s="34"/>
      <c r="P4060" s="34"/>
      <c r="Q4060" s="34"/>
      <c r="R4060" s="34"/>
      <c r="S4060" s="34"/>
    </row>
    <row r="4061" spans="14:19">
      <c r="N4061" s="34"/>
      <c r="O4061" s="34"/>
      <c r="P4061" s="34"/>
      <c r="Q4061" s="34"/>
      <c r="R4061" s="34"/>
      <c r="S4061" s="34"/>
    </row>
    <row r="4062" spans="14:19">
      <c r="N4062" s="34"/>
      <c r="O4062" s="34"/>
      <c r="P4062" s="34"/>
      <c r="Q4062" s="34"/>
      <c r="R4062" s="34"/>
      <c r="S4062" s="34"/>
    </row>
    <row r="4063" spans="14:19">
      <c r="N4063" s="34"/>
      <c r="O4063" s="34"/>
      <c r="P4063" s="34"/>
      <c r="Q4063" s="34"/>
      <c r="R4063" s="34"/>
      <c r="S4063" s="34"/>
    </row>
    <row r="4064" spans="14:19">
      <c r="N4064" s="34"/>
      <c r="O4064" s="34"/>
      <c r="P4064" s="34"/>
      <c r="Q4064" s="34"/>
      <c r="R4064" s="34"/>
      <c r="S4064" s="34"/>
    </row>
    <row r="4065" spans="14:19">
      <c r="N4065" s="34"/>
      <c r="O4065" s="34"/>
      <c r="P4065" s="34"/>
      <c r="Q4065" s="34"/>
      <c r="R4065" s="34"/>
      <c r="S4065" s="34"/>
    </row>
    <row r="4066" spans="14:19">
      <c r="N4066" s="34"/>
      <c r="O4066" s="34"/>
      <c r="P4066" s="34"/>
      <c r="Q4066" s="34"/>
      <c r="R4066" s="34"/>
      <c r="S4066" s="34"/>
    </row>
    <row r="4067" spans="14:19">
      <c r="N4067" s="34"/>
      <c r="O4067" s="34"/>
      <c r="P4067" s="34"/>
      <c r="Q4067" s="34"/>
      <c r="R4067" s="34"/>
      <c r="S4067" s="34"/>
    </row>
    <row r="4068" spans="14:19">
      <c r="N4068" s="34"/>
      <c r="O4068" s="34"/>
      <c r="P4068" s="34"/>
      <c r="Q4068" s="34"/>
      <c r="R4068" s="34"/>
      <c r="S4068" s="34"/>
    </row>
    <row r="4069" spans="14:19">
      <c r="N4069" s="34"/>
      <c r="O4069" s="34"/>
      <c r="P4069" s="34"/>
      <c r="Q4069" s="34"/>
      <c r="R4069" s="34"/>
      <c r="S4069" s="34"/>
    </row>
    <row r="4070" spans="14:19">
      <c r="N4070" s="34"/>
      <c r="O4070" s="34"/>
      <c r="P4070" s="34"/>
      <c r="Q4070" s="34"/>
      <c r="R4070" s="34"/>
      <c r="S4070" s="34"/>
    </row>
    <row r="4071" spans="14:19">
      <c r="N4071" s="34"/>
      <c r="O4071" s="34"/>
      <c r="P4071" s="34"/>
      <c r="Q4071" s="34"/>
      <c r="R4071" s="34"/>
      <c r="S4071" s="34"/>
    </row>
    <row r="4072" spans="14:19">
      <c r="N4072" s="34"/>
      <c r="O4072" s="34"/>
      <c r="P4072" s="34"/>
      <c r="Q4072" s="34"/>
      <c r="R4072" s="34"/>
      <c r="S4072" s="34"/>
    </row>
    <row r="4073" spans="14:19">
      <c r="N4073" s="34"/>
      <c r="O4073" s="34"/>
      <c r="P4073" s="34"/>
      <c r="Q4073" s="34"/>
      <c r="R4073" s="34"/>
      <c r="S4073" s="34"/>
    </row>
    <row r="4074" spans="14:19">
      <c r="N4074" s="34"/>
      <c r="O4074" s="34"/>
      <c r="P4074" s="34"/>
      <c r="Q4074" s="34"/>
      <c r="R4074" s="34"/>
      <c r="S4074" s="34"/>
    </row>
    <row r="4075" spans="14:19">
      <c r="N4075" s="34"/>
      <c r="O4075" s="34"/>
      <c r="P4075" s="34"/>
      <c r="Q4075" s="34"/>
      <c r="R4075" s="34"/>
      <c r="S4075" s="34"/>
    </row>
    <row r="4076" spans="14:19">
      <c r="N4076" s="34"/>
      <c r="O4076" s="34"/>
      <c r="P4076" s="34"/>
      <c r="Q4076" s="34"/>
      <c r="R4076" s="34"/>
      <c r="S4076" s="34"/>
    </row>
    <row r="4077" spans="14:19">
      <c r="N4077" s="34"/>
      <c r="O4077" s="34"/>
      <c r="P4077" s="34"/>
      <c r="Q4077" s="34"/>
      <c r="R4077" s="34"/>
      <c r="S4077" s="34"/>
    </row>
    <row r="4078" spans="14:19">
      <c r="N4078" s="34"/>
      <c r="O4078" s="34"/>
      <c r="P4078" s="34"/>
      <c r="Q4078" s="34"/>
      <c r="R4078" s="34"/>
      <c r="S4078" s="34"/>
    </row>
    <row r="4079" spans="14:19">
      <c r="N4079" s="34"/>
      <c r="O4079" s="34"/>
      <c r="P4079" s="34"/>
      <c r="Q4079" s="34"/>
      <c r="R4079" s="34"/>
      <c r="S4079" s="34"/>
    </row>
    <row r="4080" spans="14:19">
      <c r="N4080" s="34"/>
      <c r="O4080" s="34"/>
      <c r="P4080" s="34"/>
      <c r="Q4080" s="34"/>
      <c r="R4080" s="34"/>
      <c r="S4080" s="34"/>
    </row>
    <row r="4081" spans="14:19">
      <c r="N4081" s="34"/>
      <c r="O4081" s="34"/>
      <c r="P4081" s="34"/>
      <c r="Q4081" s="34"/>
      <c r="R4081" s="34"/>
      <c r="S4081" s="34"/>
    </row>
    <row r="4082" spans="14:19">
      <c r="N4082" s="34"/>
      <c r="O4082" s="34"/>
      <c r="P4082" s="34"/>
      <c r="Q4082" s="34"/>
      <c r="R4082" s="34"/>
      <c r="S4082" s="34"/>
    </row>
    <row r="4083" spans="14:19">
      <c r="N4083" s="34"/>
      <c r="O4083" s="34"/>
      <c r="P4083" s="34"/>
      <c r="Q4083" s="34"/>
      <c r="R4083" s="34"/>
      <c r="S4083" s="34"/>
    </row>
    <row r="4084" spans="14:19">
      <c r="N4084" s="34"/>
      <c r="O4084" s="34"/>
      <c r="P4084" s="34"/>
      <c r="Q4084" s="34"/>
      <c r="R4084" s="34"/>
      <c r="S4084" s="34"/>
    </row>
    <row r="4085" spans="14:19">
      <c r="N4085" s="34"/>
      <c r="O4085" s="34"/>
      <c r="P4085" s="34"/>
      <c r="Q4085" s="34"/>
      <c r="R4085" s="34"/>
      <c r="S4085" s="34"/>
    </row>
    <row r="4086" spans="14:19">
      <c r="N4086" s="34"/>
      <c r="O4086" s="34"/>
      <c r="P4086" s="34"/>
      <c r="Q4086" s="34"/>
      <c r="R4086" s="34"/>
      <c r="S4086" s="34"/>
    </row>
    <row r="4087" spans="14:19">
      <c r="N4087" s="34"/>
      <c r="O4087" s="34"/>
      <c r="P4087" s="34"/>
      <c r="Q4087" s="34"/>
      <c r="R4087" s="34"/>
      <c r="S4087" s="34"/>
    </row>
    <row r="4088" spans="14:19">
      <c r="N4088" s="34"/>
      <c r="O4088" s="34"/>
      <c r="P4088" s="34"/>
      <c r="Q4088" s="34"/>
      <c r="R4088" s="34"/>
      <c r="S4088" s="34"/>
    </row>
    <row r="4089" spans="14:19">
      <c r="N4089" s="34"/>
      <c r="O4089" s="34"/>
      <c r="P4089" s="34"/>
      <c r="Q4089" s="34"/>
      <c r="R4089" s="34"/>
      <c r="S4089" s="34"/>
    </row>
    <row r="4090" spans="14:19">
      <c r="N4090" s="34"/>
      <c r="O4090" s="34"/>
      <c r="P4090" s="34"/>
      <c r="Q4090" s="34"/>
      <c r="R4090" s="34"/>
      <c r="S4090" s="34"/>
    </row>
    <row r="4091" spans="14:19">
      <c r="N4091" s="34"/>
      <c r="O4091" s="34"/>
      <c r="P4091" s="34"/>
      <c r="Q4091" s="34"/>
      <c r="R4091" s="34"/>
      <c r="S4091" s="34"/>
    </row>
    <row r="4092" spans="14:19">
      <c r="N4092" s="34"/>
      <c r="O4092" s="34"/>
      <c r="P4092" s="34"/>
      <c r="Q4092" s="34"/>
      <c r="R4092" s="34"/>
      <c r="S4092" s="34"/>
    </row>
    <row r="4093" spans="14:19">
      <c r="N4093" s="34"/>
      <c r="O4093" s="34"/>
      <c r="P4093" s="34"/>
      <c r="Q4093" s="34"/>
      <c r="R4093" s="34"/>
      <c r="S4093" s="34"/>
    </row>
    <row r="4094" spans="14:19">
      <c r="N4094" s="34"/>
      <c r="O4094" s="34"/>
      <c r="P4094" s="34"/>
      <c r="Q4094" s="34"/>
      <c r="R4094" s="34"/>
      <c r="S4094" s="34"/>
    </row>
    <row r="4095" spans="14:19">
      <c r="N4095" s="34"/>
      <c r="O4095" s="34"/>
      <c r="P4095" s="34"/>
      <c r="Q4095" s="34"/>
      <c r="R4095" s="34"/>
      <c r="S4095" s="34"/>
    </row>
    <row r="4096" spans="14:19">
      <c r="N4096" s="34"/>
      <c r="O4096" s="34"/>
      <c r="P4096" s="34"/>
      <c r="Q4096" s="34"/>
      <c r="R4096" s="34"/>
      <c r="S4096" s="34"/>
    </row>
    <row r="4097" spans="14:19">
      <c r="N4097" s="34"/>
      <c r="O4097" s="34"/>
      <c r="P4097" s="34"/>
      <c r="Q4097" s="34"/>
      <c r="R4097" s="34"/>
      <c r="S4097" s="34"/>
    </row>
    <row r="4098" spans="14:19">
      <c r="N4098" s="34"/>
      <c r="O4098" s="34"/>
      <c r="P4098" s="34"/>
      <c r="Q4098" s="34"/>
      <c r="R4098" s="34"/>
      <c r="S4098" s="34"/>
    </row>
    <row r="4099" spans="14:19">
      <c r="N4099" s="34"/>
      <c r="O4099" s="34"/>
      <c r="P4099" s="34"/>
      <c r="Q4099" s="34"/>
      <c r="R4099" s="34"/>
      <c r="S4099" s="34"/>
    </row>
    <row r="4100" spans="14:19">
      <c r="N4100" s="34"/>
      <c r="O4100" s="34"/>
      <c r="P4100" s="34"/>
      <c r="Q4100" s="34"/>
      <c r="R4100" s="34"/>
      <c r="S4100" s="34"/>
    </row>
    <row r="4101" spans="14:19">
      <c r="N4101" s="34"/>
      <c r="O4101" s="34"/>
      <c r="P4101" s="34"/>
      <c r="Q4101" s="34"/>
      <c r="R4101" s="34"/>
      <c r="S4101" s="34"/>
    </row>
    <row r="4102" spans="14:19">
      <c r="N4102" s="34"/>
      <c r="O4102" s="34"/>
      <c r="P4102" s="34"/>
      <c r="Q4102" s="34"/>
      <c r="R4102" s="34"/>
      <c r="S4102" s="34"/>
    </row>
    <row r="4103" spans="14:19">
      <c r="N4103" s="34"/>
      <c r="O4103" s="34"/>
      <c r="P4103" s="34"/>
      <c r="Q4103" s="34"/>
      <c r="R4103" s="34"/>
      <c r="S4103" s="34"/>
    </row>
    <row r="4104" spans="14:19">
      <c r="N4104" s="34"/>
      <c r="O4104" s="34"/>
      <c r="P4104" s="34"/>
      <c r="Q4104" s="34"/>
      <c r="R4104" s="34"/>
      <c r="S4104" s="34"/>
    </row>
    <row r="4105" spans="14:19">
      <c r="N4105" s="34"/>
      <c r="O4105" s="34"/>
      <c r="P4105" s="34"/>
      <c r="Q4105" s="34"/>
      <c r="R4105" s="34"/>
      <c r="S4105" s="34"/>
    </row>
    <row r="4106" spans="14:19">
      <c r="N4106" s="34"/>
      <c r="O4106" s="34"/>
      <c r="P4106" s="34"/>
      <c r="Q4106" s="34"/>
      <c r="R4106" s="34"/>
      <c r="S4106" s="34"/>
    </row>
    <row r="4107" spans="14:19">
      <c r="N4107" s="34"/>
      <c r="O4107" s="34"/>
      <c r="P4107" s="34"/>
      <c r="Q4107" s="34"/>
      <c r="R4107" s="34"/>
      <c r="S4107" s="34"/>
    </row>
    <row r="4108" spans="14:19">
      <c r="N4108" s="34"/>
      <c r="O4108" s="34"/>
      <c r="P4108" s="34"/>
      <c r="Q4108" s="34"/>
      <c r="R4108" s="34"/>
      <c r="S4108" s="34"/>
    </row>
    <row r="4109" spans="14:19">
      <c r="N4109" s="34"/>
      <c r="O4109" s="34"/>
      <c r="P4109" s="34"/>
      <c r="Q4109" s="34"/>
      <c r="R4109" s="34"/>
      <c r="S4109" s="34"/>
    </row>
    <row r="4110" spans="14:19">
      <c r="N4110" s="34"/>
      <c r="O4110" s="34"/>
      <c r="P4110" s="34"/>
      <c r="Q4110" s="34"/>
      <c r="R4110" s="34"/>
      <c r="S4110" s="34"/>
    </row>
    <row r="4111" spans="14:19">
      <c r="N4111" s="34"/>
      <c r="O4111" s="34"/>
      <c r="P4111" s="34"/>
      <c r="Q4111" s="34"/>
      <c r="R4111" s="34"/>
      <c r="S4111" s="34"/>
    </row>
    <row r="4112" spans="14:19">
      <c r="N4112" s="34"/>
      <c r="O4112" s="34"/>
      <c r="P4112" s="34"/>
      <c r="Q4112" s="34"/>
      <c r="R4112" s="34"/>
      <c r="S4112" s="34"/>
    </row>
    <row r="4113" spans="14:19">
      <c r="N4113" s="34"/>
      <c r="O4113" s="34"/>
      <c r="P4113" s="34"/>
      <c r="Q4113" s="34"/>
      <c r="R4113" s="34"/>
      <c r="S4113" s="34"/>
    </row>
    <row r="4114" spans="14:19">
      <c r="N4114" s="34"/>
      <c r="O4114" s="34"/>
      <c r="P4114" s="34"/>
      <c r="Q4114" s="34"/>
      <c r="R4114" s="34"/>
      <c r="S4114" s="34"/>
    </row>
    <row r="4115" spans="14:19">
      <c r="N4115" s="34"/>
      <c r="O4115" s="34"/>
      <c r="P4115" s="34"/>
      <c r="Q4115" s="34"/>
      <c r="R4115" s="34"/>
      <c r="S4115" s="34"/>
    </row>
    <row r="4116" spans="14:19">
      <c r="N4116" s="34"/>
      <c r="O4116" s="34"/>
      <c r="P4116" s="34"/>
      <c r="Q4116" s="34"/>
      <c r="R4116" s="34"/>
      <c r="S4116" s="34"/>
    </row>
    <row r="4117" spans="14:19">
      <c r="N4117" s="34"/>
      <c r="O4117" s="34"/>
      <c r="P4117" s="34"/>
      <c r="Q4117" s="34"/>
      <c r="R4117" s="34"/>
      <c r="S4117" s="34"/>
    </row>
    <row r="4118" spans="14:19">
      <c r="N4118" s="34"/>
      <c r="O4118" s="34"/>
      <c r="P4118" s="34"/>
      <c r="Q4118" s="34"/>
      <c r="R4118" s="34"/>
      <c r="S4118" s="34"/>
    </row>
    <row r="4119" spans="14:19">
      <c r="N4119" s="34"/>
      <c r="O4119" s="34"/>
      <c r="P4119" s="34"/>
      <c r="Q4119" s="34"/>
      <c r="R4119" s="34"/>
      <c r="S4119" s="34"/>
    </row>
    <row r="4120" spans="14:19">
      <c r="N4120" s="34"/>
      <c r="O4120" s="34"/>
      <c r="P4120" s="34"/>
      <c r="Q4120" s="34"/>
      <c r="R4120" s="34"/>
      <c r="S4120" s="34"/>
    </row>
    <row r="4121" spans="14:19">
      <c r="N4121" s="34"/>
      <c r="O4121" s="34"/>
      <c r="P4121" s="34"/>
      <c r="Q4121" s="34"/>
      <c r="R4121" s="34"/>
      <c r="S4121" s="34"/>
    </row>
    <row r="4122" spans="14:19">
      <c r="N4122" s="34"/>
      <c r="O4122" s="34"/>
      <c r="P4122" s="34"/>
      <c r="Q4122" s="34"/>
      <c r="R4122" s="34"/>
      <c r="S4122" s="34"/>
    </row>
    <row r="4123" spans="14:19">
      <c r="N4123" s="34"/>
      <c r="O4123" s="34"/>
      <c r="P4123" s="34"/>
      <c r="Q4123" s="34"/>
      <c r="R4123" s="34"/>
      <c r="S4123" s="34"/>
    </row>
    <row r="4124" spans="14:19">
      <c r="N4124" s="34"/>
      <c r="O4124" s="34"/>
      <c r="P4124" s="34"/>
      <c r="Q4124" s="34"/>
      <c r="R4124" s="34"/>
      <c r="S4124" s="34"/>
    </row>
    <row r="4125" spans="14:19">
      <c r="N4125" s="34"/>
      <c r="O4125" s="34"/>
      <c r="P4125" s="34"/>
      <c r="Q4125" s="34"/>
      <c r="R4125" s="34"/>
      <c r="S4125" s="34"/>
    </row>
    <row r="4126" spans="14:19">
      <c r="N4126" s="34"/>
      <c r="O4126" s="34"/>
      <c r="P4126" s="34"/>
      <c r="Q4126" s="34"/>
      <c r="R4126" s="34"/>
      <c r="S4126" s="34"/>
    </row>
    <row r="4127" spans="14:19">
      <c r="N4127" s="34"/>
      <c r="O4127" s="34"/>
      <c r="P4127" s="34"/>
      <c r="Q4127" s="34"/>
      <c r="R4127" s="34"/>
      <c r="S4127" s="34"/>
    </row>
    <row r="4128" spans="14:19">
      <c r="N4128" s="34"/>
      <c r="O4128" s="34"/>
      <c r="P4128" s="34"/>
      <c r="Q4128" s="34"/>
      <c r="R4128" s="34"/>
      <c r="S4128" s="34"/>
    </row>
    <row r="4129" spans="14:19">
      <c r="N4129" s="34"/>
      <c r="O4129" s="34"/>
      <c r="P4129" s="34"/>
      <c r="Q4129" s="34"/>
      <c r="R4129" s="34"/>
      <c r="S4129" s="34"/>
    </row>
    <row r="4130" spans="14:19">
      <c r="N4130" s="34"/>
      <c r="O4130" s="34"/>
      <c r="P4130" s="34"/>
      <c r="Q4130" s="34"/>
      <c r="R4130" s="34"/>
      <c r="S4130" s="34"/>
    </row>
    <row r="4131" spans="14:19">
      <c r="N4131" s="34"/>
      <c r="O4131" s="34"/>
      <c r="P4131" s="34"/>
      <c r="Q4131" s="34"/>
      <c r="R4131" s="34"/>
      <c r="S4131" s="34"/>
    </row>
    <row r="4132" spans="14:19">
      <c r="N4132" s="34"/>
      <c r="O4132" s="34"/>
      <c r="P4132" s="34"/>
      <c r="Q4132" s="34"/>
      <c r="R4132" s="34"/>
      <c r="S4132" s="34"/>
    </row>
    <row r="4133" spans="14:19">
      <c r="N4133" s="34"/>
      <c r="O4133" s="34"/>
      <c r="P4133" s="34"/>
      <c r="Q4133" s="34"/>
      <c r="R4133" s="34"/>
      <c r="S4133" s="34"/>
    </row>
    <row r="4134" spans="14:19">
      <c r="N4134" s="34"/>
      <c r="O4134" s="34"/>
      <c r="P4134" s="34"/>
      <c r="Q4134" s="34"/>
      <c r="R4134" s="34"/>
      <c r="S4134" s="34"/>
    </row>
    <row r="4135" spans="14:19">
      <c r="N4135" s="34"/>
      <c r="O4135" s="34"/>
      <c r="P4135" s="34"/>
      <c r="Q4135" s="34"/>
      <c r="R4135" s="34"/>
      <c r="S4135" s="34"/>
    </row>
    <row r="4136" spans="14:19">
      <c r="N4136" s="34"/>
      <c r="O4136" s="34"/>
      <c r="P4136" s="34"/>
      <c r="Q4136" s="34"/>
      <c r="R4136" s="34"/>
      <c r="S4136" s="34"/>
    </row>
    <row r="4137" spans="14:19">
      <c r="N4137" s="34"/>
      <c r="O4137" s="34"/>
      <c r="P4137" s="34"/>
      <c r="Q4137" s="34"/>
      <c r="R4137" s="34"/>
      <c r="S4137" s="34"/>
    </row>
    <row r="4138" spans="14:19">
      <c r="N4138" s="34"/>
      <c r="O4138" s="34"/>
      <c r="P4138" s="34"/>
      <c r="Q4138" s="34"/>
      <c r="R4138" s="34"/>
      <c r="S4138" s="34"/>
    </row>
    <row r="4139" spans="14:19">
      <c r="N4139" s="34"/>
      <c r="O4139" s="34"/>
      <c r="P4139" s="34"/>
      <c r="Q4139" s="34"/>
      <c r="R4139" s="34"/>
      <c r="S4139" s="34"/>
    </row>
    <row r="4140" spans="14:19">
      <c r="N4140" s="34"/>
      <c r="O4140" s="34"/>
      <c r="P4140" s="34"/>
      <c r="Q4140" s="34"/>
      <c r="R4140" s="34"/>
      <c r="S4140" s="34"/>
    </row>
    <row r="4141" spans="14:19">
      <c r="N4141" s="34"/>
      <c r="O4141" s="34"/>
      <c r="P4141" s="34"/>
      <c r="Q4141" s="34"/>
      <c r="R4141" s="34"/>
      <c r="S4141" s="34"/>
    </row>
    <row r="4142" spans="14:19">
      <c r="N4142" s="34"/>
      <c r="O4142" s="34"/>
      <c r="P4142" s="34"/>
      <c r="Q4142" s="34"/>
      <c r="R4142" s="34"/>
      <c r="S4142" s="34"/>
    </row>
    <row r="4143" spans="14:19">
      <c r="N4143" s="34"/>
      <c r="O4143" s="34"/>
      <c r="P4143" s="34"/>
      <c r="Q4143" s="34"/>
      <c r="R4143" s="34"/>
      <c r="S4143" s="34"/>
    </row>
    <row r="4144" spans="14:19">
      <c r="N4144" s="34"/>
      <c r="O4144" s="34"/>
      <c r="P4144" s="34"/>
      <c r="Q4144" s="34"/>
      <c r="R4144" s="34"/>
      <c r="S4144" s="34"/>
    </row>
    <row r="4145" spans="14:19">
      <c r="N4145" s="34"/>
      <c r="O4145" s="34"/>
      <c r="P4145" s="34"/>
      <c r="Q4145" s="34"/>
      <c r="R4145" s="34"/>
      <c r="S4145" s="34"/>
    </row>
    <row r="4146" spans="14:19">
      <c r="N4146" s="34"/>
      <c r="O4146" s="34"/>
      <c r="P4146" s="34"/>
      <c r="Q4146" s="34"/>
      <c r="R4146" s="34"/>
      <c r="S4146" s="34"/>
    </row>
    <row r="4147" spans="14:19">
      <c r="N4147" s="34"/>
      <c r="O4147" s="34"/>
      <c r="P4147" s="34"/>
      <c r="Q4147" s="34"/>
      <c r="R4147" s="34"/>
      <c r="S4147" s="34"/>
    </row>
    <row r="4148" spans="14:19">
      <c r="N4148" s="34"/>
      <c r="O4148" s="34"/>
      <c r="P4148" s="34"/>
      <c r="Q4148" s="34"/>
      <c r="R4148" s="34"/>
      <c r="S4148" s="34"/>
    </row>
    <row r="4149" spans="14:19">
      <c r="N4149" s="34"/>
      <c r="O4149" s="34"/>
      <c r="P4149" s="34"/>
      <c r="Q4149" s="34"/>
      <c r="R4149" s="34"/>
      <c r="S4149" s="34"/>
    </row>
    <row r="4150" spans="14:19">
      <c r="N4150" s="34"/>
      <c r="O4150" s="34"/>
      <c r="P4150" s="34"/>
      <c r="Q4150" s="34"/>
      <c r="R4150" s="34"/>
      <c r="S4150" s="34"/>
    </row>
    <row r="4151" spans="14:19">
      <c r="N4151" s="34"/>
      <c r="O4151" s="34"/>
      <c r="P4151" s="34"/>
      <c r="Q4151" s="34"/>
      <c r="R4151" s="34"/>
      <c r="S4151" s="34"/>
    </row>
    <row r="4152" spans="14:19">
      <c r="N4152" s="34"/>
      <c r="O4152" s="34"/>
      <c r="P4152" s="34"/>
      <c r="Q4152" s="34"/>
      <c r="R4152" s="34"/>
      <c r="S4152" s="34"/>
    </row>
    <row r="4153" spans="14:19">
      <c r="N4153" s="34"/>
      <c r="O4153" s="34"/>
      <c r="P4153" s="34"/>
      <c r="Q4153" s="34"/>
      <c r="R4153" s="34"/>
      <c r="S4153" s="34"/>
    </row>
    <row r="4154" spans="14:19">
      <c r="N4154" s="34"/>
      <c r="O4154" s="34"/>
      <c r="P4154" s="34"/>
      <c r="Q4154" s="34"/>
      <c r="R4154" s="34"/>
      <c r="S4154" s="34"/>
    </row>
    <row r="4155" spans="14:19">
      <c r="N4155" s="34"/>
      <c r="O4155" s="34"/>
      <c r="P4155" s="34"/>
      <c r="Q4155" s="34"/>
      <c r="R4155" s="34"/>
      <c r="S4155" s="34"/>
    </row>
    <row r="4156" spans="14:19">
      <c r="N4156" s="34"/>
      <c r="O4156" s="34"/>
      <c r="P4156" s="34"/>
      <c r="Q4156" s="34"/>
      <c r="R4156" s="34"/>
      <c r="S4156" s="34"/>
    </row>
    <row r="4157" spans="14:19">
      <c r="N4157" s="34"/>
      <c r="O4157" s="34"/>
      <c r="P4157" s="34"/>
      <c r="Q4157" s="34"/>
      <c r="R4157" s="34"/>
      <c r="S4157" s="34"/>
    </row>
    <row r="4158" spans="14:19">
      <c r="N4158" s="34"/>
      <c r="O4158" s="34"/>
      <c r="P4158" s="34"/>
      <c r="Q4158" s="34"/>
      <c r="R4158" s="34"/>
      <c r="S4158" s="34"/>
    </row>
    <row r="4159" spans="14:19">
      <c r="N4159" s="34"/>
      <c r="O4159" s="34"/>
      <c r="P4159" s="34"/>
      <c r="Q4159" s="34"/>
      <c r="R4159" s="34"/>
      <c r="S4159" s="34"/>
    </row>
    <row r="4160" spans="14:19">
      <c r="N4160" s="34"/>
      <c r="O4160" s="34"/>
      <c r="P4160" s="34"/>
      <c r="Q4160" s="34"/>
      <c r="R4160" s="34"/>
      <c r="S4160" s="34"/>
    </row>
    <row r="4161" spans="14:19">
      <c r="N4161" s="34"/>
      <c r="O4161" s="34"/>
      <c r="P4161" s="34"/>
      <c r="Q4161" s="34"/>
      <c r="R4161" s="34"/>
      <c r="S4161" s="34"/>
    </row>
    <row r="4162" spans="14:19">
      <c r="N4162" s="34"/>
      <c r="O4162" s="34"/>
      <c r="P4162" s="34"/>
      <c r="Q4162" s="34"/>
      <c r="R4162" s="34"/>
      <c r="S4162" s="34"/>
    </row>
    <row r="4163" spans="14:19">
      <c r="N4163" s="34"/>
      <c r="O4163" s="34"/>
      <c r="P4163" s="34"/>
      <c r="Q4163" s="34"/>
      <c r="R4163" s="34"/>
      <c r="S4163" s="34"/>
    </row>
    <row r="4164" spans="14:19">
      <c r="N4164" s="34"/>
      <c r="O4164" s="34"/>
      <c r="P4164" s="34"/>
      <c r="Q4164" s="34"/>
      <c r="R4164" s="34"/>
      <c r="S4164" s="34"/>
    </row>
    <row r="4165" spans="14:19">
      <c r="N4165" s="34"/>
      <c r="O4165" s="34"/>
      <c r="P4165" s="34"/>
      <c r="Q4165" s="34"/>
      <c r="R4165" s="34"/>
      <c r="S4165" s="34"/>
    </row>
    <row r="4166" spans="14:19">
      <c r="N4166" s="34"/>
      <c r="O4166" s="34"/>
      <c r="P4166" s="34"/>
      <c r="Q4166" s="34"/>
      <c r="R4166" s="34"/>
      <c r="S4166" s="34"/>
    </row>
    <row r="4167" spans="14:19">
      <c r="N4167" s="34"/>
      <c r="O4167" s="34"/>
      <c r="P4167" s="34"/>
      <c r="Q4167" s="34"/>
      <c r="R4167" s="34"/>
      <c r="S4167" s="34"/>
    </row>
    <row r="4168" spans="14:19">
      <c r="N4168" s="34"/>
      <c r="O4168" s="34"/>
      <c r="P4168" s="34"/>
      <c r="Q4168" s="34"/>
      <c r="R4168" s="34"/>
      <c r="S4168" s="34"/>
    </row>
    <row r="4169" spans="14:19">
      <c r="N4169" s="34"/>
      <c r="O4169" s="34"/>
      <c r="P4169" s="34"/>
      <c r="Q4169" s="34"/>
      <c r="R4169" s="34"/>
      <c r="S4169" s="34"/>
    </row>
    <row r="4170" spans="14:19">
      <c r="N4170" s="34"/>
      <c r="O4170" s="34"/>
      <c r="P4170" s="34"/>
      <c r="Q4170" s="34"/>
      <c r="R4170" s="34"/>
      <c r="S4170" s="34"/>
    </row>
    <row r="4171" spans="14:19">
      <c r="N4171" s="34"/>
      <c r="O4171" s="34"/>
      <c r="P4171" s="34"/>
      <c r="Q4171" s="34"/>
      <c r="R4171" s="34"/>
      <c r="S4171" s="34"/>
    </row>
    <row r="4172" spans="14:19">
      <c r="N4172" s="34"/>
      <c r="O4172" s="34"/>
      <c r="P4172" s="34"/>
      <c r="Q4172" s="34"/>
      <c r="R4172" s="34"/>
      <c r="S4172" s="34"/>
    </row>
    <row r="4173" spans="14:19">
      <c r="N4173" s="34"/>
      <c r="O4173" s="34"/>
      <c r="P4173" s="34"/>
      <c r="Q4173" s="34"/>
      <c r="R4173" s="34"/>
      <c r="S4173" s="34"/>
    </row>
    <row r="4174" spans="14:19">
      <c r="N4174" s="34"/>
      <c r="O4174" s="34"/>
      <c r="P4174" s="34"/>
      <c r="Q4174" s="34"/>
      <c r="R4174" s="34"/>
      <c r="S4174" s="34"/>
    </row>
    <row r="4175" spans="14:19">
      <c r="N4175" s="34"/>
      <c r="O4175" s="34"/>
      <c r="P4175" s="34"/>
      <c r="Q4175" s="34"/>
      <c r="R4175" s="34"/>
      <c r="S4175" s="34"/>
    </row>
    <row r="4176" spans="14:19">
      <c r="N4176" s="34"/>
      <c r="O4176" s="34"/>
      <c r="P4176" s="34"/>
      <c r="Q4176" s="34"/>
      <c r="R4176" s="34"/>
      <c r="S4176" s="34"/>
    </row>
    <row r="4177" spans="14:19">
      <c r="N4177" s="34"/>
      <c r="O4177" s="34"/>
      <c r="P4177" s="34"/>
      <c r="Q4177" s="34"/>
      <c r="R4177" s="34"/>
      <c r="S4177" s="34"/>
    </row>
    <row r="4178" spans="14:19">
      <c r="N4178" s="34"/>
      <c r="O4178" s="34"/>
      <c r="P4178" s="34"/>
      <c r="Q4178" s="34"/>
      <c r="R4178" s="34"/>
      <c r="S4178" s="34"/>
    </row>
    <row r="4179" spans="14:19">
      <c r="N4179" s="34"/>
      <c r="O4179" s="34"/>
      <c r="P4179" s="34"/>
      <c r="Q4179" s="34"/>
      <c r="R4179" s="34"/>
      <c r="S4179" s="34"/>
    </row>
    <row r="4180" spans="14:19">
      <c r="N4180" s="34"/>
      <c r="O4180" s="34"/>
      <c r="P4180" s="34"/>
      <c r="Q4180" s="34"/>
      <c r="R4180" s="34"/>
      <c r="S4180" s="34"/>
    </row>
    <row r="4181" spans="14:19">
      <c r="N4181" s="34"/>
      <c r="O4181" s="34"/>
      <c r="P4181" s="34"/>
      <c r="Q4181" s="34"/>
      <c r="R4181" s="34"/>
      <c r="S4181" s="34"/>
    </row>
    <row r="4182" spans="14:19">
      <c r="N4182" s="34"/>
      <c r="O4182" s="34"/>
      <c r="P4182" s="34"/>
      <c r="Q4182" s="34"/>
      <c r="R4182" s="34"/>
      <c r="S4182" s="34"/>
    </row>
    <row r="4183" spans="14:19">
      <c r="N4183" s="34"/>
      <c r="O4183" s="34"/>
      <c r="P4183" s="34"/>
      <c r="Q4183" s="34"/>
      <c r="R4183" s="34"/>
      <c r="S4183" s="34"/>
    </row>
    <row r="4184" spans="14:19">
      <c r="N4184" s="34"/>
      <c r="O4184" s="34"/>
      <c r="P4184" s="34"/>
      <c r="Q4184" s="34"/>
      <c r="R4184" s="34"/>
      <c r="S4184" s="34"/>
    </row>
    <row r="4185" spans="14:19">
      <c r="N4185" s="34"/>
      <c r="O4185" s="34"/>
      <c r="P4185" s="34"/>
      <c r="Q4185" s="34"/>
      <c r="R4185" s="34"/>
      <c r="S4185" s="34"/>
    </row>
    <row r="4186" spans="14:19">
      <c r="N4186" s="34"/>
      <c r="O4186" s="34"/>
      <c r="P4186" s="34"/>
      <c r="Q4186" s="34"/>
      <c r="R4186" s="34"/>
      <c r="S4186" s="34"/>
    </row>
    <row r="4187" spans="14:19">
      <c r="N4187" s="34"/>
      <c r="O4187" s="34"/>
      <c r="P4187" s="34"/>
      <c r="Q4187" s="34"/>
      <c r="R4187" s="34"/>
      <c r="S4187" s="34"/>
    </row>
    <row r="4188" spans="14:19">
      <c r="N4188" s="34"/>
      <c r="O4188" s="34"/>
      <c r="P4188" s="34"/>
      <c r="Q4188" s="34"/>
      <c r="R4188" s="34"/>
      <c r="S4188" s="34"/>
    </row>
    <row r="4189" spans="14:19">
      <c r="N4189" s="34"/>
      <c r="O4189" s="34"/>
      <c r="P4189" s="34"/>
      <c r="Q4189" s="34"/>
      <c r="R4189" s="34"/>
      <c r="S4189" s="34"/>
    </row>
    <row r="4190" spans="14:19">
      <c r="N4190" s="34"/>
      <c r="O4190" s="34"/>
      <c r="P4190" s="34"/>
      <c r="Q4190" s="34"/>
      <c r="R4190" s="34"/>
      <c r="S4190" s="34"/>
    </row>
    <row r="4191" spans="14:19">
      <c r="N4191" s="34"/>
      <c r="O4191" s="34"/>
      <c r="P4191" s="34"/>
      <c r="Q4191" s="34"/>
      <c r="R4191" s="34"/>
      <c r="S4191" s="34"/>
    </row>
    <row r="4192" spans="14:19">
      <c r="N4192" s="34"/>
      <c r="O4192" s="34"/>
      <c r="P4192" s="34"/>
      <c r="Q4192" s="34"/>
      <c r="R4192" s="34"/>
      <c r="S4192" s="34"/>
    </row>
    <row r="4193" spans="14:19">
      <c r="N4193" s="34"/>
      <c r="O4193" s="34"/>
      <c r="P4193" s="34"/>
      <c r="Q4193" s="34"/>
      <c r="R4193" s="34"/>
      <c r="S4193" s="34"/>
    </row>
    <row r="4194" spans="14:19">
      <c r="N4194" s="34"/>
      <c r="O4194" s="34"/>
      <c r="P4194" s="34"/>
      <c r="Q4194" s="34"/>
      <c r="R4194" s="34"/>
      <c r="S4194" s="34"/>
    </row>
    <row r="4195" spans="14:19">
      <c r="N4195" s="34"/>
      <c r="O4195" s="34"/>
      <c r="P4195" s="34"/>
      <c r="Q4195" s="34"/>
      <c r="R4195" s="34"/>
      <c r="S4195" s="34"/>
    </row>
    <row r="4196" spans="14:19">
      <c r="N4196" s="34"/>
      <c r="O4196" s="34"/>
      <c r="P4196" s="34"/>
      <c r="Q4196" s="34"/>
      <c r="R4196" s="34"/>
      <c r="S4196" s="34"/>
    </row>
    <row r="4197" spans="14:19">
      <c r="N4197" s="34"/>
      <c r="O4197" s="34"/>
      <c r="P4197" s="34"/>
      <c r="Q4197" s="34"/>
      <c r="R4197" s="34"/>
      <c r="S4197" s="34"/>
    </row>
    <row r="4198" spans="14:19">
      <c r="N4198" s="34"/>
      <c r="O4198" s="34"/>
      <c r="P4198" s="34"/>
      <c r="Q4198" s="34"/>
      <c r="R4198" s="34"/>
      <c r="S4198" s="34"/>
    </row>
    <row r="4199" spans="14:19">
      <c r="N4199" s="34"/>
      <c r="O4199" s="34"/>
      <c r="P4199" s="34"/>
      <c r="Q4199" s="34"/>
      <c r="R4199" s="34"/>
      <c r="S4199" s="34"/>
    </row>
    <row r="4200" spans="14:19">
      <c r="N4200" s="34"/>
      <c r="O4200" s="34"/>
      <c r="P4200" s="34"/>
      <c r="Q4200" s="34"/>
      <c r="R4200" s="34"/>
      <c r="S4200" s="34"/>
    </row>
    <row r="4201" spans="14:19">
      <c r="N4201" s="34"/>
      <c r="O4201" s="34"/>
      <c r="P4201" s="34"/>
      <c r="Q4201" s="34"/>
      <c r="R4201" s="34"/>
      <c r="S4201" s="34"/>
    </row>
    <row r="4202" spans="14:19">
      <c r="N4202" s="34"/>
      <c r="O4202" s="34"/>
      <c r="P4202" s="34"/>
      <c r="Q4202" s="34"/>
      <c r="R4202" s="34"/>
      <c r="S4202" s="34"/>
    </row>
    <row r="4203" spans="14:19">
      <c r="N4203" s="34"/>
      <c r="O4203" s="34"/>
      <c r="P4203" s="34"/>
      <c r="Q4203" s="34"/>
      <c r="R4203" s="34"/>
      <c r="S4203" s="34"/>
    </row>
    <row r="4204" spans="14:19">
      <c r="N4204" s="34"/>
      <c r="O4204" s="34"/>
      <c r="P4204" s="34"/>
      <c r="Q4204" s="34"/>
      <c r="R4204" s="34"/>
      <c r="S4204" s="34"/>
    </row>
    <row r="4205" spans="14:19">
      <c r="N4205" s="34"/>
      <c r="O4205" s="34"/>
      <c r="P4205" s="34"/>
      <c r="Q4205" s="34"/>
      <c r="R4205" s="34"/>
      <c r="S4205" s="34"/>
    </row>
    <row r="4206" spans="14:19">
      <c r="N4206" s="34"/>
      <c r="O4206" s="34"/>
      <c r="P4206" s="34"/>
      <c r="Q4206" s="34"/>
      <c r="R4206" s="34"/>
      <c r="S4206" s="34"/>
    </row>
    <row r="4207" spans="14:19">
      <c r="N4207" s="34"/>
      <c r="O4207" s="34"/>
      <c r="P4207" s="34"/>
      <c r="Q4207" s="34"/>
      <c r="R4207" s="34"/>
      <c r="S4207" s="34"/>
    </row>
    <row r="4208" spans="14:19">
      <c r="N4208" s="34"/>
      <c r="O4208" s="34"/>
      <c r="P4208" s="34"/>
      <c r="Q4208" s="34"/>
      <c r="R4208" s="34"/>
      <c r="S4208" s="34"/>
    </row>
    <row r="4209" spans="14:19">
      <c r="N4209" s="34"/>
      <c r="O4209" s="34"/>
      <c r="P4209" s="34"/>
      <c r="Q4209" s="34"/>
      <c r="R4209" s="34"/>
      <c r="S4209" s="34"/>
    </row>
    <row r="4210" spans="14:19">
      <c r="N4210" s="34"/>
      <c r="O4210" s="34"/>
      <c r="P4210" s="34"/>
      <c r="Q4210" s="34"/>
      <c r="R4210" s="34"/>
      <c r="S4210" s="34"/>
    </row>
    <row r="4211" spans="14:19">
      <c r="N4211" s="34"/>
      <c r="O4211" s="34"/>
      <c r="P4211" s="34"/>
      <c r="Q4211" s="34"/>
      <c r="R4211" s="34"/>
      <c r="S4211" s="34"/>
    </row>
    <row r="4212" spans="14:19">
      <c r="N4212" s="34"/>
      <c r="O4212" s="34"/>
      <c r="P4212" s="34"/>
      <c r="Q4212" s="34"/>
      <c r="R4212" s="34"/>
      <c r="S4212" s="34"/>
    </row>
    <row r="4213" spans="14:19">
      <c r="N4213" s="34"/>
      <c r="O4213" s="34"/>
      <c r="P4213" s="34"/>
      <c r="Q4213" s="34"/>
      <c r="R4213" s="34"/>
      <c r="S4213" s="34"/>
    </row>
    <row r="4214" spans="14:19">
      <c r="N4214" s="34"/>
      <c r="O4214" s="34"/>
      <c r="P4214" s="34"/>
      <c r="Q4214" s="34"/>
      <c r="R4214" s="34"/>
      <c r="S4214" s="34"/>
    </row>
    <row r="4215" spans="14:19">
      <c r="N4215" s="34"/>
      <c r="O4215" s="34"/>
      <c r="P4215" s="34"/>
      <c r="Q4215" s="34"/>
      <c r="R4215" s="34"/>
      <c r="S4215" s="34"/>
    </row>
    <row r="4216" spans="14:19">
      <c r="N4216" s="34"/>
      <c r="O4216" s="34"/>
      <c r="P4216" s="34"/>
      <c r="Q4216" s="34"/>
      <c r="R4216" s="34"/>
      <c r="S4216" s="34"/>
    </row>
    <row r="4217" spans="14:19">
      <c r="N4217" s="34"/>
      <c r="O4217" s="34"/>
      <c r="P4217" s="34"/>
      <c r="Q4217" s="34"/>
      <c r="R4217" s="34"/>
      <c r="S4217" s="34"/>
    </row>
    <row r="4218" spans="14:19">
      <c r="N4218" s="34"/>
      <c r="O4218" s="34"/>
      <c r="P4218" s="34"/>
      <c r="Q4218" s="34"/>
      <c r="R4218" s="34"/>
      <c r="S4218" s="34"/>
    </row>
    <row r="4219" spans="14:19">
      <c r="N4219" s="34"/>
      <c r="O4219" s="34"/>
      <c r="P4219" s="34"/>
      <c r="Q4219" s="34"/>
      <c r="R4219" s="34"/>
      <c r="S4219" s="34"/>
    </row>
    <row r="4220" spans="14:19">
      <c r="N4220" s="34"/>
      <c r="O4220" s="34"/>
      <c r="P4220" s="34"/>
      <c r="Q4220" s="34"/>
      <c r="R4220" s="34"/>
      <c r="S4220" s="34"/>
    </row>
    <row r="4221" spans="14:19">
      <c r="N4221" s="34"/>
      <c r="O4221" s="34"/>
      <c r="P4221" s="34"/>
      <c r="Q4221" s="34"/>
      <c r="R4221" s="34"/>
      <c r="S4221" s="34"/>
    </row>
    <row r="4222" spans="14:19">
      <c r="N4222" s="34"/>
      <c r="O4222" s="34"/>
      <c r="P4222" s="34"/>
      <c r="Q4222" s="34"/>
      <c r="R4222" s="34"/>
      <c r="S4222" s="34"/>
    </row>
    <row r="4223" spans="14:19">
      <c r="N4223" s="34"/>
      <c r="O4223" s="34"/>
      <c r="P4223" s="34"/>
      <c r="Q4223" s="34"/>
      <c r="R4223" s="34"/>
      <c r="S4223" s="34"/>
    </row>
    <row r="4224" spans="14:19">
      <c r="N4224" s="34"/>
      <c r="O4224" s="34"/>
      <c r="P4224" s="34"/>
      <c r="Q4224" s="34"/>
      <c r="R4224" s="34"/>
      <c r="S4224" s="34"/>
    </row>
    <row r="4225" spans="14:19">
      <c r="N4225" s="34"/>
      <c r="O4225" s="34"/>
      <c r="P4225" s="34"/>
      <c r="Q4225" s="34"/>
      <c r="R4225" s="34"/>
      <c r="S4225" s="34"/>
    </row>
    <row r="4226" spans="14:19">
      <c r="N4226" s="34"/>
      <c r="O4226" s="34"/>
      <c r="P4226" s="34"/>
      <c r="Q4226" s="34"/>
      <c r="R4226" s="34"/>
      <c r="S4226" s="34"/>
    </row>
    <row r="4227" spans="14:19">
      <c r="N4227" s="34"/>
      <c r="O4227" s="34"/>
      <c r="P4227" s="34"/>
      <c r="Q4227" s="34"/>
      <c r="R4227" s="34"/>
      <c r="S4227" s="34"/>
    </row>
    <row r="4228" spans="14:19">
      <c r="N4228" s="34"/>
      <c r="O4228" s="34"/>
      <c r="P4228" s="34"/>
      <c r="Q4228" s="34"/>
      <c r="R4228" s="34"/>
      <c r="S4228" s="34"/>
    </row>
    <row r="4229" spans="14:19">
      <c r="N4229" s="34"/>
      <c r="O4229" s="34"/>
      <c r="P4229" s="34"/>
      <c r="Q4229" s="34"/>
      <c r="R4229" s="34"/>
      <c r="S4229" s="34"/>
    </row>
    <row r="4230" spans="14:19">
      <c r="N4230" s="34"/>
      <c r="O4230" s="34"/>
      <c r="P4230" s="34"/>
      <c r="Q4230" s="34"/>
      <c r="R4230" s="34"/>
      <c r="S4230" s="34"/>
    </row>
    <row r="4231" spans="14:19">
      <c r="N4231" s="34"/>
      <c r="O4231" s="34"/>
      <c r="P4231" s="34"/>
      <c r="Q4231" s="34"/>
      <c r="R4231" s="34"/>
      <c r="S4231" s="34"/>
    </row>
    <row r="4232" spans="14:19">
      <c r="N4232" s="34"/>
      <c r="O4232" s="34"/>
      <c r="P4232" s="34"/>
      <c r="Q4232" s="34"/>
      <c r="R4232" s="34"/>
      <c r="S4232" s="34"/>
    </row>
    <row r="4233" spans="14:19">
      <c r="N4233" s="34"/>
      <c r="O4233" s="34"/>
      <c r="P4233" s="34"/>
      <c r="Q4233" s="34"/>
      <c r="R4233" s="34"/>
      <c r="S4233" s="34"/>
    </row>
    <row r="4234" spans="14:19">
      <c r="N4234" s="34"/>
      <c r="O4234" s="34"/>
      <c r="P4234" s="34"/>
      <c r="Q4234" s="34"/>
      <c r="R4234" s="34"/>
      <c r="S4234" s="34"/>
    </row>
    <row r="4235" spans="14:19">
      <c r="N4235" s="34"/>
      <c r="O4235" s="34"/>
      <c r="P4235" s="34"/>
      <c r="Q4235" s="34"/>
      <c r="R4235" s="34"/>
      <c r="S4235" s="34"/>
    </row>
    <row r="4236" spans="14:19">
      <c r="N4236" s="34"/>
      <c r="O4236" s="34"/>
      <c r="P4236" s="34"/>
      <c r="Q4236" s="34"/>
      <c r="R4236" s="34"/>
      <c r="S4236" s="34"/>
    </row>
    <row r="4237" spans="14:19">
      <c r="N4237" s="34"/>
      <c r="O4237" s="34"/>
      <c r="P4237" s="34"/>
      <c r="Q4237" s="34"/>
      <c r="R4237" s="34"/>
      <c r="S4237" s="34"/>
    </row>
    <row r="4238" spans="14:19">
      <c r="N4238" s="34"/>
      <c r="O4238" s="34"/>
      <c r="P4238" s="34"/>
      <c r="Q4238" s="34"/>
      <c r="R4238" s="34"/>
      <c r="S4238" s="34"/>
    </row>
    <row r="4239" spans="14:19">
      <c r="N4239" s="34"/>
      <c r="O4239" s="34"/>
      <c r="P4239" s="34"/>
      <c r="Q4239" s="34"/>
      <c r="R4239" s="34"/>
      <c r="S4239" s="34"/>
    </row>
    <row r="4240" spans="14:19">
      <c r="N4240" s="34"/>
      <c r="O4240" s="34"/>
      <c r="P4240" s="34"/>
      <c r="Q4240" s="34"/>
      <c r="R4240" s="34"/>
      <c r="S4240" s="34"/>
    </row>
    <row r="4241" spans="14:19">
      <c r="N4241" s="34"/>
      <c r="O4241" s="34"/>
      <c r="P4241" s="34"/>
      <c r="Q4241" s="34"/>
      <c r="R4241" s="34"/>
      <c r="S4241" s="34"/>
    </row>
    <row r="4242" spans="14:19">
      <c r="N4242" s="34"/>
      <c r="O4242" s="34"/>
      <c r="P4242" s="34"/>
      <c r="Q4242" s="34"/>
      <c r="R4242" s="34"/>
      <c r="S4242" s="34"/>
    </row>
    <row r="4243" spans="14:19">
      <c r="N4243" s="34"/>
      <c r="O4243" s="34"/>
      <c r="P4243" s="34"/>
      <c r="Q4243" s="34"/>
      <c r="R4243" s="34"/>
      <c r="S4243" s="34"/>
    </row>
    <row r="4244" spans="14:19">
      <c r="N4244" s="34"/>
      <c r="O4244" s="34"/>
      <c r="P4244" s="34"/>
      <c r="Q4244" s="34"/>
      <c r="R4244" s="34"/>
      <c r="S4244" s="34"/>
    </row>
    <row r="4245" spans="14:19">
      <c r="N4245" s="34"/>
      <c r="O4245" s="34"/>
      <c r="P4245" s="34"/>
      <c r="Q4245" s="34"/>
      <c r="R4245" s="34"/>
      <c r="S4245" s="34"/>
    </row>
    <row r="4246" spans="14:19">
      <c r="N4246" s="34"/>
      <c r="O4246" s="34"/>
      <c r="P4246" s="34"/>
      <c r="Q4246" s="34"/>
      <c r="R4246" s="34"/>
      <c r="S4246" s="34"/>
    </row>
    <row r="4247" spans="14:19">
      <c r="N4247" s="34"/>
      <c r="O4247" s="34"/>
      <c r="P4247" s="34"/>
      <c r="Q4247" s="34"/>
      <c r="R4247" s="34"/>
      <c r="S4247" s="34"/>
    </row>
    <row r="4248" spans="14:19">
      <c r="N4248" s="34"/>
      <c r="O4248" s="34"/>
      <c r="P4248" s="34"/>
      <c r="Q4248" s="34"/>
      <c r="R4248" s="34"/>
      <c r="S4248" s="34"/>
    </row>
    <row r="4249" spans="14:19">
      <c r="N4249" s="34"/>
      <c r="O4249" s="34"/>
      <c r="P4249" s="34"/>
      <c r="Q4249" s="34"/>
      <c r="R4249" s="34"/>
      <c r="S4249" s="34"/>
    </row>
    <row r="4250" spans="14:19">
      <c r="N4250" s="34"/>
      <c r="O4250" s="34"/>
      <c r="P4250" s="34"/>
      <c r="Q4250" s="34"/>
      <c r="R4250" s="34"/>
      <c r="S4250" s="34"/>
    </row>
    <row r="4251" spans="14:19">
      <c r="N4251" s="34"/>
      <c r="O4251" s="34"/>
      <c r="P4251" s="34"/>
      <c r="Q4251" s="34"/>
      <c r="R4251" s="34"/>
      <c r="S4251" s="34"/>
    </row>
    <row r="4252" spans="14:19">
      <c r="N4252" s="34"/>
      <c r="O4252" s="34"/>
      <c r="P4252" s="34"/>
      <c r="Q4252" s="34"/>
      <c r="R4252" s="34"/>
      <c r="S4252" s="34"/>
    </row>
    <row r="4253" spans="14:19">
      <c r="N4253" s="34"/>
      <c r="O4253" s="34"/>
      <c r="P4253" s="34"/>
      <c r="Q4253" s="34"/>
      <c r="R4253" s="34"/>
      <c r="S4253" s="34"/>
    </row>
    <row r="4254" spans="14:19">
      <c r="N4254" s="34"/>
      <c r="O4254" s="34"/>
      <c r="P4254" s="34"/>
      <c r="Q4254" s="34"/>
      <c r="R4254" s="34"/>
      <c r="S4254" s="34"/>
    </row>
    <row r="4255" spans="14:19">
      <c r="N4255" s="34"/>
      <c r="O4255" s="34"/>
      <c r="P4255" s="34"/>
      <c r="Q4255" s="34"/>
      <c r="R4255" s="34"/>
      <c r="S4255" s="34"/>
    </row>
    <row r="4256" spans="14:19">
      <c r="N4256" s="34"/>
      <c r="O4256" s="34"/>
      <c r="P4256" s="34"/>
      <c r="Q4256" s="34"/>
      <c r="R4256" s="34"/>
      <c r="S4256" s="34"/>
    </row>
    <row r="4257" spans="14:19">
      <c r="N4257" s="34"/>
      <c r="O4257" s="34"/>
      <c r="P4257" s="34"/>
      <c r="Q4257" s="34"/>
      <c r="R4257" s="34"/>
      <c r="S4257" s="34"/>
    </row>
    <row r="4258" spans="14:19">
      <c r="N4258" s="34"/>
      <c r="O4258" s="34"/>
      <c r="P4258" s="34"/>
      <c r="Q4258" s="34"/>
      <c r="R4258" s="34"/>
      <c r="S4258" s="34"/>
    </row>
    <row r="4259" spans="14:19">
      <c r="N4259" s="34"/>
      <c r="O4259" s="34"/>
      <c r="P4259" s="34"/>
      <c r="Q4259" s="34"/>
      <c r="R4259" s="34"/>
      <c r="S4259" s="34"/>
    </row>
    <row r="4260" spans="14:19">
      <c r="N4260" s="34"/>
      <c r="O4260" s="34"/>
      <c r="P4260" s="34"/>
      <c r="Q4260" s="34"/>
      <c r="R4260" s="34"/>
      <c r="S4260" s="34"/>
    </row>
    <row r="4261" spans="14:19">
      <c r="N4261" s="34"/>
      <c r="O4261" s="34"/>
      <c r="P4261" s="34"/>
      <c r="Q4261" s="34"/>
      <c r="R4261" s="34"/>
      <c r="S4261" s="34"/>
    </row>
    <row r="4262" spans="14:19">
      <c r="N4262" s="34"/>
      <c r="O4262" s="34"/>
      <c r="P4262" s="34"/>
      <c r="Q4262" s="34"/>
      <c r="R4262" s="34"/>
      <c r="S4262" s="34"/>
    </row>
    <row r="4263" spans="14:19">
      <c r="N4263" s="34"/>
      <c r="O4263" s="34"/>
      <c r="P4263" s="34"/>
      <c r="Q4263" s="34"/>
      <c r="R4263" s="34"/>
      <c r="S4263" s="34"/>
    </row>
    <row r="4264" spans="14:19">
      <c r="N4264" s="34"/>
      <c r="O4264" s="34"/>
      <c r="P4264" s="34"/>
      <c r="Q4264" s="34"/>
      <c r="R4264" s="34"/>
      <c r="S4264" s="34"/>
    </row>
    <row r="4265" spans="14:19">
      <c r="N4265" s="34"/>
      <c r="O4265" s="34"/>
      <c r="P4265" s="34"/>
      <c r="Q4265" s="34"/>
      <c r="R4265" s="34"/>
      <c r="S4265" s="34"/>
    </row>
    <row r="4266" spans="14:19">
      <c r="N4266" s="34"/>
      <c r="O4266" s="34"/>
      <c r="P4266" s="34"/>
      <c r="Q4266" s="34"/>
      <c r="R4266" s="34"/>
      <c r="S4266" s="34"/>
    </row>
    <row r="4267" spans="14:19">
      <c r="N4267" s="34"/>
      <c r="O4267" s="34"/>
      <c r="P4267" s="34"/>
      <c r="Q4267" s="34"/>
      <c r="R4267" s="34"/>
      <c r="S4267" s="34"/>
    </row>
    <row r="4268" spans="14:19">
      <c r="N4268" s="34"/>
      <c r="O4268" s="34"/>
      <c r="P4268" s="34"/>
      <c r="Q4268" s="34"/>
      <c r="R4268" s="34"/>
      <c r="S4268" s="34"/>
    </row>
    <row r="4269" spans="14:19">
      <c r="N4269" s="34"/>
      <c r="O4269" s="34"/>
      <c r="P4269" s="34"/>
      <c r="Q4269" s="34"/>
      <c r="R4269" s="34"/>
      <c r="S4269" s="34"/>
    </row>
    <row r="4270" spans="14:19">
      <c r="N4270" s="34"/>
      <c r="O4270" s="34"/>
      <c r="P4270" s="34"/>
      <c r="Q4270" s="34"/>
      <c r="R4270" s="34"/>
      <c r="S4270" s="34"/>
    </row>
    <row r="4271" spans="14:19">
      <c r="N4271" s="34"/>
      <c r="O4271" s="34"/>
      <c r="P4271" s="34"/>
      <c r="Q4271" s="34"/>
      <c r="R4271" s="34"/>
      <c r="S4271" s="34"/>
    </row>
    <row r="4272" spans="14:19">
      <c r="N4272" s="34"/>
      <c r="O4272" s="34"/>
      <c r="P4272" s="34"/>
      <c r="Q4272" s="34"/>
      <c r="R4272" s="34"/>
      <c r="S4272" s="34"/>
    </row>
    <row r="4273" spans="14:19">
      <c r="N4273" s="34"/>
      <c r="O4273" s="34"/>
      <c r="P4273" s="34"/>
      <c r="Q4273" s="34"/>
      <c r="R4273" s="34"/>
      <c r="S4273" s="34"/>
    </row>
    <row r="4274" spans="14:19">
      <c r="N4274" s="34"/>
      <c r="O4274" s="34"/>
      <c r="P4274" s="34"/>
      <c r="Q4274" s="34"/>
      <c r="R4274" s="34"/>
      <c r="S4274" s="34"/>
    </row>
    <row r="4275" spans="14:19">
      <c r="N4275" s="34"/>
      <c r="O4275" s="34"/>
      <c r="P4275" s="34"/>
      <c r="Q4275" s="34"/>
      <c r="R4275" s="34"/>
      <c r="S4275" s="34"/>
    </row>
    <row r="4276" spans="14:19">
      <c r="N4276" s="34"/>
      <c r="O4276" s="34"/>
      <c r="P4276" s="34"/>
      <c r="Q4276" s="34"/>
      <c r="R4276" s="34"/>
      <c r="S4276" s="34"/>
    </row>
    <row r="4277" spans="14:19">
      <c r="N4277" s="34"/>
      <c r="O4277" s="34"/>
      <c r="P4277" s="34"/>
      <c r="Q4277" s="34"/>
      <c r="R4277" s="34"/>
      <c r="S4277" s="34"/>
    </row>
    <row r="4278" spans="14:19">
      <c r="N4278" s="34"/>
      <c r="O4278" s="34"/>
      <c r="P4278" s="34"/>
      <c r="Q4278" s="34"/>
      <c r="R4278" s="34"/>
      <c r="S4278" s="34"/>
    </row>
    <row r="4279" spans="14:19">
      <c r="N4279" s="34"/>
      <c r="O4279" s="34"/>
      <c r="P4279" s="34"/>
      <c r="Q4279" s="34"/>
      <c r="R4279" s="34"/>
      <c r="S4279" s="34"/>
    </row>
    <row r="4280" spans="14:19">
      <c r="N4280" s="34"/>
      <c r="O4280" s="34"/>
      <c r="P4280" s="34"/>
      <c r="Q4280" s="34"/>
      <c r="R4280" s="34"/>
      <c r="S4280" s="34"/>
    </row>
    <row r="4281" spans="14:19">
      <c r="N4281" s="34"/>
      <c r="O4281" s="34"/>
      <c r="P4281" s="34"/>
      <c r="Q4281" s="34"/>
      <c r="R4281" s="34"/>
      <c r="S4281" s="34"/>
    </row>
    <row r="4282" spans="14:19">
      <c r="N4282" s="34"/>
      <c r="O4282" s="34"/>
      <c r="P4282" s="34"/>
      <c r="Q4282" s="34"/>
      <c r="R4282" s="34"/>
      <c r="S4282" s="34"/>
    </row>
    <row r="4283" spans="14:19">
      <c r="N4283" s="34"/>
      <c r="O4283" s="34"/>
      <c r="P4283" s="34"/>
      <c r="Q4283" s="34"/>
      <c r="R4283" s="34"/>
      <c r="S4283" s="34"/>
    </row>
    <row r="4284" spans="14:19">
      <c r="N4284" s="34"/>
      <c r="O4284" s="34"/>
      <c r="P4284" s="34"/>
      <c r="Q4284" s="34"/>
      <c r="R4284" s="34"/>
      <c r="S4284" s="34"/>
    </row>
    <row r="4285" spans="14:19">
      <c r="N4285" s="34"/>
      <c r="O4285" s="34"/>
      <c r="P4285" s="34"/>
      <c r="Q4285" s="34"/>
      <c r="R4285" s="34"/>
      <c r="S4285" s="34"/>
    </row>
    <row r="4286" spans="14:19">
      <c r="N4286" s="34"/>
      <c r="O4286" s="34"/>
      <c r="P4286" s="34"/>
      <c r="Q4286" s="34"/>
      <c r="R4286" s="34"/>
      <c r="S4286" s="34"/>
    </row>
    <row r="4287" spans="14:19">
      <c r="N4287" s="34"/>
      <c r="O4287" s="34"/>
      <c r="P4287" s="34"/>
      <c r="Q4287" s="34"/>
      <c r="R4287" s="34"/>
      <c r="S4287" s="34"/>
    </row>
    <row r="4288" spans="14:19">
      <c r="N4288" s="34"/>
      <c r="O4288" s="34"/>
      <c r="P4288" s="34"/>
      <c r="Q4288" s="34"/>
      <c r="R4288" s="34"/>
      <c r="S4288" s="34"/>
    </row>
    <row r="4289" spans="14:19">
      <c r="N4289" s="34"/>
      <c r="O4289" s="34"/>
      <c r="P4289" s="34"/>
      <c r="Q4289" s="34"/>
      <c r="R4289" s="34"/>
      <c r="S4289" s="34"/>
    </row>
    <row r="4290" spans="14:19">
      <c r="N4290" s="34"/>
      <c r="O4290" s="34"/>
      <c r="P4290" s="34"/>
      <c r="Q4290" s="34"/>
      <c r="R4290" s="34"/>
      <c r="S4290" s="34"/>
    </row>
    <row r="4291" spans="14:19">
      <c r="N4291" s="34"/>
      <c r="O4291" s="34"/>
      <c r="P4291" s="34"/>
      <c r="Q4291" s="34"/>
      <c r="R4291" s="34"/>
      <c r="S4291" s="34"/>
    </row>
    <row r="4292" spans="14:19">
      <c r="N4292" s="34"/>
      <c r="O4292" s="34"/>
      <c r="P4292" s="34"/>
      <c r="Q4292" s="34"/>
      <c r="R4292" s="34"/>
      <c r="S4292" s="34"/>
    </row>
    <row r="4293" spans="14:19">
      <c r="N4293" s="34"/>
      <c r="O4293" s="34"/>
      <c r="P4293" s="34"/>
      <c r="Q4293" s="34"/>
      <c r="R4293" s="34"/>
      <c r="S4293" s="34"/>
    </row>
    <row r="4294" spans="14:19">
      <c r="N4294" s="34"/>
      <c r="O4294" s="34"/>
      <c r="P4294" s="34"/>
      <c r="Q4294" s="34"/>
      <c r="R4294" s="34"/>
      <c r="S4294" s="34"/>
    </row>
    <row r="4295" spans="14:19">
      <c r="N4295" s="34"/>
      <c r="O4295" s="34"/>
      <c r="P4295" s="34"/>
      <c r="Q4295" s="34"/>
      <c r="R4295" s="34"/>
      <c r="S4295" s="34"/>
    </row>
    <row r="4296" spans="14:19">
      <c r="N4296" s="34"/>
      <c r="O4296" s="34"/>
      <c r="P4296" s="34"/>
      <c r="Q4296" s="34"/>
      <c r="R4296" s="34"/>
      <c r="S4296" s="34"/>
    </row>
    <row r="4297" spans="14:19">
      <c r="N4297" s="34"/>
      <c r="O4297" s="34"/>
      <c r="P4297" s="34"/>
      <c r="Q4297" s="34"/>
      <c r="R4297" s="34"/>
      <c r="S4297" s="34"/>
    </row>
    <row r="4298" spans="14:19">
      <c r="N4298" s="34"/>
      <c r="O4298" s="34"/>
      <c r="P4298" s="34"/>
      <c r="Q4298" s="34"/>
      <c r="R4298" s="34"/>
      <c r="S4298" s="34"/>
    </row>
    <row r="4299" spans="14:19">
      <c r="N4299" s="34"/>
      <c r="O4299" s="34"/>
      <c r="P4299" s="34"/>
      <c r="Q4299" s="34"/>
      <c r="R4299" s="34"/>
      <c r="S4299" s="34"/>
    </row>
    <row r="4300" spans="14:19">
      <c r="N4300" s="34"/>
      <c r="O4300" s="34"/>
      <c r="P4300" s="34"/>
      <c r="Q4300" s="34"/>
      <c r="R4300" s="34"/>
      <c r="S4300" s="34"/>
    </row>
    <row r="4301" spans="14:19">
      <c r="N4301" s="34"/>
      <c r="O4301" s="34"/>
      <c r="P4301" s="34"/>
      <c r="Q4301" s="34"/>
      <c r="R4301" s="34"/>
      <c r="S4301" s="34"/>
    </row>
    <row r="4302" spans="14:19">
      <c r="N4302" s="34"/>
      <c r="O4302" s="34"/>
      <c r="P4302" s="34"/>
      <c r="Q4302" s="34"/>
      <c r="R4302" s="34"/>
      <c r="S4302" s="34"/>
    </row>
    <row r="4303" spans="14:19">
      <c r="N4303" s="34"/>
      <c r="O4303" s="34"/>
      <c r="P4303" s="34"/>
      <c r="Q4303" s="34"/>
      <c r="R4303" s="34"/>
      <c r="S4303" s="34"/>
    </row>
    <row r="4304" spans="14:19">
      <c r="N4304" s="34"/>
      <c r="O4304" s="34"/>
      <c r="P4304" s="34"/>
      <c r="Q4304" s="34"/>
      <c r="R4304" s="34"/>
      <c r="S4304" s="34"/>
    </row>
    <row r="4305" spans="14:19">
      <c r="N4305" s="34"/>
      <c r="O4305" s="34"/>
      <c r="P4305" s="34"/>
      <c r="Q4305" s="34"/>
      <c r="R4305" s="34"/>
      <c r="S4305" s="34"/>
    </row>
    <row r="4306" spans="14:19">
      <c r="N4306" s="34"/>
      <c r="O4306" s="34"/>
      <c r="P4306" s="34"/>
      <c r="Q4306" s="34"/>
      <c r="R4306" s="34"/>
      <c r="S4306" s="34"/>
    </row>
    <row r="4307" spans="14:19">
      <c r="N4307" s="34"/>
      <c r="O4307" s="34"/>
      <c r="P4307" s="34"/>
      <c r="Q4307" s="34"/>
      <c r="R4307" s="34"/>
      <c r="S4307" s="34"/>
    </row>
    <row r="4308" spans="14:19">
      <c r="N4308" s="34"/>
      <c r="O4308" s="34"/>
      <c r="P4308" s="34"/>
      <c r="Q4308" s="34"/>
      <c r="R4308" s="34"/>
      <c r="S4308" s="34"/>
    </row>
    <row r="4309" spans="14:19">
      <c r="N4309" s="34"/>
      <c r="O4309" s="34"/>
      <c r="P4309" s="34"/>
      <c r="Q4309" s="34"/>
      <c r="R4309" s="34"/>
      <c r="S4309" s="34"/>
    </row>
    <row r="4310" spans="14:19">
      <c r="N4310" s="34"/>
      <c r="O4310" s="34"/>
      <c r="P4310" s="34"/>
      <c r="Q4310" s="34"/>
      <c r="R4310" s="34"/>
      <c r="S4310" s="34"/>
    </row>
    <row r="4311" spans="14:19">
      <c r="N4311" s="34"/>
      <c r="O4311" s="34"/>
      <c r="P4311" s="34"/>
      <c r="Q4311" s="34"/>
      <c r="R4311" s="34"/>
      <c r="S4311" s="34"/>
    </row>
    <row r="4312" spans="14:19">
      <c r="N4312" s="34"/>
      <c r="O4312" s="34"/>
      <c r="P4312" s="34"/>
      <c r="Q4312" s="34"/>
      <c r="R4312" s="34"/>
      <c r="S4312" s="34"/>
    </row>
    <row r="4313" spans="14:19">
      <c r="N4313" s="34"/>
      <c r="O4313" s="34"/>
      <c r="P4313" s="34"/>
      <c r="Q4313" s="34"/>
      <c r="R4313" s="34"/>
      <c r="S4313" s="34"/>
    </row>
    <row r="4314" spans="14:19">
      <c r="N4314" s="34"/>
      <c r="O4314" s="34"/>
      <c r="P4314" s="34"/>
      <c r="Q4314" s="34"/>
      <c r="R4314" s="34"/>
      <c r="S4314" s="34"/>
    </row>
    <row r="4315" spans="14:19">
      <c r="N4315" s="34"/>
      <c r="O4315" s="34"/>
      <c r="P4315" s="34"/>
      <c r="Q4315" s="34"/>
      <c r="R4315" s="34"/>
      <c r="S4315" s="34"/>
    </row>
    <row r="4316" spans="14:19">
      <c r="N4316" s="34"/>
      <c r="O4316" s="34"/>
      <c r="P4316" s="34"/>
      <c r="Q4316" s="34"/>
      <c r="R4316" s="34"/>
      <c r="S4316" s="34"/>
    </row>
    <row r="4317" spans="14:19">
      <c r="N4317" s="34"/>
      <c r="O4317" s="34"/>
      <c r="P4317" s="34"/>
      <c r="Q4317" s="34"/>
      <c r="R4317" s="34"/>
      <c r="S4317" s="34"/>
    </row>
    <row r="4318" spans="14:19">
      <c r="N4318" s="34"/>
      <c r="O4318" s="34"/>
      <c r="P4318" s="34"/>
      <c r="Q4318" s="34"/>
      <c r="R4318" s="34"/>
      <c r="S4318" s="34"/>
    </row>
    <row r="4319" spans="14:19">
      <c r="N4319" s="34"/>
      <c r="O4319" s="34"/>
      <c r="P4319" s="34"/>
      <c r="Q4319" s="34"/>
      <c r="R4319" s="34"/>
      <c r="S4319" s="34"/>
    </row>
    <row r="4320" spans="14:19">
      <c r="N4320" s="34"/>
      <c r="O4320" s="34"/>
      <c r="P4320" s="34"/>
      <c r="Q4320" s="34"/>
      <c r="R4320" s="34"/>
      <c r="S4320" s="34"/>
    </row>
    <row r="4321" spans="14:19">
      <c r="N4321" s="34"/>
      <c r="O4321" s="34"/>
      <c r="P4321" s="34"/>
      <c r="Q4321" s="34"/>
      <c r="R4321" s="34"/>
      <c r="S4321" s="34"/>
    </row>
    <row r="4322" spans="14:19">
      <c r="N4322" s="34"/>
      <c r="O4322" s="34"/>
      <c r="P4322" s="34"/>
      <c r="Q4322" s="34"/>
      <c r="R4322" s="34"/>
      <c r="S4322" s="34"/>
    </row>
    <row r="4323" spans="14:19">
      <c r="N4323" s="34"/>
      <c r="O4323" s="34"/>
      <c r="P4323" s="34"/>
      <c r="Q4323" s="34"/>
      <c r="R4323" s="34"/>
      <c r="S4323" s="34"/>
    </row>
    <row r="4324" spans="14:19">
      <c r="N4324" s="34"/>
      <c r="O4324" s="34"/>
      <c r="P4324" s="34"/>
      <c r="Q4324" s="34"/>
      <c r="R4324" s="34"/>
      <c r="S4324" s="34"/>
    </row>
    <row r="4325" spans="14:19">
      <c r="N4325" s="34"/>
      <c r="O4325" s="34"/>
      <c r="P4325" s="34"/>
      <c r="Q4325" s="34"/>
      <c r="R4325" s="34"/>
      <c r="S4325" s="34"/>
    </row>
    <row r="4326" spans="14:19">
      <c r="N4326" s="34"/>
      <c r="O4326" s="34"/>
      <c r="P4326" s="34"/>
      <c r="Q4326" s="34"/>
      <c r="R4326" s="34"/>
      <c r="S4326" s="34"/>
    </row>
    <row r="4327" spans="14:19">
      <c r="N4327" s="34"/>
      <c r="O4327" s="34"/>
      <c r="P4327" s="34"/>
      <c r="Q4327" s="34"/>
      <c r="R4327" s="34"/>
      <c r="S4327" s="34"/>
    </row>
    <row r="4328" spans="14:19">
      <c r="N4328" s="34"/>
      <c r="O4328" s="34"/>
      <c r="P4328" s="34"/>
      <c r="Q4328" s="34"/>
      <c r="R4328" s="34"/>
      <c r="S4328" s="34"/>
    </row>
    <row r="4329" spans="14:19">
      <c r="N4329" s="34"/>
      <c r="O4329" s="34"/>
      <c r="P4329" s="34"/>
      <c r="Q4329" s="34"/>
      <c r="R4329" s="34"/>
      <c r="S4329" s="34"/>
    </row>
    <row r="4330" spans="14:19">
      <c r="N4330" s="34"/>
      <c r="O4330" s="34"/>
      <c r="P4330" s="34"/>
      <c r="Q4330" s="34"/>
      <c r="R4330" s="34"/>
      <c r="S4330" s="34"/>
    </row>
    <row r="4331" spans="14:19">
      <c r="N4331" s="34"/>
      <c r="O4331" s="34"/>
      <c r="P4331" s="34"/>
      <c r="Q4331" s="34"/>
      <c r="R4331" s="34"/>
      <c r="S4331" s="34"/>
    </row>
    <row r="4332" spans="14:19">
      <c r="N4332" s="34"/>
      <c r="O4332" s="34"/>
      <c r="P4332" s="34"/>
      <c r="Q4332" s="34"/>
      <c r="R4332" s="34"/>
      <c r="S4332" s="34"/>
    </row>
    <row r="4333" spans="14:19">
      <c r="N4333" s="34"/>
      <c r="O4333" s="34"/>
      <c r="P4333" s="34"/>
      <c r="Q4333" s="34"/>
      <c r="R4333" s="34"/>
      <c r="S4333" s="34"/>
    </row>
    <row r="4334" spans="14:19">
      <c r="N4334" s="34"/>
      <c r="O4334" s="34"/>
      <c r="P4334" s="34"/>
      <c r="Q4334" s="34"/>
      <c r="R4334" s="34"/>
      <c r="S4334" s="34"/>
    </row>
    <row r="4335" spans="14:19">
      <c r="N4335" s="34"/>
      <c r="O4335" s="34"/>
      <c r="P4335" s="34"/>
      <c r="Q4335" s="34"/>
      <c r="R4335" s="34"/>
      <c r="S4335" s="34"/>
    </row>
    <row r="4336" spans="14:19">
      <c r="N4336" s="34"/>
      <c r="O4336" s="34"/>
      <c r="P4336" s="34"/>
      <c r="Q4336" s="34"/>
      <c r="R4336" s="34"/>
      <c r="S4336" s="34"/>
    </row>
    <row r="4337" spans="14:19">
      <c r="N4337" s="34"/>
      <c r="O4337" s="34"/>
      <c r="P4337" s="34"/>
      <c r="Q4337" s="34"/>
      <c r="R4337" s="34"/>
      <c r="S4337" s="34"/>
    </row>
    <row r="4338" spans="14:19">
      <c r="N4338" s="34"/>
      <c r="O4338" s="34"/>
      <c r="P4338" s="34"/>
      <c r="Q4338" s="34"/>
      <c r="R4338" s="34"/>
      <c r="S4338" s="34"/>
    </row>
    <row r="4339" spans="14:19">
      <c r="N4339" s="34"/>
      <c r="O4339" s="34"/>
      <c r="P4339" s="34"/>
      <c r="Q4339" s="34"/>
      <c r="R4339" s="34"/>
      <c r="S4339" s="34"/>
    </row>
    <row r="4340" spans="14:19">
      <c r="N4340" s="34"/>
      <c r="O4340" s="34"/>
      <c r="P4340" s="34"/>
      <c r="Q4340" s="34"/>
      <c r="R4340" s="34"/>
      <c r="S4340" s="34"/>
    </row>
    <row r="4341" spans="14:19">
      <c r="N4341" s="34"/>
      <c r="O4341" s="34"/>
      <c r="P4341" s="34"/>
      <c r="Q4341" s="34"/>
      <c r="R4341" s="34"/>
      <c r="S4341" s="34"/>
    </row>
    <row r="4342" spans="14:19">
      <c r="N4342" s="34"/>
      <c r="O4342" s="34"/>
      <c r="P4342" s="34"/>
      <c r="Q4342" s="34"/>
      <c r="R4342" s="34"/>
      <c r="S4342" s="34"/>
    </row>
    <row r="4343" spans="14:19">
      <c r="N4343" s="34"/>
      <c r="O4343" s="34"/>
      <c r="P4343" s="34"/>
      <c r="Q4343" s="34"/>
      <c r="R4343" s="34"/>
      <c r="S4343" s="34"/>
    </row>
    <row r="4344" spans="14:19">
      <c r="N4344" s="34"/>
      <c r="O4344" s="34"/>
      <c r="P4344" s="34"/>
      <c r="Q4344" s="34"/>
      <c r="R4344" s="34"/>
      <c r="S4344" s="34"/>
    </row>
    <row r="4345" spans="14:19">
      <c r="N4345" s="34"/>
      <c r="O4345" s="34"/>
      <c r="P4345" s="34"/>
      <c r="Q4345" s="34"/>
      <c r="R4345" s="34"/>
      <c r="S4345" s="34"/>
    </row>
    <row r="4346" spans="14:19">
      <c r="N4346" s="34"/>
      <c r="O4346" s="34"/>
      <c r="P4346" s="34"/>
      <c r="Q4346" s="34"/>
      <c r="R4346" s="34"/>
      <c r="S4346" s="34"/>
    </row>
    <row r="4347" spans="14:19">
      <c r="N4347" s="34"/>
      <c r="O4347" s="34"/>
      <c r="P4347" s="34"/>
      <c r="Q4347" s="34"/>
      <c r="R4347" s="34"/>
      <c r="S4347" s="34"/>
    </row>
    <row r="4348" spans="14:19">
      <c r="N4348" s="34"/>
      <c r="O4348" s="34"/>
      <c r="P4348" s="34"/>
      <c r="Q4348" s="34"/>
      <c r="R4348" s="34"/>
      <c r="S4348" s="34"/>
    </row>
    <row r="4349" spans="14:19">
      <c r="N4349" s="34"/>
      <c r="O4349" s="34"/>
      <c r="P4349" s="34"/>
      <c r="Q4349" s="34"/>
      <c r="R4349" s="34"/>
      <c r="S4349" s="34"/>
    </row>
    <row r="4350" spans="14:19">
      <c r="N4350" s="34"/>
      <c r="O4350" s="34"/>
      <c r="P4350" s="34"/>
      <c r="Q4350" s="34"/>
      <c r="R4350" s="34"/>
      <c r="S4350" s="34"/>
    </row>
    <row r="4351" spans="14:19">
      <c r="N4351" s="34"/>
      <c r="O4351" s="34"/>
      <c r="P4351" s="34"/>
      <c r="Q4351" s="34"/>
      <c r="R4351" s="34"/>
      <c r="S4351" s="34"/>
    </row>
    <row r="4352" spans="14:19">
      <c r="N4352" s="34"/>
      <c r="O4352" s="34"/>
      <c r="P4352" s="34"/>
      <c r="Q4352" s="34"/>
      <c r="R4352" s="34"/>
      <c r="S4352" s="34"/>
    </row>
    <row r="4353" spans="14:19">
      <c r="N4353" s="34"/>
      <c r="O4353" s="34"/>
      <c r="P4353" s="34"/>
      <c r="Q4353" s="34"/>
      <c r="R4353" s="34"/>
      <c r="S4353" s="34"/>
    </row>
    <row r="4354" spans="14:19">
      <c r="N4354" s="34"/>
      <c r="O4354" s="34"/>
      <c r="P4354" s="34"/>
      <c r="Q4354" s="34"/>
      <c r="R4354" s="34"/>
      <c r="S4354" s="34"/>
    </row>
    <row r="4355" spans="14:19">
      <c r="N4355" s="34"/>
      <c r="O4355" s="34"/>
      <c r="P4355" s="34"/>
      <c r="Q4355" s="34"/>
      <c r="R4355" s="34"/>
      <c r="S4355" s="34"/>
    </row>
    <row r="4356" spans="14:19">
      <c r="N4356" s="34"/>
      <c r="O4356" s="34"/>
      <c r="P4356" s="34"/>
      <c r="Q4356" s="34"/>
      <c r="R4356" s="34"/>
      <c r="S4356" s="34"/>
    </row>
    <row r="4357" spans="14:19">
      <c r="N4357" s="34"/>
      <c r="O4357" s="34"/>
      <c r="P4357" s="34"/>
      <c r="Q4357" s="34"/>
      <c r="R4357" s="34"/>
      <c r="S4357" s="34"/>
    </row>
    <row r="4358" spans="14:19">
      <c r="N4358" s="34"/>
      <c r="O4358" s="34"/>
      <c r="P4358" s="34"/>
      <c r="Q4358" s="34"/>
      <c r="R4358" s="34"/>
      <c r="S4358" s="34"/>
    </row>
    <row r="4359" spans="14:19">
      <c r="N4359" s="34"/>
      <c r="O4359" s="34"/>
      <c r="P4359" s="34"/>
      <c r="Q4359" s="34"/>
      <c r="R4359" s="34"/>
      <c r="S4359" s="34"/>
    </row>
    <row r="4360" spans="14:19">
      <c r="N4360" s="34"/>
      <c r="O4360" s="34"/>
      <c r="P4360" s="34"/>
      <c r="Q4360" s="34"/>
      <c r="R4360" s="34"/>
      <c r="S4360" s="34"/>
    </row>
    <row r="4361" spans="14:19">
      <c r="N4361" s="34"/>
      <c r="O4361" s="34"/>
      <c r="P4361" s="34"/>
      <c r="Q4361" s="34"/>
      <c r="R4361" s="34"/>
      <c r="S4361" s="34"/>
    </row>
    <row r="4362" spans="14:19">
      <c r="N4362" s="34"/>
      <c r="O4362" s="34"/>
      <c r="P4362" s="34"/>
      <c r="Q4362" s="34"/>
      <c r="R4362" s="34"/>
      <c r="S4362" s="34"/>
    </row>
    <row r="4363" spans="14:19">
      <c r="N4363" s="34"/>
      <c r="O4363" s="34"/>
      <c r="P4363" s="34"/>
      <c r="Q4363" s="34"/>
      <c r="R4363" s="34"/>
      <c r="S4363" s="34"/>
    </row>
    <row r="4364" spans="14:19">
      <c r="N4364" s="34"/>
      <c r="O4364" s="34"/>
      <c r="P4364" s="34"/>
      <c r="Q4364" s="34"/>
      <c r="R4364" s="34"/>
      <c r="S4364" s="34"/>
    </row>
    <row r="4365" spans="14:19">
      <c r="N4365" s="34"/>
      <c r="O4365" s="34"/>
      <c r="P4365" s="34"/>
      <c r="Q4365" s="34"/>
      <c r="R4365" s="34"/>
      <c r="S4365" s="34"/>
    </row>
    <row r="4366" spans="14:19">
      <c r="N4366" s="34"/>
      <c r="O4366" s="34"/>
      <c r="P4366" s="34"/>
      <c r="Q4366" s="34"/>
      <c r="R4366" s="34"/>
      <c r="S4366" s="34"/>
    </row>
    <row r="4367" spans="14:19">
      <c r="N4367" s="34"/>
      <c r="O4367" s="34"/>
      <c r="P4367" s="34"/>
      <c r="Q4367" s="34"/>
      <c r="R4367" s="34"/>
      <c r="S4367" s="34"/>
    </row>
    <row r="4368" spans="14:19">
      <c r="N4368" s="34"/>
      <c r="O4368" s="34"/>
      <c r="P4368" s="34"/>
      <c r="Q4368" s="34"/>
      <c r="R4368" s="34"/>
      <c r="S4368" s="34"/>
    </row>
    <row r="4369" spans="14:19">
      <c r="N4369" s="34"/>
      <c r="O4369" s="34"/>
      <c r="P4369" s="34"/>
      <c r="Q4369" s="34"/>
      <c r="R4369" s="34"/>
      <c r="S4369" s="34"/>
    </row>
    <row r="4370" spans="14:19">
      <c r="N4370" s="34"/>
      <c r="O4370" s="34"/>
      <c r="P4370" s="34"/>
      <c r="Q4370" s="34"/>
      <c r="R4370" s="34"/>
      <c r="S4370" s="34"/>
    </row>
    <row r="4371" spans="14:19">
      <c r="N4371" s="34"/>
      <c r="O4371" s="34"/>
      <c r="P4371" s="34"/>
      <c r="Q4371" s="34"/>
      <c r="R4371" s="34"/>
      <c r="S4371" s="34"/>
    </row>
    <row r="4372" spans="14:19">
      <c r="N4372" s="34"/>
      <c r="O4372" s="34"/>
      <c r="P4372" s="34"/>
      <c r="Q4372" s="34"/>
      <c r="R4372" s="34"/>
      <c r="S4372" s="34"/>
    </row>
    <row r="4373" spans="14:19">
      <c r="N4373" s="34"/>
      <c r="O4373" s="34"/>
      <c r="P4373" s="34"/>
      <c r="Q4373" s="34"/>
      <c r="R4373" s="34"/>
      <c r="S4373" s="34"/>
    </row>
    <row r="4374" spans="14:19">
      <c r="N4374" s="34"/>
      <c r="O4374" s="34"/>
      <c r="P4374" s="34"/>
      <c r="Q4374" s="34"/>
      <c r="R4374" s="34"/>
      <c r="S4374" s="34"/>
    </row>
    <row r="4375" spans="14:19">
      <c r="N4375" s="34"/>
      <c r="O4375" s="34"/>
      <c r="P4375" s="34"/>
      <c r="Q4375" s="34"/>
      <c r="R4375" s="34"/>
      <c r="S4375" s="34"/>
    </row>
    <row r="4376" spans="14:19">
      <c r="N4376" s="34"/>
      <c r="O4376" s="34"/>
      <c r="P4376" s="34"/>
      <c r="Q4376" s="34"/>
      <c r="R4376" s="34"/>
      <c r="S4376" s="34"/>
    </row>
    <row r="4377" spans="14:19">
      <c r="N4377" s="34"/>
      <c r="O4377" s="34"/>
      <c r="P4377" s="34"/>
      <c r="Q4377" s="34"/>
      <c r="R4377" s="34"/>
      <c r="S4377" s="34"/>
    </row>
    <row r="4378" spans="14:19">
      <c r="N4378" s="34"/>
      <c r="O4378" s="34"/>
      <c r="P4378" s="34"/>
      <c r="Q4378" s="34"/>
      <c r="R4378" s="34"/>
      <c r="S4378" s="34"/>
    </row>
    <row r="4379" spans="14:19">
      <c r="N4379" s="34"/>
      <c r="O4379" s="34"/>
      <c r="P4379" s="34"/>
      <c r="Q4379" s="34"/>
      <c r="R4379" s="34"/>
      <c r="S4379" s="34"/>
    </row>
    <row r="4380" spans="14:19">
      <c r="N4380" s="34"/>
      <c r="O4380" s="34"/>
      <c r="P4380" s="34"/>
      <c r="Q4380" s="34"/>
      <c r="R4380" s="34"/>
      <c r="S4380" s="34"/>
    </row>
    <row r="4381" spans="14:19">
      <c r="N4381" s="34"/>
      <c r="O4381" s="34"/>
      <c r="P4381" s="34"/>
      <c r="Q4381" s="34"/>
      <c r="R4381" s="34"/>
      <c r="S4381" s="34"/>
    </row>
    <row r="4382" spans="14:19">
      <c r="N4382" s="34"/>
      <c r="O4382" s="34"/>
      <c r="P4382" s="34"/>
      <c r="Q4382" s="34"/>
      <c r="R4382" s="34"/>
      <c r="S4382" s="34"/>
    </row>
    <row r="4383" spans="14:19">
      <c r="N4383" s="34"/>
      <c r="O4383" s="34"/>
      <c r="P4383" s="34"/>
      <c r="Q4383" s="34"/>
      <c r="R4383" s="34"/>
      <c r="S4383" s="34"/>
    </row>
    <row r="4384" spans="14:19">
      <c r="N4384" s="34"/>
      <c r="O4384" s="34"/>
      <c r="P4384" s="34"/>
      <c r="Q4384" s="34"/>
      <c r="R4384" s="34"/>
      <c r="S4384" s="34"/>
    </row>
    <row r="4385" spans="14:19">
      <c r="N4385" s="34"/>
      <c r="O4385" s="34"/>
      <c r="P4385" s="34"/>
      <c r="Q4385" s="34"/>
      <c r="R4385" s="34"/>
      <c r="S4385" s="34"/>
    </row>
    <row r="4386" spans="14:19">
      <c r="N4386" s="34"/>
      <c r="O4386" s="34"/>
      <c r="P4386" s="34"/>
      <c r="Q4386" s="34"/>
      <c r="R4386" s="34"/>
      <c r="S4386" s="34"/>
    </row>
    <row r="4387" spans="14:19">
      <c r="N4387" s="34"/>
      <c r="O4387" s="34"/>
      <c r="P4387" s="34"/>
      <c r="Q4387" s="34"/>
      <c r="R4387" s="34"/>
      <c r="S4387" s="34"/>
    </row>
    <row r="4388" spans="14:19">
      <c r="N4388" s="34"/>
      <c r="O4388" s="34"/>
      <c r="P4388" s="34"/>
      <c r="Q4388" s="34"/>
      <c r="R4388" s="34"/>
      <c r="S4388" s="34"/>
    </row>
    <row r="4389" spans="14:19">
      <c r="N4389" s="34"/>
      <c r="O4389" s="34"/>
      <c r="P4389" s="34"/>
      <c r="Q4389" s="34"/>
      <c r="R4389" s="34"/>
      <c r="S4389" s="34"/>
    </row>
    <row r="4390" spans="14:19">
      <c r="N4390" s="34"/>
      <c r="O4390" s="34"/>
      <c r="P4390" s="34"/>
      <c r="Q4390" s="34"/>
      <c r="R4390" s="34"/>
      <c r="S4390" s="34"/>
    </row>
    <row r="4391" spans="14:19">
      <c r="N4391" s="34"/>
      <c r="O4391" s="34"/>
      <c r="P4391" s="34"/>
      <c r="Q4391" s="34"/>
      <c r="R4391" s="34"/>
      <c r="S4391" s="34"/>
    </row>
    <row r="4392" spans="14:19">
      <c r="N4392" s="34"/>
      <c r="O4392" s="34"/>
      <c r="P4392" s="34"/>
      <c r="Q4392" s="34"/>
      <c r="R4392" s="34"/>
      <c r="S4392" s="34"/>
    </row>
    <row r="4393" spans="14:19">
      <c r="N4393" s="34"/>
      <c r="O4393" s="34"/>
      <c r="P4393" s="34"/>
      <c r="Q4393" s="34"/>
      <c r="R4393" s="34"/>
      <c r="S4393" s="34"/>
    </row>
    <row r="4394" spans="14:19">
      <c r="N4394" s="34"/>
      <c r="O4394" s="34"/>
      <c r="P4394" s="34"/>
      <c r="Q4394" s="34"/>
      <c r="R4394" s="34"/>
      <c r="S4394" s="34"/>
    </row>
    <row r="4395" spans="14:19">
      <c r="N4395" s="34"/>
      <c r="O4395" s="34"/>
      <c r="P4395" s="34"/>
      <c r="Q4395" s="34"/>
      <c r="R4395" s="34"/>
      <c r="S4395" s="34"/>
    </row>
    <row r="4396" spans="14:19">
      <c r="N4396" s="34"/>
      <c r="O4396" s="34"/>
      <c r="P4396" s="34"/>
      <c r="Q4396" s="34"/>
      <c r="R4396" s="34"/>
      <c r="S4396" s="34"/>
    </row>
    <row r="4397" spans="14:19">
      <c r="N4397" s="34"/>
      <c r="O4397" s="34"/>
      <c r="P4397" s="34"/>
      <c r="Q4397" s="34"/>
      <c r="R4397" s="34"/>
      <c r="S4397" s="34"/>
    </row>
    <row r="4398" spans="14:19">
      <c r="N4398" s="34"/>
      <c r="O4398" s="34"/>
      <c r="P4398" s="34"/>
      <c r="Q4398" s="34"/>
      <c r="R4398" s="34"/>
      <c r="S4398" s="34"/>
    </row>
    <row r="4399" spans="14:19">
      <c r="N4399" s="34"/>
      <c r="O4399" s="34"/>
      <c r="P4399" s="34"/>
      <c r="Q4399" s="34"/>
      <c r="R4399" s="34"/>
      <c r="S4399" s="34"/>
    </row>
    <row r="4400" spans="14:19">
      <c r="N4400" s="34"/>
      <c r="O4400" s="34"/>
      <c r="P4400" s="34"/>
      <c r="Q4400" s="34"/>
      <c r="R4400" s="34"/>
      <c r="S4400" s="34"/>
    </row>
    <row r="4401" spans="14:19">
      <c r="N4401" s="34"/>
      <c r="O4401" s="34"/>
      <c r="P4401" s="34"/>
      <c r="Q4401" s="34"/>
      <c r="R4401" s="34"/>
      <c r="S4401" s="34"/>
    </row>
    <row r="4402" spans="14:19">
      <c r="N4402" s="34"/>
      <c r="O4402" s="34"/>
      <c r="P4402" s="34"/>
      <c r="Q4402" s="34"/>
      <c r="R4402" s="34"/>
      <c r="S4402" s="34"/>
    </row>
    <row r="4403" spans="14:19">
      <c r="N4403" s="34"/>
      <c r="O4403" s="34"/>
      <c r="P4403" s="34"/>
      <c r="Q4403" s="34"/>
      <c r="R4403" s="34"/>
      <c r="S4403" s="34"/>
    </row>
    <row r="4404" spans="14:19">
      <c r="N4404" s="34"/>
      <c r="O4404" s="34"/>
      <c r="P4404" s="34"/>
      <c r="Q4404" s="34"/>
      <c r="R4404" s="34"/>
      <c r="S4404" s="34"/>
    </row>
    <row r="4405" spans="14:19">
      <c r="N4405" s="34"/>
      <c r="O4405" s="34"/>
      <c r="P4405" s="34"/>
      <c r="Q4405" s="34"/>
      <c r="R4405" s="34"/>
      <c r="S4405" s="34"/>
    </row>
    <row r="4406" spans="14:19">
      <c r="N4406" s="34"/>
      <c r="O4406" s="34"/>
      <c r="P4406" s="34"/>
      <c r="Q4406" s="34"/>
      <c r="R4406" s="34"/>
      <c r="S4406" s="34"/>
    </row>
    <row r="4407" spans="14:19">
      <c r="N4407" s="34"/>
      <c r="O4407" s="34"/>
      <c r="P4407" s="34"/>
      <c r="Q4407" s="34"/>
      <c r="R4407" s="34"/>
      <c r="S4407" s="34"/>
    </row>
    <row r="4408" spans="14:19">
      <c r="N4408" s="34"/>
      <c r="O4408" s="34"/>
      <c r="P4408" s="34"/>
      <c r="Q4408" s="34"/>
      <c r="R4408" s="34"/>
      <c r="S4408" s="34"/>
    </row>
    <row r="4409" spans="14:19">
      <c r="N4409" s="34"/>
      <c r="O4409" s="34"/>
      <c r="P4409" s="34"/>
      <c r="Q4409" s="34"/>
      <c r="R4409" s="34"/>
      <c r="S4409" s="34"/>
    </row>
    <row r="4410" spans="14:19">
      <c r="N4410" s="34"/>
      <c r="O4410" s="34"/>
      <c r="P4410" s="34"/>
      <c r="Q4410" s="34"/>
      <c r="R4410" s="34"/>
      <c r="S4410" s="34"/>
    </row>
    <row r="4411" spans="14:19">
      <c r="N4411" s="34"/>
      <c r="O4411" s="34"/>
      <c r="P4411" s="34"/>
      <c r="Q4411" s="34"/>
      <c r="R4411" s="34"/>
      <c r="S4411" s="34"/>
    </row>
    <row r="4412" spans="14:19">
      <c r="N4412" s="34"/>
      <c r="O4412" s="34"/>
      <c r="P4412" s="34"/>
      <c r="Q4412" s="34"/>
      <c r="R4412" s="34"/>
      <c r="S4412" s="34"/>
    </row>
    <row r="4413" spans="14:19">
      <c r="N4413" s="34"/>
      <c r="O4413" s="34"/>
      <c r="P4413" s="34"/>
      <c r="Q4413" s="34"/>
      <c r="R4413" s="34"/>
      <c r="S4413" s="34"/>
    </row>
    <row r="4414" spans="14:19">
      <c r="N4414" s="34"/>
      <c r="O4414" s="34"/>
      <c r="P4414" s="34"/>
      <c r="Q4414" s="34"/>
      <c r="R4414" s="34"/>
      <c r="S4414" s="34"/>
    </row>
    <row r="4415" spans="14:19">
      <c r="N4415" s="34"/>
      <c r="O4415" s="34"/>
      <c r="P4415" s="34"/>
      <c r="Q4415" s="34"/>
      <c r="R4415" s="34"/>
      <c r="S4415" s="34"/>
    </row>
    <row r="4416" spans="14:19">
      <c r="N4416" s="34"/>
      <c r="O4416" s="34"/>
      <c r="P4416" s="34"/>
      <c r="Q4416" s="34"/>
      <c r="R4416" s="34"/>
      <c r="S4416" s="34"/>
    </row>
    <row r="4417" spans="14:19">
      <c r="N4417" s="34"/>
      <c r="O4417" s="34"/>
      <c r="P4417" s="34"/>
      <c r="Q4417" s="34"/>
      <c r="R4417" s="34"/>
      <c r="S4417" s="34"/>
    </row>
    <row r="4418" spans="14:19">
      <c r="N4418" s="34"/>
      <c r="O4418" s="34"/>
      <c r="P4418" s="34"/>
      <c r="Q4418" s="34"/>
      <c r="R4418" s="34"/>
      <c r="S4418" s="34"/>
    </row>
    <row r="4419" spans="14:19">
      <c r="N4419" s="34"/>
      <c r="O4419" s="34"/>
      <c r="P4419" s="34"/>
      <c r="Q4419" s="34"/>
      <c r="R4419" s="34"/>
      <c r="S4419" s="34"/>
    </row>
    <row r="4420" spans="14:19">
      <c r="N4420" s="34"/>
      <c r="O4420" s="34"/>
      <c r="P4420" s="34"/>
      <c r="Q4420" s="34"/>
      <c r="R4420" s="34"/>
      <c r="S4420" s="34"/>
    </row>
    <row r="4421" spans="14:19">
      <c r="N4421" s="34"/>
      <c r="O4421" s="34"/>
      <c r="P4421" s="34"/>
      <c r="Q4421" s="34"/>
      <c r="R4421" s="34"/>
      <c r="S4421" s="34"/>
    </row>
    <row r="4422" spans="14:19">
      <c r="N4422" s="34"/>
      <c r="O4422" s="34"/>
      <c r="P4422" s="34"/>
      <c r="Q4422" s="34"/>
      <c r="R4422" s="34"/>
      <c r="S4422" s="34"/>
    </row>
    <row r="4423" spans="14:19">
      <c r="N4423" s="34"/>
      <c r="O4423" s="34"/>
      <c r="P4423" s="34"/>
      <c r="Q4423" s="34"/>
      <c r="R4423" s="34"/>
      <c r="S4423" s="34"/>
    </row>
    <row r="4424" spans="14:19">
      <c r="N4424" s="34"/>
      <c r="O4424" s="34"/>
      <c r="P4424" s="34"/>
      <c r="Q4424" s="34"/>
      <c r="R4424" s="34"/>
      <c r="S4424" s="34"/>
    </row>
    <row r="4425" spans="14:19">
      <c r="N4425" s="34"/>
      <c r="O4425" s="34"/>
      <c r="P4425" s="34"/>
      <c r="Q4425" s="34"/>
      <c r="R4425" s="34"/>
      <c r="S4425" s="34"/>
    </row>
    <row r="4426" spans="14:19">
      <c r="N4426" s="34"/>
      <c r="O4426" s="34"/>
      <c r="P4426" s="34"/>
      <c r="Q4426" s="34"/>
      <c r="R4426" s="34"/>
      <c r="S4426" s="34"/>
    </row>
    <row r="4427" spans="14:19">
      <c r="N4427" s="34"/>
      <c r="O4427" s="34"/>
      <c r="P4427" s="34"/>
      <c r="Q4427" s="34"/>
      <c r="R4427" s="34"/>
      <c r="S4427" s="34"/>
    </row>
    <row r="4428" spans="14:19">
      <c r="N4428" s="34"/>
      <c r="O4428" s="34"/>
      <c r="P4428" s="34"/>
      <c r="Q4428" s="34"/>
      <c r="R4428" s="34"/>
      <c r="S4428" s="34"/>
    </row>
    <row r="4429" spans="14:19">
      <c r="N4429" s="34"/>
      <c r="O4429" s="34"/>
      <c r="P4429" s="34"/>
      <c r="Q4429" s="34"/>
      <c r="R4429" s="34"/>
      <c r="S4429" s="34"/>
    </row>
    <row r="4430" spans="14:19">
      <c r="N4430" s="34"/>
      <c r="O4430" s="34"/>
      <c r="P4430" s="34"/>
      <c r="Q4430" s="34"/>
      <c r="R4430" s="34"/>
      <c r="S4430" s="34"/>
    </row>
    <row r="4431" spans="14:19">
      <c r="N4431" s="34"/>
      <c r="O4431" s="34"/>
      <c r="P4431" s="34"/>
      <c r="Q4431" s="34"/>
      <c r="R4431" s="34"/>
      <c r="S4431" s="34"/>
    </row>
    <row r="4432" spans="14:19">
      <c r="N4432" s="34"/>
      <c r="O4432" s="34"/>
      <c r="P4432" s="34"/>
      <c r="Q4432" s="34"/>
      <c r="R4432" s="34"/>
      <c r="S4432" s="34"/>
    </row>
    <row r="4433" spans="14:19">
      <c r="N4433" s="34"/>
      <c r="O4433" s="34"/>
      <c r="P4433" s="34"/>
      <c r="Q4433" s="34"/>
      <c r="R4433" s="34"/>
      <c r="S4433" s="34"/>
    </row>
    <row r="4434" spans="14:19">
      <c r="N4434" s="34"/>
      <c r="O4434" s="34"/>
      <c r="P4434" s="34"/>
      <c r="Q4434" s="34"/>
      <c r="R4434" s="34"/>
      <c r="S4434" s="34"/>
    </row>
    <row r="4435" spans="14:19">
      <c r="N4435" s="34"/>
      <c r="O4435" s="34"/>
      <c r="P4435" s="34"/>
      <c r="Q4435" s="34"/>
      <c r="R4435" s="34"/>
      <c r="S4435" s="34"/>
    </row>
    <row r="4436" spans="14:19">
      <c r="N4436" s="34"/>
      <c r="O4436" s="34"/>
      <c r="P4436" s="34"/>
      <c r="Q4436" s="34"/>
      <c r="R4436" s="34"/>
      <c r="S4436" s="34"/>
    </row>
    <row r="4437" spans="14:19">
      <c r="N4437" s="34"/>
      <c r="O4437" s="34"/>
      <c r="P4437" s="34"/>
      <c r="Q4437" s="34"/>
      <c r="R4437" s="34"/>
      <c r="S4437" s="34"/>
    </row>
    <row r="4438" spans="14:19">
      <c r="N4438" s="34"/>
      <c r="O4438" s="34"/>
      <c r="P4438" s="34"/>
      <c r="Q4438" s="34"/>
      <c r="R4438" s="34"/>
      <c r="S4438" s="34"/>
    </row>
    <row r="4439" spans="14:19">
      <c r="N4439" s="34"/>
      <c r="O4439" s="34"/>
      <c r="P4439" s="34"/>
      <c r="Q4439" s="34"/>
      <c r="R4439" s="34"/>
      <c r="S4439" s="34"/>
    </row>
    <row r="4440" spans="14:19">
      <c r="N4440" s="34"/>
      <c r="O4440" s="34"/>
      <c r="P4440" s="34"/>
      <c r="Q4440" s="34"/>
      <c r="R4440" s="34"/>
      <c r="S4440" s="34"/>
    </row>
    <row r="4441" spans="14:19">
      <c r="N4441" s="34"/>
      <c r="O4441" s="34"/>
      <c r="P4441" s="34"/>
      <c r="Q4441" s="34"/>
      <c r="R4441" s="34"/>
      <c r="S4441" s="34"/>
    </row>
    <row r="4442" spans="14:19">
      <c r="N4442" s="34"/>
      <c r="O4442" s="34"/>
      <c r="P4442" s="34"/>
      <c r="Q4442" s="34"/>
      <c r="R4442" s="34"/>
      <c r="S4442" s="34"/>
    </row>
    <row r="4443" spans="14:19">
      <c r="N4443" s="34"/>
      <c r="O4443" s="34"/>
      <c r="P4443" s="34"/>
      <c r="Q4443" s="34"/>
      <c r="R4443" s="34"/>
      <c r="S4443" s="34"/>
    </row>
    <row r="4444" spans="14:19">
      <c r="N4444" s="34"/>
      <c r="O4444" s="34"/>
      <c r="P4444" s="34"/>
      <c r="Q4444" s="34"/>
      <c r="R4444" s="34"/>
      <c r="S4444" s="34"/>
    </row>
    <row r="4445" spans="14:19">
      <c r="N4445" s="34"/>
      <c r="O4445" s="34"/>
      <c r="P4445" s="34"/>
      <c r="Q4445" s="34"/>
      <c r="R4445" s="34"/>
      <c r="S4445" s="34"/>
    </row>
    <row r="4446" spans="14:19">
      <c r="N4446" s="34"/>
      <c r="O4446" s="34"/>
      <c r="P4446" s="34"/>
      <c r="Q4446" s="34"/>
      <c r="R4446" s="34"/>
      <c r="S4446" s="34"/>
    </row>
    <row r="4447" spans="14:19">
      <c r="N4447" s="34"/>
      <c r="O4447" s="34"/>
      <c r="P4447" s="34"/>
      <c r="Q4447" s="34"/>
      <c r="R4447" s="34"/>
      <c r="S4447" s="34"/>
    </row>
    <row r="4448" spans="14:19">
      <c r="N4448" s="34"/>
      <c r="O4448" s="34"/>
      <c r="P4448" s="34"/>
      <c r="Q4448" s="34"/>
      <c r="R4448" s="34"/>
      <c r="S4448" s="34"/>
    </row>
    <row r="4449" spans="14:19">
      <c r="N4449" s="34"/>
      <c r="O4449" s="34"/>
      <c r="P4449" s="34"/>
      <c r="Q4449" s="34"/>
      <c r="R4449" s="34"/>
      <c r="S4449" s="34"/>
    </row>
    <row r="4450" spans="14:19">
      <c r="N4450" s="34"/>
      <c r="O4450" s="34"/>
      <c r="P4450" s="34"/>
      <c r="Q4450" s="34"/>
      <c r="R4450" s="34"/>
      <c r="S4450" s="34"/>
    </row>
    <row r="4451" spans="14:19">
      <c r="N4451" s="34"/>
      <c r="O4451" s="34"/>
      <c r="P4451" s="34"/>
      <c r="Q4451" s="34"/>
      <c r="R4451" s="34"/>
      <c r="S4451" s="34"/>
    </row>
    <row r="4452" spans="14:19">
      <c r="N4452" s="34"/>
      <c r="O4452" s="34"/>
      <c r="P4452" s="34"/>
      <c r="Q4452" s="34"/>
      <c r="R4452" s="34"/>
      <c r="S4452" s="34"/>
    </row>
    <row r="4453" spans="14:19">
      <c r="N4453" s="34"/>
      <c r="O4453" s="34"/>
      <c r="P4453" s="34"/>
      <c r="Q4453" s="34"/>
      <c r="R4453" s="34"/>
      <c r="S4453" s="34"/>
    </row>
    <row r="4454" spans="14:19">
      <c r="N4454" s="34"/>
      <c r="O4454" s="34"/>
      <c r="P4454" s="34"/>
      <c r="Q4454" s="34"/>
      <c r="R4454" s="34"/>
      <c r="S4454" s="34"/>
    </row>
    <row r="4455" spans="14:19">
      <c r="N4455" s="34"/>
      <c r="O4455" s="34"/>
      <c r="P4455" s="34"/>
      <c r="Q4455" s="34"/>
      <c r="R4455" s="34"/>
      <c r="S4455" s="34"/>
    </row>
    <row r="4456" spans="14:19">
      <c r="N4456" s="34"/>
      <c r="O4456" s="34"/>
      <c r="P4456" s="34"/>
      <c r="Q4456" s="34"/>
      <c r="R4456" s="34"/>
      <c r="S4456" s="34"/>
    </row>
    <row r="4457" spans="14:19">
      <c r="N4457" s="34"/>
      <c r="O4457" s="34"/>
      <c r="P4457" s="34"/>
      <c r="Q4457" s="34"/>
      <c r="R4457" s="34"/>
      <c r="S4457" s="34"/>
    </row>
    <row r="4458" spans="14:19">
      <c r="N4458" s="34"/>
      <c r="O4458" s="34"/>
      <c r="P4458" s="34"/>
      <c r="Q4458" s="34"/>
      <c r="R4458" s="34"/>
      <c r="S4458" s="34"/>
    </row>
    <row r="4459" spans="14:19">
      <c r="N4459" s="34"/>
      <c r="O4459" s="34"/>
      <c r="P4459" s="34"/>
      <c r="Q4459" s="34"/>
      <c r="R4459" s="34"/>
      <c r="S4459" s="34"/>
    </row>
    <row r="4460" spans="14:19">
      <c r="N4460" s="34"/>
      <c r="O4460" s="34"/>
      <c r="P4460" s="34"/>
      <c r="Q4460" s="34"/>
      <c r="R4460" s="34"/>
      <c r="S4460" s="34"/>
    </row>
    <row r="4461" spans="14:19">
      <c r="N4461" s="34"/>
      <c r="O4461" s="34"/>
      <c r="P4461" s="34"/>
      <c r="Q4461" s="34"/>
      <c r="R4461" s="34"/>
      <c r="S4461" s="34"/>
    </row>
    <row r="4462" spans="14:19">
      <c r="N4462" s="34"/>
      <c r="O4462" s="34"/>
      <c r="P4462" s="34"/>
      <c r="Q4462" s="34"/>
      <c r="R4462" s="34"/>
      <c r="S4462" s="34"/>
    </row>
    <row r="4463" spans="14:19">
      <c r="N4463" s="34"/>
      <c r="O4463" s="34"/>
      <c r="P4463" s="34"/>
      <c r="Q4463" s="34"/>
      <c r="R4463" s="34"/>
      <c r="S4463" s="34"/>
    </row>
    <row r="4464" spans="14:19">
      <c r="N4464" s="34"/>
      <c r="O4464" s="34"/>
      <c r="P4464" s="34"/>
      <c r="Q4464" s="34"/>
      <c r="R4464" s="34"/>
      <c r="S4464" s="34"/>
    </row>
    <row r="4465" spans="14:19">
      <c r="N4465" s="34"/>
      <c r="O4465" s="34"/>
      <c r="P4465" s="34"/>
      <c r="Q4465" s="34"/>
      <c r="R4465" s="34"/>
      <c r="S4465" s="34"/>
    </row>
    <row r="4466" spans="14:19">
      <c r="N4466" s="34"/>
      <c r="O4466" s="34"/>
      <c r="P4466" s="34"/>
      <c r="Q4466" s="34"/>
      <c r="R4466" s="34"/>
      <c r="S4466" s="34"/>
    </row>
    <row r="4467" spans="14:19">
      <c r="N4467" s="34"/>
      <c r="O4467" s="34"/>
      <c r="P4467" s="34"/>
      <c r="Q4467" s="34"/>
      <c r="R4467" s="34"/>
      <c r="S4467" s="34"/>
    </row>
    <row r="4468" spans="14:19">
      <c r="N4468" s="34"/>
      <c r="O4468" s="34"/>
      <c r="P4468" s="34"/>
      <c r="Q4468" s="34"/>
      <c r="R4468" s="34"/>
      <c r="S4468" s="34"/>
    </row>
    <row r="4469" spans="14:19">
      <c r="N4469" s="34"/>
      <c r="O4469" s="34"/>
      <c r="P4469" s="34"/>
      <c r="Q4469" s="34"/>
      <c r="R4469" s="34"/>
      <c r="S4469" s="34"/>
    </row>
    <row r="4470" spans="14:19">
      <c r="N4470" s="34"/>
      <c r="O4470" s="34"/>
      <c r="P4470" s="34"/>
      <c r="Q4470" s="34"/>
      <c r="R4470" s="34"/>
      <c r="S4470" s="34"/>
    </row>
    <row r="4471" spans="14:19">
      <c r="N4471" s="34"/>
      <c r="O4471" s="34"/>
      <c r="P4471" s="34"/>
      <c r="Q4471" s="34"/>
      <c r="R4471" s="34"/>
      <c r="S4471" s="34"/>
    </row>
    <row r="4472" spans="14:19">
      <c r="N4472" s="34"/>
      <c r="O4472" s="34"/>
      <c r="P4472" s="34"/>
      <c r="Q4472" s="34"/>
      <c r="R4472" s="34"/>
      <c r="S4472" s="34"/>
    </row>
    <row r="4473" spans="14:19">
      <c r="N4473" s="34"/>
      <c r="O4473" s="34"/>
      <c r="P4473" s="34"/>
      <c r="Q4473" s="34"/>
      <c r="R4473" s="34"/>
      <c r="S4473" s="34"/>
    </row>
    <row r="4474" spans="14:19">
      <c r="N4474" s="34"/>
      <c r="O4474" s="34"/>
      <c r="P4474" s="34"/>
      <c r="Q4474" s="34"/>
      <c r="R4474" s="34"/>
      <c r="S4474" s="34"/>
    </row>
    <row r="4475" spans="14:19">
      <c r="N4475" s="34"/>
      <c r="O4475" s="34"/>
      <c r="P4475" s="34"/>
      <c r="Q4475" s="34"/>
      <c r="R4475" s="34"/>
      <c r="S4475" s="34"/>
    </row>
    <row r="4476" spans="14:19">
      <c r="N4476" s="34"/>
      <c r="O4476" s="34"/>
      <c r="P4476" s="34"/>
      <c r="Q4476" s="34"/>
      <c r="R4476" s="34"/>
      <c r="S4476" s="34"/>
    </row>
    <row r="4477" spans="14:19">
      <c r="N4477" s="34"/>
      <c r="O4477" s="34"/>
      <c r="P4477" s="34"/>
      <c r="Q4477" s="34"/>
      <c r="R4477" s="34"/>
      <c r="S4477" s="34"/>
    </row>
    <row r="4478" spans="14:19">
      <c r="N4478" s="34"/>
      <c r="O4478" s="34"/>
      <c r="P4478" s="34"/>
      <c r="Q4478" s="34"/>
      <c r="R4478" s="34"/>
      <c r="S4478" s="34"/>
    </row>
    <row r="4479" spans="14:19">
      <c r="N4479" s="34"/>
      <c r="O4479" s="34"/>
      <c r="P4479" s="34"/>
      <c r="Q4479" s="34"/>
      <c r="R4479" s="34"/>
      <c r="S4479" s="34"/>
    </row>
    <row r="4480" spans="14:19">
      <c r="N4480" s="34"/>
      <c r="O4480" s="34"/>
      <c r="P4480" s="34"/>
      <c r="Q4480" s="34"/>
      <c r="R4480" s="34"/>
      <c r="S4480" s="34"/>
    </row>
    <row r="4481" spans="14:19">
      <c r="N4481" s="34"/>
      <c r="O4481" s="34"/>
      <c r="P4481" s="34"/>
      <c r="Q4481" s="34"/>
      <c r="R4481" s="34"/>
      <c r="S4481" s="34"/>
    </row>
    <row r="4482" spans="14:19">
      <c r="N4482" s="34"/>
      <c r="O4482" s="34"/>
      <c r="P4482" s="34"/>
      <c r="Q4482" s="34"/>
      <c r="R4482" s="34"/>
      <c r="S4482" s="34"/>
    </row>
    <row r="4483" spans="14:19">
      <c r="N4483" s="34"/>
      <c r="O4483" s="34"/>
      <c r="P4483" s="34"/>
      <c r="Q4483" s="34"/>
      <c r="R4483" s="34"/>
      <c r="S4483" s="34"/>
    </row>
    <row r="4484" spans="14:19">
      <c r="N4484" s="34"/>
      <c r="O4484" s="34"/>
      <c r="P4484" s="34"/>
      <c r="Q4484" s="34"/>
      <c r="R4484" s="34"/>
      <c r="S4484" s="34"/>
    </row>
    <row r="4485" spans="14:19">
      <c r="N4485" s="34"/>
      <c r="O4485" s="34"/>
      <c r="P4485" s="34"/>
      <c r="Q4485" s="34"/>
      <c r="R4485" s="34"/>
      <c r="S4485" s="34"/>
    </row>
    <row r="4486" spans="14:19">
      <c r="N4486" s="34"/>
      <c r="O4486" s="34"/>
      <c r="P4486" s="34"/>
      <c r="Q4486" s="34"/>
      <c r="R4486" s="34"/>
      <c r="S4486" s="34"/>
    </row>
    <row r="4487" spans="14:19">
      <c r="N4487" s="34"/>
      <c r="O4487" s="34"/>
      <c r="P4487" s="34"/>
      <c r="Q4487" s="34"/>
      <c r="R4487" s="34"/>
      <c r="S4487" s="34"/>
    </row>
    <row r="4488" spans="14:19">
      <c r="N4488" s="34"/>
      <c r="O4488" s="34"/>
      <c r="P4488" s="34"/>
      <c r="Q4488" s="34"/>
      <c r="R4488" s="34"/>
      <c r="S4488" s="34"/>
    </row>
    <row r="4489" spans="14:19">
      <c r="N4489" s="34"/>
      <c r="O4489" s="34"/>
      <c r="P4489" s="34"/>
      <c r="Q4489" s="34"/>
      <c r="R4489" s="34"/>
      <c r="S4489" s="34"/>
    </row>
    <row r="4490" spans="14:19">
      <c r="N4490" s="34"/>
      <c r="O4490" s="34"/>
      <c r="P4490" s="34"/>
      <c r="Q4490" s="34"/>
      <c r="R4490" s="34"/>
      <c r="S4490" s="34"/>
    </row>
    <row r="4491" spans="14:19">
      <c r="N4491" s="34"/>
      <c r="O4491" s="34"/>
      <c r="P4491" s="34"/>
      <c r="Q4491" s="34"/>
      <c r="R4491" s="34"/>
      <c r="S4491" s="34"/>
    </row>
    <row r="4492" spans="14:19">
      <c r="N4492" s="34"/>
      <c r="O4492" s="34"/>
      <c r="P4492" s="34"/>
      <c r="Q4492" s="34"/>
      <c r="R4492" s="34"/>
      <c r="S4492" s="34"/>
    </row>
    <row r="4493" spans="14:19">
      <c r="N4493" s="34"/>
      <c r="O4493" s="34"/>
      <c r="P4493" s="34"/>
      <c r="Q4493" s="34"/>
      <c r="R4493" s="34"/>
      <c r="S4493" s="34"/>
    </row>
    <row r="4494" spans="14:19">
      <c r="N4494" s="34"/>
      <c r="O4494" s="34"/>
      <c r="P4494" s="34"/>
      <c r="Q4494" s="34"/>
      <c r="R4494" s="34"/>
      <c r="S4494" s="34"/>
    </row>
    <row r="4495" spans="14:19">
      <c r="N4495" s="34"/>
      <c r="O4495" s="34"/>
      <c r="P4495" s="34"/>
      <c r="Q4495" s="34"/>
      <c r="R4495" s="34"/>
      <c r="S4495" s="34"/>
    </row>
    <row r="4496" spans="14:19">
      <c r="N4496" s="34"/>
      <c r="O4496" s="34"/>
      <c r="P4496" s="34"/>
      <c r="Q4496" s="34"/>
      <c r="R4496" s="34"/>
      <c r="S4496" s="34"/>
    </row>
    <row r="4497" spans="14:19">
      <c r="N4497" s="34"/>
      <c r="O4497" s="34"/>
      <c r="P4497" s="34"/>
      <c r="Q4497" s="34"/>
      <c r="R4497" s="34"/>
      <c r="S4497" s="34"/>
    </row>
    <row r="4498" spans="14:19">
      <c r="N4498" s="34"/>
      <c r="O4498" s="34"/>
      <c r="P4498" s="34"/>
      <c r="Q4498" s="34"/>
      <c r="R4498" s="34"/>
      <c r="S4498" s="34"/>
    </row>
    <row r="4499" spans="14:19">
      <c r="N4499" s="34"/>
      <c r="O4499" s="34"/>
      <c r="P4499" s="34"/>
      <c r="Q4499" s="34"/>
      <c r="R4499" s="34"/>
      <c r="S4499" s="34"/>
    </row>
    <row r="4500" spans="14:19">
      <c r="N4500" s="34"/>
      <c r="O4500" s="34"/>
      <c r="P4500" s="34"/>
      <c r="Q4500" s="34"/>
      <c r="R4500" s="34"/>
      <c r="S4500" s="34"/>
    </row>
    <row r="4501" spans="14:19">
      <c r="N4501" s="34"/>
      <c r="O4501" s="34"/>
      <c r="P4501" s="34"/>
      <c r="Q4501" s="34"/>
      <c r="R4501" s="34"/>
      <c r="S4501" s="34"/>
    </row>
    <row r="4502" spans="14:19">
      <c r="N4502" s="34"/>
      <c r="O4502" s="34"/>
      <c r="P4502" s="34"/>
      <c r="Q4502" s="34"/>
      <c r="R4502" s="34"/>
      <c r="S4502" s="34"/>
    </row>
    <row r="4503" spans="14:19">
      <c r="N4503" s="34"/>
      <c r="O4503" s="34"/>
      <c r="P4503" s="34"/>
      <c r="Q4503" s="34"/>
      <c r="R4503" s="34"/>
      <c r="S4503" s="34"/>
    </row>
    <row r="4504" spans="14:19">
      <c r="N4504" s="34"/>
      <c r="O4504" s="34"/>
      <c r="P4504" s="34"/>
      <c r="Q4504" s="34"/>
      <c r="R4504" s="34"/>
      <c r="S4504" s="34"/>
    </row>
    <row r="4505" spans="14:19">
      <c r="N4505" s="34"/>
      <c r="O4505" s="34"/>
      <c r="P4505" s="34"/>
      <c r="Q4505" s="34"/>
      <c r="R4505" s="34"/>
      <c r="S4505" s="34"/>
    </row>
    <row r="4506" spans="14:19">
      <c r="N4506" s="34"/>
      <c r="O4506" s="34"/>
      <c r="P4506" s="34"/>
      <c r="Q4506" s="34"/>
      <c r="R4506" s="34"/>
      <c r="S4506" s="34"/>
    </row>
    <row r="4507" spans="14:19">
      <c r="N4507" s="34"/>
      <c r="O4507" s="34"/>
      <c r="P4507" s="34"/>
      <c r="Q4507" s="34"/>
      <c r="R4507" s="34"/>
      <c r="S4507" s="34"/>
    </row>
    <row r="4508" spans="14:19">
      <c r="N4508" s="34"/>
      <c r="O4508" s="34"/>
      <c r="P4508" s="34"/>
      <c r="Q4508" s="34"/>
      <c r="R4508" s="34"/>
      <c r="S4508" s="34"/>
    </row>
    <row r="4509" spans="14:19">
      <c r="N4509" s="34"/>
      <c r="O4509" s="34"/>
      <c r="P4509" s="34"/>
      <c r="Q4509" s="34"/>
      <c r="R4509" s="34"/>
      <c r="S4509" s="34"/>
    </row>
    <row r="4510" spans="14:19">
      <c r="N4510" s="34"/>
      <c r="O4510" s="34"/>
      <c r="P4510" s="34"/>
      <c r="Q4510" s="34"/>
      <c r="R4510" s="34"/>
      <c r="S4510" s="34"/>
    </row>
    <row r="4511" spans="14:19">
      <c r="N4511" s="34"/>
      <c r="O4511" s="34"/>
      <c r="P4511" s="34"/>
      <c r="Q4511" s="34"/>
      <c r="R4511" s="34"/>
      <c r="S4511" s="34"/>
    </row>
    <row r="4512" spans="14:19">
      <c r="N4512" s="34"/>
      <c r="O4512" s="34"/>
      <c r="P4512" s="34"/>
      <c r="Q4512" s="34"/>
      <c r="R4512" s="34"/>
      <c r="S4512" s="34"/>
    </row>
    <row r="4513" spans="14:19">
      <c r="N4513" s="34"/>
      <c r="O4513" s="34"/>
      <c r="P4513" s="34"/>
      <c r="Q4513" s="34"/>
      <c r="R4513" s="34"/>
      <c r="S4513" s="34"/>
    </row>
    <row r="4514" spans="14:19">
      <c r="N4514" s="34"/>
      <c r="O4514" s="34"/>
      <c r="P4514" s="34"/>
      <c r="Q4514" s="34"/>
      <c r="R4514" s="34"/>
      <c r="S4514" s="34"/>
    </row>
    <row r="4515" spans="14:19">
      <c r="N4515" s="34"/>
      <c r="O4515" s="34"/>
      <c r="P4515" s="34"/>
      <c r="Q4515" s="34"/>
      <c r="R4515" s="34"/>
      <c r="S4515" s="34"/>
    </row>
    <row r="4516" spans="14:19">
      <c r="N4516" s="34"/>
      <c r="O4516" s="34"/>
      <c r="P4516" s="34"/>
      <c r="Q4516" s="34"/>
      <c r="R4516" s="34"/>
      <c r="S4516" s="34"/>
    </row>
    <row r="4517" spans="14:19">
      <c r="N4517" s="34"/>
      <c r="O4517" s="34"/>
      <c r="P4517" s="34"/>
      <c r="Q4517" s="34"/>
      <c r="R4517" s="34"/>
      <c r="S4517" s="34"/>
    </row>
    <row r="4518" spans="14:19">
      <c r="N4518" s="34"/>
      <c r="O4518" s="34"/>
      <c r="P4518" s="34"/>
      <c r="Q4518" s="34"/>
      <c r="R4518" s="34"/>
      <c r="S4518" s="34"/>
    </row>
    <row r="4519" spans="14:19">
      <c r="N4519" s="34"/>
      <c r="O4519" s="34"/>
      <c r="P4519" s="34"/>
      <c r="Q4519" s="34"/>
      <c r="R4519" s="34"/>
      <c r="S4519" s="34"/>
    </row>
    <row r="4520" spans="14:19">
      <c r="N4520" s="34"/>
      <c r="O4520" s="34"/>
      <c r="P4520" s="34"/>
      <c r="Q4520" s="34"/>
      <c r="R4520" s="34"/>
      <c r="S4520" s="34"/>
    </row>
    <row r="4521" spans="14:19">
      <c r="N4521" s="34"/>
      <c r="O4521" s="34"/>
      <c r="P4521" s="34"/>
      <c r="Q4521" s="34"/>
      <c r="R4521" s="34"/>
      <c r="S4521" s="34"/>
    </row>
    <row r="4522" spans="14:19">
      <c r="N4522" s="34"/>
      <c r="O4522" s="34"/>
      <c r="P4522" s="34"/>
      <c r="Q4522" s="34"/>
      <c r="R4522" s="34"/>
      <c r="S4522" s="34"/>
    </row>
    <row r="4523" spans="14:19">
      <c r="N4523" s="34"/>
      <c r="O4523" s="34"/>
      <c r="P4523" s="34"/>
      <c r="Q4523" s="34"/>
      <c r="R4523" s="34"/>
      <c r="S4523" s="34"/>
    </row>
    <row r="4524" spans="14:19">
      <c r="N4524" s="34"/>
      <c r="O4524" s="34"/>
      <c r="P4524" s="34"/>
      <c r="Q4524" s="34"/>
      <c r="R4524" s="34"/>
      <c r="S4524" s="34"/>
    </row>
    <row r="4525" spans="14:19">
      <c r="N4525" s="34"/>
      <c r="O4525" s="34"/>
      <c r="P4525" s="34"/>
      <c r="Q4525" s="34"/>
      <c r="R4525" s="34"/>
      <c r="S4525" s="34"/>
    </row>
    <row r="4526" spans="14:19">
      <c r="N4526" s="34"/>
      <c r="O4526" s="34"/>
      <c r="P4526" s="34"/>
      <c r="Q4526" s="34"/>
      <c r="R4526" s="34"/>
      <c r="S4526" s="34"/>
    </row>
    <row r="4527" spans="14:19">
      <c r="N4527" s="34"/>
      <c r="O4527" s="34"/>
      <c r="P4527" s="34"/>
      <c r="Q4527" s="34"/>
      <c r="R4527" s="34"/>
      <c r="S4527" s="34"/>
    </row>
    <row r="4528" spans="14:19">
      <c r="N4528" s="34"/>
      <c r="O4528" s="34"/>
      <c r="P4528" s="34"/>
      <c r="Q4528" s="34"/>
      <c r="R4528" s="34"/>
      <c r="S4528" s="34"/>
    </row>
    <row r="4529" spans="14:19">
      <c r="N4529" s="34"/>
      <c r="O4529" s="34"/>
      <c r="P4529" s="34"/>
      <c r="Q4529" s="34"/>
      <c r="R4529" s="34"/>
      <c r="S4529" s="34"/>
    </row>
    <row r="4530" spans="14:19">
      <c r="N4530" s="34"/>
      <c r="O4530" s="34"/>
      <c r="P4530" s="34"/>
      <c r="Q4530" s="34"/>
      <c r="R4530" s="34"/>
      <c r="S4530" s="34"/>
    </row>
    <row r="4531" spans="14:19">
      <c r="N4531" s="34"/>
      <c r="O4531" s="34"/>
      <c r="P4531" s="34"/>
      <c r="Q4531" s="34"/>
      <c r="R4531" s="34"/>
      <c r="S4531" s="34"/>
    </row>
    <row r="4532" spans="14:19">
      <c r="N4532" s="34"/>
      <c r="O4532" s="34"/>
      <c r="P4532" s="34"/>
      <c r="Q4532" s="34"/>
      <c r="R4532" s="34"/>
      <c r="S4532" s="34"/>
    </row>
    <row r="4533" spans="14:19">
      <c r="N4533" s="34"/>
      <c r="O4533" s="34"/>
      <c r="P4533" s="34"/>
      <c r="Q4533" s="34"/>
      <c r="R4533" s="34"/>
      <c r="S4533" s="34"/>
    </row>
    <row r="4534" spans="14:19">
      <c r="N4534" s="34"/>
      <c r="O4534" s="34"/>
      <c r="P4534" s="34"/>
      <c r="Q4534" s="34"/>
      <c r="R4534" s="34"/>
      <c r="S4534" s="34"/>
    </row>
    <row r="4535" spans="14:19">
      <c r="N4535" s="34"/>
      <c r="O4535" s="34"/>
      <c r="P4535" s="34"/>
      <c r="Q4535" s="34"/>
      <c r="R4535" s="34"/>
      <c r="S4535" s="34"/>
    </row>
    <row r="4536" spans="14:19">
      <c r="N4536" s="34"/>
      <c r="O4536" s="34"/>
      <c r="P4536" s="34"/>
      <c r="Q4536" s="34"/>
      <c r="R4536" s="34"/>
      <c r="S4536" s="34"/>
    </row>
    <row r="4537" spans="14:19">
      <c r="N4537" s="34"/>
      <c r="O4537" s="34"/>
      <c r="P4537" s="34"/>
      <c r="Q4537" s="34"/>
      <c r="R4537" s="34"/>
      <c r="S4537" s="34"/>
    </row>
    <row r="4538" spans="14:19">
      <c r="N4538" s="34"/>
      <c r="O4538" s="34"/>
      <c r="P4538" s="34"/>
      <c r="Q4538" s="34"/>
      <c r="R4538" s="34"/>
      <c r="S4538" s="34"/>
    </row>
    <row r="4539" spans="14:19">
      <c r="N4539" s="34"/>
      <c r="O4539" s="34"/>
      <c r="P4539" s="34"/>
      <c r="Q4539" s="34"/>
      <c r="R4539" s="34"/>
      <c r="S4539" s="34"/>
    </row>
    <row r="4540" spans="14:19">
      <c r="N4540" s="34"/>
      <c r="O4540" s="34"/>
      <c r="P4540" s="34"/>
      <c r="Q4540" s="34"/>
      <c r="R4540" s="34"/>
      <c r="S4540" s="34"/>
    </row>
    <row r="4541" spans="14:19">
      <c r="N4541" s="34"/>
      <c r="O4541" s="34"/>
      <c r="P4541" s="34"/>
      <c r="Q4541" s="34"/>
      <c r="R4541" s="34"/>
      <c r="S4541" s="34"/>
    </row>
    <row r="4542" spans="14:19">
      <c r="N4542" s="34"/>
      <c r="O4542" s="34"/>
      <c r="P4542" s="34"/>
      <c r="Q4542" s="34"/>
      <c r="R4542" s="34"/>
      <c r="S4542" s="34"/>
    </row>
    <row r="4543" spans="14:19">
      <c r="N4543" s="34"/>
      <c r="O4543" s="34"/>
      <c r="P4543" s="34"/>
      <c r="Q4543" s="34"/>
      <c r="R4543" s="34"/>
      <c r="S4543" s="34"/>
    </row>
    <row r="4544" spans="14:19">
      <c r="N4544" s="34"/>
      <c r="O4544" s="34"/>
      <c r="P4544" s="34"/>
      <c r="Q4544" s="34"/>
      <c r="R4544" s="34"/>
      <c r="S4544" s="34"/>
    </row>
    <row r="4545" spans="14:19">
      <c r="N4545" s="34"/>
      <c r="O4545" s="34"/>
      <c r="P4545" s="34"/>
      <c r="Q4545" s="34"/>
      <c r="R4545" s="34"/>
      <c r="S4545" s="34"/>
    </row>
    <row r="4546" spans="14:19">
      <c r="N4546" s="34"/>
      <c r="O4546" s="34"/>
      <c r="P4546" s="34"/>
      <c r="Q4546" s="34"/>
      <c r="R4546" s="34"/>
      <c r="S4546" s="34"/>
    </row>
    <row r="4547" spans="14:19">
      <c r="N4547" s="34"/>
      <c r="O4547" s="34"/>
      <c r="P4547" s="34"/>
      <c r="Q4547" s="34"/>
      <c r="R4547" s="34"/>
      <c r="S4547" s="34"/>
    </row>
    <row r="4548" spans="14:19">
      <c r="N4548" s="34"/>
      <c r="O4548" s="34"/>
      <c r="P4548" s="34"/>
      <c r="Q4548" s="34"/>
      <c r="R4548" s="34"/>
      <c r="S4548" s="34"/>
    </row>
    <row r="4549" spans="14:19">
      <c r="N4549" s="34"/>
      <c r="O4549" s="34"/>
      <c r="P4549" s="34"/>
      <c r="Q4549" s="34"/>
      <c r="R4549" s="34"/>
      <c r="S4549" s="34"/>
    </row>
    <row r="4550" spans="14:19">
      <c r="N4550" s="34"/>
      <c r="O4550" s="34"/>
      <c r="P4550" s="34"/>
      <c r="Q4550" s="34"/>
      <c r="R4550" s="34"/>
      <c r="S4550" s="34"/>
    </row>
    <row r="4551" spans="14:19">
      <c r="N4551" s="34"/>
      <c r="O4551" s="34"/>
      <c r="P4551" s="34"/>
      <c r="Q4551" s="34"/>
      <c r="R4551" s="34"/>
      <c r="S4551" s="34"/>
    </row>
    <row r="4552" spans="14:19">
      <c r="N4552" s="34"/>
      <c r="O4552" s="34"/>
      <c r="P4552" s="34"/>
      <c r="Q4552" s="34"/>
      <c r="R4552" s="34"/>
      <c r="S4552" s="34"/>
    </row>
    <row r="4553" spans="14:19">
      <c r="N4553" s="34"/>
      <c r="O4553" s="34"/>
      <c r="P4553" s="34"/>
      <c r="Q4553" s="34"/>
      <c r="R4553" s="34"/>
      <c r="S4553" s="34"/>
    </row>
    <row r="4554" spans="14:19">
      <c r="N4554" s="34"/>
      <c r="O4554" s="34"/>
      <c r="P4554" s="34"/>
      <c r="Q4554" s="34"/>
      <c r="R4554" s="34"/>
      <c r="S4554" s="34"/>
    </row>
    <row r="4555" spans="14:19">
      <c r="N4555" s="34"/>
      <c r="O4555" s="34"/>
      <c r="P4555" s="34"/>
      <c r="Q4555" s="34"/>
      <c r="R4555" s="34"/>
      <c r="S4555" s="34"/>
    </row>
    <row r="4556" spans="14:19">
      <c r="N4556" s="34"/>
      <c r="O4556" s="34"/>
      <c r="P4556" s="34"/>
      <c r="Q4556" s="34"/>
      <c r="R4556" s="34"/>
      <c r="S4556" s="34"/>
    </row>
    <row r="4557" spans="14:19">
      <c r="N4557" s="34"/>
      <c r="O4557" s="34"/>
      <c r="P4557" s="34"/>
      <c r="Q4557" s="34"/>
      <c r="R4557" s="34"/>
      <c r="S4557" s="34"/>
    </row>
    <row r="4558" spans="14:19">
      <c r="N4558" s="34"/>
      <c r="O4558" s="34"/>
      <c r="P4558" s="34"/>
      <c r="Q4558" s="34"/>
      <c r="R4558" s="34"/>
      <c r="S4558" s="34"/>
    </row>
    <row r="4559" spans="14:19">
      <c r="N4559" s="34"/>
      <c r="O4559" s="34"/>
      <c r="P4559" s="34"/>
      <c r="Q4559" s="34"/>
      <c r="R4559" s="34"/>
      <c r="S4559" s="34"/>
    </row>
    <row r="4560" spans="14:19">
      <c r="N4560" s="34"/>
      <c r="O4560" s="34"/>
      <c r="P4560" s="34"/>
      <c r="Q4560" s="34"/>
      <c r="R4560" s="34"/>
      <c r="S4560" s="34"/>
    </row>
    <row r="4561" spans="14:19">
      <c r="N4561" s="34"/>
      <c r="O4561" s="34"/>
      <c r="P4561" s="34"/>
      <c r="Q4561" s="34"/>
      <c r="R4561" s="34"/>
      <c r="S4561" s="34"/>
    </row>
    <row r="4562" spans="14:19">
      <c r="N4562" s="34"/>
      <c r="O4562" s="34"/>
      <c r="P4562" s="34"/>
      <c r="Q4562" s="34"/>
      <c r="R4562" s="34"/>
      <c r="S4562" s="34"/>
    </row>
    <row r="4563" spans="14:19">
      <c r="N4563" s="34"/>
      <c r="O4563" s="34"/>
      <c r="P4563" s="34"/>
      <c r="Q4563" s="34"/>
      <c r="R4563" s="34"/>
      <c r="S4563" s="34"/>
    </row>
    <row r="4564" spans="14:19">
      <c r="N4564" s="34"/>
      <c r="O4564" s="34"/>
      <c r="P4564" s="34"/>
      <c r="Q4564" s="34"/>
      <c r="R4564" s="34"/>
      <c r="S4564" s="34"/>
    </row>
    <row r="4565" spans="14:19">
      <c r="N4565" s="34"/>
      <c r="O4565" s="34"/>
      <c r="P4565" s="34"/>
      <c r="Q4565" s="34"/>
      <c r="R4565" s="34"/>
      <c r="S4565" s="34"/>
    </row>
    <row r="4566" spans="14:19">
      <c r="N4566" s="34"/>
      <c r="O4566" s="34"/>
      <c r="P4566" s="34"/>
      <c r="Q4566" s="34"/>
      <c r="R4566" s="34"/>
      <c r="S4566" s="34"/>
    </row>
    <row r="4567" spans="14:19">
      <c r="N4567" s="34"/>
      <c r="O4567" s="34"/>
      <c r="P4567" s="34"/>
      <c r="Q4567" s="34"/>
      <c r="R4567" s="34"/>
      <c r="S4567" s="34"/>
    </row>
    <row r="4568" spans="14:19">
      <c r="N4568" s="34"/>
      <c r="O4568" s="34"/>
      <c r="P4568" s="34"/>
      <c r="Q4568" s="34"/>
      <c r="R4568" s="34"/>
      <c r="S4568" s="34"/>
    </row>
    <row r="4569" spans="14:19">
      <c r="N4569" s="34"/>
      <c r="O4569" s="34"/>
      <c r="P4569" s="34"/>
      <c r="Q4569" s="34"/>
      <c r="R4569" s="34"/>
      <c r="S4569" s="34"/>
    </row>
    <row r="4570" spans="14:19">
      <c r="N4570" s="34"/>
      <c r="O4570" s="34"/>
      <c r="P4570" s="34"/>
      <c r="Q4570" s="34"/>
      <c r="R4570" s="34"/>
      <c r="S4570" s="34"/>
    </row>
    <row r="4571" spans="14:19">
      <c r="N4571" s="34"/>
      <c r="O4571" s="34"/>
      <c r="P4571" s="34"/>
      <c r="Q4571" s="34"/>
      <c r="R4571" s="34"/>
      <c r="S4571" s="34"/>
    </row>
    <row r="4572" spans="14:19">
      <c r="N4572" s="34"/>
      <c r="O4572" s="34"/>
      <c r="P4572" s="34"/>
      <c r="Q4572" s="34"/>
      <c r="R4572" s="34"/>
      <c r="S4572" s="34"/>
    </row>
    <row r="4573" spans="14:19">
      <c r="N4573" s="34"/>
      <c r="O4573" s="34"/>
      <c r="P4573" s="34"/>
      <c r="Q4573" s="34"/>
      <c r="R4573" s="34"/>
      <c r="S4573" s="34"/>
    </row>
    <row r="4574" spans="14:19">
      <c r="N4574" s="34"/>
      <c r="O4574" s="34"/>
      <c r="P4574" s="34"/>
      <c r="Q4574" s="34"/>
      <c r="R4574" s="34"/>
      <c r="S4574" s="34"/>
    </row>
    <row r="4575" spans="14:19">
      <c r="N4575" s="34"/>
      <c r="O4575" s="34"/>
      <c r="P4575" s="34"/>
      <c r="Q4575" s="34"/>
      <c r="R4575" s="34"/>
      <c r="S4575" s="34"/>
    </row>
    <row r="4576" spans="14:19">
      <c r="N4576" s="34"/>
      <c r="O4576" s="34"/>
      <c r="P4576" s="34"/>
      <c r="Q4576" s="34"/>
      <c r="R4576" s="34"/>
      <c r="S4576" s="34"/>
    </row>
    <row r="4577" spans="14:19">
      <c r="N4577" s="34"/>
      <c r="O4577" s="34"/>
      <c r="P4577" s="34"/>
      <c r="Q4577" s="34"/>
      <c r="R4577" s="34"/>
      <c r="S4577" s="34"/>
    </row>
    <row r="4578" spans="14:19">
      <c r="N4578" s="34"/>
      <c r="O4578" s="34"/>
      <c r="P4578" s="34"/>
      <c r="Q4578" s="34"/>
      <c r="R4578" s="34"/>
      <c r="S4578" s="34"/>
    </row>
    <row r="4579" spans="14:19">
      <c r="N4579" s="34"/>
      <c r="O4579" s="34"/>
      <c r="P4579" s="34"/>
      <c r="Q4579" s="34"/>
      <c r="R4579" s="34"/>
      <c r="S4579" s="34"/>
    </row>
    <row r="4580" spans="14:19">
      <c r="N4580" s="34"/>
      <c r="O4580" s="34"/>
      <c r="P4580" s="34"/>
      <c r="Q4580" s="34"/>
      <c r="R4580" s="34"/>
      <c r="S4580" s="34"/>
    </row>
    <row r="4581" spans="14:19">
      <c r="N4581" s="34"/>
      <c r="O4581" s="34"/>
      <c r="P4581" s="34"/>
      <c r="Q4581" s="34"/>
      <c r="R4581" s="34"/>
      <c r="S4581" s="34"/>
    </row>
    <row r="4582" spans="14:19">
      <c r="N4582" s="34"/>
      <c r="O4582" s="34"/>
      <c r="P4582" s="34"/>
      <c r="Q4582" s="34"/>
      <c r="R4582" s="34"/>
      <c r="S4582" s="34"/>
    </row>
    <row r="4583" spans="14:19">
      <c r="N4583" s="34"/>
      <c r="O4583" s="34"/>
      <c r="P4583" s="34"/>
      <c r="Q4583" s="34"/>
      <c r="R4583" s="34"/>
      <c r="S4583" s="34"/>
    </row>
    <row r="4584" spans="14:19">
      <c r="N4584" s="34"/>
      <c r="O4584" s="34"/>
      <c r="P4584" s="34"/>
      <c r="Q4584" s="34"/>
      <c r="R4584" s="34"/>
      <c r="S4584" s="34"/>
    </row>
    <row r="4585" spans="14:19">
      <c r="N4585" s="34"/>
      <c r="O4585" s="34"/>
      <c r="P4585" s="34"/>
      <c r="Q4585" s="34"/>
      <c r="R4585" s="34"/>
      <c r="S4585" s="34"/>
    </row>
    <row r="4586" spans="14:19">
      <c r="N4586" s="34"/>
      <c r="O4586" s="34"/>
      <c r="P4586" s="34"/>
      <c r="Q4586" s="34"/>
      <c r="R4586" s="34"/>
      <c r="S4586" s="34"/>
    </row>
    <row r="4587" spans="14:19">
      <c r="N4587" s="34"/>
      <c r="O4587" s="34"/>
      <c r="P4587" s="34"/>
      <c r="Q4587" s="34"/>
      <c r="R4587" s="34"/>
      <c r="S4587" s="34"/>
    </row>
    <row r="4588" spans="14:19">
      <c r="N4588" s="34"/>
      <c r="O4588" s="34"/>
      <c r="P4588" s="34"/>
      <c r="Q4588" s="34"/>
      <c r="R4588" s="34"/>
      <c r="S4588" s="34"/>
    </row>
    <row r="4589" spans="14:19">
      <c r="N4589" s="34"/>
      <c r="O4589" s="34"/>
      <c r="P4589" s="34"/>
      <c r="Q4589" s="34"/>
      <c r="R4589" s="34"/>
      <c r="S4589" s="34"/>
    </row>
    <row r="4590" spans="14:19">
      <c r="N4590" s="34"/>
      <c r="O4590" s="34"/>
      <c r="P4590" s="34"/>
      <c r="Q4590" s="34"/>
      <c r="R4590" s="34"/>
      <c r="S4590" s="34"/>
    </row>
    <row r="4591" spans="14:19">
      <c r="N4591" s="34"/>
      <c r="O4591" s="34"/>
      <c r="P4591" s="34"/>
      <c r="Q4591" s="34"/>
      <c r="R4591" s="34"/>
      <c r="S4591" s="34"/>
    </row>
    <row r="4592" spans="14:19">
      <c r="N4592" s="34"/>
      <c r="O4592" s="34"/>
      <c r="P4592" s="34"/>
      <c r="Q4592" s="34"/>
      <c r="R4592" s="34"/>
      <c r="S4592" s="34"/>
    </row>
    <row r="4593" spans="14:19">
      <c r="N4593" s="34"/>
      <c r="O4593" s="34"/>
      <c r="P4593" s="34"/>
      <c r="Q4593" s="34"/>
      <c r="R4593" s="34"/>
      <c r="S4593" s="34"/>
    </row>
    <row r="4594" spans="14:19">
      <c r="N4594" s="34"/>
      <c r="O4594" s="34"/>
      <c r="P4594" s="34"/>
      <c r="Q4594" s="34"/>
      <c r="R4594" s="34"/>
      <c r="S4594" s="34"/>
    </row>
    <row r="4595" spans="14:19">
      <c r="N4595" s="34"/>
      <c r="O4595" s="34"/>
      <c r="P4595" s="34"/>
      <c r="Q4595" s="34"/>
      <c r="R4595" s="34"/>
      <c r="S4595" s="34"/>
    </row>
    <row r="4596" spans="14:19">
      <c r="N4596" s="34"/>
      <c r="O4596" s="34"/>
      <c r="P4596" s="34"/>
      <c r="Q4596" s="34"/>
      <c r="R4596" s="34"/>
      <c r="S4596" s="34"/>
    </row>
    <row r="4597" spans="14:19">
      <c r="N4597" s="34"/>
      <c r="O4597" s="34"/>
      <c r="P4597" s="34"/>
      <c r="Q4597" s="34"/>
      <c r="R4597" s="34"/>
      <c r="S4597" s="34"/>
    </row>
    <row r="4598" spans="14:19">
      <c r="N4598" s="34"/>
      <c r="O4598" s="34"/>
      <c r="P4598" s="34"/>
      <c r="Q4598" s="34"/>
      <c r="R4598" s="34"/>
      <c r="S4598" s="34"/>
    </row>
    <row r="4599" spans="14:19">
      <c r="N4599" s="34"/>
      <c r="O4599" s="34"/>
      <c r="P4599" s="34"/>
      <c r="Q4599" s="34"/>
      <c r="R4599" s="34"/>
      <c r="S4599" s="34"/>
    </row>
    <row r="4600" spans="14:19">
      <c r="N4600" s="34"/>
      <c r="O4600" s="34"/>
      <c r="P4600" s="34"/>
      <c r="Q4600" s="34"/>
      <c r="R4600" s="34"/>
      <c r="S4600" s="34"/>
    </row>
    <row r="4601" spans="14:19">
      <c r="N4601" s="34"/>
      <c r="O4601" s="34"/>
      <c r="P4601" s="34"/>
      <c r="Q4601" s="34"/>
      <c r="R4601" s="34"/>
      <c r="S4601" s="34"/>
    </row>
    <row r="4602" spans="14:19">
      <c r="N4602" s="34"/>
      <c r="O4602" s="34"/>
      <c r="P4602" s="34"/>
      <c r="Q4602" s="34"/>
      <c r="R4602" s="34"/>
      <c r="S4602" s="34"/>
    </row>
    <row r="4603" spans="14:19">
      <c r="N4603" s="34"/>
      <c r="O4603" s="34"/>
      <c r="P4603" s="34"/>
      <c r="Q4603" s="34"/>
      <c r="R4603" s="34"/>
      <c r="S4603" s="34"/>
    </row>
    <row r="4604" spans="14:19">
      <c r="N4604" s="34"/>
      <c r="O4604" s="34"/>
      <c r="P4604" s="34"/>
      <c r="Q4604" s="34"/>
      <c r="R4604" s="34"/>
      <c r="S4604" s="34"/>
    </row>
    <row r="4605" spans="14:19">
      <c r="N4605" s="34"/>
      <c r="O4605" s="34"/>
      <c r="P4605" s="34"/>
      <c r="Q4605" s="34"/>
      <c r="R4605" s="34"/>
      <c r="S4605" s="34"/>
    </row>
    <row r="4606" spans="14:19">
      <c r="N4606" s="34"/>
      <c r="O4606" s="34"/>
      <c r="P4606" s="34"/>
      <c r="Q4606" s="34"/>
      <c r="R4606" s="34"/>
      <c r="S4606" s="34"/>
    </row>
    <row r="4607" spans="14:19">
      <c r="N4607" s="34"/>
      <c r="O4607" s="34"/>
      <c r="P4607" s="34"/>
      <c r="Q4607" s="34"/>
      <c r="R4607" s="34"/>
      <c r="S4607" s="34"/>
    </row>
    <row r="4608" spans="14:19">
      <c r="N4608" s="34"/>
      <c r="O4608" s="34"/>
      <c r="P4608" s="34"/>
      <c r="Q4608" s="34"/>
      <c r="R4608" s="34"/>
      <c r="S4608" s="34"/>
    </row>
    <row r="4609" spans="14:19">
      <c r="N4609" s="34"/>
      <c r="O4609" s="34"/>
      <c r="P4609" s="34"/>
      <c r="Q4609" s="34"/>
      <c r="R4609" s="34"/>
      <c r="S4609" s="34"/>
    </row>
    <row r="4610" spans="14:19">
      <c r="N4610" s="34"/>
      <c r="O4610" s="34"/>
      <c r="P4610" s="34"/>
      <c r="Q4610" s="34"/>
      <c r="R4610" s="34"/>
      <c r="S4610" s="34"/>
    </row>
    <row r="4611" spans="14:19">
      <c r="N4611" s="34"/>
      <c r="O4611" s="34"/>
      <c r="P4611" s="34"/>
      <c r="Q4611" s="34"/>
      <c r="R4611" s="34"/>
      <c r="S4611" s="34"/>
    </row>
    <row r="4612" spans="14:19">
      <c r="N4612" s="34"/>
      <c r="O4612" s="34"/>
      <c r="P4612" s="34"/>
      <c r="Q4612" s="34"/>
      <c r="R4612" s="34"/>
      <c r="S4612" s="34"/>
    </row>
    <row r="4613" spans="14:19">
      <c r="N4613" s="34"/>
      <c r="O4613" s="34"/>
      <c r="P4613" s="34"/>
      <c r="Q4613" s="34"/>
      <c r="R4613" s="34"/>
      <c r="S4613" s="34"/>
    </row>
    <row r="4614" spans="14:19">
      <c r="N4614" s="34"/>
      <c r="O4614" s="34"/>
      <c r="P4614" s="34"/>
      <c r="Q4614" s="34"/>
      <c r="R4614" s="34"/>
      <c r="S4614" s="34"/>
    </row>
    <row r="4615" spans="14:19">
      <c r="N4615" s="34"/>
      <c r="O4615" s="34"/>
      <c r="P4615" s="34"/>
      <c r="Q4615" s="34"/>
      <c r="R4615" s="34"/>
      <c r="S4615" s="34"/>
    </row>
    <row r="4616" spans="14:19">
      <c r="N4616" s="34"/>
      <c r="O4616" s="34"/>
      <c r="P4616" s="34"/>
      <c r="Q4616" s="34"/>
      <c r="R4616" s="34"/>
      <c r="S4616" s="34"/>
    </row>
    <row r="4617" spans="14:19">
      <c r="N4617" s="34"/>
      <c r="O4617" s="34"/>
      <c r="P4617" s="34"/>
      <c r="Q4617" s="34"/>
      <c r="R4617" s="34"/>
      <c r="S4617" s="34"/>
    </row>
    <row r="4618" spans="14:19">
      <c r="N4618" s="34"/>
      <c r="O4618" s="34"/>
      <c r="P4618" s="34"/>
      <c r="Q4618" s="34"/>
      <c r="R4618" s="34"/>
      <c r="S4618" s="34"/>
    </row>
    <row r="4619" spans="14:19">
      <c r="N4619" s="34"/>
      <c r="O4619" s="34"/>
      <c r="P4619" s="34"/>
      <c r="Q4619" s="34"/>
      <c r="R4619" s="34"/>
      <c r="S4619" s="34"/>
    </row>
    <row r="4620" spans="14:19">
      <c r="N4620" s="34"/>
      <c r="O4620" s="34"/>
      <c r="P4620" s="34"/>
      <c r="Q4620" s="34"/>
      <c r="R4620" s="34"/>
      <c r="S4620" s="34"/>
    </row>
    <row r="4621" spans="14:19">
      <c r="N4621" s="34"/>
      <c r="O4621" s="34"/>
      <c r="P4621" s="34"/>
      <c r="Q4621" s="34"/>
      <c r="R4621" s="34"/>
      <c r="S4621" s="34"/>
    </row>
    <row r="4622" spans="14:19">
      <c r="N4622" s="34"/>
      <c r="O4622" s="34"/>
      <c r="P4622" s="34"/>
      <c r="Q4622" s="34"/>
      <c r="R4622" s="34"/>
      <c r="S4622" s="34"/>
    </row>
    <row r="4623" spans="14:19">
      <c r="N4623" s="34"/>
      <c r="O4623" s="34"/>
      <c r="P4623" s="34"/>
      <c r="Q4623" s="34"/>
      <c r="R4623" s="34"/>
      <c r="S4623" s="34"/>
    </row>
    <row r="4624" spans="14:19">
      <c r="N4624" s="34"/>
      <c r="O4624" s="34"/>
      <c r="P4624" s="34"/>
      <c r="Q4624" s="34"/>
      <c r="R4624" s="34"/>
      <c r="S4624" s="34"/>
    </row>
    <row r="4625" spans="14:19">
      <c r="N4625" s="34"/>
      <c r="O4625" s="34"/>
      <c r="P4625" s="34"/>
      <c r="Q4625" s="34"/>
      <c r="R4625" s="34"/>
      <c r="S4625" s="34"/>
    </row>
    <row r="4626" spans="14:19">
      <c r="N4626" s="34"/>
      <c r="O4626" s="34"/>
      <c r="P4626" s="34"/>
      <c r="Q4626" s="34"/>
      <c r="R4626" s="34"/>
      <c r="S4626" s="34"/>
    </row>
    <row r="4627" spans="14:19">
      <c r="N4627" s="34"/>
      <c r="O4627" s="34"/>
      <c r="P4627" s="34"/>
      <c r="Q4627" s="34"/>
      <c r="R4627" s="34"/>
      <c r="S4627" s="34"/>
    </row>
    <row r="4628" spans="14:19">
      <c r="N4628" s="34"/>
      <c r="O4628" s="34"/>
      <c r="P4628" s="34"/>
      <c r="Q4628" s="34"/>
      <c r="R4628" s="34"/>
      <c r="S4628" s="34"/>
    </row>
    <row r="4629" spans="14:19">
      <c r="N4629" s="34"/>
      <c r="O4629" s="34"/>
      <c r="P4629" s="34"/>
      <c r="Q4629" s="34"/>
      <c r="R4629" s="34"/>
      <c r="S4629" s="34"/>
    </row>
    <row r="4630" spans="14:19">
      <c r="N4630" s="34"/>
      <c r="O4630" s="34"/>
      <c r="P4630" s="34"/>
      <c r="Q4630" s="34"/>
      <c r="R4630" s="34"/>
      <c r="S4630" s="34"/>
    </row>
    <row r="4631" spans="14:19">
      <c r="N4631" s="34"/>
      <c r="O4631" s="34"/>
      <c r="P4631" s="34"/>
      <c r="Q4631" s="34"/>
      <c r="R4631" s="34"/>
      <c r="S4631" s="34"/>
    </row>
    <row r="4632" spans="14:19">
      <c r="N4632" s="34"/>
      <c r="O4632" s="34"/>
      <c r="P4632" s="34"/>
      <c r="Q4632" s="34"/>
      <c r="R4632" s="34"/>
      <c r="S4632" s="34"/>
    </row>
    <row r="4633" spans="14:19">
      <c r="N4633" s="34"/>
      <c r="O4633" s="34"/>
      <c r="P4633" s="34"/>
      <c r="Q4633" s="34"/>
      <c r="R4633" s="34"/>
      <c r="S4633" s="34"/>
    </row>
    <row r="4634" spans="14:19">
      <c r="N4634" s="34"/>
      <c r="O4634" s="34"/>
      <c r="P4634" s="34"/>
      <c r="Q4634" s="34"/>
      <c r="R4634" s="34"/>
      <c r="S4634" s="34"/>
    </row>
    <row r="4635" spans="14:19">
      <c r="N4635" s="34"/>
      <c r="O4635" s="34"/>
      <c r="P4635" s="34"/>
      <c r="Q4635" s="34"/>
      <c r="R4635" s="34"/>
      <c r="S4635" s="34"/>
    </row>
    <row r="4636" spans="14:19">
      <c r="N4636" s="34"/>
      <c r="O4636" s="34"/>
      <c r="P4636" s="34"/>
      <c r="Q4636" s="34"/>
      <c r="R4636" s="34"/>
      <c r="S4636" s="34"/>
    </row>
    <row r="4637" spans="14:19">
      <c r="N4637" s="34"/>
      <c r="O4637" s="34"/>
      <c r="P4637" s="34"/>
      <c r="Q4637" s="34"/>
      <c r="R4637" s="34"/>
      <c r="S4637" s="34"/>
    </row>
    <row r="4638" spans="14:19">
      <c r="N4638" s="34"/>
      <c r="O4638" s="34"/>
      <c r="P4638" s="34"/>
      <c r="Q4638" s="34"/>
      <c r="R4638" s="34"/>
      <c r="S4638" s="34"/>
    </row>
    <row r="4639" spans="14:19">
      <c r="N4639" s="34"/>
      <c r="O4639" s="34"/>
      <c r="P4639" s="34"/>
      <c r="Q4639" s="34"/>
      <c r="R4639" s="34"/>
      <c r="S4639" s="34"/>
    </row>
    <row r="4640" spans="14:19">
      <c r="N4640" s="34"/>
      <c r="O4640" s="34"/>
      <c r="P4640" s="34"/>
      <c r="Q4640" s="34"/>
      <c r="R4640" s="34"/>
      <c r="S4640" s="34"/>
    </row>
    <row r="4641" spans="14:19">
      <c r="N4641" s="34"/>
      <c r="O4641" s="34"/>
      <c r="P4641" s="34"/>
      <c r="Q4641" s="34"/>
      <c r="R4641" s="34"/>
      <c r="S4641" s="34"/>
    </row>
    <row r="4642" spans="14:19">
      <c r="N4642" s="34"/>
      <c r="O4642" s="34"/>
      <c r="P4642" s="34"/>
      <c r="Q4642" s="34"/>
      <c r="R4642" s="34"/>
      <c r="S4642" s="34"/>
    </row>
    <row r="4643" spans="14:19">
      <c r="N4643" s="34"/>
      <c r="O4643" s="34"/>
      <c r="P4643" s="34"/>
      <c r="Q4643" s="34"/>
      <c r="R4643" s="34"/>
      <c r="S4643" s="34"/>
    </row>
    <row r="4644" spans="14:19">
      <c r="N4644" s="34"/>
      <c r="O4644" s="34"/>
      <c r="P4644" s="34"/>
      <c r="Q4644" s="34"/>
      <c r="R4644" s="34"/>
      <c r="S4644" s="34"/>
    </row>
    <row r="4645" spans="14:19">
      <c r="N4645" s="34"/>
      <c r="O4645" s="34"/>
      <c r="P4645" s="34"/>
      <c r="Q4645" s="34"/>
      <c r="R4645" s="34"/>
      <c r="S4645" s="34"/>
    </row>
    <row r="4646" spans="14:19">
      <c r="N4646" s="34"/>
      <c r="O4646" s="34"/>
      <c r="P4646" s="34"/>
      <c r="Q4646" s="34"/>
      <c r="R4646" s="34"/>
      <c r="S4646" s="34"/>
    </row>
    <row r="4647" spans="14:19">
      <c r="N4647" s="34"/>
      <c r="O4647" s="34"/>
      <c r="P4647" s="34"/>
      <c r="Q4647" s="34"/>
      <c r="R4647" s="34"/>
      <c r="S4647" s="34"/>
    </row>
    <row r="4648" spans="14:19">
      <c r="N4648" s="34"/>
      <c r="O4648" s="34"/>
      <c r="P4648" s="34"/>
      <c r="Q4648" s="34"/>
      <c r="R4648" s="34"/>
      <c r="S4648" s="34"/>
    </row>
    <row r="4649" spans="14:19">
      <c r="N4649" s="34"/>
      <c r="O4649" s="34"/>
      <c r="P4649" s="34"/>
      <c r="Q4649" s="34"/>
      <c r="R4649" s="34"/>
      <c r="S4649" s="34"/>
    </row>
    <row r="4650" spans="14:19">
      <c r="N4650" s="34"/>
      <c r="O4650" s="34"/>
      <c r="P4650" s="34"/>
      <c r="Q4650" s="34"/>
      <c r="R4650" s="34"/>
      <c r="S4650" s="34"/>
    </row>
    <row r="4651" spans="14:19">
      <c r="N4651" s="34"/>
      <c r="O4651" s="34"/>
      <c r="P4651" s="34"/>
      <c r="Q4651" s="34"/>
      <c r="R4651" s="34"/>
      <c r="S4651" s="34"/>
    </row>
    <row r="4652" spans="14:19">
      <c r="N4652" s="34"/>
      <c r="O4652" s="34"/>
      <c r="P4652" s="34"/>
      <c r="Q4652" s="34"/>
      <c r="R4652" s="34"/>
      <c r="S4652" s="34"/>
    </row>
    <row r="4653" spans="14:19">
      <c r="N4653" s="34"/>
      <c r="O4653" s="34"/>
      <c r="P4653" s="34"/>
      <c r="Q4653" s="34"/>
      <c r="R4653" s="34"/>
      <c r="S4653" s="34"/>
    </row>
    <row r="4654" spans="14:19">
      <c r="N4654" s="34"/>
      <c r="O4654" s="34"/>
      <c r="P4654" s="34"/>
      <c r="Q4654" s="34"/>
      <c r="R4654" s="34"/>
      <c r="S4654" s="34"/>
    </row>
    <row r="4655" spans="14:19">
      <c r="N4655" s="34"/>
      <c r="O4655" s="34"/>
      <c r="P4655" s="34"/>
      <c r="Q4655" s="34"/>
      <c r="R4655" s="34"/>
      <c r="S4655" s="34"/>
    </row>
    <row r="4656" spans="14:19">
      <c r="N4656" s="34"/>
      <c r="O4656" s="34"/>
      <c r="P4656" s="34"/>
      <c r="Q4656" s="34"/>
      <c r="R4656" s="34"/>
      <c r="S4656" s="34"/>
    </row>
    <row r="4657" spans="14:19">
      <c r="N4657" s="34"/>
      <c r="O4657" s="34"/>
      <c r="P4657" s="34"/>
      <c r="Q4657" s="34"/>
      <c r="R4657" s="34"/>
      <c r="S4657" s="34"/>
    </row>
    <row r="4658" spans="14:19">
      <c r="N4658" s="34"/>
      <c r="O4658" s="34"/>
      <c r="P4658" s="34"/>
      <c r="Q4658" s="34"/>
      <c r="R4658" s="34"/>
      <c r="S4658" s="34"/>
    </row>
    <row r="4659" spans="14:19">
      <c r="N4659" s="34"/>
      <c r="O4659" s="34"/>
      <c r="P4659" s="34"/>
      <c r="Q4659" s="34"/>
      <c r="R4659" s="34"/>
      <c r="S4659" s="34"/>
    </row>
    <row r="4660" spans="14:19">
      <c r="N4660" s="34"/>
      <c r="O4660" s="34"/>
      <c r="P4660" s="34"/>
      <c r="Q4660" s="34"/>
      <c r="R4660" s="34"/>
      <c r="S4660" s="34"/>
    </row>
    <row r="4661" spans="14:19">
      <c r="N4661" s="34"/>
      <c r="O4661" s="34"/>
      <c r="P4661" s="34"/>
      <c r="Q4661" s="34"/>
      <c r="R4661" s="34"/>
      <c r="S4661" s="34"/>
    </row>
    <row r="4662" spans="14:19">
      <c r="N4662" s="34"/>
      <c r="O4662" s="34"/>
      <c r="P4662" s="34"/>
      <c r="Q4662" s="34"/>
      <c r="R4662" s="34"/>
      <c r="S4662" s="34"/>
    </row>
    <row r="4663" spans="14:19">
      <c r="N4663" s="34"/>
      <c r="O4663" s="34"/>
      <c r="P4663" s="34"/>
      <c r="Q4663" s="34"/>
      <c r="R4663" s="34"/>
      <c r="S4663" s="34"/>
    </row>
    <row r="4664" spans="14:19">
      <c r="N4664" s="34"/>
      <c r="O4664" s="34"/>
      <c r="P4664" s="34"/>
      <c r="Q4664" s="34"/>
      <c r="R4664" s="34"/>
      <c r="S4664" s="34"/>
    </row>
    <row r="4665" spans="14:19">
      <c r="N4665" s="34"/>
      <c r="O4665" s="34"/>
      <c r="P4665" s="34"/>
      <c r="Q4665" s="34"/>
      <c r="R4665" s="34"/>
      <c r="S4665" s="34"/>
    </row>
    <row r="4666" spans="14:19">
      <c r="N4666" s="34"/>
      <c r="O4666" s="34"/>
      <c r="P4666" s="34"/>
      <c r="Q4666" s="34"/>
      <c r="R4666" s="34"/>
      <c r="S4666" s="34"/>
    </row>
    <row r="4667" spans="14:19">
      <c r="N4667" s="34"/>
      <c r="O4667" s="34"/>
      <c r="P4667" s="34"/>
      <c r="Q4667" s="34"/>
      <c r="R4667" s="34"/>
      <c r="S4667" s="34"/>
    </row>
    <row r="4668" spans="14:19">
      <c r="N4668" s="34"/>
      <c r="O4668" s="34"/>
      <c r="P4668" s="34"/>
      <c r="Q4668" s="34"/>
      <c r="R4668" s="34"/>
      <c r="S4668" s="34"/>
    </row>
    <row r="4669" spans="14:19">
      <c r="N4669" s="34"/>
      <c r="O4669" s="34"/>
      <c r="P4669" s="34"/>
      <c r="Q4669" s="34"/>
      <c r="R4669" s="34"/>
      <c r="S4669" s="34"/>
    </row>
    <row r="4670" spans="14:19">
      <c r="N4670" s="34"/>
      <c r="O4670" s="34"/>
      <c r="P4670" s="34"/>
      <c r="Q4670" s="34"/>
      <c r="R4670" s="34"/>
      <c r="S4670" s="34"/>
    </row>
    <row r="4671" spans="14:19">
      <c r="N4671" s="34"/>
      <c r="O4671" s="34"/>
      <c r="P4671" s="34"/>
      <c r="Q4671" s="34"/>
      <c r="R4671" s="34"/>
      <c r="S4671" s="34"/>
    </row>
    <row r="4672" spans="14:19">
      <c r="N4672" s="34"/>
      <c r="O4672" s="34"/>
      <c r="P4672" s="34"/>
      <c r="Q4672" s="34"/>
      <c r="R4672" s="34"/>
      <c r="S4672" s="34"/>
    </row>
    <row r="4673" spans="14:19">
      <c r="N4673" s="34"/>
      <c r="O4673" s="34"/>
      <c r="P4673" s="34"/>
      <c r="Q4673" s="34"/>
      <c r="R4673" s="34"/>
      <c r="S4673" s="34"/>
    </row>
    <row r="4674" spans="14:19">
      <c r="N4674" s="34"/>
      <c r="O4674" s="34"/>
      <c r="P4674" s="34"/>
      <c r="Q4674" s="34"/>
      <c r="R4674" s="34"/>
      <c r="S4674" s="34"/>
    </row>
    <row r="4675" spans="14:19">
      <c r="N4675" s="34"/>
      <c r="O4675" s="34"/>
      <c r="P4675" s="34"/>
      <c r="Q4675" s="34"/>
      <c r="R4675" s="34"/>
      <c r="S4675" s="34"/>
    </row>
    <row r="4676" spans="14:19">
      <c r="N4676" s="34"/>
      <c r="O4676" s="34"/>
      <c r="P4676" s="34"/>
      <c r="Q4676" s="34"/>
      <c r="R4676" s="34"/>
      <c r="S4676" s="34"/>
    </row>
    <row r="4677" spans="14:19">
      <c r="N4677" s="34"/>
      <c r="O4677" s="34"/>
      <c r="P4677" s="34"/>
      <c r="Q4677" s="34"/>
      <c r="R4677" s="34"/>
      <c r="S4677" s="34"/>
    </row>
    <row r="4678" spans="14:19">
      <c r="N4678" s="34"/>
      <c r="O4678" s="34"/>
      <c r="P4678" s="34"/>
      <c r="Q4678" s="34"/>
      <c r="R4678" s="34"/>
      <c r="S4678" s="34"/>
    </row>
    <row r="4679" spans="14:19">
      <c r="N4679" s="34"/>
      <c r="O4679" s="34"/>
      <c r="P4679" s="34"/>
      <c r="Q4679" s="34"/>
      <c r="R4679" s="34"/>
      <c r="S4679" s="34"/>
    </row>
    <row r="4680" spans="14:19">
      <c r="N4680" s="34"/>
      <c r="O4680" s="34"/>
      <c r="P4680" s="34"/>
      <c r="Q4680" s="34"/>
      <c r="R4680" s="34"/>
      <c r="S4680" s="34"/>
    </row>
    <row r="4681" spans="14:19">
      <c r="N4681" s="34"/>
      <c r="O4681" s="34"/>
      <c r="P4681" s="34"/>
      <c r="Q4681" s="34"/>
      <c r="R4681" s="34"/>
      <c r="S4681" s="34"/>
    </row>
    <row r="4682" spans="14:19">
      <c r="N4682" s="34"/>
      <c r="O4682" s="34"/>
      <c r="P4682" s="34"/>
      <c r="Q4682" s="34"/>
      <c r="R4682" s="34"/>
      <c r="S4682" s="34"/>
    </row>
    <row r="4683" spans="14:19">
      <c r="N4683" s="34"/>
      <c r="O4683" s="34"/>
      <c r="P4683" s="34"/>
      <c r="Q4683" s="34"/>
      <c r="R4683" s="34"/>
      <c r="S4683" s="34"/>
    </row>
    <row r="4684" spans="14:19">
      <c r="N4684" s="34"/>
      <c r="O4684" s="34"/>
      <c r="P4684" s="34"/>
      <c r="Q4684" s="34"/>
      <c r="R4684" s="34"/>
      <c r="S4684" s="34"/>
    </row>
    <row r="4685" spans="14:19">
      <c r="N4685" s="34"/>
      <c r="O4685" s="34"/>
      <c r="P4685" s="34"/>
      <c r="Q4685" s="34"/>
      <c r="R4685" s="34"/>
      <c r="S4685" s="34"/>
    </row>
    <row r="4686" spans="14:19">
      <c r="N4686" s="34"/>
      <c r="O4686" s="34"/>
      <c r="P4686" s="34"/>
      <c r="Q4686" s="34"/>
      <c r="R4686" s="34"/>
      <c r="S4686" s="34"/>
    </row>
    <row r="4687" spans="14:19">
      <c r="N4687" s="34"/>
      <c r="O4687" s="34"/>
      <c r="P4687" s="34"/>
      <c r="Q4687" s="34"/>
      <c r="R4687" s="34"/>
      <c r="S4687" s="34"/>
    </row>
    <row r="4688" spans="14:19">
      <c r="N4688" s="34"/>
      <c r="O4688" s="34"/>
      <c r="P4688" s="34"/>
      <c r="Q4688" s="34"/>
      <c r="R4688" s="34"/>
      <c r="S4688" s="34"/>
    </row>
    <row r="4689" spans="14:19">
      <c r="N4689" s="34"/>
      <c r="O4689" s="34"/>
      <c r="P4689" s="34"/>
      <c r="Q4689" s="34"/>
      <c r="R4689" s="34"/>
      <c r="S4689" s="34"/>
    </row>
    <row r="4690" spans="14:19">
      <c r="N4690" s="34"/>
      <c r="O4690" s="34"/>
      <c r="P4690" s="34"/>
      <c r="Q4690" s="34"/>
      <c r="R4690" s="34"/>
      <c r="S4690" s="34"/>
    </row>
    <row r="4691" spans="14:19">
      <c r="N4691" s="34"/>
      <c r="O4691" s="34"/>
      <c r="P4691" s="34"/>
      <c r="Q4691" s="34"/>
      <c r="R4691" s="34"/>
      <c r="S4691" s="34"/>
    </row>
    <row r="4692" spans="14:19">
      <c r="N4692" s="34"/>
      <c r="O4692" s="34"/>
      <c r="P4692" s="34"/>
      <c r="Q4692" s="34"/>
      <c r="R4692" s="34"/>
      <c r="S4692" s="34"/>
    </row>
    <row r="4693" spans="14:19">
      <c r="N4693" s="34"/>
      <c r="O4693" s="34"/>
      <c r="P4693" s="34"/>
      <c r="Q4693" s="34"/>
      <c r="R4693" s="34"/>
      <c r="S4693" s="34"/>
    </row>
    <row r="4694" spans="14:19">
      <c r="N4694" s="34"/>
      <c r="O4694" s="34"/>
      <c r="P4694" s="34"/>
      <c r="Q4694" s="34"/>
      <c r="R4694" s="34"/>
      <c r="S4694" s="34"/>
    </row>
    <row r="4695" spans="14:19">
      <c r="N4695" s="34"/>
      <c r="O4695" s="34"/>
      <c r="P4695" s="34"/>
      <c r="Q4695" s="34"/>
      <c r="R4695" s="34"/>
      <c r="S4695" s="34"/>
    </row>
    <row r="4696" spans="14:19">
      <c r="N4696" s="34"/>
      <c r="O4696" s="34"/>
      <c r="P4696" s="34"/>
      <c r="Q4696" s="34"/>
      <c r="R4696" s="34"/>
      <c r="S4696" s="34"/>
    </row>
    <row r="4697" spans="14:19">
      <c r="N4697" s="34"/>
      <c r="O4697" s="34"/>
      <c r="P4697" s="34"/>
      <c r="Q4697" s="34"/>
      <c r="R4697" s="34"/>
      <c r="S4697" s="34"/>
    </row>
    <row r="4698" spans="14:19">
      <c r="N4698" s="34"/>
      <c r="O4698" s="34"/>
      <c r="P4698" s="34"/>
      <c r="Q4698" s="34"/>
      <c r="R4698" s="34"/>
      <c r="S4698" s="34"/>
    </row>
    <row r="4699" spans="14:19">
      <c r="N4699" s="34"/>
      <c r="O4699" s="34"/>
      <c r="P4699" s="34"/>
      <c r="Q4699" s="34"/>
      <c r="R4699" s="34"/>
      <c r="S4699" s="34"/>
    </row>
    <row r="4700" spans="14:19">
      <c r="N4700" s="34"/>
      <c r="O4700" s="34"/>
      <c r="P4700" s="34"/>
      <c r="Q4700" s="34"/>
      <c r="R4700" s="34"/>
      <c r="S4700" s="34"/>
    </row>
    <row r="4701" spans="14:19">
      <c r="N4701" s="34"/>
      <c r="O4701" s="34"/>
      <c r="P4701" s="34"/>
      <c r="Q4701" s="34"/>
      <c r="R4701" s="34"/>
      <c r="S4701" s="34"/>
    </row>
    <row r="4702" spans="14:19">
      <c r="N4702" s="34"/>
      <c r="O4702" s="34"/>
      <c r="P4702" s="34"/>
      <c r="Q4702" s="34"/>
      <c r="R4702" s="34"/>
      <c r="S4702" s="34"/>
    </row>
    <row r="4703" spans="14:19">
      <c r="N4703" s="34"/>
      <c r="O4703" s="34"/>
      <c r="P4703" s="34"/>
      <c r="Q4703" s="34"/>
      <c r="R4703" s="34"/>
      <c r="S4703" s="34"/>
    </row>
    <row r="4704" spans="14:19">
      <c r="N4704" s="34"/>
      <c r="O4704" s="34"/>
      <c r="P4704" s="34"/>
      <c r="Q4704" s="34"/>
      <c r="R4704" s="34"/>
      <c r="S4704" s="34"/>
    </row>
    <row r="4705" spans="14:19">
      <c r="N4705" s="34"/>
      <c r="O4705" s="34"/>
      <c r="P4705" s="34"/>
      <c r="Q4705" s="34"/>
      <c r="R4705" s="34"/>
      <c r="S4705" s="34"/>
    </row>
    <row r="4706" spans="14:19">
      <c r="N4706" s="34"/>
      <c r="O4706" s="34"/>
      <c r="P4706" s="34"/>
      <c r="Q4706" s="34"/>
      <c r="R4706" s="34"/>
      <c r="S4706" s="34"/>
    </row>
    <row r="4707" spans="14:19">
      <c r="N4707" s="34"/>
      <c r="O4707" s="34"/>
      <c r="P4707" s="34"/>
      <c r="Q4707" s="34"/>
      <c r="R4707" s="34"/>
      <c r="S4707" s="34"/>
    </row>
    <row r="4708" spans="14:19">
      <c r="N4708" s="34"/>
      <c r="O4708" s="34"/>
      <c r="P4708" s="34"/>
      <c r="Q4708" s="34"/>
      <c r="R4708" s="34"/>
      <c r="S4708" s="34"/>
    </row>
    <row r="4709" spans="14:19">
      <c r="N4709" s="34"/>
      <c r="O4709" s="34"/>
      <c r="P4709" s="34"/>
      <c r="Q4709" s="34"/>
      <c r="R4709" s="34"/>
      <c r="S4709" s="34"/>
    </row>
    <row r="4710" spans="14:19">
      <c r="N4710" s="34"/>
      <c r="O4710" s="34"/>
      <c r="P4710" s="34"/>
      <c r="Q4710" s="34"/>
      <c r="R4710" s="34"/>
      <c r="S4710" s="34"/>
    </row>
    <row r="4711" spans="14:19">
      <c r="N4711" s="34"/>
      <c r="O4711" s="34"/>
      <c r="P4711" s="34"/>
      <c r="Q4711" s="34"/>
      <c r="R4711" s="34"/>
      <c r="S4711" s="34"/>
    </row>
    <row r="4712" spans="14:19">
      <c r="N4712" s="34"/>
      <c r="O4712" s="34"/>
      <c r="P4712" s="34"/>
      <c r="Q4712" s="34"/>
      <c r="R4712" s="34"/>
      <c r="S4712" s="34"/>
    </row>
    <row r="4713" spans="14:19">
      <c r="N4713" s="34"/>
      <c r="O4713" s="34"/>
      <c r="P4713" s="34"/>
      <c r="Q4713" s="34"/>
      <c r="R4713" s="34"/>
      <c r="S4713" s="34"/>
    </row>
    <row r="4714" spans="14:19">
      <c r="N4714" s="34"/>
      <c r="O4714" s="34"/>
      <c r="P4714" s="34"/>
      <c r="Q4714" s="34"/>
      <c r="R4714" s="34"/>
      <c r="S4714" s="34"/>
    </row>
    <row r="4715" spans="14:19">
      <c r="N4715" s="34"/>
      <c r="O4715" s="34"/>
      <c r="P4715" s="34"/>
      <c r="Q4715" s="34"/>
      <c r="R4715" s="34"/>
      <c r="S4715" s="34"/>
    </row>
    <row r="4716" spans="14:19">
      <c r="N4716" s="34"/>
      <c r="O4716" s="34"/>
      <c r="P4716" s="34"/>
      <c r="Q4716" s="34"/>
      <c r="R4716" s="34"/>
      <c r="S4716" s="34"/>
    </row>
    <row r="4717" spans="14:19">
      <c r="N4717" s="34"/>
      <c r="O4717" s="34"/>
      <c r="P4717" s="34"/>
      <c r="Q4717" s="34"/>
      <c r="R4717" s="34"/>
      <c r="S4717" s="34"/>
    </row>
    <row r="4718" spans="14:19">
      <c r="N4718" s="34"/>
      <c r="O4718" s="34"/>
      <c r="P4718" s="34"/>
      <c r="Q4718" s="34"/>
      <c r="R4718" s="34"/>
      <c r="S4718" s="34"/>
    </row>
    <row r="4719" spans="14:19">
      <c r="N4719" s="34"/>
      <c r="O4719" s="34"/>
      <c r="P4719" s="34"/>
      <c r="Q4719" s="34"/>
      <c r="R4719" s="34"/>
      <c r="S4719" s="34"/>
    </row>
    <row r="4720" spans="14:19">
      <c r="N4720" s="34"/>
      <c r="O4720" s="34"/>
      <c r="P4720" s="34"/>
      <c r="Q4720" s="34"/>
      <c r="R4720" s="34"/>
      <c r="S4720" s="34"/>
    </row>
    <row r="4721" spans="14:19">
      <c r="N4721" s="34"/>
      <c r="O4721" s="34"/>
      <c r="P4721" s="34"/>
      <c r="Q4721" s="34"/>
      <c r="R4721" s="34"/>
      <c r="S4721" s="34"/>
    </row>
    <row r="4722" spans="14:19">
      <c r="N4722" s="34"/>
      <c r="O4722" s="34"/>
      <c r="P4722" s="34"/>
      <c r="Q4722" s="34"/>
      <c r="R4722" s="34"/>
      <c r="S4722" s="34"/>
    </row>
    <row r="4723" spans="14:19">
      <c r="N4723" s="34"/>
      <c r="O4723" s="34"/>
      <c r="P4723" s="34"/>
      <c r="Q4723" s="34"/>
      <c r="R4723" s="34"/>
      <c r="S4723" s="34"/>
    </row>
    <row r="4724" spans="14:19">
      <c r="N4724" s="34"/>
      <c r="O4724" s="34"/>
      <c r="P4724" s="34"/>
      <c r="Q4724" s="34"/>
      <c r="R4724" s="34"/>
      <c r="S4724" s="34"/>
    </row>
    <row r="4725" spans="14:19">
      <c r="N4725" s="34"/>
      <c r="O4725" s="34"/>
      <c r="P4725" s="34"/>
      <c r="Q4725" s="34"/>
      <c r="R4725" s="34"/>
      <c r="S4725" s="34"/>
    </row>
    <row r="4726" spans="14:19">
      <c r="N4726" s="34"/>
      <c r="O4726" s="34"/>
      <c r="P4726" s="34"/>
      <c r="Q4726" s="34"/>
      <c r="R4726" s="34"/>
      <c r="S4726" s="34"/>
    </row>
    <row r="4727" spans="14:19">
      <c r="N4727" s="34"/>
      <c r="O4727" s="34"/>
      <c r="P4727" s="34"/>
      <c r="Q4727" s="34"/>
      <c r="R4727" s="34"/>
      <c r="S4727" s="34"/>
    </row>
    <row r="4728" spans="14:19">
      <c r="N4728" s="34"/>
      <c r="O4728" s="34"/>
      <c r="P4728" s="34"/>
      <c r="Q4728" s="34"/>
      <c r="R4728" s="34"/>
      <c r="S4728" s="34"/>
    </row>
    <row r="4729" spans="14:19">
      <c r="N4729" s="34"/>
      <c r="O4729" s="34"/>
      <c r="P4729" s="34"/>
      <c r="Q4729" s="34"/>
      <c r="R4729" s="34"/>
      <c r="S4729" s="34"/>
    </row>
    <row r="4730" spans="14:19">
      <c r="N4730" s="34"/>
      <c r="O4730" s="34"/>
      <c r="P4730" s="34"/>
      <c r="Q4730" s="34"/>
      <c r="R4730" s="34"/>
      <c r="S4730" s="34"/>
    </row>
    <row r="4731" spans="14:19">
      <c r="N4731" s="34"/>
      <c r="O4731" s="34"/>
      <c r="P4731" s="34"/>
      <c r="Q4731" s="34"/>
      <c r="R4731" s="34"/>
      <c r="S4731" s="34"/>
    </row>
    <row r="4732" spans="14:19">
      <c r="N4732" s="34"/>
      <c r="O4732" s="34"/>
      <c r="P4732" s="34"/>
      <c r="Q4732" s="34"/>
      <c r="R4732" s="34"/>
      <c r="S4732" s="34"/>
    </row>
    <row r="4733" spans="14:19">
      <c r="N4733" s="34"/>
      <c r="O4733" s="34"/>
      <c r="P4733" s="34"/>
      <c r="Q4733" s="34"/>
      <c r="R4733" s="34"/>
      <c r="S4733" s="34"/>
    </row>
    <row r="4734" spans="14:19">
      <c r="N4734" s="34"/>
      <c r="O4734" s="34"/>
      <c r="P4734" s="34"/>
      <c r="Q4734" s="34"/>
      <c r="R4734" s="34"/>
      <c r="S4734" s="34"/>
    </row>
    <row r="4735" spans="14:19">
      <c r="N4735" s="34"/>
      <c r="O4735" s="34"/>
      <c r="P4735" s="34"/>
      <c r="Q4735" s="34"/>
      <c r="R4735" s="34"/>
      <c r="S4735" s="34"/>
    </row>
    <row r="4736" spans="14:19">
      <c r="N4736" s="34"/>
      <c r="O4736" s="34"/>
      <c r="P4736" s="34"/>
      <c r="Q4736" s="34"/>
      <c r="R4736" s="34"/>
      <c r="S4736" s="34"/>
    </row>
    <row r="4737" spans="14:19">
      <c r="N4737" s="34"/>
      <c r="O4737" s="34"/>
      <c r="P4737" s="34"/>
      <c r="Q4737" s="34"/>
      <c r="R4737" s="34"/>
      <c r="S4737" s="34"/>
    </row>
    <row r="4738" spans="14:19">
      <c r="N4738" s="34"/>
      <c r="O4738" s="34"/>
      <c r="P4738" s="34"/>
      <c r="Q4738" s="34"/>
      <c r="R4738" s="34"/>
      <c r="S4738" s="34"/>
    </row>
    <row r="4739" spans="14:19">
      <c r="N4739" s="34"/>
      <c r="O4739" s="34"/>
      <c r="P4739" s="34"/>
      <c r="Q4739" s="34"/>
      <c r="R4739" s="34"/>
      <c r="S4739" s="34"/>
    </row>
    <row r="4740" spans="14:19">
      <c r="N4740" s="34"/>
      <c r="O4740" s="34"/>
      <c r="P4740" s="34"/>
      <c r="Q4740" s="34"/>
      <c r="R4740" s="34"/>
      <c r="S4740" s="34"/>
    </row>
    <row r="4741" spans="14:19">
      <c r="N4741" s="34"/>
      <c r="O4741" s="34"/>
      <c r="P4741" s="34"/>
      <c r="Q4741" s="34"/>
      <c r="R4741" s="34"/>
      <c r="S4741" s="34"/>
    </row>
    <row r="4742" spans="14:19">
      <c r="N4742" s="34"/>
      <c r="O4742" s="34"/>
      <c r="P4742" s="34"/>
      <c r="Q4742" s="34"/>
      <c r="R4742" s="34"/>
      <c r="S4742" s="34"/>
    </row>
    <row r="4743" spans="14:19">
      <c r="N4743" s="34"/>
      <c r="O4743" s="34"/>
      <c r="P4743" s="34"/>
      <c r="Q4743" s="34"/>
      <c r="R4743" s="34"/>
      <c r="S4743" s="34"/>
    </row>
    <row r="4744" spans="14:19">
      <c r="N4744" s="34"/>
      <c r="O4744" s="34"/>
      <c r="P4744" s="34"/>
      <c r="Q4744" s="34"/>
      <c r="R4744" s="34"/>
      <c r="S4744" s="34"/>
    </row>
    <row r="4745" spans="14:19">
      <c r="N4745" s="34"/>
      <c r="O4745" s="34"/>
      <c r="P4745" s="34"/>
      <c r="Q4745" s="34"/>
      <c r="R4745" s="34"/>
      <c r="S4745" s="34"/>
    </row>
    <row r="4746" spans="14:19">
      <c r="N4746" s="34"/>
      <c r="O4746" s="34"/>
      <c r="P4746" s="34"/>
      <c r="Q4746" s="34"/>
      <c r="R4746" s="34"/>
      <c r="S4746" s="34"/>
    </row>
    <row r="4747" spans="14:19">
      <c r="N4747" s="34"/>
      <c r="O4747" s="34"/>
      <c r="P4747" s="34"/>
      <c r="Q4747" s="34"/>
      <c r="R4747" s="34"/>
      <c r="S4747" s="34"/>
    </row>
    <row r="4748" spans="14:19">
      <c r="N4748" s="34"/>
      <c r="O4748" s="34"/>
      <c r="P4748" s="34"/>
      <c r="Q4748" s="34"/>
      <c r="R4748" s="34"/>
      <c r="S4748" s="34"/>
    </row>
    <row r="4749" spans="14:19">
      <c r="N4749" s="34"/>
      <c r="O4749" s="34"/>
      <c r="P4749" s="34"/>
      <c r="Q4749" s="34"/>
      <c r="R4749" s="34"/>
      <c r="S4749" s="34"/>
    </row>
    <row r="4750" spans="14:19">
      <c r="N4750" s="34"/>
      <c r="O4750" s="34"/>
      <c r="P4750" s="34"/>
      <c r="Q4750" s="34"/>
      <c r="R4750" s="34"/>
      <c r="S4750" s="34"/>
    </row>
    <row r="4751" spans="14:19">
      <c r="N4751" s="34"/>
      <c r="O4751" s="34"/>
      <c r="P4751" s="34"/>
      <c r="Q4751" s="34"/>
      <c r="R4751" s="34"/>
      <c r="S4751" s="34"/>
    </row>
    <row r="4752" spans="14:19">
      <c r="N4752" s="34"/>
      <c r="O4752" s="34"/>
      <c r="P4752" s="34"/>
      <c r="Q4752" s="34"/>
      <c r="R4752" s="34"/>
      <c r="S4752" s="34"/>
    </row>
    <row r="4753" spans="14:19">
      <c r="N4753" s="34"/>
      <c r="O4753" s="34"/>
      <c r="P4753" s="34"/>
      <c r="Q4753" s="34"/>
      <c r="R4753" s="34"/>
      <c r="S4753" s="34"/>
    </row>
    <row r="4754" spans="14:19">
      <c r="N4754" s="34"/>
      <c r="O4754" s="34"/>
      <c r="P4754" s="34"/>
      <c r="Q4754" s="34"/>
      <c r="R4754" s="34"/>
      <c r="S4754" s="34"/>
    </row>
    <row r="4755" spans="14:19">
      <c r="N4755" s="34"/>
      <c r="O4755" s="34"/>
      <c r="P4755" s="34"/>
      <c r="Q4755" s="34"/>
      <c r="R4755" s="34"/>
      <c r="S4755" s="34"/>
    </row>
    <row r="4756" spans="14:19">
      <c r="N4756" s="34"/>
      <c r="O4756" s="34"/>
      <c r="P4756" s="34"/>
      <c r="Q4756" s="34"/>
      <c r="R4756" s="34"/>
      <c r="S4756" s="34"/>
    </row>
    <row r="4757" spans="14:19">
      <c r="N4757" s="34"/>
      <c r="O4757" s="34"/>
      <c r="P4757" s="34"/>
      <c r="Q4757" s="34"/>
      <c r="R4757" s="34"/>
      <c r="S4757" s="34"/>
    </row>
    <row r="4758" spans="14:19">
      <c r="N4758" s="34"/>
      <c r="O4758" s="34"/>
      <c r="P4758" s="34"/>
      <c r="Q4758" s="34"/>
      <c r="R4758" s="34"/>
      <c r="S4758" s="34"/>
    </row>
    <row r="4759" spans="14:19">
      <c r="N4759" s="34"/>
      <c r="O4759" s="34"/>
      <c r="P4759" s="34"/>
      <c r="Q4759" s="34"/>
      <c r="R4759" s="34"/>
      <c r="S4759" s="34"/>
    </row>
    <row r="4760" spans="14:19">
      <c r="N4760" s="34"/>
      <c r="O4760" s="34"/>
      <c r="P4760" s="34"/>
      <c r="Q4760" s="34"/>
      <c r="R4760" s="34"/>
      <c r="S4760" s="34"/>
    </row>
    <row r="4761" spans="14:19">
      <c r="N4761" s="34"/>
      <c r="O4761" s="34"/>
      <c r="P4761" s="34"/>
      <c r="Q4761" s="34"/>
      <c r="R4761" s="34"/>
      <c r="S4761" s="34"/>
    </row>
    <row r="4762" spans="14:19">
      <c r="N4762" s="34"/>
      <c r="O4762" s="34"/>
      <c r="P4762" s="34"/>
      <c r="Q4762" s="34"/>
      <c r="R4762" s="34"/>
      <c r="S4762" s="34"/>
    </row>
    <row r="4763" spans="14:19">
      <c r="N4763" s="34"/>
      <c r="O4763" s="34"/>
      <c r="P4763" s="34"/>
      <c r="Q4763" s="34"/>
      <c r="R4763" s="34"/>
      <c r="S4763" s="34"/>
    </row>
    <row r="4764" spans="14:19">
      <c r="N4764" s="34"/>
      <c r="O4764" s="34"/>
      <c r="P4764" s="34"/>
      <c r="Q4764" s="34"/>
      <c r="R4764" s="34"/>
      <c r="S4764" s="34"/>
    </row>
    <row r="4765" spans="14:19">
      <c r="N4765" s="34"/>
      <c r="O4765" s="34"/>
      <c r="P4765" s="34"/>
      <c r="Q4765" s="34"/>
      <c r="R4765" s="34"/>
      <c r="S4765" s="34"/>
    </row>
    <row r="4766" spans="14:19">
      <c r="N4766" s="34"/>
      <c r="O4766" s="34"/>
      <c r="P4766" s="34"/>
      <c r="Q4766" s="34"/>
      <c r="R4766" s="34"/>
      <c r="S4766" s="34"/>
    </row>
    <row r="4767" spans="14:19">
      <c r="N4767" s="34"/>
      <c r="O4767" s="34"/>
      <c r="P4767" s="34"/>
      <c r="Q4767" s="34"/>
      <c r="R4767" s="34"/>
      <c r="S4767" s="34"/>
    </row>
    <row r="4768" spans="14:19">
      <c r="N4768" s="34"/>
      <c r="O4768" s="34"/>
      <c r="P4768" s="34"/>
      <c r="Q4768" s="34"/>
      <c r="R4768" s="34"/>
      <c r="S4768" s="34"/>
    </row>
    <row r="4769" spans="14:19">
      <c r="N4769" s="34"/>
      <c r="O4769" s="34"/>
      <c r="P4769" s="34"/>
      <c r="Q4769" s="34"/>
      <c r="R4769" s="34"/>
      <c r="S4769" s="34"/>
    </row>
    <row r="4770" spans="14:19">
      <c r="N4770" s="34"/>
      <c r="O4770" s="34"/>
      <c r="P4770" s="34"/>
      <c r="Q4770" s="34"/>
      <c r="R4770" s="34"/>
      <c r="S4770" s="34"/>
    </row>
    <row r="4771" spans="14:19">
      <c r="N4771" s="34"/>
      <c r="O4771" s="34"/>
      <c r="P4771" s="34"/>
      <c r="Q4771" s="34"/>
      <c r="R4771" s="34"/>
      <c r="S4771" s="34"/>
    </row>
    <row r="4772" spans="14:19">
      <c r="N4772" s="34"/>
      <c r="O4772" s="34"/>
      <c r="P4772" s="34"/>
      <c r="Q4772" s="34"/>
      <c r="R4772" s="34"/>
      <c r="S4772" s="34"/>
    </row>
    <row r="4773" spans="14:19">
      <c r="N4773" s="34"/>
      <c r="O4773" s="34"/>
      <c r="P4773" s="34"/>
      <c r="Q4773" s="34"/>
      <c r="R4773" s="34"/>
      <c r="S4773" s="34"/>
    </row>
    <row r="4774" spans="14:19">
      <c r="N4774" s="34"/>
      <c r="O4774" s="34"/>
      <c r="P4774" s="34"/>
      <c r="Q4774" s="34"/>
      <c r="R4774" s="34"/>
      <c r="S4774" s="34"/>
    </row>
    <row r="4775" spans="14:19">
      <c r="N4775" s="34"/>
      <c r="O4775" s="34"/>
      <c r="P4775" s="34"/>
      <c r="Q4775" s="34"/>
      <c r="R4775" s="34"/>
      <c r="S4775" s="34"/>
    </row>
    <row r="4776" spans="14:19">
      <c r="N4776" s="34"/>
      <c r="O4776" s="34"/>
      <c r="P4776" s="34"/>
      <c r="Q4776" s="34"/>
      <c r="R4776" s="34"/>
      <c r="S4776" s="34"/>
    </row>
    <row r="4777" spans="14:19">
      <c r="N4777" s="34"/>
      <c r="O4777" s="34"/>
      <c r="P4777" s="34"/>
      <c r="Q4777" s="34"/>
      <c r="R4777" s="34"/>
      <c r="S4777" s="34"/>
    </row>
    <row r="4778" spans="14:19">
      <c r="N4778" s="34"/>
      <c r="O4778" s="34"/>
      <c r="P4778" s="34"/>
      <c r="Q4778" s="34"/>
      <c r="R4778" s="34"/>
      <c r="S4778" s="34"/>
    </row>
    <row r="4779" spans="14:19">
      <c r="N4779" s="34"/>
      <c r="O4779" s="34"/>
      <c r="P4779" s="34"/>
      <c r="Q4779" s="34"/>
      <c r="R4779" s="34"/>
      <c r="S4779" s="34"/>
    </row>
    <row r="4780" spans="14:19">
      <c r="N4780" s="34"/>
      <c r="O4780" s="34"/>
      <c r="P4780" s="34"/>
      <c r="Q4780" s="34"/>
      <c r="R4780" s="34"/>
      <c r="S4780" s="34"/>
    </row>
    <row r="4781" spans="14:19">
      <c r="N4781" s="34"/>
      <c r="O4781" s="34"/>
      <c r="P4781" s="34"/>
      <c r="Q4781" s="34"/>
      <c r="R4781" s="34"/>
      <c r="S4781" s="34"/>
    </row>
    <row r="4782" spans="14:19">
      <c r="N4782" s="34"/>
      <c r="O4782" s="34"/>
      <c r="P4782" s="34"/>
      <c r="Q4782" s="34"/>
      <c r="R4782" s="34"/>
      <c r="S4782" s="34"/>
    </row>
    <row r="4783" spans="14:19">
      <c r="N4783" s="34"/>
      <c r="O4783" s="34"/>
      <c r="P4783" s="34"/>
      <c r="Q4783" s="34"/>
      <c r="R4783" s="34"/>
      <c r="S4783" s="34"/>
    </row>
    <row r="4784" spans="14:19">
      <c r="N4784" s="34"/>
      <c r="O4784" s="34"/>
      <c r="P4784" s="34"/>
      <c r="Q4784" s="34"/>
      <c r="R4784" s="34"/>
      <c r="S4784" s="34"/>
    </row>
    <row r="4785" spans="14:19">
      <c r="N4785" s="34"/>
      <c r="O4785" s="34"/>
      <c r="P4785" s="34"/>
      <c r="Q4785" s="34"/>
      <c r="R4785" s="34"/>
      <c r="S4785" s="34"/>
    </row>
    <row r="4786" spans="14:19">
      <c r="N4786" s="34"/>
      <c r="O4786" s="34"/>
      <c r="P4786" s="34"/>
      <c r="Q4786" s="34"/>
      <c r="R4786" s="34"/>
      <c r="S4786" s="34"/>
    </row>
    <row r="4787" spans="14:19">
      <c r="N4787" s="34"/>
      <c r="O4787" s="34"/>
      <c r="P4787" s="34"/>
      <c r="Q4787" s="34"/>
      <c r="R4787" s="34"/>
      <c r="S4787" s="34"/>
    </row>
    <row r="4788" spans="14:19">
      <c r="N4788" s="34"/>
      <c r="O4788" s="34"/>
      <c r="P4788" s="34"/>
      <c r="Q4788" s="34"/>
      <c r="R4788" s="34"/>
      <c r="S4788" s="34"/>
    </row>
    <row r="4789" spans="14:19">
      <c r="N4789" s="34"/>
      <c r="O4789" s="34"/>
      <c r="P4789" s="34"/>
      <c r="Q4789" s="34"/>
      <c r="R4789" s="34"/>
      <c r="S4789" s="34"/>
    </row>
    <row r="4790" spans="14:19">
      <c r="N4790" s="34"/>
      <c r="O4790" s="34"/>
      <c r="P4790" s="34"/>
      <c r="Q4790" s="34"/>
      <c r="R4790" s="34"/>
      <c r="S4790" s="34"/>
    </row>
    <row r="4791" spans="14:19">
      <c r="N4791" s="34"/>
      <c r="O4791" s="34"/>
      <c r="P4791" s="34"/>
      <c r="Q4791" s="34"/>
      <c r="R4791" s="34"/>
      <c r="S4791" s="34"/>
    </row>
    <row r="4792" spans="14:19">
      <c r="N4792" s="34"/>
      <c r="O4792" s="34"/>
      <c r="P4792" s="34"/>
      <c r="Q4792" s="34"/>
      <c r="R4792" s="34"/>
      <c r="S4792" s="34"/>
    </row>
    <row r="4793" spans="14:19">
      <c r="N4793" s="34"/>
      <c r="O4793" s="34"/>
      <c r="P4793" s="34"/>
      <c r="Q4793" s="34"/>
      <c r="R4793" s="34"/>
      <c r="S4793" s="34"/>
    </row>
    <row r="4794" spans="14:19">
      <c r="N4794" s="34"/>
      <c r="O4794" s="34"/>
      <c r="P4794" s="34"/>
      <c r="Q4794" s="34"/>
      <c r="R4794" s="34"/>
      <c r="S4794" s="34"/>
    </row>
    <row r="4795" spans="14:19">
      <c r="N4795" s="34"/>
      <c r="O4795" s="34"/>
      <c r="P4795" s="34"/>
      <c r="Q4795" s="34"/>
      <c r="R4795" s="34"/>
      <c r="S4795" s="34"/>
    </row>
    <row r="4796" spans="14:19">
      <c r="N4796" s="34"/>
      <c r="O4796" s="34"/>
      <c r="P4796" s="34"/>
      <c r="Q4796" s="34"/>
      <c r="R4796" s="34"/>
      <c r="S4796" s="34"/>
    </row>
    <row r="4797" spans="14:19">
      <c r="N4797" s="34"/>
      <c r="O4797" s="34"/>
      <c r="P4797" s="34"/>
      <c r="Q4797" s="34"/>
      <c r="R4797" s="34"/>
      <c r="S4797" s="34"/>
    </row>
    <row r="4798" spans="14:19">
      <c r="N4798" s="34"/>
      <c r="O4798" s="34"/>
      <c r="P4798" s="34"/>
      <c r="Q4798" s="34"/>
      <c r="R4798" s="34"/>
      <c r="S4798" s="34"/>
    </row>
    <row r="4799" spans="14:19">
      <c r="N4799" s="34"/>
      <c r="O4799" s="34"/>
      <c r="P4799" s="34"/>
      <c r="Q4799" s="34"/>
      <c r="R4799" s="34"/>
      <c r="S4799" s="34"/>
    </row>
    <row r="4800" spans="14:19">
      <c r="N4800" s="34"/>
      <c r="O4800" s="34"/>
      <c r="P4800" s="34"/>
      <c r="Q4800" s="34"/>
      <c r="R4800" s="34"/>
      <c r="S4800" s="34"/>
    </row>
    <row r="4801" spans="14:19">
      <c r="N4801" s="34"/>
      <c r="O4801" s="34"/>
      <c r="P4801" s="34"/>
      <c r="Q4801" s="34"/>
      <c r="R4801" s="34"/>
      <c r="S4801" s="34"/>
    </row>
    <row r="4802" spans="14:19">
      <c r="N4802" s="34"/>
      <c r="O4802" s="34"/>
      <c r="P4802" s="34"/>
      <c r="Q4802" s="34"/>
      <c r="R4802" s="34"/>
      <c r="S4802" s="34"/>
    </row>
    <row r="4803" spans="14:19">
      <c r="N4803" s="34"/>
      <c r="O4803" s="34"/>
      <c r="P4803" s="34"/>
      <c r="Q4803" s="34"/>
      <c r="R4803" s="34"/>
      <c r="S4803" s="34"/>
    </row>
    <row r="4804" spans="14:19">
      <c r="N4804" s="34"/>
      <c r="O4804" s="34"/>
      <c r="P4804" s="34"/>
      <c r="Q4804" s="34"/>
      <c r="R4804" s="34"/>
      <c r="S4804" s="34"/>
    </row>
    <row r="4805" spans="14:19">
      <c r="N4805" s="34"/>
      <c r="O4805" s="34"/>
      <c r="P4805" s="34"/>
      <c r="Q4805" s="34"/>
      <c r="R4805" s="34"/>
      <c r="S4805" s="34"/>
    </row>
    <row r="4806" spans="14:19">
      <c r="N4806" s="34"/>
      <c r="O4806" s="34"/>
      <c r="P4806" s="34"/>
      <c r="Q4806" s="34"/>
      <c r="R4806" s="34"/>
      <c r="S4806" s="34"/>
    </row>
    <row r="4807" spans="14:19">
      <c r="N4807" s="34"/>
      <c r="O4807" s="34"/>
      <c r="P4807" s="34"/>
      <c r="Q4807" s="34"/>
      <c r="R4807" s="34"/>
      <c r="S4807" s="34"/>
    </row>
    <row r="4808" spans="14:19">
      <c r="N4808" s="34"/>
      <c r="O4808" s="34"/>
      <c r="P4808" s="34"/>
      <c r="Q4808" s="34"/>
      <c r="R4808" s="34"/>
      <c r="S4808" s="34"/>
    </row>
    <row r="4809" spans="14:19">
      <c r="N4809" s="34"/>
      <c r="O4809" s="34"/>
      <c r="P4809" s="34"/>
      <c r="Q4809" s="34"/>
      <c r="R4809" s="34"/>
      <c r="S4809" s="34"/>
    </row>
    <row r="4810" spans="14:19">
      <c r="N4810" s="34"/>
      <c r="O4810" s="34"/>
      <c r="P4810" s="34"/>
      <c r="Q4810" s="34"/>
      <c r="R4810" s="34"/>
      <c r="S4810" s="34"/>
    </row>
    <row r="4811" spans="14:19">
      <c r="N4811" s="34"/>
      <c r="O4811" s="34"/>
      <c r="P4811" s="34"/>
      <c r="Q4811" s="34"/>
      <c r="R4811" s="34"/>
      <c r="S4811" s="34"/>
    </row>
    <row r="4812" spans="14:19">
      <c r="N4812" s="34"/>
      <c r="O4812" s="34"/>
      <c r="P4812" s="34"/>
      <c r="Q4812" s="34"/>
      <c r="R4812" s="34"/>
      <c r="S4812" s="34"/>
    </row>
    <row r="4813" spans="14:19">
      <c r="N4813" s="34"/>
      <c r="O4813" s="34"/>
      <c r="P4813" s="34"/>
      <c r="Q4813" s="34"/>
      <c r="R4813" s="34"/>
      <c r="S4813" s="34"/>
    </row>
    <row r="4814" spans="14:19">
      <c r="N4814" s="34"/>
      <c r="O4814" s="34"/>
      <c r="P4814" s="34"/>
      <c r="Q4814" s="34"/>
      <c r="R4814" s="34"/>
      <c r="S4814" s="34"/>
    </row>
    <row r="4815" spans="14:19">
      <c r="N4815" s="34"/>
      <c r="O4815" s="34"/>
      <c r="P4815" s="34"/>
      <c r="Q4815" s="34"/>
      <c r="R4815" s="34"/>
      <c r="S4815" s="34"/>
    </row>
    <row r="4816" spans="14:19">
      <c r="N4816" s="34"/>
      <c r="O4816" s="34"/>
      <c r="P4816" s="34"/>
      <c r="Q4816" s="34"/>
      <c r="R4816" s="34"/>
      <c r="S4816" s="34"/>
    </row>
    <row r="4817" spans="14:19">
      <c r="N4817" s="34"/>
      <c r="O4817" s="34"/>
      <c r="P4817" s="34"/>
      <c r="Q4817" s="34"/>
      <c r="R4817" s="34"/>
      <c r="S4817" s="34"/>
    </row>
    <row r="4818" spans="14:19">
      <c r="N4818" s="34"/>
      <c r="O4818" s="34"/>
      <c r="P4818" s="34"/>
      <c r="Q4818" s="34"/>
      <c r="R4818" s="34"/>
      <c r="S4818" s="34"/>
    </row>
    <row r="4819" spans="14:19">
      <c r="N4819" s="34"/>
      <c r="O4819" s="34"/>
      <c r="P4819" s="34"/>
      <c r="Q4819" s="34"/>
      <c r="R4819" s="34"/>
      <c r="S4819" s="34"/>
    </row>
    <row r="4820" spans="14:19">
      <c r="N4820" s="34"/>
      <c r="O4820" s="34"/>
      <c r="P4820" s="34"/>
      <c r="Q4820" s="34"/>
      <c r="R4820" s="34"/>
      <c r="S4820" s="34"/>
    </row>
    <row r="4821" spans="14:19">
      <c r="N4821" s="34"/>
      <c r="O4821" s="34"/>
      <c r="P4821" s="34"/>
      <c r="Q4821" s="34"/>
      <c r="R4821" s="34"/>
      <c r="S4821" s="34"/>
    </row>
    <row r="4822" spans="14:19">
      <c r="N4822" s="34"/>
      <c r="O4822" s="34"/>
      <c r="P4822" s="34"/>
      <c r="Q4822" s="34"/>
      <c r="R4822" s="34"/>
      <c r="S4822" s="34"/>
    </row>
    <row r="4823" spans="14:19">
      <c r="N4823" s="34"/>
      <c r="O4823" s="34"/>
      <c r="P4823" s="34"/>
      <c r="Q4823" s="34"/>
      <c r="R4823" s="34"/>
      <c r="S4823" s="34"/>
    </row>
    <row r="4824" spans="14:19">
      <c r="N4824" s="34"/>
      <c r="O4824" s="34"/>
      <c r="P4824" s="34"/>
      <c r="Q4824" s="34"/>
      <c r="R4824" s="34"/>
      <c r="S4824" s="34"/>
    </row>
    <row r="4825" spans="14:19">
      <c r="N4825" s="34"/>
      <c r="O4825" s="34"/>
      <c r="P4825" s="34"/>
      <c r="Q4825" s="34"/>
      <c r="R4825" s="34"/>
      <c r="S4825" s="34"/>
    </row>
    <row r="4826" spans="14:19">
      <c r="N4826" s="34"/>
      <c r="O4826" s="34"/>
      <c r="P4826" s="34"/>
      <c r="Q4826" s="34"/>
      <c r="R4826" s="34"/>
      <c r="S4826" s="34"/>
    </row>
    <row r="4827" spans="14:19">
      <c r="N4827" s="34"/>
      <c r="O4827" s="34"/>
      <c r="P4827" s="34"/>
      <c r="Q4827" s="34"/>
      <c r="R4827" s="34"/>
      <c r="S4827" s="34"/>
    </row>
    <row r="4828" spans="14:19">
      <c r="N4828" s="34"/>
      <c r="O4828" s="34"/>
      <c r="P4828" s="34"/>
      <c r="Q4828" s="34"/>
      <c r="R4828" s="34"/>
      <c r="S4828" s="34"/>
    </row>
    <row r="4829" spans="14:19">
      <c r="N4829" s="34"/>
      <c r="O4829" s="34"/>
      <c r="P4829" s="34"/>
      <c r="Q4829" s="34"/>
      <c r="R4829" s="34"/>
      <c r="S4829" s="34"/>
    </row>
    <row r="4830" spans="14:19">
      <c r="N4830" s="34"/>
      <c r="O4830" s="34"/>
      <c r="P4830" s="34"/>
      <c r="Q4830" s="34"/>
      <c r="R4830" s="34"/>
      <c r="S4830" s="34"/>
    </row>
    <row r="4831" spans="14:19">
      <c r="N4831" s="34"/>
      <c r="O4831" s="34"/>
      <c r="P4831" s="34"/>
      <c r="Q4831" s="34"/>
      <c r="R4831" s="34"/>
      <c r="S4831" s="34"/>
    </row>
    <row r="4832" spans="14:19">
      <c r="N4832" s="34"/>
      <c r="O4832" s="34"/>
      <c r="P4832" s="34"/>
      <c r="Q4832" s="34"/>
      <c r="R4832" s="34"/>
      <c r="S4832" s="34"/>
    </row>
    <row r="4833" spans="14:19">
      <c r="N4833" s="34"/>
      <c r="O4833" s="34"/>
      <c r="P4833" s="34"/>
      <c r="Q4833" s="34"/>
      <c r="R4833" s="34"/>
      <c r="S4833" s="34"/>
    </row>
    <row r="4834" spans="14:19">
      <c r="N4834" s="34"/>
      <c r="O4834" s="34"/>
      <c r="P4834" s="34"/>
      <c r="Q4834" s="34"/>
      <c r="R4834" s="34"/>
      <c r="S4834" s="34"/>
    </row>
    <row r="4835" spans="14:19">
      <c r="N4835" s="34"/>
      <c r="O4835" s="34"/>
      <c r="P4835" s="34"/>
      <c r="Q4835" s="34"/>
      <c r="R4835" s="34"/>
      <c r="S4835" s="34"/>
    </row>
    <row r="4836" spans="14:19">
      <c r="N4836" s="34"/>
      <c r="O4836" s="34"/>
      <c r="P4836" s="34"/>
      <c r="Q4836" s="34"/>
      <c r="R4836" s="34"/>
      <c r="S4836" s="34"/>
    </row>
    <row r="4837" spans="14:19">
      <c r="N4837" s="34"/>
      <c r="O4837" s="34"/>
      <c r="P4837" s="34"/>
      <c r="Q4837" s="34"/>
      <c r="R4837" s="34"/>
      <c r="S4837" s="34"/>
    </row>
    <row r="4838" spans="14:19">
      <c r="N4838" s="34"/>
      <c r="O4838" s="34"/>
      <c r="P4838" s="34"/>
      <c r="Q4838" s="34"/>
      <c r="R4838" s="34"/>
      <c r="S4838" s="34"/>
    </row>
    <row r="4839" spans="14:19">
      <c r="N4839" s="34"/>
      <c r="O4839" s="34"/>
      <c r="P4839" s="34"/>
      <c r="Q4839" s="34"/>
      <c r="R4839" s="34"/>
      <c r="S4839" s="34"/>
    </row>
    <row r="4840" spans="14:19">
      <c r="N4840" s="34"/>
      <c r="O4840" s="34"/>
      <c r="P4840" s="34"/>
      <c r="Q4840" s="34"/>
      <c r="R4840" s="34"/>
      <c r="S4840" s="34"/>
    </row>
    <row r="4841" spans="14:19">
      <c r="N4841" s="34"/>
      <c r="O4841" s="34"/>
      <c r="P4841" s="34"/>
      <c r="Q4841" s="34"/>
      <c r="R4841" s="34"/>
      <c r="S4841" s="34"/>
    </row>
    <row r="4842" spans="14:19">
      <c r="N4842" s="34"/>
      <c r="O4842" s="34"/>
      <c r="P4842" s="34"/>
      <c r="Q4842" s="34"/>
      <c r="R4842" s="34"/>
      <c r="S4842" s="34"/>
    </row>
    <row r="4843" spans="14:19">
      <c r="N4843" s="34"/>
      <c r="O4843" s="34"/>
      <c r="P4843" s="34"/>
      <c r="Q4843" s="34"/>
      <c r="R4843" s="34"/>
      <c r="S4843" s="34"/>
    </row>
    <row r="4844" spans="14:19">
      <c r="N4844" s="34"/>
      <c r="O4844" s="34"/>
      <c r="P4844" s="34"/>
      <c r="Q4844" s="34"/>
      <c r="R4844" s="34"/>
      <c r="S4844" s="34"/>
    </row>
    <row r="4845" spans="14:19">
      <c r="N4845" s="34"/>
      <c r="O4845" s="34"/>
      <c r="P4845" s="34"/>
      <c r="Q4845" s="34"/>
      <c r="R4845" s="34"/>
      <c r="S4845" s="34"/>
    </row>
    <row r="4846" spans="14:19">
      <c r="N4846" s="34"/>
      <c r="O4846" s="34"/>
      <c r="P4846" s="34"/>
      <c r="Q4846" s="34"/>
      <c r="R4846" s="34"/>
      <c r="S4846" s="34"/>
    </row>
    <row r="4847" spans="14:19">
      <c r="N4847" s="34"/>
      <c r="O4847" s="34"/>
      <c r="P4847" s="34"/>
      <c r="Q4847" s="34"/>
      <c r="R4847" s="34"/>
      <c r="S4847" s="34"/>
    </row>
    <row r="4848" spans="14:19">
      <c r="N4848" s="34"/>
      <c r="O4848" s="34"/>
      <c r="P4848" s="34"/>
      <c r="Q4848" s="34"/>
      <c r="R4848" s="34"/>
      <c r="S4848" s="34"/>
    </row>
    <row r="4849" spans="14:19">
      <c r="N4849" s="34"/>
      <c r="O4849" s="34"/>
      <c r="P4849" s="34"/>
      <c r="Q4849" s="34"/>
      <c r="R4849" s="34"/>
      <c r="S4849" s="34"/>
    </row>
    <row r="4850" spans="14:19">
      <c r="N4850" s="34"/>
      <c r="O4850" s="34"/>
      <c r="P4850" s="34"/>
      <c r="Q4850" s="34"/>
      <c r="R4850" s="34"/>
      <c r="S4850" s="34"/>
    </row>
    <row r="4851" spans="14:19">
      <c r="N4851" s="34"/>
      <c r="O4851" s="34"/>
      <c r="P4851" s="34"/>
      <c r="Q4851" s="34"/>
      <c r="R4851" s="34"/>
      <c r="S4851" s="34"/>
    </row>
    <row r="4852" spans="14:19">
      <c r="N4852" s="34"/>
      <c r="O4852" s="34"/>
      <c r="P4852" s="34"/>
      <c r="Q4852" s="34"/>
      <c r="R4852" s="34"/>
      <c r="S4852" s="34"/>
    </row>
    <row r="4853" spans="14:19">
      <c r="N4853" s="34"/>
      <c r="O4853" s="34"/>
      <c r="P4853" s="34"/>
      <c r="Q4853" s="34"/>
      <c r="R4853" s="34"/>
      <c r="S4853" s="34"/>
    </row>
    <row r="4854" spans="14:19">
      <c r="N4854" s="34"/>
      <c r="O4854" s="34"/>
      <c r="P4854" s="34"/>
      <c r="Q4854" s="34"/>
      <c r="R4854" s="34"/>
      <c r="S4854" s="34"/>
    </row>
    <row r="4855" spans="14:19">
      <c r="N4855" s="34"/>
      <c r="O4855" s="34"/>
      <c r="P4855" s="34"/>
      <c r="Q4855" s="34"/>
      <c r="R4855" s="34"/>
      <c r="S4855" s="34"/>
    </row>
    <row r="4856" spans="14:19">
      <c r="N4856" s="34"/>
      <c r="O4856" s="34"/>
      <c r="P4856" s="34"/>
      <c r="Q4856" s="34"/>
      <c r="R4856" s="34"/>
      <c r="S4856" s="34"/>
    </row>
    <row r="4857" spans="14:19">
      <c r="N4857" s="34"/>
      <c r="O4857" s="34"/>
      <c r="P4857" s="34"/>
      <c r="Q4857" s="34"/>
      <c r="R4857" s="34"/>
      <c r="S4857" s="34"/>
    </row>
    <row r="4858" spans="14:19">
      <c r="N4858" s="34"/>
      <c r="O4858" s="34"/>
      <c r="P4858" s="34"/>
      <c r="Q4858" s="34"/>
      <c r="R4858" s="34"/>
      <c r="S4858" s="34"/>
    </row>
    <row r="4859" spans="14:19">
      <c r="N4859" s="34"/>
      <c r="O4859" s="34"/>
      <c r="P4859" s="34"/>
      <c r="Q4859" s="34"/>
      <c r="R4859" s="34"/>
      <c r="S4859" s="34"/>
    </row>
    <row r="4860" spans="14:19">
      <c r="N4860" s="34"/>
      <c r="O4860" s="34"/>
      <c r="P4860" s="34"/>
      <c r="Q4860" s="34"/>
      <c r="R4860" s="34"/>
      <c r="S4860" s="34"/>
    </row>
    <row r="4861" spans="14:19">
      <c r="N4861" s="34"/>
      <c r="O4861" s="34"/>
      <c r="P4861" s="34"/>
      <c r="Q4861" s="34"/>
      <c r="R4861" s="34"/>
      <c r="S4861" s="34"/>
    </row>
    <row r="4862" spans="14:19">
      <c r="N4862" s="34"/>
      <c r="O4862" s="34"/>
      <c r="P4862" s="34"/>
      <c r="Q4862" s="34"/>
      <c r="R4862" s="34"/>
      <c r="S4862" s="34"/>
    </row>
    <row r="4863" spans="14:19">
      <c r="N4863" s="34"/>
      <c r="O4863" s="34"/>
      <c r="P4863" s="34"/>
      <c r="Q4863" s="34"/>
      <c r="R4863" s="34"/>
      <c r="S4863" s="34"/>
    </row>
    <row r="4864" spans="14:19">
      <c r="N4864" s="34"/>
      <c r="O4864" s="34"/>
      <c r="P4864" s="34"/>
      <c r="Q4864" s="34"/>
      <c r="R4864" s="34"/>
      <c r="S4864" s="34"/>
    </row>
    <row r="4865" spans="14:19">
      <c r="N4865" s="34"/>
      <c r="O4865" s="34"/>
      <c r="P4865" s="34"/>
      <c r="Q4865" s="34"/>
      <c r="R4865" s="34"/>
      <c r="S4865" s="34"/>
    </row>
    <row r="4866" spans="14:19">
      <c r="N4866" s="34"/>
      <c r="O4866" s="34"/>
      <c r="P4866" s="34"/>
      <c r="Q4866" s="34"/>
      <c r="R4866" s="34"/>
      <c r="S4866" s="34"/>
    </row>
    <row r="4867" spans="14:19">
      <c r="N4867" s="34"/>
      <c r="O4867" s="34"/>
      <c r="P4867" s="34"/>
      <c r="Q4867" s="34"/>
      <c r="R4867" s="34"/>
      <c r="S4867" s="34"/>
    </row>
    <row r="4868" spans="14:19">
      <c r="N4868" s="34"/>
      <c r="O4868" s="34"/>
      <c r="P4868" s="34"/>
      <c r="Q4868" s="34"/>
      <c r="R4868" s="34"/>
      <c r="S4868" s="34"/>
    </row>
    <row r="4869" spans="14:19">
      <c r="N4869" s="34"/>
      <c r="O4869" s="34"/>
      <c r="P4869" s="34"/>
      <c r="Q4869" s="34"/>
      <c r="R4869" s="34"/>
      <c r="S4869" s="34"/>
    </row>
    <row r="4870" spans="14:19">
      <c r="N4870" s="34"/>
      <c r="O4870" s="34"/>
      <c r="P4870" s="34"/>
      <c r="Q4870" s="34"/>
      <c r="R4870" s="34"/>
      <c r="S4870" s="34"/>
    </row>
    <row r="4871" spans="14:19">
      <c r="N4871" s="34"/>
      <c r="O4871" s="34"/>
      <c r="P4871" s="34"/>
      <c r="Q4871" s="34"/>
      <c r="R4871" s="34"/>
      <c r="S4871" s="34"/>
    </row>
    <row r="4872" spans="14:19">
      <c r="N4872" s="34"/>
      <c r="O4872" s="34"/>
      <c r="P4872" s="34"/>
      <c r="Q4872" s="34"/>
      <c r="R4872" s="34"/>
      <c r="S4872" s="34"/>
    </row>
    <row r="4873" spans="14:19">
      <c r="N4873" s="34"/>
      <c r="O4873" s="34"/>
      <c r="P4873" s="34"/>
      <c r="Q4873" s="34"/>
      <c r="R4873" s="34"/>
      <c r="S4873" s="34"/>
    </row>
    <row r="4874" spans="14:19">
      <c r="N4874" s="34"/>
      <c r="O4874" s="34"/>
      <c r="P4874" s="34"/>
      <c r="Q4874" s="34"/>
      <c r="R4874" s="34"/>
      <c r="S4874" s="34"/>
    </row>
    <row r="4875" spans="14:19">
      <c r="N4875" s="34"/>
      <c r="O4875" s="34"/>
      <c r="P4875" s="34"/>
      <c r="Q4875" s="34"/>
      <c r="R4875" s="34"/>
      <c r="S4875" s="34"/>
    </row>
    <row r="4876" spans="14:19">
      <c r="N4876" s="34"/>
      <c r="O4876" s="34"/>
      <c r="P4876" s="34"/>
      <c r="Q4876" s="34"/>
      <c r="R4876" s="34"/>
      <c r="S4876" s="34"/>
    </row>
    <row r="4877" spans="14:19">
      <c r="N4877" s="34"/>
      <c r="O4877" s="34"/>
      <c r="P4877" s="34"/>
      <c r="Q4877" s="34"/>
      <c r="R4877" s="34"/>
      <c r="S4877" s="34"/>
    </row>
    <row r="4878" spans="14:19">
      <c r="N4878" s="34"/>
      <c r="O4878" s="34"/>
      <c r="P4878" s="34"/>
      <c r="Q4878" s="34"/>
      <c r="R4878" s="34"/>
      <c r="S4878" s="34"/>
    </row>
    <row r="4879" spans="14:19">
      <c r="N4879" s="34"/>
      <c r="O4879" s="34"/>
      <c r="P4879" s="34"/>
      <c r="Q4879" s="34"/>
      <c r="R4879" s="34"/>
      <c r="S4879" s="34"/>
    </row>
    <row r="4880" spans="14:19">
      <c r="N4880" s="34"/>
      <c r="O4880" s="34"/>
      <c r="P4880" s="34"/>
      <c r="Q4880" s="34"/>
      <c r="R4880" s="34"/>
      <c r="S4880" s="34"/>
    </row>
    <row r="4881" spans="14:19">
      <c r="N4881" s="34"/>
      <c r="O4881" s="34"/>
      <c r="P4881" s="34"/>
      <c r="Q4881" s="34"/>
      <c r="R4881" s="34"/>
      <c r="S4881" s="34"/>
    </row>
    <row r="4882" spans="14:19">
      <c r="N4882" s="34"/>
      <c r="O4882" s="34"/>
      <c r="P4882" s="34"/>
      <c r="Q4882" s="34"/>
      <c r="R4882" s="34"/>
      <c r="S4882" s="34"/>
    </row>
    <row r="4883" spans="14:19">
      <c r="N4883" s="34"/>
      <c r="O4883" s="34"/>
      <c r="P4883" s="34"/>
      <c r="Q4883" s="34"/>
      <c r="R4883" s="34"/>
      <c r="S4883" s="34"/>
    </row>
    <row r="4884" spans="14:19">
      <c r="N4884" s="34"/>
      <c r="O4884" s="34"/>
      <c r="P4884" s="34"/>
      <c r="Q4884" s="34"/>
      <c r="R4884" s="34"/>
      <c r="S4884" s="34"/>
    </row>
    <row r="4885" spans="14:19">
      <c r="N4885" s="34"/>
      <c r="O4885" s="34"/>
      <c r="P4885" s="34"/>
      <c r="Q4885" s="34"/>
      <c r="R4885" s="34"/>
      <c r="S4885" s="34"/>
    </row>
    <row r="4886" spans="14:19">
      <c r="N4886" s="34"/>
      <c r="O4886" s="34"/>
      <c r="P4886" s="34"/>
      <c r="Q4886" s="34"/>
      <c r="R4886" s="34"/>
      <c r="S4886" s="34"/>
    </row>
    <row r="4887" spans="14:19">
      <c r="N4887" s="34"/>
      <c r="O4887" s="34"/>
      <c r="P4887" s="34"/>
      <c r="Q4887" s="34"/>
      <c r="R4887" s="34"/>
      <c r="S4887" s="34"/>
    </row>
    <row r="4888" spans="14:19">
      <c r="N4888" s="34"/>
      <c r="O4888" s="34"/>
      <c r="P4888" s="34"/>
      <c r="Q4888" s="34"/>
      <c r="R4888" s="34"/>
      <c r="S4888" s="34"/>
    </row>
    <row r="4889" spans="14:19">
      <c r="N4889" s="34"/>
      <c r="O4889" s="34"/>
      <c r="P4889" s="34"/>
      <c r="Q4889" s="34"/>
      <c r="R4889" s="34"/>
      <c r="S4889" s="34"/>
    </row>
    <row r="4890" spans="14:19">
      <c r="N4890" s="34"/>
      <c r="O4890" s="34"/>
      <c r="P4890" s="34"/>
      <c r="Q4890" s="34"/>
      <c r="R4890" s="34"/>
      <c r="S4890" s="34"/>
    </row>
    <row r="4891" spans="14:19">
      <c r="N4891" s="34"/>
      <c r="O4891" s="34"/>
      <c r="P4891" s="34"/>
      <c r="Q4891" s="34"/>
      <c r="R4891" s="34"/>
      <c r="S4891" s="34"/>
    </row>
    <row r="4892" spans="14:19">
      <c r="N4892" s="34"/>
      <c r="O4892" s="34"/>
      <c r="P4892" s="34"/>
      <c r="Q4892" s="34"/>
      <c r="R4892" s="34"/>
      <c r="S4892" s="34"/>
    </row>
    <row r="4893" spans="14:19">
      <c r="N4893" s="34"/>
      <c r="O4893" s="34"/>
      <c r="P4893" s="34"/>
      <c r="Q4893" s="34"/>
      <c r="R4893" s="34"/>
      <c r="S4893" s="34"/>
    </row>
    <row r="4894" spans="14:19">
      <c r="N4894" s="34"/>
      <c r="O4894" s="34"/>
      <c r="P4894" s="34"/>
      <c r="Q4894" s="34"/>
      <c r="R4894" s="34"/>
      <c r="S4894" s="34"/>
    </row>
    <row r="4895" spans="14:19">
      <c r="N4895" s="34"/>
      <c r="O4895" s="34"/>
      <c r="P4895" s="34"/>
      <c r="Q4895" s="34"/>
      <c r="R4895" s="34"/>
      <c r="S4895" s="34"/>
    </row>
    <row r="4896" spans="14:19">
      <c r="N4896" s="34"/>
      <c r="O4896" s="34"/>
      <c r="P4896" s="34"/>
      <c r="Q4896" s="34"/>
      <c r="R4896" s="34"/>
      <c r="S4896" s="34"/>
    </row>
    <row r="4897" spans="14:19">
      <c r="N4897" s="34"/>
      <c r="O4897" s="34"/>
      <c r="P4897" s="34"/>
      <c r="Q4897" s="34"/>
      <c r="R4897" s="34"/>
      <c r="S4897" s="34"/>
    </row>
    <row r="4898" spans="14:19">
      <c r="N4898" s="34"/>
      <c r="O4898" s="34"/>
      <c r="P4898" s="34"/>
      <c r="Q4898" s="34"/>
      <c r="R4898" s="34"/>
      <c r="S4898" s="34"/>
    </row>
    <row r="4899" spans="14:19">
      <c r="N4899" s="34"/>
      <c r="O4899" s="34"/>
      <c r="P4899" s="34"/>
      <c r="Q4899" s="34"/>
      <c r="R4899" s="34"/>
      <c r="S4899" s="34"/>
    </row>
    <row r="4900" spans="14:19">
      <c r="N4900" s="34"/>
      <c r="O4900" s="34"/>
      <c r="P4900" s="34"/>
      <c r="Q4900" s="34"/>
      <c r="R4900" s="34"/>
      <c r="S4900" s="34"/>
    </row>
    <row r="4901" spans="14:19">
      <c r="N4901" s="34"/>
      <c r="O4901" s="34"/>
      <c r="P4901" s="34"/>
      <c r="Q4901" s="34"/>
      <c r="R4901" s="34"/>
      <c r="S4901" s="34"/>
    </row>
    <row r="4902" spans="14:19">
      <c r="N4902" s="34"/>
      <c r="O4902" s="34"/>
      <c r="P4902" s="34"/>
      <c r="Q4902" s="34"/>
      <c r="R4902" s="34"/>
      <c r="S4902" s="34"/>
    </row>
    <row r="4903" spans="14:19">
      <c r="N4903" s="34"/>
      <c r="O4903" s="34"/>
      <c r="P4903" s="34"/>
      <c r="Q4903" s="34"/>
      <c r="R4903" s="34"/>
      <c r="S4903" s="34"/>
    </row>
    <row r="4904" spans="14:19">
      <c r="N4904" s="34"/>
      <c r="O4904" s="34"/>
      <c r="P4904" s="34"/>
      <c r="Q4904" s="34"/>
      <c r="R4904" s="34"/>
      <c r="S4904" s="34"/>
    </row>
    <row r="4905" spans="14:19">
      <c r="N4905" s="34"/>
      <c r="O4905" s="34"/>
      <c r="P4905" s="34"/>
      <c r="Q4905" s="34"/>
      <c r="R4905" s="34"/>
      <c r="S4905" s="34"/>
    </row>
    <row r="4906" spans="14:19">
      <c r="N4906" s="34"/>
      <c r="O4906" s="34"/>
      <c r="P4906" s="34"/>
      <c r="Q4906" s="34"/>
      <c r="R4906" s="34"/>
      <c r="S4906" s="34"/>
    </row>
    <row r="4907" spans="14:19">
      <c r="N4907" s="34"/>
      <c r="O4907" s="34"/>
      <c r="P4907" s="34"/>
      <c r="Q4907" s="34"/>
      <c r="R4907" s="34"/>
      <c r="S4907" s="34"/>
    </row>
    <row r="4908" spans="14:19">
      <c r="N4908" s="34"/>
      <c r="O4908" s="34"/>
      <c r="P4908" s="34"/>
      <c r="Q4908" s="34"/>
      <c r="R4908" s="34"/>
      <c r="S4908" s="34"/>
    </row>
    <row r="4909" spans="14:19">
      <c r="N4909" s="34"/>
      <c r="O4909" s="34"/>
      <c r="P4909" s="34"/>
      <c r="Q4909" s="34"/>
      <c r="R4909" s="34"/>
      <c r="S4909" s="34"/>
    </row>
    <row r="4910" spans="14:19">
      <c r="N4910" s="34"/>
      <c r="O4910" s="34"/>
      <c r="P4910" s="34"/>
      <c r="Q4910" s="34"/>
      <c r="R4910" s="34"/>
      <c r="S4910" s="34"/>
    </row>
    <row r="4911" spans="14:19">
      <c r="N4911" s="34"/>
      <c r="O4911" s="34"/>
      <c r="P4911" s="34"/>
      <c r="Q4911" s="34"/>
      <c r="R4911" s="34"/>
      <c r="S4911" s="34"/>
    </row>
    <row r="4912" spans="14:19">
      <c r="N4912" s="34"/>
      <c r="O4912" s="34"/>
      <c r="P4912" s="34"/>
      <c r="Q4912" s="34"/>
      <c r="R4912" s="34"/>
      <c r="S4912" s="34"/>
    </row>
    <row r="4913" spans="14:19">
      <c r="N4913" s="34"/>
      <c r="O4913" s="34"/>
      <c r="P4913" s="34"/>
      <c r="Q4913" s="34"/>
      <c r="R4913" s="34"/>
      <c r="S4913" s="34"/>
    </row>
    <row r="4914" spans="14:19">
      <c r="N4914" s="34"/>
      <c r="O4914" s="34"/>
      <c r="P4914" s="34"/>
      <c r="Q4914" s="34"/>
      <c r="R4914" s="34"/>
      <c r="S4914" s="34"/>
    </row>
    <row r="4915" spans="14:19">
      <c r="N4915" s="34"/>
      <c r="O4915" s="34"/>
      <c r="P4915" s="34"/>
      <c r="Q4915" s="34"/>
      <c r="R4915" s="34"/>
      <c r="S4915" s="34"/>
    </row>
    <row r="4916" spans="14:19">
      <c r="N4916" s="34"/>
      <c r="O4916" s="34"/>
      <c r="P4916" s="34"/>
      <c r="Q4916" s="34"/>
      <c r="R4916" s="34"/>
      <c r="S4916" s="34"/>
    </row>
    <row r="4917" spans="14:19">
      <c r="N4917" s="34"/>
      <c r="O4917" s="34"/>
      <c r="P4917" s="34"/>
      <c r="Q4917" s="34"/>
      <c r="R4917" s="34"/>
      <c r="S4917" s="34"/>
    </row>
    <row r="4918" spans="14:19">
      <c r="N4918" s="34"/>
      <c r="O4918" s="34"/>
      <c r="P4918" s="34"/>
      <c r="Q4918" s="34"/>
      <c r="R4918" s="34"/>
      <c r="S4918" s="34"/>
    </row>
    <row r="4919" spans="14:19">
      <c r="N4919" s="34"/>
      <c r="O4919" s="34"/>
      <c r="P4919" s="34"/>
      <c r="Q4919" s="34"/>
      <c r="R4919" s="34"/>
      <c r="S4919" s="34"/>
    </row>
    <row r="4920" spans="14:19">
      <c r="N4920" s="34"/>
      <c r="O4920" s="34"/>
      <c r="P4920" s="34"/>
      <c r="Q4920" s="34"/>
      <c r="R4920" s="34"/>
      <c r="S4920" s="34"/>
    </row>
    <row r="4921" spans="14:19">
      <c r="N4921" s="34"/>
      <c r="O4921" s="34"/>
      <c r="P4921" s="34"/>
      <c r="Q4921" s="34"/>
      <c r="R4921" s="34"/>
      <c r="S4921" s="34"/>
    </row>
    <row r="4922" spans="14:19">
      <c r="N4922" s="34"/>
      <c r="O4922" s="34"/>
      <c r="P4922" s="34"/>
      <c r="Q4922" s="34"/>
      <c r="R4922" s="34"/>
      <c r="S4922" s="34"/>
    </row>
    <row r="4923" spans="14:19">
      <c r="N4923" s="34"/>
      <c r="O4923" s="34"/>
      <c r="P4923" s="34"/>
      <c r="Q4923" s="34"/>
      <c r="R4923" s="34"/>
      <c r="S4923" s="34"/>
    </row>
    <row r="4924" spans="14:19">
      <c r="N4924" s="34"/>
      <c r="O4924" s="34"/>
      <c r="P4924" s="34"/>
      <c r="Q4924" s="34"/>
      <c r="R4924" s="34"/>
      <c r="S4924" s="34"/>
    </row>
    <row r="4925" spans="14:19">
      <c r="N4925" s="34"/>
      <c r="O4925" s="34"/>
      <c r="P4925" s="34"/>
      <c r="Q4925" s="34"/>
      <c r="R4925" s="34"/>
      <c r="S4925" s="34"/>
    </row>
    <row r="4926" spans="14:19">
      <c r="N4926" s="34"/>
      <c r="O4926" s="34"/>
      <c r="P4926" s="34"/>
      <c r="Q4926" s="34"/>
      <c r="R4926" s="34"/>
      <c r="S4926" s="34"/>
    </row>
    <row r="4927" spans="14:19">
      <c r="N4927" s="34"/>
      <c r="O4927" s="34"/>
      <c r="P4927" s="34"/>
      <c r="Q4927" s="34"/>
      <c r="R4927" s="34"/>
      <c r="S4927" s="34"/>
    </row>
    <row r="4928" spans="14:19">
      <c r="N4928" s="34"/>
      <c r="O4928" s="34"/>
      <c r="P4928" s="34"/>
      <c r="Q4928" s="34"/>
      <c r="R4928" s="34"/>
      <c r="S4928" s="34"/>
    </row>
    <row r="4929" spans="14:19">
      <c r="N4929" s="34"/>
      <c r="O4929" s="34"/>
      <c r="P4929" s="34"/>
      <c r="Q4929" s="34"/>
      <c r="R4929" s="34"/>
      <c r="S4929" s="34"/>
    </row>
    <row r="4930" spans="14:19">
      <c r="N4930" s="34"/>
      <c r="O4930" s="34"/>
      <c r="P4930" s="34"/>
      <c r="Q4930" s="34"/>
      <c r="R4930" s="34"/>
      <c r="S4930" s="34"/>
    </row>
    <row r="4931" spans="14:19">
      <c r="N4931" s="34"/>
      <c r="O4931" s="34"/>
      <c r="P4931" s="34"/>
      <c r="Q4931" s="34"/>
      <c r="R4931" s="34"/>
      <c r="S4931" s="34"/>
    </row>
    <row r="4932" spans="14:19">
      <c r="N4932" s="34"/>
      <c r="O4932" s="34"/>
      <c r="P4932" s="34"/>
      <c r="Q4932" s="34"/>
      <c r="R4932" s="34"/>
      <c r="S4932" s="34"/>
    </row>
    <row r="4933" spans="14:19">
      <c r="N4933" s="34"/>
      <c r="O4933" s="34"/>
      <c r="P4933" s="34"/>
      <c r="Q4933" s="34"/>
      <c r="R4933" s="34"/>
      <c r="S4933" s="34"/>
    </row>
    <row r="4934" spans="14:19">
      <c r="N4934" s="34"/>
      <c r="O4934" s="34"/>
      <c r="P4934" s="34"/>
      <c r="Q4934" s="34"/>
      <c r="R4934" s="34"/>
      <c r="S4934" s="34"/>
    </row>
    <row r="4935" spans="14:19">
      <c r="N4935" s="34"/>
      <c r="O4935" s="34"/>
      <c r="P4935" s="34"/>
      <c r="Q4935" s="34"/>
      <c r="R4935" s="34"/>
      <c r="S4935" s="34"/>
    </row>
    <row r="4936" spans="14:19">
      <c r="N4936" s="34"/>
      <c r="O4936" s="34"/>
      <c r="P4936" s="34"/>
      <c r="Q4936" s="34"/>
      <c r="R4936" s="34"/>
      <c r="S4936" s="34"/>
    </row>
    <row r="4937" spans="14:19">
      <c r="N4937" s="34"/>
      <c r="O4937" s="34"/>
      <c r="P4937" s="34"/>
      <c r="Q4937" s="34"/>
      <c r="R4937" s="34"/>
      <c r="S4937" s="34"/>
    </row>
    <row r="4938" spans="14:19">
      <c r="N4938" s="34"/>
      <c r="O4938" s="34"/>
      <c r="P4938" s="34"/>
      <c r="Q4938" s="34"/>
      <c r="R4938" s="34"/>
      <c r="S4938" s="34"/>
    </row>
    <row r="4939" spans="14:19">
      <c r="N4939" s="34"/>
      <c r="O4939" s="34"/>
      <c r="P4939" s="34"/>
      <c r="Q4939" s="34"/>
      <c r="R4939" s="34"/>
      <c r="S4939" s="34"/>
    </row>
    <row r="4940" spans="14:19">
      <c r="N4940" s="34"/>
      <c r="O4940" s="34"/>
      <c r="P4940" s="34"/>
      <c r="Q4940" s="34"/>
      <c r="R4940" s="34"/>
      <c r="S4940" s="34"/>
    </row>
    <row r="4941" spans="14:19">
      <c r="N4941" s="34"/>
      <c r="O4941" s="34"/>
      <c r="P4941" s="34"/>
      <c r="Q4941" s="34"/>
      <c r="R4941" s="34"/>
      <c r="S4941" s="34"/>
    </row>
    <row r="4942" spans="14:19">
      <c r="N4942" s="34"/>
      <c r="O4942" s="34"/>
      <c r="P4942" s="34"/>
      <c r="Q4942" s="34"/>
      <c r="R4942" s="34"/>
      <c r="S4942" s="34"/>
    </row>
    <row r="4943" spans="14:19">
      <c r="N4943" s="34"/>
      <c r="O4943" s="34"/>
      <c r="P4943" s="34"/>
      <c r="Q4943" s="34"/>
      <c r="R4943" s="34"/>
      <c r="S4943" s="34"/>
    </row>
    <row r="4944" spans="14:19">
      <c r="N4944" s="34"/>
      <c r="O4944" s="34"/>
      <c r="P4944" s="34"/>
      <c r="Q4944" s="34"/>
      <c r="R4944" s="34"/>
      <c r="S4944" s="34"/>
    </row>
    <row r="4945" spans="14:19">
      <c r="N4945" s="34"/>
      <c r="O4945" s="34"/>
      <c r="P4945" s="34"/>
      <c r="Q4945" s="34"/>
      <c r="R4945" s="34"/>
      <c r="S4945" s="34"/>
    </row>
    <row r="4946" spans="14:19">
      <c r="N4946" s="34"/>
      <c r="O4946" s="34"/>
      <c r="P4946" s="34"/>
      <c r="Q4946" s="34"/>
      <c r="R4946" s="34"/>
      <c r="S4946" s="34"/>
    </row>
    <row r="4947" spans="14:19">
      <c r="N4947" s="34"/>
      <c r="O4947" s="34"/>
      <c r="P4947" s="34"/>
      <c r="Q4947" s="34"/>
      <c r="R4947" s="34"/>
      <c r="S4947" s="34"/>
    </row>
    <row r="4948" spans="14:19">
      <c r="N4948" s="34"/>
      <c r="O4948" s="34"/>
      <c r="P4948" s="34"/>
      <c r="Q4948" s="34"/>
      <c r="R4948" s="34"/>
      <c r="S4948" s="34"/>
    </row>
    <row r="4949" spans="14:19">
      <c r="N4949" s="34"/>
      <c r="O4949" s="34"/>
      <c r="P4949" s="34"/>
      <c r="Q4949" s="34"/>
      <c r="R4949" s="34"/>
      <c r="S4949" s="34"/>
    </row>
    <row r="4950" spans="14:19">
      <c r="N4950" s="34"/>
      <c r="O4950" s="34"/>
      <c r="P4950" s="34"/>
      <c r="Q4950" s="34"/>
      <c r="R4950" s="34"/>
      <c r="S4950" s="34"/>
    </row>
    <row r="4951" spans="14:19">
      <c r="N4951" s="34"/>
      <c r="O4951" s="34"/>
      <c r="P4951" s="34"/>
      <c r="Q4951" s="34"/>
      <c r="R4951" s="34"/>
      <c r="S4951" s="34"/>
    </row>
    <row r="4952" spans="14:19">
      <c r="N4952" s="34"/>
      <c r="O4952" s="34"/>
      <c r="P4952" s="34"/>
      <c r="Q4952" s="34"/>
      <c r="R4952" s="34"/>
      <c r="S4952" s="34"/>
    </row>
    <row r="4953" spans="14:19">
      <c r="N4953" s="34"/>
      <c r="O4953" s="34"/>
      <c r="P4953" s="34"/>
      <c r="Q4953" s="34"/>
      <c r="R4953" s="34"/>
      <c r="S4953" s="34"/>
    </row>
    <row r="4954" spans="14:19">
      <c r="N4954" s="34"/>
      <c r="O4954" s="34"/>
      <c r="P4954" s="34"/>
      <c r="Q4954" s="34"/>
      <c r="R4954" s="34"/>
      <c r="S4954" s="34"/>
    </row>
    <row r="4955" spans="14:19">
      <c r="N4955" s="34"/>
      <c r="O4955" s="34"/>
      <c r="P4955" s="34"/>
      <c r="Q4955" s="34"/>
      <c r="R4955" s="34"/>
      <c r="S4955" s="34"/>
    </row>
    <row r="4956" spans="14:19">
      <c r="N4956" s="34"/>
      <c r="O4956" s="34"/>
      <c r="P4956" s="34"/>
      <c r="Q4956" s="34"/>
      <c r="R4956" s="34"/>
      <c r="S4956" s="34"/>
    </row>
    <row r="4957" spans="14:19">
      <c r="N4957" s="34"/>
      <c r="O4957" s="34"/>
      <c r="P4957" s="34"/>
      <c r="Q4957" s="34"/>
      <c r="R4957" s="34"/>
      <c r="S4957" s="34"/>
    </row>
    <row r="4958" spans="14:19">
      <c r="N4958" s="34"/>
      <c r="O4958" s="34"/>
      <c r="P4958" s="34"/>
      <c r="Q4958" s="34"/>
      <c r="R4958" s="34"/>
      <c r="S4958" s="34"/>
    </row>
    <row r="4959" spans="14:19">
      <c r="N4959" s="34"/>
      <c r="O4959" s="34"/>
      <c r="P4959" s="34"/>
      <c r="Q4959" s="34"/>
      <c r="R4959" s="34"/>
      <c r="S4959" s="34"/>
    </row>
    <row r="4960" spans="14:19">
      <c r="N4960" s="34"/>
      <c r="O4960" s="34"/>
      <c r="P4960" s="34"/>
      <c r="Q4960" s="34"/>
      <c r="R4960" s="34"/>
      <c r="S4960" s="34"/>
    </row>
    <row r="4961" spans="14:19">
      <c r="N4961" s="34"/>
      <c r="O4961" s="34"/>
      <c r="P4961" s="34"/>
      <c r="Q4961" s="34"/>
      <c r="R4961" s="34"/>
      <c r="S4961" s="34"/>
    </row>
    <row r="4962" spans="14:19">
      <c r="N4962" s="34"/>
      <c r="O4962" s="34"/>
      <c r="P4962" s="34"/>
      <c r="Q4962" s="34"/>
      <c r="R4962" s="34"/>
      <c r="S4962" s="34"/>
    </row>
    <row r="4963" spans="14:19">
      <c r="N4963" s="34"/>
      <c r="O4963" s="34"/>
      <c r="P4963" s="34"/>
      <c r="Q4963" s="34"/>
      <c r="R4963" s="34"/>
      <c r="S4963" s="34"/>
    </row>
    <row r="4964" spans="14:19">
      <c r="N4964" s="34"/>
      <c r="O4964" s="34"/>
      <c r="P4964" s="34"/>
      <c r="Q4964" s="34"/>
      <c r="R4964" s="34"/>
      <c r="S4964" s="34"/>
    </row>
    <row r="4965" spans="14:19">
      <c r="N4965" s="34"/>
      <c r="O4965" s="34"/>
      <c r="P4965" s="34"/>
      <c r="Q4965" s="34"/>
      <c r="R4965" s="34"/>
      <c r="S4965" s="34"/>
    </row>
    <row r="4966" spans="14:19">
      <c r="N4966" s="34"/>
      <c r="O4966" s="34"/>
      <c r="P4966" s="34"/>
      <c r="Q4966" s="34"/>
      <c r="R4966" s="34"/>
      <c r="S4966" s="34"/>
    </row>
    <row r="4967" spans="14:19">
      <c r="N4967" s="34"/>
      <c r="O4967" s="34"/>
      <c r="P4967" s="34"/>
      <c r="Q4967" s="34"/>
      <c r="R4967" s="34"/>
      <c r="S4967" s="34"/>
    </row>
    <row r="4968" spans="14:19">
      <c r="N4968" s="34"/>
      <c r="O4968" s="34"/>
      <c r="P4968" s="34"/>
      <c r="Q4968" s="34"/>
      <c r="R4968" s="34"/>
      <c r="S4968" s="34"/>
    </row>
    <row r="4969" spans="14:19">
      <c r="N4969" s="34"/>
      <c r="O4969" s="34"/>
      <c r="P4969" s="34"/>
      <c r="Q4969" s="34"/>
      <c r="R4969" s="34"/>
      <c r="S4969" s="34"/>
    </row>
    <row r="4970" spans="14:19">
      <c r="N4970" s="34"/>
      <c r="O4970" s="34"/>
      <c r="P4970" s="34"/>
      <c r="Q4970" s="34"/>
      <c r="R4970" s="34"/>
      <c r="S4970" s="34"/>
    </row>
    <row r="4971" spans="14:19">
      <c r="N4971" s="34"/>
      <c r="O4971" s="34"/>
      <c r="P4971" s="34"/>
      <c r="Q4971" s="34"/>
      <c r="R4971" s="34"/>
      <c r="S4971" s="34"/>
    </row>
    <row r="4972" spans="14:19">
      <c r="N4972" s="34"/>
      <c r="O4972" s="34"/>
      <c r="P4972" s="34"/>
      <c r="Q4972" s="34"/>
      <c r="R4972" s="34"/>
      <c r="S4972" s="34"/>
    </row>
    <row r="4973" spans="14:19">
      <c r="N4973" s="34"/>
      <c r="O4973" s="34"/>
      <c r="P4973" s="34"/>
      <c r="Q4973" s="34"/>
      <c r="R4973" s="34"/>
      <c r="S4973" s="34"/>
    </row>
    <row r="4974" spans="14:19">
      <c r="N4974" s="34"/>
      <c r="O4974" s="34"/>
      <c r="P4974" s="34"/>
      <c r="Q4974" s="34"/>
      <c r="R4974" s="34"/>
      <c r="S4974" s="34"/>
    </row>
    <row r="4975" spans="14:19">
      <c r="N4975" s="34"/>
      <c r="O4975" s="34"/>
      <c r="P4975" s="34"/>
      <c r="Q4975" s="34"/>
      <c r="R4975" s="34"/>
      <c r="S4975" s="34"/>
    </row>
    <row r="4976" spans="14:19">
      <c r="N4976" s="34"/>
      <c r="O4976" s="34"/>
      <c r="P4976" s="34"/>
      <c r="Q4976" s="34"/>
      <c r="R4976" s="34"/>
      <c r="S4976" s="34"/>
    </row>
    <row r="4977" spans="14:19">
      <c r="N4977" s="34"/>
      <c r="O4977" s="34"/>
      <c r="P4977" s="34"/>
      <c r="Q4977" s="34"/>
      <c r="R4977" s="34"/>
      <c r="S4977" s="34"/>
    </row>
    <row r="4978" spans="14:19">
      <c r="N4978" s="34"/>
      <c r="O4978" s="34"/>
      <c r="P4978" s="34"/>
      <c r="Q4978" s="34"/>
      <c r="R4978" s="34"/>
      <c r="S4978" s="34"/>
    </row>
    <row r="4979" spans="14:19">
      <c r="N4979" s="34"/>
      <c r="O4979" s="34"/>
      <c r="P4979" s="34"/>
      <c r="Q4979" s="34"/>
      <c r="R4979" s="34"/>
      <c r="S4979" s="34"/>
    </row>
    <row r="4980" spans="14:19">
      <c r="N4980" s="34"/>
      <c r="O4980" s="34"/>
      <c r="P4980" s="34"/>
      <c r="Q4980" s="34"/>
      <c r="R4980" s="34"/>
      <c r="S4980" s="34"/>
    </row>
    <row r="4981" spans="14:19">
      <c r="N4981" s="34"/>
      <c r="O4981" s="34"/>
      <c r="P4981" s="34"/>
      <c r="Q4981" s="34"/>
      <c r="R4981" s="34"/>
      <c r="S4981" s="34"/>
    </row>
    <row r="4982" spans="14:19">
      <c r="N4982" s="34"/>
      <c r="O4982" s="34"/>
      <c r="P4982" s="34"/>
      <c r="Q4982" s="34"/>
      <c r="R4982" s="34"/>
      <c r="S4982" s="34"/>
    </row>
    <row r="4983" spans="14:19">
      <c r="N4983" s="34"/>
      <c r="O4983" s="34"/>
      <c r="P4983" s="34"/>
      <c r="Q4983" s="34"/>
      <c r="R4983" s="34"/>
      <c r="S4983" s="34"/>
    </row>
    <row r="4984" spans="14:19">
      <c r="N4984" s="34"/>
      <c r="O4984" s="34"/>
      <c r="P4984" s="34"/>
      <c r="Q4984" s="34"/>
      <c r="R4984" s="34"/>
      <c r="S4984" s="34"/>
    </row>
    <row r="4985" spans="14:19">
      <c r="N4985" s="34"/>
      <c r="O4985" s="34"/>
      <c r="P4985" s="34"/>
      <c r="Q4985" s="34"/>
      <c r="R4985" s="34"/>
      <c r="S4985" s="34"/>
    </row>
    <row r="4986" spans="14:19">
      <c r="N4986" s="34"/>
      <c r="O4986" s="34"/>
      <c r="P4986" s="34"/>
      <c r="Q4986" s="34"/>
      <c r="R4986" s="34"/>
      <c r="S4986" s="34"/>
    </row>
    <row r="4987" spans="14:19">
      <c r="N4987" s="34"/>
      <c r="O4987" s="34"/>
      <c r="P4987" s="34"/>
      <c r="Q4987" s="34"/>
      <c r="R4987" s="34"/>
      <c r="S4987" s="34"/>
    </row>
    <row r="4988" spans="14:19">
      <c r="N4988" s="34"/>
      <c r="O4988" s="34"/>
      <c r="P4988" s="34"/>
      <c r="Q4988" s="34"/>
      <c r="R4988" s="34"/>
      <c r="S4988" s="34"/>
    </row>
    <row r="4989" spans="14:19">
      <c r="N4989" s="34"/>
      <c r="O4989" s="34"/>
      <c r="P4989" s="34"/>
      <c r="Q4989" s="34"/>
      <c r="R4989" s="34"/>
      <c r="S4989" s="34"/>
    </row>
    <row r="4990" spans="14:19">
      <c r="N4990" s="34"/>
      <c r="O4990" s="34"/>
      <c r="P4990" s="34"/>
      <c r="Q4990" s="34"/>
      <c r="R4990" s="34"/>
      <c r="S4990" s="34"/>
    </row>
    <row r="4991" spans="14:19">
      <c r="N4991" s="34"/>
      <c r="O4991" s="34"/>
      <c r="P4991" s="34"/>
      <c r="Q4991" s="34"/>
      <c r="R4991" s="34"/>
      <c r="S4991" s="34"/>
    </row>
    <row r="4992" spans="14:19">
      <c r="N4992" s="34"/>
      <c r="O4992" s="34"/>
      <c r="P4992" s="34"/>
      <c r="Q4992" s="34"/>
      <c r="R4992" s="34"/>
      <c r="S4992" s="34"/>
    </row>
    <row r="4993" spans="14:19">
      <c r="N4993" s="34"/>
      <c r="O4993" s="34"/>
      <c r="P4993" s="34"/>
      <c r="Q4993" s="34"/>
      <c r="R4993" s="34"/>
      <c r="S4993" s="34"/>
    </row>
    <row r="4994" spans="14:19">
      <c r="N4994" s="34"/>
      <c r="O4994" s="34"/>
      <c r="P4994" s="34"/>
      <c r="Q4994" s="34"/>
      <c r="R4994" s="34"/>
      <c r="S4994" s="34"/>
    </row>
    <row r="4995" spans="14:19">
      <c r="N4995" s="34"/>
      <c r="O4995" s="34"/>
      <c r="P4995" s="34"/>
      <c r="Q4995" s="34"/>
      <c r="R4995" s="34"/>
      <c r="S4995" s="34"/>
    </row>
    <row r="4996" spans="14:19">
      <c r="N4996" s="34"/>
      <c r="O4996" s="34"/>
      <c r="P4996" s="34"/>
      <c r="Q4996" s="34"/>
      <c r="R4996" s="34"/>
      <c r="S4996" s="34"/>
    </row>
    <row r="4997" spans="14:19">
      <c r="N4997" s="34"/>
      <c r="O4997" s="34"/>
      <c r="P4997" s="34"/>
      <c r="Q4997" s="34"/>
      <c r="R4997" s="34"/>
      <c r="S4997" s="34"/>
    </row>
    <row r="4998" spans="14:19">
      <c r="N4998" s="34"/>
      <c r="O4998" s="34"/>
      <c r="P4998" s="34"/>
      <c r="Q4998" s="34"/>
      <c r="R4998" s="34"/>
      <c r="S4998" s="34"/>
    </row>
    <row r="4999" spans="14:19">
      <c r="N4999" s="34"/>
      <c r="O4999" s="34"/>
      <c r="P4999" s="34"/>
      <c r="Q4999" s="34"/>
      <c r="R4999" s="34"/>
      <c r="S4999" s="34"/>
    </row>
    <row r="5000" spans="14:19">
      <c r="N5000" s="34"/>
      <c r="O5000" s="34"/>
      <c r="P5000" s="34"/>
      <c r="Q5000" s="34"/>
      <c r="R5000" s="34"/>
      <c r="S5000" s="34"/>
    </row>
    <row r="5001" spans="14:19">
      <c r="N5001" s="34"/>
      <c r="O5001" s="34"/>
      <c r="P5001" s="34"/>
      <c r="Q5001" s="34"/>
      <c r="R5001" s="34"/>
      <c r="S5001" s="34"/>
    </row>
    <row r="5002" spans="14:19">
      <c r="N5002" s="34"/>
      <c r="O5002" s="34"/>
      <c r="P5002" s="34"/>
      <c r="Q5002" s="34"/>
      <c r="R5002" s="34"/>
      <c r="S5002" s="34"/>
    </row>
    <row r="5003" spans="14:19">
      <c r="N5003" s="34"/>
      <c r="O5003" s="34"/>
      <c r="P5003" s="34"/>
      <c r="Q5003" s="34"/>
      <c r="R5003" s="34"/>
      <c r="S5003" s="34"/>
    </row>
    <row r="5004" spans="14:19">
      <c r="N5004" s="34"/>
      <c r="O5004" s="34"/>
      <c r="P5004" s="34"/>
      <c r="Q5004" s="34"/>
      <c r="R5004" s="34"/>
      <c r="S5004" s="34"/>
    </row>
    <row r="5005" spans="14:19">
      <c r="N5005" s="34"/>
      <c r="O5005" s="34"/>
      <c r="P5005" s="34"/>
      <c r="Q5005" s="34"/>
      <c r="R5005" s="34"/>
      <c r="S5005" s="34"/>
    </row>
    <row r="5006" spans="14:19">
      <c r="N5006" s="34"/>
      <c r="O5006" s="34"/>
      <c r="P5006" s="34"/>
      <c r="Q5006" s="34"/>
      <c r="R5006" s="34"/>
      <c r="S5006" s="34"/>
    </row>
    <row r="5007" spans="14:19">
      <c r="N5007" s="34"/>
      <c r="O5007" s="34"/>
      <c r="P5007" s="34"/>
      <c r="Q5007" s="34"/>
      <c r="R5007" s="34"/>
      <c r="S5007" s="34"/>
    </row>
    <row r="5008" spans="14:19">
      <c r="N5008" s="34"/>
      <c r="O5008" s="34"/>
      <c r="P5008" s="34"/>
      <c r="Q5008" s="34"/>
      <c r="R5008" s="34"/>
      <c r="S5008" s="34"/>
    </row>
    <row r="5009" spans="14:19">
      <c r="N5009" s="34"/>
      <c r="O5009" s="34"/>
      <c r="P5009" s="34"/>
      <c r="Q5009" s="34"/>
      <c r="R5009" s="34"/>
      <c r="S5009" s="34"/>
    </row>
    <row r="5010" spans="14:19">
      <c r="N5010" s="34"/>
      <c r="O5010" s="34"/>
      <c r="P5010" s="34"/>
      <c r="Q5010" s="34"/>
      <c r="R5010" s="34"/>
      <c r="S5010" s="34"/>
    </row>
    <row r="5011" spans="14:19">
      <c r="N5011" s="34"/>
      <c r="O5011" s="34"/>
      <c r="P5011" s="34"/>
      <c r="Q5011" s="34"/>
      <c r="R5011" s="34"/>
      <c r="S5011" s="34"/>
    </row>
    <row r="5012" spans="14:19">
      <c r="N5012" s="34"/>
      <c r="O5012" s="34"/>
      <c r="P5012" s="34"/>
      <c r="Q5012" s="34"/>
      <c r="R5012" s="34"/>
      <c r="S5012" s="34"/>
    </row>
    <row r="5013" spans="14:19">
      <c r="N5013" s="34"/>
      <c r="O5013" s="34"/>
      <c r="P5013" s="34"/>
      <c r="Q5013" s="34"/>
      <c r="R5013" s="34"/>
      <c r="S5013" s="34"/>
    </row>
    <row r="5014" spans="14:19">
      <c r="N5014" s="34"/>
      <c r="O5014" s="34"/>
      <c r="P5014" s="34"/>
      <c r="Q5014" s="34"/>
      <c r="R5014" s="34"/>
      <c r="S5014" s="34"/>
    </row>
    <row r="5015" spans="14:19">
      <c r="N5015" s="34"/>
      <c r="O5015" s="34"/>
      <c r="P5015" s="34"/>
      <c r="Q5015" s="34"/>
      <c r="R5015" s="34"/>
      <c r="S5015" s="34"/>
    </row>
    <row r="5016" spans="14:19">
      <c r="N5016" s="34"/>
      <c r="O5016" s="34"/>
      <c r="P5016" s="34"/>
      <c r="Q5016" s="34"/>
      <c r="R5016" s="34"/>
      <c r="S5016" s="34"/>
    </row>
    <row r="5017" spans="14:19">
      <c r="N5017" s="34"/>
      <c r="O5017" s="34"/>
      <c r="P5017" s="34"/>
      <c r="Q5017" s="34"/>
      <c r="R5017" s="34"/>
      <c r="S5017" s="34"/>
    </row>
    <row r="5018" spans="14:19">
      <c r="N5018" s="34"/>
      <c r="O5018" s="34"/>
      <c r="P5018" s="34"/>
      <c r="Q5018" s="34"/>
      <c r="R5018" s="34"/>
      <c r="S5018" s="34"/>
    </row>
    <row r="5019" spans="14:19">
      <c r="N5019" s="34"/>
      <c r="O5019" s="34"/>
      <c r="P5019" s="34"/>
      <c r="Q5019" s="34"/>
      <c r="R5019" s="34"/>
      <c r="S5019" s="34"/>
    </row>
    <row r="5020" spans="14:19">
      <c r="N5020" s="34"/>
      <c r="O5020" s="34"/>
      <c r="P5020" s="34"/>
      <c r="Q5020" s="34"/>
      <c r="R5020" s="34"/>
      <c r="S5020" s="34"/>
    </row>
    <row r="5021" spans="14:19">
      <c r="N5021" s="34"/>
      <c r="O5021" s="34"/>
      <c r="P5021" s="34"/>
      <c r="Q5021" s="34"/>
      <c r="R5021" s="34"/>
      <c r="S5021" s="34"/>
    </row>
    <row r="5022" spans="14:19">
      <c r="N5022" s="34"/>
      <c r="O5022" s="34"/>
      <c r="P5022" s="34"/>
      <c r="Q5022" s="34"/>
      <c r="R5022" s="34"/>
      <c r="S5022" s="34"/>
    </row>
    <row r="5023" spans="14:19">
      <c r="N5023" s="34"/>
      <c r="O5023" s="34"/>
      <c r="P5023" s="34"/>
      <c r="Q5023" s="34"/>
      <c r="R5023" s="34"/>
      <c r="S5023" s="34"/>
    </row>
    <row r="5024" spans="14:19">
      <c r="N5024" s="34"/>
      <c r="O5024" s="34"/>
      <c r="P5024" s="34"/>
      <c r="Q5024" s="34"/>
      <c r="R5024" s="34"/>
      <c r="S5024" s="34"/>
    </row>
    <row r="5025" spans="14:19">
      <c r="N5025" s="34"/>
      <c r="O5025" s="34"/>
      <c r="P5025" s="34"/>
      <c r="Q5025" s="34"/>
      <c r="R5025" s="34"/>
      <c r="S5025" s="34"/>
    </row>
    <row r="5026" spans="14:19">
      <c r="N5026" s="34"/>
      <c r="O5026" s="34"/>
      <c r="P5026" s="34"/>
      <c r="Q5026" s="34"/>
      <c r="R5026" s="34"/>
      <c r="S5026" s="34"/>
    </row>
    <row r="5027" spans="14:19">
      <c r="N5027" s="34"/>
      <c r="O5027" s="34"/>
      <c r="P5027" s="34"/>
      <c r="Q5027" s="34"/>
      <c r="R5027" s="34"/>
      <c r="S5027" s="34"/>
    </row>
    <row r="5028" spans="14:19">
      <c r="N5028" s="34"/>
      <c r="O5028" s="34"/>
      <c r="P5028" s="34"/>
      <c r="Q5028" s="34"/>
      <c r="R5028" s="34"/>
      <c r="S5028" s="34"/>
    </row>
    <row r="5029" spans="14:19">
      <c r="N5029" s="34"/>
      <c r="O5029" s="34"/>
      <c r="P5029" s="34"/>
      <c r="Q5029" s="34"/>
      <c r="R5029" s="34"/>
      <c r="S5029" s="34"/>
    </row>
    <row r="5030" spans="14:19">
      <c r="N5030" s="34"/>
      <c r="O5030" s="34"/>
      <c r="P5030" s="34"/>
      <c r="Q5030" s="34"/>
      <c r="R5030" s="34"/>
      <c r="S5030" s="34"/>
    </row>
    <row r="5031" spans="14:19">
      <c r="N5031" s="34"/>
      <c r="O5031" s="34"/>
      <c r="P5031" s="34"/>
      <c r="Q5031" s="34"/>
      <c r="R5031" s="34"/>
      <c r="S5031" s="34"/>
    </row>
    <row r="5032" spans="14:19">
      <c r="N5032" s="34"/>
      <c r="O5032" s="34"/>
      <c r="P5032" s="34"/>
      <c r="Q5032" s="34"/>
      <c r="R5032" s="34"/>
      <c r="S5032" s="34"/>
    </row>
    <row r="5033" spans="14:19">
      <c r="N5033" s="34"/>
      <c r="O5033" s="34"/>
      <c r="P5033" s="34"/>
      <c r="Q5033" s="34"/>
      <c r="R5033" s="34"/>
      <c r="S5033" s="34"/>
    </row>
    <row r="5034" spans="14:19">
      <c r="N5034" s="34"/>
      <c r="O5034" s="34"/>
      <c r="P5034" s="34"/>
      <c r="Q5034" s="34"/>
      <c r="R5034" s="34"/>
      <c r="S5034" s="34"/>
    </row>
    <row r="5035" spans="14:19">
      <c r="N5035" s="34"/>
      <c r="O5035" s="34"/>
      <c r="P5035" s="34"/>
      <c r="Q5035" s="34"/>
      <c r="R5035" s="34"/>
      <c r="S5035" s="34"/>
    </row>
    <row r="5036" spans="14:19">
      <c r="N5036" s="34"/>
      <c r="O5036" s="34"/>
      <c r="P5036" s="34"/>
      <c r="Q5036" s="34"/>
      <c r="R5036" s="34"/>
      <c r="S5036" s="34"/>
    </row>
    <row r="5037" spans="14:19">
      <c r="N5037" s="34"/>
      <c r="O5037" s="34"/>
      <c r="P5037" s="34"/>
      <c r="Q5037" s="34"/>
      <c r="R5037" s="34"/>
      <c r="S5037" s="34"/>
    </row>
    <row r="5038" spans="14:19">
      <c r="N5038" s="34"/>
      <c r="O5038" s="34"/>
      <c r="P5038" s="34"/>
      <c r="Q5038" s="34"/>
      <c r="R5038" s="34"/>
      <c r="S5038" s="34"/>
    </row>
    <row r="5039" spans="14:19">
      <c r="N5039" s="34"/>
      <c r="O5039" s="34"/>
      <c r="P5039" s="34"/>
      <c r="Q5039" s="34"/>
      <c r="R5039" s="34"/>
      <c r="S5039" s="34"/>
    </row>
    <row r="5040" spans="14:19">
      <c r="N5040" s="34"/>
      <c r="O5040" s="34"/>
      <c r="P5040" s="34"/>
      <c r="Q5040" s="34"/>
      <c r="R5040" s="34"/>
      <c r="S5040" s="34"/>
    </row>
    <row r="5041" spans="14:19">
      <c r="N5041" s="34"/>
      <c r="O5041" s="34"/>
      <c r="P5041" s="34"/>
      <c r="Q5041" s="34"/>
      <c r="R5041" s="34"/>
      <c r="S5041" s="34"/>
    </row>
    <row r="5042" spans="14:19">
      <c r="N5042" s="34"/>
      <c r="O5042" s="34"/>
      <c r="P5042" s="34"/>
      <c r="Q5042" s="34"/>
      <c r="R5042" s="34"/>
      <c r="S5042" s="34"/>
    </row>
    <row r="5043" spans="14:19">
      <c r="N5043" s="34"/>
      <c r="O5043" s="34"/>
      <c r="P5043" s="34"/>
      <c r="Q5043" s="34"/>
      <c r="R5043" s="34"/>
      <c r="S5043" s="34"/>
    </row>
    <row r="5044" spans="14:19">
      <c r="N5044" s="34"/>
      <c r="O5044" s="34"/>
      <c r="P5044" s="34"/>
      <c r="Q5044" s="34"/>
      <c r="R5044" s="34"/>
      <c r="S5044" s="34"/>
    </row>
    <row r="5045" spans="14:19">
      <c r="N5045" s="34"/>
      <c r="O5045" s="34"/>
      <c r="P5045" s="34"/>
      <c r="Q5045" s="34"/>
      <c r="R5045" s="34"/>
      <c r="S5045" s="34"/>
    </row>
    <row r="5046" spans="14:19">
      <c r="N5046" s="34"/>
      <c r="O5046" s="34"/>
      <c r="P5046" s="34"/>
      <c r="Q5046" s="34"/>
      <c r="R5046" s="34"/>
      <c r="S5046" s="34"/>
    </row>
    <row r="5047" spans="14:19">
      <c r="N5047" s="34"/>
      <c r="O5047" s="34"/>
      <c r="P5047" s="34"/>
      <c r="Q5047" s="34"/>
      <c r="R5047" s="34"/>
      <c r="S5047" s="34"/>
    </row>
    <row r="5048" spans="14:19">
      <c r="N5048" s="34"/>
      <c r="O5048" s="34"/>
      <c r="P5048" s="34"/>
      <c r="Q5048" s="34"/>
      <c r="R5048" s="34"/>
      <c r="S5048" s="34"/>
    </row>
    <row r="5049" spans="14:19">
      <c r="N5049" s="34"/>
      <c r="O5049" s="34"/>
      <c r="P5049" s="34"/>
      <c r="Q5049" s="34"/>
      <c r="R5049" s="34"/>
      <c r="S5049" s="34"/>
    </row>
    <row r="5050" spans="14:19">
      <c r="N5050" s="34"/>
      <c r="O5050" s="34"/>
      <c r="P5050" s="34"/>
      <c r="Q5050" s="34"/>
      <c r="R5050" s="34"/>
      <c r="S5050" s="34"/>
    </row>
    <row r="5051" spans="14:19">
      <c r="N5051" s="34"/>
      <c r="O5051" s="34"/>
      <c r="P5051" s="34"/>
      <c r="Q5051" s="34"/>
      <c r="R5051" s="34"/>
      <c r="S5051" s="34"/>
    </row>
    <row r="5052" spans="14:19">
      <c r="N5052" s="34"/>
      <c r="O5052" s="34"/>
      <c r="P5052" s="34"/>
      <c r="Q5052" s="34"/>
      <c r="R5052" s="34"/>
      <c r="S5052" s="34"/>
    </row>
    <row r="5053" spans="14:19">
      <c r="N5053" s="34"/>
      <c r="O5053" s="34"/>
      <c r="P5053" s="34"/>
      <c r="Q5053" s="34"/>
      <c r="R5053" s="34"/>
      <c r="S5053" s="34"/>
    </row>
    <row r="5054" spans="14:19">
      <c r="N5054" s="34"/>
      <c r="O5054" s="34"/>
      <c r="P5054" s="34"/>
      <c r="Q5054" s="34"/>
      <c r="R5054" s="34"/>
      <c r="S5054" s="34"/>
    </row>
    <row r="5055" spans="14:19">
      <c r="N5055" s="34"/>
      <c r="O5055" s="34"/>
      <c r="P5055" s="34"/>
      <c r="Q5055" s="34"/>
      <c r="R5055" s="34"/>
      <c r="S5055" s="34"/>
    </row>
    <row r="5056" spans="14:19">
      <c r="N5056" s="34"/>
      <c r="O5056" s="34"/>
      <c r="P5056" s="34"/>
      <c r="Q5056" s="34"/>
      <c r="R5056" s="34"/>
      <c r="S5056" s="34"/>
    </row>
    <row r="5057" spans="14:19">
      <c r="N5057" s="34"/>
      <c r="O5057" s="34"/>
      <c r="P5057" s="34"/>
      <c r="Q5057" s="34"/>
      <c r="R5057" s="34"/>
      <c r="S5057" s="34"/>
    </row>
    <row r="5058" spans="14:19">
      <c r="N5058" s="34"/>
      <c r="O5058" s="34"/>
      <c r="P5058" s="34"/>
      <c r="Q5058" s="34"/>
      <c r="R5058" s="34"/>
      <c r="S5058" s="34"/>
    </row>
    <row r="5059" spans="14:19">
      <c r="N5059" s="34"/>
      <c r="O5059" s="34"/>
      <c r="P5059" s="34"/>
      <c r="Q5059" s="34"/>
      <c r="R5059" s="34"/>
      <c r="S5059" s="34"/>
    </row>
    <row r="5060" spans="14:19">
      <c r="N5060" s="34"/>
      <c r="O5060" s="34"/>
      <c r="P5060" s="34"/>
      <c r="Q5060" s="34"/>
      <c r="R5060" s="34"/>
      <c r="S5060" s="34"/>
    </row>
    <row r="5061" spans="14:19">
      <c r="N5061" s="34"/>
      <c r="O5061" s="34"/>
      <c r="P5061" s="34"/>
      <c r="Q5061" s="34"/>
      <c r="R5061" s="34"/>
      <c r="S5061" s="34"/>
    </row>
    <row r="5062" spans="14:19">
      <c r="N5062" s="34"/>
      <c r="O5062" s="34"/>
      <c r="P5062" s="34"/>
      <c r="Q5062" s="34"/>
      <c r="R5062" s="34"/>
      <c r="S5062" s="34"/>
    </row>
    <row r="5063" spans="14:19">
      <c r="N5063" s="34"/>
      <c r="O5063" s="34"/>
      <c r="P5063" s="34"/>
      <c r="Q5063" s="34"/>
      <c r="R5063" s="34"/>
      <c r="S5063" s="34"/>
    </row>
    <row r="5064" spans="14:19">
      <c r="N5064" s="34"/>
      <c r="O5064" s="34"/>
      <c r="P5064" s="34"/>
      <c r="Q5064" s="34"/>
      <c r="R5064" s="34"/>
      <c r="S5064" s="34"/>
    </row>
    <row r="5065" spans="14:19">
      <c r="N5065" s="34"/>
      <c r="O5065" s="34"/>
      <c r="P5065" s="34"/>
      <c r="Q5065" s="34"/>
      <c r="R5065" s="34"/>
      <c r="S5065" s="34"/>
    </row>
    <row r="5066" spans="14:19">
      <c r="N5066" s="34"/>
      <c r="O5066" s="34"/>
      <c r="P5066" s="34"/>
      <c r="Q5066" s="34"/>
      <c r="R5066" s="34"/>
      <c r="S5066" s="34"/>
    </row>
    <row r="5067" spans="14:19">
      <c r="N5067" s="34"/>
      <c r="O5067" s="34"/>
      <c r="P5067" s="34"/>
      <c r="Q5067" s="34"/>
      <c r="R5067" s="34"/>
      <c r="S5067" s="34"/>
    </row>
    <row r="5068" spans="14:19">
      <c r="N5068" s="34"/>
      <c r="O5068" s="34"/>
      <c r="P5068" s="34"/>
      <c r="Q5068" s="34"/>
      <c r="R5068" s="34"/>
      <c r="S5068" s="34"/>
    </row>
    <row r="5069" spans="14:19">
      <c r="N5069" s="34"/>
      <c r="O5069" s="34"/>
      <c r="P5069" s="34"/>
      <c r="Q5069" s="34"/>
      <c r="R5069" s="34"/>
      <c r="S5069" s="34"/>
    </row>
    <row r="5070" spans="14:19">
      <c r="N5070" s="34"/>
      <c r="O5070" s="34"/>
      <c r="P5070" s="34"/>
      <c r="Q5070" s="34"/>
      <c r="R5070" s="34"/>
      <c r="S5070" s="34"/>
    </row>
    <row r="5071" spans="14:19">
      <c r="N5071" s="34"/>
      <c r="O5071" s="34"/>
      <c r="P5071" s="34"/>
      <c r="Q5071" s="34"/>
      <c r="R5071" s="34"/>
      <c r="S5071" s="34"/>
    </row>
    <row r="5072" spans="14:19">
      <c r="N5072" s="34"/>
      <c r="O5072" s="34"/>
      <c r="P5072" s="34"/>
      <c r="Q5072" s="34"/>
      <c r="R5072" s="34"/>
      <c r="S5072" s="34"/>
    </row>
    <row r="5073" spans="14:19">
      <c r="N5073" s="34"/>
      <c r="O5073" s="34"/>
      <c r="P5073" s="34"/>
      <c r="Q5073" s="34"/>
      <c r="R5073" s="34"/>
      <c r="S5073" s="34"/>
    </row>
    <row r="5074" spans="14:19">
      <c r="N5074" s="34"/>
      <c r="O5074" s="34"/>
      <c r="P5074" s="34"/>
      <c r="Q5074" s="34"/>
      <c r="R5074" s="34"/>
      <c r="S5074" s="34"/>
    </row>
    <row r="5075" spans="14:19">
      <c r="N5075" s="34"/>
      <c r="O5075" s="34"/>
      <c r="P5075" s="34"/>
      <c r="Q5075" s="34"/>
      <c r="R5075" s="34"/>
      <c r="S5075" s="34"/>
    </row>
    <row r="5076" spans="14:19">
      <c r="N5076" s="34"/>
      <c r="O5076" s="34"/>
      <c r="P5076" s="34"/>
      <c r="Q5076" s="34"/>
      <c r="R5076" s="34"/>
      <c r="S5076" s="34"/>
    </row>
    <row r="5077" spans="14:19">
      <c r="N5077" s="34"/>
      <c r="O5077" s="34"/>
      <c r="P5077" s="34"/>
      <c r="Q5077" s="34"/>
      <c r="R5077" s="34"/>
      <c r="S5077" s="34"/>
    </row>
    <row r="5078" spans="14:19">
      <c r="N5078" s="34"/>
      <c r="O5078" s="34"/>
      <c r="P5078" s="34"/>
      <c r="Q5078" s="34"/>
      <c r="R5078" s="34"/>
      <c r="S5078" s="34"/>
    </row>
    <row r="5079" spans="14:19">
      <c r="N5079" s="34"/>
      <c r="O5079" s="34"/>
      <c r="P5079" s="34"/>
      <c r="Q5079" s="34"/>
      <c r="R5079" s="34"/>
      <c r="S5079" s="34"/>
    </row>
    <row r="5080" spans="14:19">
      <c r="N5080" s="34"/>
      <c r="O5080" s="34"/>
      <c r="P5080" s="34"/>
      <c r="Q5080" s="34"/>
      <c r="R5080" s="34"/>
      <c r="S5080" s="34"/>
    </row>
    <row r="5081" spans="14:19">
      <c r="N5081" s="34"/>
      <c r="O5081" s="34"/>
      <c r="P5081" s="34"/>
      <c r="Q5081" s="34"/>
      <c r="R5081" s="34"/>
      <c r="S5081" s="34"/>
    </row>
    <row r="5082" spans="14:19">
      <c r="N5082" s="34"/>
      <c r="O5082" s="34"/>
      <c r="P5082" s="34"/>
      <c r="Q5082" s="34"/>
      <c r="R5082" s="34"/>
      <c r="S5082" s="34"/>
    </row>
    <row r="5083" spans="14:19">
      <c r="N5083" s="34"/>
      <c r="O5083" s="34"/>
      <c r="P5083" s="34"/>
      <c r="Q5083" s="34"/>
      <c r="R5083" s="34"/>
      <c r="S5083" s="34"/>
    </row>
    <row r="5084" spans="14:19">
      <c r="N5084" s="34"/>
      <c r="O5084" s="34"/>
      <c r="P5084" s="34"/>
      <c r="Q5084" s="34"/>
      <c r="R5084" s="34"/>
      <c r="S5084" s="34"/>
    </row>
    <row r="5085" spans="14:19">
      <c r="N5085" s="34"/>
      <c r="O5085" s="34"/>
      <c r="P5085" s="34"/>
      <c r="Q5085" s="34"/>
      <c r="R5085" s="34"/>
      <c r="S5085" s="34"/>
    </row>
    <row r="5086" spans="14:19">
      <c r="N5086" s="34"/>
      <c r="O5086" s="34"/>
      <c r="P5086" s="34"/>
      <c r="Q5086" s="34"/>
      <c r="R5086" s="34"/>
      <c r="S5086" s="34"/>
    </row>
    <row r="5087" spans="14:19">
      <c r="N5087" s="34"/>
      <c r="O5087" s="34"/>
      <c r="P5087" s="34"/>
      <c r="Q5087" s="34"/>
      <c r="R5087" s="34"/>
      <c r="S5087" s="34"/>
    </row>
    <row r="5088" spans="14:19">
      <c r="N5088" s="34"/>
      <c r="O5088" s="34"/>
      <c r="P5088" s="34"/>
      <c r="Q5088" s="34"/>
      <c r="R5088" s="34"/>
      <c r="S5088" s="34"/>
    </row>
    <row r="5089" spans="14:19">
      <c r="N5089" s="34"/>
      <c r="O5089" s="34"/>
      <c r="P5089" s="34"/>
      <c r="Q5089" s="34"/>
      <c r="R5089" s="34"/>
      <c r="S5089" s="34"/>
    </row>
    <row r="5090" spans="14:19">
      <c r="N5090" s="34"/>
      <c r="O5090" s="34"/>
      <c r="P5090" s="34"/>
      <c r="Q5090" s="34"/>
      <c r="R5090" s="34"/>
      <c r="S5090" s="34"/>
    </row>
    <row r="5091" spans="14:19">
      <c r="N5091" s="34"/>
      <c r="O5091" s="34"/>
      <c r="P5091" s="34"/>
      <c r="Q5091" s="34"/>
      <c r="R5091" s="34"/>
      <c r="S5091" s="34"/>
    </row>
    <row r="5092" spans="14:19">
      <c r="N5092" s="34"/>
      <c r="O5092" s="34"/>
      <c r="P5092" s="34"/>
      <c r="Q5092" s="34"/>
      <c r="R5092" s="34"/>
      <c r="S5092" s="34"/>
    </row>
    <row r="5093" spans="14:19">
      <c r="N5093" s="34"/>
      <c r="O5093" s="34"/>
      <c r="P5093" s="34"/>
      <c r="Q5093" s="34"/>
      <c r="R5093" s="34"/>
      <c r="S5093" s="34"/>
    </row>
    <row r="5094" spans="14:19">
      <c r="N5094" s="34"/>
      <c r="O5094" s="34"/>
      <c r="P5094" s="34"/>
      <c r="Q5094" s="34"/>
      <c r="R5094" s="34"/>
      <c r="S5094" s="34"/>
    </row>
    <row r="5095" spans="14:19">
      <c r="N5095" s="34"/>
      <c r="O5095" s="34"/>
      <c r="P5095" s="34"/>
      <c r="Q5095" s="34"/>
      <c r="R5095" s="34"/>
      <c r="S5095" s="34"/>
    </row>
    <row r="5096" spans="14:19">
      <c r="N5096" s="34"/>
      <c r="O5096" s="34"/>
      <c r="P5096" s="34"/>
      <c r="Q5096" s="34"/>
      <c r="R5096" s="34"/>
      <c r="S5096" s="34"/>
    </row>
    <row r="5097" spans="14:19">
      <c r="N5097" s="34"/>
      <c r="O5097" s="34"/>
      <c r="P5097" s="34"/>
      <c r="Q5097" s="34"/>
      <c r="R5097" s="34"/>
      <c r="S5097" s="34"/>
    </row>
    <row r="5098" spans="14:19">
      <c r="N5098" s="34"/>
      <c r="O5098" s="34"/>
      <c r="P5098" s="34"/>
      <c r="Q5098" s="34"/>
      <c r="R5098" s="34"/>
      <c r="S5098" s="34"/>
    </row>
    <row r="5099" spans="14:19">
      <c r="N5099" s="34"/>
      <c r="O5099" s="34"/>
      <c r="P5099" s="34"/>
      <c r="Q5099" s="34"/>
      <c r="R5099" s="34"/>
      <c r="S5099" s="34"/>
    </row>
    <row r="5100" spans="14:19">
      <c r="N5100" s="34"/>
      <c r="O5100" s="34"/>
      <c r="P5100" s="34"/>
      <c r="Q5100" s="34"/>
      <c r="R5100" s="34"/>
      <c r="S5100" s="34"/>
    </row>
    <row r="5101" spans="14:19">
      <c r="N5101" s="34"/>
      <c r="O5101" s="34"/>
      <c r="P5101" s="34"/>
      <c r="Q5101" s="34"/>
      <c r="R5101" s="34"/>
      <c r="S5101" s="34"/>
    </row>
    <row r="5102" spans="14:19">
      <c r="N5102" s="34"/>
      <c r="O5102" s="34"/>
      <c r="P5102" s="34"/>
      <c r="Q5102" s="34"/>
      <c r="R5102" s="34"/>
      <c r="S5102" s="34"/>
    </row>
    <row r="5103" spans="14:19">
      <c r="N5103" s="34"/>
      <c r="O5103" s="34"/>
      <c r="P5103" s="34"/>
      <c r="Q5103" s="34"/>
      <c r="R5103" s="34"/>
      <c r="S5103" s="34"/>
    </row>
    <row r="5104" spans="14:19">
      <c r="N5104" s="34"/>
      <c r="O5104" s="34"/>
      <c r="P5104" s="34"/>
      <c r="Q5104" s="34"/>
      <c r="R5104" s="34"/>
      <c r="S5104" s="34"/>
    </row>
    <row r="5105" spans="14:19">
      <c r="N5105" s="34"/>
      <c r="O5105" s="34"/>
      <c r="P5105" s="34"/>
      <c r="Q5105" s="34"/>
      <c r="R5105" s="34"/>
      <c r="S5105" s="34"/>
    </row>
    <row r="5106" spans="14:19">
      <c r="N5106" s="34"/>
      <c r="O5106" s="34"/>
      <c r="P5106" s="34"/>
      <c r="Q5106" s="34"/>
      <c r="R5106" s="34"/>
      <c r="S5106" s="34"/>
    </row>
    <row r="5107" spans="14:19">
      <c r="N5107" s="34"/>
      <c r="O5107" s="34"/>
      <c r="P5107" s="34"/>
      <c r="Q5107" s="34"/>
      <c r="R5107" s="34"/>
      <c r="S5107" s="34"/>
    </row>
    <row r="5108" spans="14:19">
      <c r="N5108" s="34"/>
      <c r="O5108" s="34"/>
      <c r="P5108" s="34"/>
      <c r="Q5108" s="34"/>
      <c r="R5108" s="34"/>
      <c r="S5108" s="34"/>
    </row>
    <row r="5109" spans="14:19">
      <c r="N5109" s="34"/>
      <c r="O5109" s="34"/>
      <c r="P5109" s="34"/>
      <c r="Q5109" s="34"/>
      <c r="R5109" s="34"/>
      <c r="S5109" s="34"/>
    </row>
    <row r="5110" spans="14:19">
      <c r="N5110" s="34"/>
      <c r="O5110" s="34"/>
      <c r="P5110" s="34"/>
      <c r="Q5110" s="34"/>
      <c r="R5110" s="34"/>
      <c r="S5110" s="34"/>
    </row>
    <row r="5111" spans="14:19">
      <c r="N5111" s="34"/>
      <c r="O5111" s="34"/>
      <c r="P5111" s="34"/>
      <c r="Q5111" s="34"/>
      <c r="R5111" s="34"/>
      <c r="S5111" s="34"/>
    </row>
    <row r="5112" spans="14:19">
      <c r="N5112" s="34"/>
      <c r="O5112" s="34"/>
      <c r="P5112" s="34"/>
      <c r="Q5112" s="34"/>
      <c r="R5112" s="34"/>
      <c r="S5112" s="34"/>
    </row>
    <row r="5113" spans="14:19">
      <c r="N5113" s="34"/>
      <c r="O5113" s="34"/>
      <c r="P5113" s="34"/>
      <c r="Q5113" s="34"/>
      <c r="R5113" s="34"/>
      <c r="S5113" s="34"/>
    </row>
    <row r="5114" spans="14:19">
      <c r="N5114" s="34"/>
      <c r="O5114" s="34"/>
      <c r="P5114" s="34"/>
      <c r="Q5114" s="34"/>
      <c r="R5114" s="34"/>
      <c r="S5114" s="34"/>
    </row>
    <row r="5115" spans="14:19">
      <c r="N5115" s="34"/>
      <c r="O5115" s="34"/>
      <c r="P5115" s="34"/>
      <c r="Q5115" s="34"/>
      <c r="R5115" s="34"/>
      <c r="S5115" s="34"/>
    </row>
    <row r="5116" spans="14:19">
      <c r="N5116" s="34"/>
      <c r="O5116" s="34"/>
      <c r="P5116" s="34"/>
      <c r="Q5116" s="34"/>
      <c r="R5116" s="34"/>
      <c r="S5116" s="34"/>
    </row>
    <row r="5117" spans="14:19">
      <c r="N5117" s="34"/>
      <c r="O5117" s="34"/>
      <c r="P5117" s="34"/>
      <c r="Q5117" s="34"/>
      <c r="R5117" s="34"/>
      <c r="S5117" s="34"/>
    </row>
    <row r="5118" spans="14:19">
      <c r="N5118" s="34"/>
      <c r="O5118" s="34"/>
      <c r="P5118" s="34"/>
      <c r="Q5118" s="34"/>
      <c r="R5118" s="34"/>
      <c r="S5118" s="34"/>
    </row>
    <row r="5119" spans="14:19">
      <c r="N5119" s="34"/>
      <c r="O5119" s="34"/>
      <c r="P5119" s="34"/>
      <c r="Q5119" s="34"/>
      <c r="R5119" s="34"/>
      <c r="S5119" s="34"/>
    </row>
    <row r="5120" spans="14:19">
      <c r="N5120" s="34"/>
      <c r="O5120" s="34"/>
      <c r="P5120" s="34"/>
      <c r="Q5120" s="34"/>
      <c r="R5120" s="34"/>
      <c r="S5120" s="34"/>
    </row>
    <row r="5121" spans="14:19">
      <c r="N5121" s="34"/>
      <c r="O5121" s="34"/>
      <c r="P5121" s="34"/>
      <c r="Q5121" s="34"/>
      <c r="R5121" s="34"/>
      <c r="S5121" s="34"/>
    </row>
    <row r="5122" spans="14:19">
      <c r="N5122" s="34"/>
      <c r="O5122" s="34"/>
      <c r="P5122" s="34"/>
      <c r="Q5122" s="34"/>
      <c r="R5122" s="34"/>
      <c r="S5122" s="34"/>
    </row>
    <row r="5123" spans="14:19">
      <c r="N5123" s="34"/>
      <c r="O5123" s="34"/>
      <c r="P5123" s="34"/>
      <c r="Q5123" s="34"/>
      <c r="R5123" s="34"/>
      <c r="S5123" s="34"/>
    </row>
    <row r="5124" spans="14:19">
      <c r="N5124" s="34"/>
      <c r="O5124" s="34"/>
      <c r="P5124" s="34"/>
      <c r="Q5124" s="34"/>
      <c r="R5124" s="34"/>
      <c r="S5124" s="34"/>
    </row>
    <row r="5125" spans="14:19">
      <c r="N5125" s="34"/>
      <c r="O5125" s="34"/>
      <c r="P5125" s="34"/>
      <c r="Q5125" s="34"/>
      <c r="R5125" s="34"/>
      <c r="S5125" s="34"/>
    </row>
    <row r="5126" spans="14:19">
      <c r="N5126" s="34"/>
      <c r="O5126" s="34"/>
      <c r="P5126" s="34"/>
      <c r="Q5126" s="34"/>
      <c r="R5126" s="34"/>
      <c r="S5126" s="34"/>
    </row>
    <row r="5127" spans="14:19">
      <c r="N5127" s="34"/>
      <c r="O5127" s="34"/>
      <c r="P5127" s="34"/>
      <c r="Q5127" s="34"/>
      <c r="R5127" s="34"/>
      <c r="S5127" s="34"/>
    </row>
    <row r="5128" spans="14:19">
      <c r="N5128" s="34"/>
      <c r="O5128" s="34"/>
      <c r="P5128" s="34"/>
      <c r="Q5128" s="34"/>
      <c r="R5128" s="34"/>
      <c r="S5128" s="34"/>
    </row>
    <row r="5129" spans="14:19">
      <c r="N5129" s="34"/>
      <c r="O5129" s="34"/>
      <c r="P5129" s="34"/>
      <c r="Q5129" s="34"/>
      <c r="R5129" s="34"/>
      <c r="S5129" s="34"/>
    </row>
    <row r="5130" spans="14:19">
      <c r="N5130" s="34"/>
      <c r="O5130" s="34"/>
      <c r="P5130" s="34"/>
      <c r="Q5130" s="34"/>
      <c r="R5130" s="34"/>
      <c r="S5130" s="34"/>
    </row>
    <row r="5131" spans="14:19">
      <c r="N5131" s="34"/>
      <c r="O5131" s="34"/>
      <c r="P5131" s="34"/>
      <c r="Q5131" s="34"/>
      <c r="R5131" s="34"/>
      <c r="S5131" s="34"/>
    </row>
    <row r="5132" spans="14:19">
      <c r="N5132" s="34"/>
      <c r="O5132" s="34"/>
      <c r="P5132" s="34"/>
      <c r="Q5132" s="34"/>
      <c r="R5132" s="34"/>
      <c r="S5132" s="34"/>
    </row>
    <row r="5133" spans="14:19">
      <c r="N5133" s="34"/>
      <c r="O5133" s="34"/>
      <c r="P5133" s="34"/>
      <c r="Q5133" s="34"/>
      <c r="R5133" s="34"/>
      <c r="S5133" s="34"/>
    </row>
    <row r="5134" spans="14:19">
      <c r="N5134" s="34"/>
      <c r="O5134" s="34"/>
      <c r="P5134" s="34"/>
      <c r="Q5134" s="34"/>
      <c r="R5134" s="34"/>
      <c r="S5134" s="34"/>
    </row>
    <row r="5135" spans="14:19">
      <c r="N5135" s="34"/>
      <c r="O5135" s="34"/>
      <c r="P5135" s="34"/>
      <c r="Q5135" s="34"/>
      <c r="R5135" s="34"/>
      <c r="S5135" s="34"/>
    </row>
    <row r="5136" spans="14:19">
      <c r="N5136" s="34"/>
      <c r="O5136" s="34"/>
      <c r="P5136" s="34"/>
      <c r="Q5136" s="34"/>
      <c r="R5136" s="34"/>
      <c r="S5136" s="34"/>
    </row>
    <row r="5137" spans="14:19">
      <c r="N5137" s="34"/>
      <c r="O5137" s="34"/>
      <c r="P5137" s="34"/>
      <c r="Q5137" s="34"/>
      <c r="R5137" s="34"/>
      <c r="S5137" s="34"/>
    </row>
    <row r="5138" spans="14:19">
      <c r="N5138" s="34"/>
      <c r="O5138" s="34"/>
      <c r="P5138" s="34"/>
      <c r="Q5138" s="34"/>
      <c r="R5138" s="34"/>
      <c r="S5138" s="34"/>
    </row>
    <row r="5139" spans="14:19">
      <c r="N5139" s="34"/>
      <c r="O5139" s="34"/>
      <c r="P5139" s="34"/>
      <c r="Q5139" s="34"/>
      <c r="R5139" s="34"/>
      <c r="S5139" s="34"/>
    </row>
    <row r="5140" spans="14:19">
      <c r="N5140" s="34"/>
      <c r="O5140" s="34"/>
      <c r="P5140" s="34"/>
      <c r="Q5140" s="34"/>
      <c r="R5140" s="34"/>
      <c r="S5140" s="34"/>
    </row>
    <row r="5141" spans="14:19">
      <c r="N5141" s="34"/>
      <c r="O5141" s="34"/>
      <c r="P5141" s="34"/>
      <c r="Q5141" s="34"/>
      <c r="R5141" s="34"/>
      <c r="S5141" s="34"/>
    </row>
    <row r="5142" spans="14:19">
      <c r="N5142" s="34"/>
      <c r="O5142" s="34"/>
      <c r="P5142" s="34"/>
      <c r="Q5142" s="34"/>
      <c r="R5142" s="34"/>
      <c r="S5142" s="34"/>
    </row>
    <row r="5143" spans="14:19">
      <c r="N5143" s="34"/>
      <c r="O5143" s="34"/>
      <c r="P5143" s="34"/>
      <c r="Q5143" s="34"/>
      <c r="R5143" s="34"/>
      <c r="S5143" s="34"/>
    </row>
    <row r="5144" spans="14:19">
      <c r="N5144" s="34"/>
      <c r="O5144" s="34"/>
      <c r="P5144" s="34"/>
      <c r="Q5144" s="34"/>
      <c r="R5144" s="34"/>
      <c r="S5144" s="34"/>
    </row>
    <row r="5145" spans="14:19">
      <c r="N5145" s="34"/>
      <c r="O5145" s="34"/>
      <c r="P5145" s="34"/>
      <c r="Q5145" s="34"/>
      <c r="R5145" s="34"/>
      <c r="S5145" s="34"/>
    </row>
    <row r="5146" spans="14:19">
      <c r="N5146" s="34"/>
      <c r="O5146" s="34"/>
      <c r="P5146" s="34"/>
      <c r="Q5146" s="34"/>
      <c r="R5146" s="34"/>
      <c r="S5146" s="34"/>
    </row>
    <row r="5147" spans="14:19">
      <c r="N5147" s="34"/>
      <c r="O5147" s="34"/>
      <c r="P5147" s="34"/>
      <c r="Q5147" s="34"/>
      <c r="R5147" s="34"/>
      <c r="S5147" s="34"/>
    </row>
    <row r="5148" spans="14:19">
      <c r="N5148" s="34"/>
      <c r="O5148" s="34"/>
      <c r="P5148" s="34"/>
      <c r="Q5148" s="34"/>
      <c r="R5148" s="34"/>
      <c r="S5148" s="34"/>
    </row>
    <row r="5149" spans="14:19">
      <c r="N5149" s="34"/>
      <c r="O5149" s="34"/>
      <c r="P5149" s="34"/>
      <c r="Q5149" s="34"/>
      <c r="R5149" s="34"/>
      <c r="S5149" s="34"/>
    </row>
    <row r="5150" spans="14:19">
      <c r="N5150" s="34"/>
      <c r="O5150" s="34"/>
      <c r="P5150" s="34"/>
      <c r="Q5150" s="34"/>
      <c r="R5150" s="34"/>
      <c r="S5150" s="34"/>
    </row>
    <row r="5151" spans="14:19">
      <c r="N5151" s="34"/>
      <c r="O5151" s="34"/>
      <c r="P5151" s="34"/>
      <c r="Q5151" s="34"/>
      <c r="R5151" s="34"/>
      <c r="S5151" s="34"/>
    </row>
    <row r="5152" spans="14:19">
      <c r="N5152" s="34"/>
      <c r="O5152" s="34"/>
      <c r="P5152" s="34"/>
      <c r="Q5152" s="34"/>
      <c r="R5152" s="34"/>
      <c r="S5152" s="34"/>
    </row>
    <row r="5153" spans="14:19">
      <c r="N5153" s="34"/>
      <c r="O5153" s="34"/>
      <c r="P5153" s="34"/>
      <c r="Q5153" s="34"/>
      <c r="R5153" s="34"/>
      <c r="S5153" s="34"/>
    </row>
    <row r="5154" spans="14:19">
      <c r="N5154" s="34"/>
      <c r="O5154" s="34"/>
      <c r="P5154" s="34"/>
      <c r="Q5154" s="34"/>
      <c r="R5154" s="34"/>
      <c r="S5154" s="34"/>
    </row>
    <row r="5155" spans="14:19">
      <c r="N5155" s="34"/>
      <c r="O5155" s="34"/>
      <c r="P5155" s="34"/>
      <c r="Q5155" s="34"/>
      <c r="R5155" s="34"/>
      <c r="S5155" s="34"/>
    </row>
    <row r="5156" spans="14:19">
      <c r="N5156" s="34"/>
      <c r="O5156" s="34"/>
      <c r="P5156" s="34"/>
      <c r="Q5156" s="34"/>
      <c r="R5156" s="34"/>
      <c r="S5156" s="34"/>
    </row>
    <row r="5157" spans="14:19">
      <c r="N5157" s="34"/>
      <c r="O5157" s="34"/>
      <c r="P5157" s="34"/>
      <c r="Q5157" s="34"/>
      <c r="R5157" s="34"/>
      <c r="S5157" s="34"/>
    </row>
    <row r="5158" spans="14:19">
      <c r="N5158" s="34"/>
      <c r="O5158" s="34"/>
      <c r="P5158" s="34"/>
      <c r="Q5158" s="34"/>
      <c r="R5158" s="34"/>
      <c r="S5158" s="34"/>
    </row>
    <row r="5159" spans="14:19">
      <c r="N5159" s="34"/>
      <c r="O5159" s="34"/>
      <c r="P5159" s="34"/>
      <c r="Q5159" s="34"/>
      <c r="R5159" s="34"/>
      <c r="S5159" s="34"/>
    </row>
    <row r="5160" spans="14:19">
      <c r="N5160" s="34"/>
      <c r="O5160" s="34"/>
      <c r="P5160" s="34"/>
      <c r="Q5160" s="34"/>
      <c r="R5160" s="34"/>
      <c r="S5160" s="34"/>
    </row>
    <row r="5161" spans="14:19">
      <c r="N5161" s="34"/>
      <c r="O5161" s="34"/>
      <c r="P5161" s="34"/>
      <c r="Q5161" s="34"/>
      <c r="R5161" s="34"/>
      <c r="S5161" s="34"/>
    </row>
    <row r="5162" spans="14:19">
      <c r="N5162" s="34"/>
      <c r="O5162" s="34"/>
      <c r="P5162" s="34"/>
      <c r="Q5162" s="34"/>
      <c r="R5162" s="34"/>
      <c r="S5162" s="34"/>
    </row>
    <row r="5163" spans="14:19">
      <c r="N5163" s="34"/>
      <c r="O5163" s="34"/>
      <c r="P5163" s="34"/>
      <c r="Q5163" s="34"/>
      <c r="R5163" s="34"/>
      <c r="S5163" s="34"/>
    </row>
    <row r="5164" spans="14:19">
      <c r="N5164" s="34"/>
      <c r="O5164" s="34"/>
      <c r="P5164" s="34"/>
      <c r="Q5164" s="34"/>
      <c r="R5164" s="34"/>
      <c r="S5164" s="34"/>
    </row>
    <row r="5165" spans="14:19">
      <c r="N5165" s="34"/>
      <c r="O5165" s="34"/>
      <c r="P5165" s="34"/>
      <c r="Q5165" s="34"/>
      <c r="R5165" s="34"/>
      <c r="S5165" s="34"/>
    </row>
    <row r="5166" spans="14:19">
      <c r="N5166" s="34"/>
      <c r="O5166" s="34"/>
      <c r="P5166" s="34"/>
      <c r="Q5166" s="34"/>
      <c r="R5166" s="34"/>
      <c r="S5166" s="34"/>
    </row>
    <row r="5167" spans="14:19">
      <c r="N5167" s="34"/>
      <c r="O5167" s="34"/>
      <c r="P5167" s="34"/>
      <c r="Q5167" s="34"/>
      <c r="R5167" s="34"/>
      <c r="S5167" s="34"/>
    </row>
    <row r="5168" spans="14:19">
      <c r="N5168" s="34"/>
      <c r="O5168" s="34"/>
      <c r="P5168" s="34"/>
      <c r="Q5168" s="34"/>
      <c r="R5168" s="34"/>
      <c r="S5168" s="34"/>
    </row>
    <row r="5169" spans="14:19">
      <c r="N5169" s="34"/>
      <c r="O5169" s="34"/>
      <c r="P5169" s="34"/>
      <c r="Q5169" s="34"/>
      <c r="R5169" s="34"/>
      <c r="S5169" s="34"/>
    </row>
    <row r="5170" spans="14:19">
      <c r="N5170" s="34"/>
      <c r="O5170" s="34"/>
      <c r="P5170" s="34"/>
      <c r="Q5170" s="34"/>
      <c r="R5170" s="34"/>
      <c r="S5170" s="34"/>
    </row>
    <row r="5171" spans="14:19">
      <c r="N5171" s="34"/>
      <c r="O5171" s="34"/>
      <c r="P5171" s="34"/>
      <c r="Q5171" s="34"/>
      <c r="R5171" s="34"/>
      <c r="S5171" s="34"/>
    </row>
    <row r="5172" spans="14:19">
      <c r="N5172" s="34"/>
      <c r="O5172" s="34"/>
      <c r="P5172" s="34"/>
      <c r="Q5172" s="34"/>
      <c r="R5172" s="34"/>
      <c r="S5172" s="34"/>
    </row>
    <row r="5173" spans="14:19">
      <c r="N5173" s="34"/>
      <c r="O5173" s="34"/>
      <c r="P5173" s="34"/>
      <c r="Q5173" s="34"/>
      <c r="R5173" s="34"/>
      <c r="S5173" s="34"/>
    </row>
    <row r="5174" spans="14:19">
      <c r="N5174" s="34"/>
      <c r="O5174" s="34"/>
      <c r="P5174" s="34"/>
      <c r="Q5174" s="34"/>
      <c r="R5174" s="34"/>
      <c r="S5174" s="34"/>
    </row>
    <row r="5175" spans="14:19">
      <c r="N5175" s="34"/>
      <c r="O5175" s="34"/>
      <c r="P5175" s="34"/>
      <c r="Q5175" s="34"/>
      <c r="R5175" s="34"/>
      <c r="S5175" s="34"/>
    </row>
    <row r="5176" spans="14:19">
      <c r="N5176" s="34"/>
      <c r="O5176" s="34"/>
      <c r="P5176" s="34"/>
      <c r="Q5176" s="34"/>
      <c r="R5176" s="34"/>
      <c r="S5176" s="34"/>
    </row>
    <row r="5177" spans="14:19">
      <c r="N5177" s="34"/>
      <c r="O5177" s="34"/>
      <c r="P5177" s="34"/>
      <c r="Q5177" s="34"/>
      <c r="R5177" s="34"/>
      <c r="S5177" s="34"/>
    </row>
    <row r="5178" spans="14:19">
      <c r="N5178" s="34"/>
      <c r="O5178" s="34"/>
      <c r="P5178" s="34"/>
      <c r="Q5178" s="34"/>
      <c r="R5178" s="34"/>
      <c r="S5178" s="34"/>
    </row>
    <row r="5179" spans="14:19">
      <c r="N5179" s="34"/>
      <c r="O5179" s="34"/>
      <c r="P5179" s="34"/>
      <c r="Q5179" s="34"/>
      <c r="R5179" s="34"/>
      <c r="S5179" s="34"/>
    </row>
    <row r="5180" spans="14:19">
      <c r="N5180" s="34"/>
      <c r="O5180" s="34"/>
      <c r="P5180" s="34"/>
      <c r="Q5180" s="34"/>
      <c r="R5180" s="34"/>
      <c r="S5180" s="34"/>
    </row>
    <row r="5181" spans="14:19">
      <c r="N5181" s="34"/>
      <c r="O5181" s="34"/>
      <c r="P5181" s="34"/>
      <c r="Q5181" s="34"/>
      <c r="R5181" s="34"/>
      <c r="S5181" s="34"/>
    </row>
    <row r="5182" spans="14:19">
      <c r="N5182" s="34"/>
      <c r="O5182" s="34"/>
      <c r="P5182" s="34"/>
      <c r="Q5182" s="34"/>
      <c r="R5182" s="34"/>
      <c r="S5182" s="34"/>
    </row>
    <row r="5183" spans="14:19">
      <c r="N5183" s="34"/>
      <c r="O5183" s="34"/>
      <c r="P5183" s="34"/>
      <c r="Q5183" s="34"/>
      <c r="R5183" s="34"/>
      <c r="S5183" s="34"/>
    </row>
    <row r="5184" spans="14:19">
      <c r="N5184" s="34"/>
      <c r="O5184" s="34"/>
      <c r="P5184" s="34"/>
      <c r="Q5184" s="34"/>
      <c r="R5184" s="34"/>
      <c r="S5184" s="34"/>
    </row>
    <row r="5185" spans="14:19">
      <c r="N5185" s="34"/>
      <c r="O5185" s="34"/>
      <c r="P5185" s="34"/>
      <c r="Q5185" s="34"/>
      <c r="R5185" s="34"/>
      <c r="S5185" s="34"/>
    </row>
    <row r="5186" spans="14:19">
      <c r="N5186" s="34"/>
      <c r="O5186" s="34"/>
      <c r="P5186" s="34"/>
      <c r="Q5186" s="34"/>
      <c r="R5186" s="34"/>
      <c r="S5186" s="34"/>
    </row>
    <row r="5187" spans="14:19">
      <c r="N5187" s="34"/>
      <c r="O5187" s="34"/>
      <c r="P5187" s="34"/>
      <c r="Q5187" s="34"/>
      <c r="R5187" s="34"/>
      <c r="S5187" s="34"/>
    </row>
    <row r="5188" spans="14:19">
      <c r="N5188" s="34"/>
      <c r="O5188" s="34"/>
      <c r="P5188" s="34"/>
      <c r="Q5188" s="34"/>
      <c r="R5188" s="34"/>
      <c r="S5188" s="34"/>
    </row>
    <row r="5189" spans="14:19">
      <c r="N5189" s="34"/>
      <c r="O5189" s="34"/>
      <c r="P5189" s="34"/>
      <c r="Q5189" s="34"/>
      <c r="R5189" s="34"/>
      <c r="S5189" s="34"/>
    </row>
    <row r="5190" spans="14:19">
      <c r="N5190" s="34"/>
      <c r="O5190" s="34"/>
      <c r="P5190" s="34"/>
      <c r="Q5190" s="34"/>
      <c r="R5190" s="34"/>
      <c r="S5190" s="34"/>
    </row>
    <row r="5191" spans="14:19">
      <c r="N5191" s="34"/>
      <c r="O5191" s="34"/>
      <c r="P5191" s="34"/>
      <c r="Q5191" s="34"/>
      <c r="R5191" s="34"/>
      <c r="S5191" s="34"/>
    </row>
    <row r="5192" spans="14:19">
      <c r="N5192" s="34"/>
      <c r="O5192" s="34"/>
      <c r="P5192" s="34"/>
      <c r="Q5192" s="34"/>
      <c r="R5192" s="34"/>
      <c r="S5192" s="34"/>
    </row>
    <row r="5193" spans="14:19">
      <c r="N5193" s="34"/>
      <c r="O5193" s="34"/>
      <c r="P5193" s="34"/>
      <c r="Q5193" s="34"/>
      <c r="R5193" s="34"/>
      <c r="S5193" s="34"/>
    </row>
    <row r="5194" spans="14:19">
      <c r="N5194" s="34"/>
      <c r="O5194" s="34"/>
      <c r="P5194" s="34"/>
      <c r="Q5194" s="34"/>
      <c r="R5194" s="34"/>
      <c r="S5194" s="34"/>
    </row>
    <row r="5195" spans="14:19">
      <c r="N5195" s="34"/>
      <c r="O5195" s="34"/>
      <c r="P5195" s="34"/>
      <c r="Q5195" s="34"/>
      <c r="R5195" s="34"/>
      <c r="S5195" s="34"/>
    </row>
    <row r="5196" spans="14:19">
      <c r="N5196" s="34"/>
      <c r="O5196" s="34"/>
      <c r="P5196" s="34"/>
      <c r="Q5196" s="34"/>
      <c r="R5196" s="34"/>
      <c r="S5196" s="34"/>
    </row>
    <row r="5197" spans="14:19">
      <c r="N5197" s="34"/>
      <c r="O5197" s="34"/>
      <c r="P5197" s="34"/>
      <c r="Q5197" s="34"/>
      <c r="R5197" s="34"/>
      <c r="S5197" s="34"/>
    </row>
    <row r="5198" spans="14:19">
      <c r="N5198" s="34"/>
      <c r="O5198" s="34"/>
      <c r="P5198" s="34"/>
      <c r="Q5198" s="34"/>
      <c r="R5198" s="34"/>
      <c r="S5198" s="34"/>
    </row>
    <row r="5199" spans="14:19">
      <c r="N5199" s="34"/>
      <c r="O5199" s="34"/>
      <c r="P5199" s="34"/>
      <c r="Q5199" s="34"/>
      <c r="R5199" s="34"/>
      <c r="S5199" s="34"/>
    </row>
    <row r="5200" spans="14:19">
      <c r="N5200" s="34"/>
      <c r="O5200" s="34"/>
      <c r="P5200" s="34"/>
      <c r="Q5200" s="34"/>
      <c r="R5200" s="34"/>
      <c r="S5200" s="34"/>
    </row>
    <row r="5201" spans="14:19">
      <c r="N5201" s="34"/>
      <c r="O5201" s="34"/>
      <c r="P5201" s="34"/>
      <c r="Q5201" s="34"/>
      <c r="R5201" s="34"/>
      <c r="S5201" s="34"/>
    </row>
    <row r="5202" spans="14:19">
      <c r="N5202" s="34"/>
      <c r="O5202" s="34"/>
      <c r="P5202" s="34"/>
      <c r="Q5202" s="34"/>
      <c r="R5202" s="34"/>
      <c r="S5202" s="34"/>
    </row>
    <row r="5203" spans="14:19">
      <c r="N5203" s="34"/>
      <c r="O5203" s="34"/>
      <c r="P5203" s="34"/>
      <c r="Q5203" s="34"/>
      <c r="R5203" s="34"/>
      <c r="S5203" s="34"/>
    </row>
    <row r="5204" spans="14:19">
      <c r="N5204" s="34"/>
      <c r="O5204" s="34"/>
      <c r="P5204" s="34"/>
      <c r="Q5204" s="34"/>
      <c r="R5204" s="34"/>
      <c r="S5204" s="34"/>
    </row>
    <row r="5205" spans="14:19">
      <c r="N5205" s="34"/>
      <c r="O5205" s="34"/>
      <c r="P5205" s="34"/>
      <c r="Q5205" s="34"/>
      <c r="R5205" s="34"/>
      <c r="S5205" s="34"/>
    </row>
    <row r="5206" spans="14:19">
      <c r="N5206" s="34"/>
      <c r="O5206" s="34"/>
      <c r="P5206" s="34"/>
      <c r="Q5206" s="34"/>
      <c r="R5206" s="34"/>
      <c r="S5206" s="34"/>
    </row>
    <row r="5207" spans="14:19">
      <c r="N5207" s="34"/>
      <c r="O5207" s="34"/>
      <c r="P5207" s="34"/>
      <c r="Q5207" s="34"/>
      <c r="R5207" s="34"/>
      <c r="S5207" s="34"/>
    </row>
    <row r="5208" spans="14:19">
      <c r="N5208" s="34"/>
      <c r="O5208" s="34"/>
      <c r="P5208" s="34"/>
      <c r="Q5208" s="34"/>
      <c r="R5208" s="34"/>
      <c r="S5208" s="34"/>
    </row>
    <row r="5209" spans="14:19">
      <c r="N5209" s="34"/>
      <c r="O5209" s="34"/>
      <c r="P5209" s="34"/>
      <c r="Q5209" s="34"/>
      <c r="R5209" s="34"/>
      <c r="S5209" s="34"/>
    </row>
    <row r="5210" spans="14:19">
      <c r="N5210" s="34"/>
      <c r="O5210" s="34"/>
      <c r="P5210" s="34"/>
      <c r="Q5210" s="34"/>
      <c r="R5210" s="34"/>
      <c r="S5210" s="34"/>
    </row>
    <row r="5211" spans="14:19">
      <c r="N5211" s="34"/>
      <c r="O5211" s="34"/>
      <c r="P5211" s="34"/>
      <c r="Q5211" s="34"/>
      <c r="R5211" s="34"/>
      <c r="S5211" s="34"/>
    </row>
    <row r="5212" spans="14:19">
      <c r="N5212" s="34"/>
      <c r="O5212" s="34"/>
      <c r="P5212" s="34"/>
      <c r="Q5212" s="34"/>
      <c r="R5212" s="34"/>
      <c r="S5212" s="34"/>
    </row>
    <row r="5213" spans="14:19">
      <c r="N5213" s="34"/>
      <c r="O5213" s="34"/>
      <c r="P5213" s="34"/>
      <c r="Q5213" s="34"/>
      <c r="R5213" s="34"/>
      <c r="S5213" s="34"/>
    </row>
    <row r="5214" spans="14:19">
      <c r="N5214" s="34"/>
      <c r="O5214" s="34"/>
      <c r="P5214" s="34"/>
      <c r="Q5214" s="34"/>
      <c r="R5214" s="34"/>
      <c r="S5214" s="34"/>
    </row>
    <row r="5215" spans="14:19">
      <c r="N5215" s="34"/>
      <c r="O5215" s="34"/>
      <c r="P5215" s="34"/>
      <c r="Q5215" s="34"/>
      <c r="R5215" s="34"/>
      <c r="S5215" s="34"/>
    </row>
    <row r="5216" spans="14:19">
      <c r="N5216" s="34"/>
      <c r="O5216" s="34"/>
      <c r="P5216" s="34"/>
      <c r="Q5216" s="34"/>
      <c r="R5216" s="34"/>
      <c r="S5216" s="34"/>
    </row>
    <row r="5217" spans="14:19">
      <c r="N5217" s="34"/>
      <c r="O5217" s="34"/>
      <c r="P5217" s="34"/>
      <c r="Q5217" s="34"/>
      <c r="R5217" s="34"/>
      <c r="S5217" s="34"/>
    </row>
    <row r="5218" spans="14:19">
      <c r="N5218" s="34"/>
      <c r="O5218" s="34"/>
      <c r="P5218" s="34"/>
      <c r="Q5218" s="34"/>
      <c r="R5218" s="34"/>
      <c r="S5218" s="34"/>
    </row>
    <row r="5219" spans="14:19">
      <c r="N5219" s="34"/>
      <c r="O5219" s="34"/>
      <c r="P5219" s="34"/>
      <c r="Q5219" s="34"/>
      <c r="R5219" s="34"/>
      <c r="S5219" s="34"/>
    </row>
    <row r="5220" spans="14:19">
      <c r="N5220" s="34"/>
      <c r="O5220" s="34"/>
      <c r="P5220" s="34"/>
      <c r="Q5220" s="34"/>
      <c r="R5220" s="34"/>
      <c r="S5220" s="34"/>
    </row>
    <row r="5221" spans="14:19">
      <c r="N5221" s="34"/>
      <c r="O5221" s="34"/>
      <c r="P5221" s="34"/>
      <c r="Q5221" s="34"/>
      <c r="R5221" s="34"/>
      <c r="S5221" s="34"/>
    </row>
    <row r="5222" spans="14:19">
      <c r="N5222" s="34"/>
      <c r="O5222" s="34"/>
      <c r="P5222" s="34"/>
      <c r="Q5222" s="34"/>
      <c r="R5222" s="34"/>
      <c r="S5222" s="34"/>
    </row>
    <row r="5223" spans="14:19">
      <c r="N5223" s="34"/>
      <c r="O5223" s="34"/>
      <c r="P5223" s="34"/>
      <c r="Q5223" s="34"/>
      <c r="R5223" s="34"/>
      <c r="S5223" s="34"/>
    </row>
    <row r="5224" spans="14:19">
      <c r="N5224" s="34"/>
      <c r="O5224" s="34"/>
      <c r="P5224" s="34"/>
      <c r="Q5224" s="34"/>
      <c r="R5224" s="34"/>
      <c r="S5224" s="34"/>
    </row>
    <row r="5225" spans="14:19">
      <c r="N5225" s="34"/>
      <c r="O5225" s="34"/>
      <c r="P5225" s="34"/>
      <c r="Q5225" s="34"/>
      <c r="R5225" s="34"/>
      <c r="S5225" s="34"/>
    </row>
    <row r="5226" spans="14:19">
      <c r="N5226" s="34"/>
      <c r="O5226" s="34"/>
      <c r="P5226" s="34"/>
      <c r="Q5226" s="34"/>
      <c r="R5226" s="34"/>
      <c r="S5226" s="34"/>
    </row>
    <row r="5227" spans="14:19">
      <c r="N5227" s="34"/>
      <c r="O5227" s="34"/>
      <c r="P5227" s="34"/>
      <c r="Q5227" s="34"/>
      <c r="R5227" s="34"/>
      <c r="S5227" s="34"/>
    </row>
    <row r="5228" spans="14:19">
      <c r="N5228" s="34"/>
      <c r="O5228" s="34"/>
      <c r="P5228" s="34"/>
      <c r="Q5228" s="34"/>
      <c r="R5228" s="34"/>
      <c r="S5228" s="34"/>
    </row>
    <row r="5229" spans="14:19">
      <c r="N5229" s="34"/>
      <c r="O5229" s="34"/>
      <c r="P5229" s="34"/>
      <c r="Q5229" s="34"/>
      <c r="R5229" s="34"/>
      <c r="S5229" s="34"/>
    </row>
    <row r="5230" spans="14:19">
      <c r="N5230" s="34"/>
      <c r="O5230" s="34"/>
      <c r="P5230" s="34"/>
      <c r="Q5230" s="34"/>
      <c r="R5230" s="34"/>
      <c r="S5230" s="34"/>
    </row>
    <row r="5231" spans="14:19">
      <c r="N5231" s="34"/>
      <c r="O5231" s="34"/>
      <c r="P5231" s="34"/>
      <c r="Q5231" s="34"/>
      <c r="R5231" s="34"/>
      <c r="S5231" s="34"/>
    </row>
    <row r="5232" spans="14:19">
      <c r="N5232" s="34"/>
      <c r="O5232" s="34"/>
      <c r="P5232" s="34"/>
      <c r="Q5232" s="34"/>
      <c r="R5232" s="34"/>
      <c r="S5232" s="34"/>
    </row>
    <row r="5233" spans="14:19">
      <c r="N5233" s="34"/>
      <c r="O5233" s="34"/>
      <c r="P5233" s="34"/>
      <c r="Q5233" s="34"/>
      <c r="R5233" s="34"/>
      <c r="S5233" s="34"/>
    </row>
    <row r="5234" spans="14:19">
      <c r="N5234" s="34"/>
      <c r="O5234" s="34"/>
      <c r="P5234" s="34"/>
      <c r="Q5234" s="34"/>
      <c r="R5234" s="34"/>
      <c r="S5234" s="34"/>
    </row>
    <row r="5235" spans="14:19">
      <c r="N5235" s="34"/>
      <c r="O5235" s="34"/>
      <c r="P5235" s="34"/>
      <c r="Q5235" s="34"/>
      <c r="R5235" s="34"/>
      <c r="S5235" s="34"/>
    </row>
    <row r="5236" spans="14:19">
      <c r="N5236" s="34"/>
      <c r="O5236" s="34"/>
      <c r="P5236" s="34"/>
      <c r="Q5236" s="34"/>
      <c r="R5236" s="34"/>
      <c r="S5236" s="34"/>
    </row>
    <row r="5237" spans="14:19">
      <c r="N5237" s="34"/>
      <c r="O5237" s="34"/>
      <c r="P5237" s="34"/>
      <c r="Q5237" s="34"/>
      <c r="R5237" s="34"/>
      <c r="S5237" s="34"/>
    </row>
    <row r="5238" spans="14:19">
      <c r="N5238" s="34"/>
      <c r="O5238" s="34"/>
      <c r="P5238" s="34"/>
      <c r="Q5238" s="34"/>
      <c r="R5238" s="34"/>
      <c r="S5238" s="34"/>
    </row>
    <row r="5239" spans="14:19">
      <c r="N5239" s="34"/>
      <c r="O5239" s="34"/>
      <c r="P5239" s="34"/>
      <c r="Q5239" s="34"/>
      <c r="R5239" s="34"/>
      <c r="S5239" s="34"/>
    </row>
    <row r="5240" spans="14:19">
      <c r="N5240" s="34"/>
      <c r="O5240" s="34"/>
      <c r="P5240" s="34"/>
      <c r="Q5240" s="34"/>
      <c r="R5240" s="34"/>
      <c r="S5240" s="34"/>
    </row>
    <row r="5241" spans="14:19">
      <c r="N5241" s="34"/>
      <c r="O5241" s="34"/>
      <c r="P5241" s="34"/>
      <c r="Q5241" s="34"/>
      <c r="R5241" s="34"/>
      <c r="S5241" s="34"/>
    </row>
    <row r="5242" spans="14:19">
      <c r="N5242" s="34"/>
      <c r="O5242" s="34"/>
      <c r="P5242" s="34"/>
      <c r="Q5242" s="34"/>
      <c r="R5242" s="34"/>
      <c r="S5242" s="34"/>
    </row>
    <row r="5243" spans="14:19">
      <c r="N5243" s="34"/>
      <c r="O5243" s="34"/>
      <c r="P5243" s="34"/>
      <c r="Q5243" s="34"/>
      <c r="R5243" s="34"/>
      <c r="S5243" s="34"/>
    </row>
    <row r="5244" spans="14:19">
      <c r="N5244" s="34"/>
      <c r="O5244" s="34"/>
      <c r="P5244" s="34"/>
      <c r="Q5244" s="34"/>
      <c r="R5244" s="34"/>
      <c r="S5244" s="34"/>
    </row>
    <row r="5245" spans="14:19">
      <c r="N5245" s="34"/>
      <c r="O5245" s="34"/>
      <c r="P5245" s="34"/>
      <c r="Q5245" s="34"/>
      <c r="R5245" s="34"/>
      <c r="S5245" s="34"/>
    </row>
    <row r="5246" spans="14:19">
      <c r="N5246" s="34"/>
      <c r="O5246" s="34"/>
      <c r="P5246" s="34"/>
      <c r="Q5246" s="34"/>
      <c r="R5246" s="34"/>
      <c r="S5246" s="34"/>
    </row>
    <row r="5247" spans="14:19">
      <c r="N5247" s="34"/>
      <c r="O5247" s="34"/>
      <c r="P5247" s="34"/>
      <c r="Q5247" s="34"/>
      <c r="R5247" s="34"/>
      <c r="S5247" s="34"/>
    </row>
    <row r="5248" spans="14:19">
      <c r="N5248" s="34"/>
      <c r="O5248" s="34"/>
      <c r="P5248" s="34"/>
      <c r="Q5248" s="34"/>
      <c r="R5248" s="34"/>
      <c r="S5248" s="34"/>
    </row>
    <row r="5249" spans="14:19">
      <c r="N5249" s="34"/>
      <c r="O5249" s="34"/>
      <c r="P5249" s="34"/>
      <c r="Q5249" s="34"/>
      <c r="R5249" s="34"/>
      <c r="S5249" s="34"/>
    </row>
    <row r="5250" spans="14:19">
      <c r="N5250" s="34"/>
      <c r="O5250" s="34"/>
      <c r="P5250" s="34"/>
      <c r="Q5250" s="34"/>
      <c r="R5250" s="34"/>
      <c r="S5250" s="34"/>
    </row>
    <row r="5251" spans="14:19">
      <c r="N5251" s="34"/>
      <c r="O5251" s="34"/>
      <c r="P5251" s="34"/>
      <c r="Q5251" s="34"/>
      <c r="R5251" s="34"/>
      <c r="S5251" s="34"/>
    </row>
    <row r="5252" spans="14:19">
      <c r="N5252" s="34"/>
      <c r="O5252" s="34"/>
      <c r="P5252" s="34"/>
      <c r="Q5252" s="34"/>
      <c r="R5252" s="34"/>
      <c r="S5252" s="34"/>
    </row>
    <row r="5253" spans="14:19">
      <c r="N5253" s="34"/>
      <c r="O5253" s="34"/>
      <c r="P5253" s="34"/>
      <c r="Q5253" s="34"/>
      <c r="R5253" s="34"/>
      <c r="S5253" s="34"/>
    </row>
    <row r="5254" spans="14:19">
      <c r="N5254" s="34"/>
      <c r="O5254" s="34"/>
      <c r="P5254" s="34"/>
      <c r="Q5254" s="34"/>
      <c r="R5254" s="34"/>
      <c r="S5254" s="34"/>
    </row>
    <row r="5255" spans="14:19">
      <c r="N5255" s="34"/>
      <c r="O5255" s="34"/>
      <c r="P5255" s="34"/>
      <c r="Q5255" s="34"/>
      <c r="R5255" s="34"/>
      <c r="S5255" s="34"/>
    </row>
    <row r="5256" spans="14:19">
      <c r="N5256" s="34"/>
      <c r="O5256" s="34"/>
      <c r="P5256" s="34"/>
      <c r="Q5256" s="34"/>
      <c r="R5256" s="34"/>
      <c r="S5256" s="34"/>
    </row>
    <row r="5257" spans="14:19">
      <c r="N5257" s="34"/>
      <c r="O5257" s="34"/>
      <c r="P5257" s="34"/>
      <c r="Q5257" s="34"/>
      <c r="R5257" s="34"/>
      <c r="S5257" s="34"/>
    </row>
    <row r="5258" spans="14:19">
      <c r="N5258" s="34"/>
      <c r="O5258" s="34"/>
      <c r="P5258" s="34"/>
      <c r="Q5258" s="34"/>
      <c r="R5258" s="34"/>
      <c r="S5258" s="34"/>
    </row>
    <row r="5259" spans="14:19">
      <c r="N5259" s="34"/>
      <c r="O5259" s="34"/>
      <c r="P5259" s="34"/>
      <c r="Q5259" s="34"/>
      <c r="R5259" s="34"/>
      <c r="S5259" s="34"/>
    </row>
    <row r="5260" spans="14:19">
      <c r="N5260" s="34"/>
      <c r="O5260" s="34"/>
      <c r="P5260" s="34"/>
      <c r="Q5260" s="34"/>
      <c r="R5260" s="34"/>
      <c r="S5260" s="34"/>
    </row>
    <row r="5261" spans="14:19">
      <c r="N5261" s="34"/>
      <c r="O5261" s="34"/>
      <c r="P5261" s="34"/>
      <c r="Q5261" s="34"/>
      <c r="R5261" s="34"/>
      <c r="S5261" s="34"/>
    </row>
    <row r="5262" spans="14:19">
      <c r="N5262" s="34"/>
      <c r="O5262" s="34"/>
      <c r="P5262" s="34"/>
      <c r="Q5262" s="34"/>
      <c r="R5262" s="34"/>
      <c r="S5262" s="34"/>
    </row>
    <row r="5263" spans="14:19">
      <c r="N5263" s="34"/>
      <c r="O5263" s="34"/>
      <c r="P5263" s="34"/>
      <c r="Q5263" s="34"/>
      <c r="R5263" s="34"/>
      <c r="S5263" s="34"/>
    </row>
    <row r="5264" spans="14:19">
      <c r="N5264" s="34"/>
      <c r="O5264" s="34"/>
      <c r="P5264" s="34"/>
      <c r="Q5264" s="34"/>
      <c r="R5264" s="34"/>
      <c r="S5264" s="34"/>
    </row>
    <row r="5265" spans="14:19">
      <c r="N5265" s="34"/>
      <c r="O5265" s="34"/>
      <c r="P5265" s="34"/>
      <c r="Q5265" s="34"/>
      <c r="R5265" s="34"/>
      <c r="S5265" s="34"/>
    </row>
    <row r="5266" spans="14:19">
      <c r="N5266" s="34"/>
      <c r="O5266" s="34"/>
      <c r="P5266" s="34"/>
      <c r="Q5266" s="34"/>
      <c r="R5266" s="34"/>
      <c r="S5266" s="34"/>
    </row>
    <row r="5267" spans="14:19">
      <c r="N5267" s="34"/>
      <c r="O5267" s="34"/>
      <c r="P5267" s="34"/>
      <c r="Q5267" s="34"/>
      <c r="R5267" s="34"/>
      <c r="S5267" s="34"/>
    </row>
    <row r="5268" spans="14:19">
      <c r="N5268" s="34"/>
      <c r="O5268" s="34"/>
      <c r="P5268" s="34"/>
      <c r="Q5268" s="34"/>
      <c r="R5268" s="34"/>
      <c r="S5268" s="34"/>
    </row>
    <row r="5269" spans="14:19">
      <c r="N5269" s="34"/>
      <c r="O5269" s="34"/>
      <c r="P5269" s="34"/>
      <c r="Q5269" s="34"/>
      <c r="R5269" s="34"/>
      <c r="S5269" s="34"/>
    </row>
    <row r="5270" spans="14:19">
      <c r="N5270" s="34"/>
      <c r="O5270" s="34"/>
      <c r="P5270" s="34"/>
      <c r="Q5270" s="34"/>
      <c r="R5270" s="34"/>
      <c r="S5270" s="34"/>
    </row>
    <row r="5271" spans="14:19">
      <c r="N5271" s="34"/>
      <c r="O5271" s="34"/>
      <c r="P5271" s="34"/>
      <c r="Q5271" s="34"/>
      <c r="R5271" s="34"/>
      <c r="S5271" s="34"/>
    </row>
    <row r="5272" spans="14:19">
      <c r="N5272" s="34"/>
      <c r="O5272" s="34"/>
      <c r="P5272" s="34"/>
      <c r="Q5272" s="34"/>
      <c r="R5272" s="34"/>
      <c r="S5272" s="34"/>
    </row>
    <row r="5273" spans="14:19">
      <c r="N5273" s="34"/>
      <c r="O5273" s="34"/>
      <c r="P5273" s="34"/>
      <c r="Q5273" s="34"/>
      <c r="R5273" s="34"/>
      <c r="S5273" s="34"/>
    </row>
    <row r="5274" spans="14:19">
      <c r="N5274" s="34"/>
      <c r="O5274" s="34"/>
      <c r="P5274" s="34"/>
      <c r="Q5274" s="34"/>
      <c r="R5274" s="34"/>
      <c r="S5274" s="34"/>
    </row>
    <row r="5275" spans="14:19">
      <c r="N5275" s="34"/>
      <c r="O5275" s="34"/>
      <c r="P5275" s="34"/>
      <c r="Q5275" s="34"/>
      <c r="R5275" s="34"/>
      <c r="S5275" s="34"/>
    </row>
    <row r="5276" spans="14:19">
      <c r="N5276" s="34"/>
      <c r="O5276" s="34"/>
      <c r="P5276" s="34"/>
      <c r="Q5276" s="34"/>
      <c r="R5276" s="34"/>
      <c r="S5276" s="34"/>
    </row>
    <row r="5277" spans="14:19">
      <c r="N5277" s="34"/>
      <c r="O5277" s="34"/>
      <c r="P5277" s="34"/>
      <c r="Q5277" s="34"/>
      <c r="R5277" s="34"/>
      <c r="S5277" s="34"/>
    </row>
    <row r="5278" spans="14:19">
      <c r="N5278" s="34"/>
      <c r="O5278" s="34"/>
      <c r="P5278" s="34"/>
      <c r="Q5278" s="34"/>
      <c r="R5278" s="34"/>
      <c r="S5278" s="34"/>
    </row>
    <row r="5279" spans="14:19">
      <c r="N5279" s="34"/>
      <c r="O5279" s="34"/>
      <c r="P5279" s="34"/>
      <c r="Q5279" s="34"/>
      <c r="R5279" s="34"/>
      <c r="S5279" s="34"/>
    </row>
    <row r="5280" spans="14:19">
      <c r="N5280" s="34"/>
      <c r="O5280" s="34"/>
      <c r="P5280" s="34"/>
      <c r="Q5280" s="34"/>
      <c r="R5280" s="34"/>
      <c r="S5280" s="34"/>
    </row>
    <row r="5281" spans="14:19">
      <c r="N5281" s="34"/>
      <c r="O5281" s="34"/>
      <c r="P5281" s="34"/>
      <c r="Q5281" s="34"/>
      <c r="R5281" s="34"/>
      <c r="S5281" s="34"/>
    </row>
    <row r="5282" spans="14:19">
      <c r="N5282" s="34"/>
      <c r="O5282" s="34"/>
      <c r="P5282" s="34"/>
      <c r="Q5282" s="34"/>
      <c r="R5282" s="34"/>
      <c r="S5282" s="34"/>
    </row>
    <row r="5283" spans="14:19">
      <c r="N5283" s="34"/>
      <c r="O5283" s="34"/>
      <c r="P5283" s="34"/>
      <c r="Q5283" s="34"/>
      <c r="R5283" s="34"/>
      <c r="S5283" s="34"/>
    </row>
    <row r="5284" spans="14:19">
      <c r="N5284" s="34"/>
      <c r="O5284" s="34"/>
      <c r="P5284" s="34"/>
      <c r="Q5284" s="34"/>
      <c r="R5284" s="34"/>
      <c r="S5284" s="34"/>
    </row>
    <row r="5285" spans="14:19">
      <c r="N5285" s="34"/>
      <c r="O5285" s="34"/>
      <c r="P5285" s="34"/>
      <c r="Q5285" s="34"/>
      <c r="R5285" s="34"/>
      <c r="S5285" s="34"/>
    </row>
    <row r="5286" spans="14:19">
      <c r="N5286" s="34"/>
      <c r="O5286" s="34"/>
      <c r="P5286" s="34"/>
      <c r="Q5286" s="34"/>
      <c r="R5286" s="34"/>
      <c r="S5286" s="34"/>
    </row>
    <row r="5287" spans="14:19">
      <c r="N5287" s="34"/>
      <c r="O5287" s="34"/>
      <c r="P5287" s="34"/>
      <c r="Q5287" s="34"/>
      <c r="R5287" s="34"/>
      <c r="S5287" s="34"/>
    </row>
    <row r="5288" spans="14:19">
      <c r="N5288" s="34"/>
      <c r="O5288" s="34"/>
      <c r="P5288" s="34"/>
      <c r="Q5288" s="34"/>
      <c r="R5288" s="34"/>
      <c r="S5288" s="34"/>
    </row>
    <row r="5289" spans="14:19">
      <c r="N5289" s="34"/>
      <c r="O5289" s="34"/>
      <c r="P5289" s="34"/>
      <c r="Q5289" s="34"/>
      <c r="R5289" s="34"/>
      <c r="S5289" s="34"/>
    </row>
    <row r="5290" spans="14:19">
      <c r="N5290" s="34"/>
      <c r="O5290" s="34"/>
      <c r="P5290" s="34"/>
      <c r="Q5290" s="34"/>
      <c r="R5290" s="34"/>
      <c r="S5290" s="34"/>
    </row>
    <row r="5291" spans="14:19">
      <c r="N5291" s="34"/>
      <c r="O5291" s="34"/>
      <c r="P5291" s="34"/>
      <c r="Q5291" s="34"/>
      <c r="R5291" s="34"/>
      <c r="S5291" s="34"/>
    </row>
    <row r="5292" spans="14:19">
      <c r="N5292" s="34"/>
      <c r="O5292" s="34"/>
      <c r="P5292" s="34"/>
      <c r="Q5292" s="34"/>
      <c r="R5292" s="34"/>
      <c r="S5292" s="34"/>
    </row>
    <row r="5293" spans="14:19">
      <c r="N5293" s="34"/>
      <c r="O5293" s="34"/>
      <c r="P5293" s="34"/>
      <c r="Q5293" s="34"/>
      <c r="R5293" s="34"/>
      <c r="S5293" s="34"/>
    </row>
    <row r="5294" spans="14:19">
      <c r="N5294" s="34"/>
      <c r="O5294" s="34"/>
      <c r="P5294" s="34"/>
      <c r="Q5294" s="34"/>
      <c r="R5294" s="34"/>
      <c r="S5294" s="34"/>
    </row>
    <row r="5295" spans="14:19">
      <c r="N5295" s="34"/>
      <c r="O5295" s="34"/>
      <c r="P5295" s="34"/>
      <c r="Q5295" s="34"/>
      <c r="R5295" s="34"/>
      <c r="S5295" s="34"/>
    </row>
    <row r="5296" spans="14:19">
      <c r="N5296" s="34"/>
      <c r="O5296" s="34"/>
      <c r="P5296" s="34"/>
      <c r="Q5296" s="34"/>
      <c r="R5296" s="34"/>
      <c r="S5296" s="34"/>
    </row>
    <row r="5297" spans="14:19">
      <c r="N5297" s="34"/>
      <c r="O5297" s="34"/>
      <c r="P5297" s="34"/>
      <c r="Q5297" s="34"/>
      <c r="R5297" s="34"/>
      <c r="S5297" s="34"/>
    </row>
    <row r="5298" spans="14:19">
      <c r="N5298" s="34"/>
      <c r="O5298" s="34"/>
      <c r="P5298" s="34"/>
      <c r="Q5298" s="34"/>
      <c r="R5298" s="34"/>
      <c r="S5298" s="34"/>
    </row>
    <row r="5299" spans="14:19">
      <c r="N5299" s="34"/>
      <c r="O5299" s="34"/>
      <c r="P5299" s="34"/>
      <c r="Q5299" s="34"/>
      <c r="R5299" s="34"/>
      <c r="S5299" s="34"/>
    </row>
    <row r="5300" spans="14:19">
      <c r="N5300" s="34"/>
      <c r="O5300" s="34"/>
      <c r="P5300" s="34"/>
      <c r="Q5300" s="34"/>
      <c r="R5300" s="34"/>
      <c r="S5300" s="34"/>
    </row>
    <row r="5301" spans="14:19">
      <c r="N5301" s="34"/>
      <c r="O5301" s="34"/>
      <c r="P5301" s="34"/>
      <c r="Q5301" s="34"/>
      <c r="R5301" s="34"/>
      <c r="S5301" s="34"/>
    </row>
    <row r="5302" spans="14:19">
      <c r="N5302" s="34"/>
      <c r="O5302" s="34"/>
      <c r="P5302" s="34"/>
      <c r="Q5302" s="34"/>
      <c r="R5302" s="34"/>
      <c r="S5302" s="34"/>
    </row>
    <row r="5303" spans="14:19">
      <c r="N5303" s="34"/>
      <c r="O5303" s="34"/>
      <c r="P5303" s="34"/>
      <c r="Q5303" s="34"/>
      <c r="R5303" s="34"/>
      <c r="S5303" s="34"/>
    </row>
    <row r="5304" spans="14:19">
      <c r="N5304" s="34"/>
      <c r="O5304" s="34"/>
      <c r="P5304" s="34"/>
      <c r="Q5304" s="34"/>
      <c r="R5304" s="34"/>
      <c r="S5304" s="34"/>
    </row>
    <row r="5305" spans="14:19">
      <c r="N5305" s="34"/>
      <c r="O5305" s="34"/>
      <c r="P5305" s="34"/>
      <c r="Q5305" s="34"/>
      <c r="R5305" s="34"/>
      <c r="S5305" s="34"/>
    </row>
    <row r="5306" spans="14:19">
      <c r="N5306" s="34"/>
      <c r="O5306" s="34"/>
      <c r="P5306" s="34"/>
      <c r="Q5306" s="34"/>
      <c r="R5306" s="34"/>
      <c r="S5306" s="34"/>
    </row>
    <row r="5307" spans="14:19">
      <c r="N5307" s="34"/>
      <c r="O5307" s="34"/>
      <c r="P5307" s="34"/>
      <c r="Q5307" s="34"/>
      <c r="R5307" s="34"/>
      <c r="S5307" s="34"/>
    </row>
    <row r="5308" spans="14:19">
      <c r="N5308" s="34"/>
      <c r="O5308" s="34"/>
      <c r="P5308" s="34"/>
      <c r="Q5308" s="34"/>
      <c r="R5308" s="34"/>
      <c r="S5308" s="34"/>
    </row>
    <row r="5309" spans="14:19">
      <c r="N5309" s="34"/>
      <c r="O5309" s="34"/>
      <c r="P5309" s="34"/>
      <c r="Q5309" s="34"/>
      <c r="R5309" s="34"/>
      <c r="S5309" s="34"/>
    </row>
    <row r="5310" spans="14:19">
      <c r="N5310" s="34"/>
      <c r="O5310" s="34"/>
      <c r="P5310" s="34"/>
      <c r="Q5310" s="34"/>
      <c r="R5310" s="34"/>
      <c r="S5310" s="34"/>
    </row>
    <row r="5311" spans="14:19">
      <c r="N5311" s="34"/>
      <c r="O5311" s="34"/>
      <c r="P5311" s="34"/>
      <c r="Q5311" s="34"/>
      <c r="R5311" s="34"/>
      <c r="S5311" s="34"/>
    </row>
    <row r="5312" spans="14:19">
      <c r="N5312" s="34"/>
      <c r="O5312" s="34"/>
      <c r="P5312" s="34"/>
      <c r="Q5312" s="34"/>
      <c r="R5312" s="34"/>
      <c r="S5312" s="34"/>
    </row>
    <row r="5313" spans="14:19">
      <c r="N5313" s="34"/>
      <c r="O5313" s="34"/>
      <c r="P5313" s="34"/>
      <c r="Q5313" s="34"/>
      <c r="R5313" s="34"/>
      <c r="S5313" s="34"/>
    </row>
    <row r="5314" spans="14:19">
      <c r="N5314" s="34"/>
      <c r="O5314" s="34"/>
      <c r="P5314" s="34"/>
      <c r="Q5314" s="34"/>
      <c r="R5314" s="34"/>
      <c r="S5314" s="34"/>
    </row>
    <row r="5315" spans="14:19">
      <c r="N5315" s="34"/>
      <c r="O5315" s="34"/>
      <c r="P5315" s="34"/>
      <c r="Q5315" s="34"/>
      <c r="R5315" s="34"/>
      <c r="S5315" s="34"/>
    </row>
    <row r="5316" spans="14:19">
      <c r="N5316" s="34"/>
      <c r="O5316" s="34"/>
      <c r="P5316" s="34"/>
      <c r="Q5316" s="34"/>
      <c r="R5316" s="34"/>
      <c r="S5316" s="34"/>
    </row>
    <row r="5317" spans="14:19">
      <c r="N5317" s="34"/>
      <c r="O5317" s="34"/>
      <c r="P5317" s="34"/>
      <c r="Q5317" s="34"/>
      <c r="R5317" s="34"/>
      <c r="S5317" s="34"/>
    </row>
    <row r="5318" spans="14:19">
      <c r="N5318" s="34"/>
      <c r="O5318" s="34"/>
      <c r="P5318" s="34"/>
      <c r="Q5318" s="34"/>
      <c r="R5318" s="34"/>
      <c r="S5318" s="34"/>
    </row>
    <row r="5319" spans="14:19">
      <c r="N5319" s="34"/>
      <c r="O5319" s="34"/>
      <c r="P5319" s="34"/>
      <c r="Q5319" s="34"/>
      <c r="R5319" s="34"/>
      <c r="S5319" s="34"/>
    </row>
    <row r="5320" spans="14:19">
      <c r="N5320" s="34"/>
      <c r="O5320" s="34"/>
      <c r="P5320" s="34"/>
      <c r="Q5320" s="34"/>
      <c r="R5320" s="34"/>
      <c r="S5320" s="34"/>
    </row>
    <row r="5321" spans="14:19">
      <c r="N5321" s="34"/>
      <c r="O5321" s="34"/>
      <c r="P5321" s="34"/>
      <c r="Q5321" s="34"/>
      <c r="R5321" s="34"/>
      <c r="S5321" s="34"/>
    </row>
    <row r="5322" spans="14:19">
      <c r="N5322" s="34"/>
      <c r="O5322" s="34"/>
      <c r="P5322" s="34"/>
      <c r="Q5322" s="34"/>
      <c r="R5322" s="34"/>
      <c r="S5322" s="34"/>
    </row>
    <row r="5323" spans="14:19">
      <c r="N5323" s="34"/>
      <c r="O5323" s="34"/>
      <c r="P5323" s="34"/>
      <c r="Q5323" s="34"/>
      <c r="R5323" s="34"/>
      <c r="S5323" s="34"/>
    </row>
    <row r="5324" spans="14:19">
      <c r="N5324" s="34"/>
      <c r="O5324" s="34"/>
      <c r="P5324" s="34"/>
      <c r="Q5324" s="34"/>
      <c r="R5324" s="34"/>
      <c r="S5324" s="34"/>
    </row>
    <row r="5325" spans="14:19">
      <c r="N5325" s="34"/>
      <c r="O5325" s="34"/>
      <c r="P5325" s="34"/>
      <c r="Q5325" s="34"/>
      <c r="R5325" s="34"/>
      <c r="S5325" s="34"/>
    </row>
    <row r="5326" spans="14:19">
      <c r="N5326" s="34"/>
      <c r="O5326" s="34"/>
      <c r="P5326" s="34"/>
      <c r="Q5326" s="34"/>
      <c r="R5326" s="34"/>
      <c r="S5326" s="34"/>
    </row>
    <row r="5327" spans="14:19">
      <c r="N5327" s="34"/>
      <c r="O5327" s="34"/>
      <c r="P5327" s="34"/>
      <c r="Q5327" s="34"/>
      <c r="R5327" s="34"/>
      <c r="S5327" s="34"/>
    </row>
    <row r="5328" spans="14:19">
      <c r="N5328" s="34"/>
      <c r="O5328" s="34"/>
      <c r="P5328" s="34"/>
      <c r="Q5328" s="34"/>
      <c r="R5328" s="34"/>
      <c r="S5328" s="34"/>
    </row>
    <row r="5329" spans="14:19">
      <c r="N5329" s="34"/>
      <c r="O5329" s="34"/>
      <c r="P5329" s="34"/>
      <c r="Q5329" s="34"/>
      <c r="R5329" s="34"/>
      <c r="S5329" s="34"/>
    </row>
    <row r="5330" spans="14:19">
      <c r="N5330" s="34"/>
      <c r="O5330" s="34"/>
      <c r="P5330" s="34"/>
      <c r="Q5330" s="34"/>
      <c r="R5330" s="34"/>
      <c r="S5330" s="34"/>
    </row>
    <row r="5331" spans="14:19">
      <c r="N5331" s="34"/>
      <c r="O5331" s="34"/>
      <c r="P5331" s="34"/>
      <c r="Q5331" s="34"/>
      <c r="R5331" s="34"/>
      <c r="S5331" s="34"/>
    </row>
    <row r="5332" spans="14:19">
      <c r="N5332" s="34"/>
      <c r="O5332" s="34"/>
      <c r="P5332" s="34"/>
      <c r="Q5332" s="34"/>
      <c r="R5332" s="34"/>
      <c r="S5332" s="34"/>
    </row>
    <row r="5333" spans="14:19">
      <c r="N5333" s="34"/>
      <c r="O5333" s="34"/>
      <c r="P5333" s="34"/>
      <c r="Q5333" s="34"/>
      <c r="R5333" s="34"/>
      <c r="S5333" s="34"/>
    </row>
    <row r="5334" spans="14:19">
      <c r="N5334" s="34"/>
      <c r="O5334" s="34"/>
      <c r="P5334" s="34"/>
      <c r="Q5334" s="34"/>
      <c r="R5334" s="34"/>
      <c r="S5334" s="34"/>
    </row>
    <row r="5335" spans="14:19">
      <c r="N5335" s="34"/>
      <c r="O5335" s="34"/>
      <c r="P5335" s="34"/>
      <c r="Q5335" s="34"/>
      <c r="R5335" s="34"/>
      <c r="S5335" s="34"/>
    </row>
    <row r="5336" spans="14:19">
      <c r="N5336" s="34"/>
      <c r="O5336" s="34"/>
      <c r="P5336" s="34"/>
      <c r="Q5336" s="34"/>
      <c r="R5336" s="34"/>
      <c r="S5336" s="34"/>
    </row>
    <row r="5337" spans="14:19">
      <c r="N5337" s="34"/>
      <c r="O5337" s="34"/>
      <c r="P5337" s="34"/>
      <c r="Q5337" s="34"/>
      <c r="R5337" s="34"/>
      <c r="S5337" s="34"/>
    </row>
    <row r="5338" spans="14:19">
      <c r="N5338" s="34"/>
      <c r="O5338" s="34"/>
      <c r="P5338" s="34"/>
      <c r="Q5338" s="34"/>
      <c r="R5338" s="34"/>
      <c r="S5338" s="34"/>
    </row>
    <row r="5339" spans="14:19">
      <c r="N5339" s="34"/>
      <c r="O5339" s="34"/>
      <c r="P5339" s="34"/>
      <c r="Q5339" s="34"/>
      <c r="R5339" s="34"/>
      <c r="S5339" s="34"/>
    </row>
    <row r="5340" spans="14:19">
      <c r="N5340" s="34"/>
      <c r="O5340" s="34"/>
      <c r="P5340" s="34"/>
      <c r="Q5340" s="34"/>
      <c r="R5340" s="34"/>
      <c r="S5340" s="34"/>
    </row>
    <row r="5341" spans="14:19">
      <c r="N5341" s="34"/>
      <c r="O5341" s="34"/>
      <c r="P5341" s="34"/>
      <c r="Q5341" s="34"/>
      <c r="R5341" s="34"/>
      <c r="S5341" s="34"/>
    </row>
    <row r="5342" spans="14:19">
      <c r="N5342" s="34"/>
      <c r="O5342" s="34"/>
      <c r="P5342" s="34"/>
      <c r="Q5342" s="34"/>
      <c r="R5342" s="34"/>
      <c r="S5342" s="34"/>
    </row>
    <row r="5343" spans="14:19">
      <c r="N5343" s="34"/>
      <c r="O5343" s="34"/>
      <c r="P5343" s="34"/>
      <c r="Q5343" s="34"/>
      <c r="R5343" s="34"/>
      <c r="S5343" s="34"/>
    </row>
    <row r="5344" spans="14:19">
      <c r="N5344" s="34"/>
      <c r="O5344" s="34"/>
      <c r="P5344" s="34"/>
      <c r="Q5344" s="34"/>
      <c r="R5344" s="34"/>
      <c r="S5344" s="34"/>
    </row>
    <row r="5345" spans="14:19">
      <c r="N5345" s="34"/>
      <c r="O5345" s="34"/>
      <c r="P5345" s="34"/>
      <c r="Q5345" s="34"/>
      <c r="R5345" s="34"/>
      <c r="S5345" s="34"/>
    </row>
    <row r="5346" spans="14:19">
      <c r="N5346" s="34"/>
      <c r="O5346" s="34"/>
      <c r="P5346" s="34"/>
      <c r="Q5346" s="34"/>
      <c r="R5346" s="34"/>
      <c r="S5346" s="34"/>
    </row>
    <row r="5347" spans="14:19">
      <c r="N5347" s="34"/>
      <c r="O5347" s="34"/>
      <c r="P5347" s="34"/>
      <c r="Q5347" s="34"/>
      <c r="R5347" s="34"/>
      <c r="S5347" s="34"/>
    </row>
    <row r="5348" spans="14:19">
      <c r="N5348" s="34"/>
      <c r="O5348" s="34"/>
      <c r="P5348" s="34"/>
      <c r="Q5348" s="34"/>
      <c r="R5348" s="34"/>
      <c r="S5348" s="34"/>
    </row>
    <row r="5349" spans="14:19">
      <c r="N5349" s="34"/>
      <c r="O5349" s="34"/>
      <c r="P5349" s="34"/>
      <c r="Q5349" s="34"/>
      <c r="R5349" s="34"/>
      <c r="S5349" s="34"/>
    </row>
    <row r="5350" spans="14:19">
      <c r="N5350" s="34"/>
      <c r="O5350" s="34"/>
      <c r="P5350" s="34"/>
      <c r="Q5350" s="34"/>
      <c r="R5350" s="34"/>
      <c r="S5350" s="34"/>
    </row>
    <row r="5351" spans="14:19">
      <c r="N5351" s="34"/>
      <c r="O5351" s="34"/>
      <c r="P5351" s="34"/>
      <c r="Q5351" s="34"/>
      <c r="R5351" s="34"/>
      <c r="S5351" s="34"/>
    </row>
    <row r="5352" spans="14:19">
      <c r="N5352" s="34"/>
      <c r="O5352" s="34"/>
      <c r="P5352" s="34"/>
      <c r="Q5352" s="34"/>
      <c r="R5352" s="34"/>
      <c r="S5352" s="34"/>
    </row>
    <row r="5353" spans="14:19">
      <c r="N5353" s="34"/>
      <c r="O5353" s="34"/>
      <c r="P5353" s="34"/>
      <c r="Q5353" s="34"/>
      <c r="R5353" s="34"/>
      <c r="S5353" s="34"/>
    </row>
    <row r="5354" spans="14:19">
      <c r="N5354" s="34"/>
      <c r="O5354" s="34"/>
      <c r="P5354" s="34"/>
      <c r="Q5354" s="34"/>
      <c r="R5354" s="34"/>
      <c r="S5354" s="34"/>
    </row>
    <row r="5355" spans="14:19">
      <c r="N5355" s="34"/>
      <c r="O5355" s="34"/>
      <c r="P5355" s="34"/>
      <c r="Q5355" s="34"/>
      <c r="R5355" s="34"/>
      <c r="S5355" s="34"/>
    </row>
    <row r="5356" spans="14:19">
      <c r="N5356" s="34"/>
      <c r="O5356" s="34"/>
      <c r="P5356" s="34"/>
      <c r="Q5356" s="34"/>
      <c r="R5356" s="34"/>
      <c r="S5356" s="34"/>
    </row>
    <row r="5357" spans="14:19">
      <c r="N5357" s="34"/>
      <c r="O5357" s="34"/>
      <c r="P5357" s="34"/>
      <c r="Q5357" s="34"/>
      <c r="R5357" s="34"/>
      <c r="S5357" s="34"/>
    </row>
    <row r="5358" spans="14:19">
      <c r="N5358" s="34"/>
      <c r="O5358" s="34"/>
      <c r="P5358" s="34"/>
      <c r="Q5358" s="34"/>
      <c r="R5358" s="34"/>
      <c r="S5358" s="34"/>
    </row>
    <row r="5359" spans="14:19">
      <c r="N5359" s="34"/>
      <c r="O5359" s="34"/>
      <c r="P5359" s="34"/>
      <c r="Q5359" s="34"/>
      <c r="R5359" s="34"/>
      <c r="S5359" s="34"/>
    </row>
    <row r="5360" spans="14:19">
      <c r="N5360" s="34"/>
      <c r="O5360" s="34"/>
      <c r="P5360" s="34"/>
      <c r="Q5360" s="34"/>
      <c r="R5360" s="34"/>
      <c r="S5360" s="34"/>
    </row>
    <row r="5361" spans="14:19">
      <c r="N5361" s="34"/>
      <c r="O5361" s="34"/>
      <c r="P5361" s="34"/>
      <c r="Q5361" s="34"/>
      <c r="R5361" s="34"/>
      <c r="S5361" s="34"/>
    </row>
    <row r="5362" spans="14:19">
      <c r="N5362" s="34"/>
      <c r="O5362" s="34"/>
      <c r="P5362" s="34"/>
      <c r="Q5362" s="34"/>
      <c r="R5362" s="34"/>
      <c r="S5362" s="34"/>
    </row>
    <row r="5363" spans="14:19">
      <c r="N5363" s="34"/>
      <c r="O5363" s="34"/>
      <c r="P5363" s="34"/>
      <c r="Q5363" s="34"/>
      <c r="R5363" s="34"/>
      <c r="S5363" s="34"/>
    </row>
    <row r="5364" spans="14:19">
      <c r="N5364" s="34"/>
      <c r="O5364" s="34"/>
      <c r="P5364" s="34"/>
      <c r="Q5364" s="34"/>
      <c r="R5364" s="34"/>
      <c r="S5364" s="34"/>
    </row>
    <row r="5365" spans="14:19">
      <c r="N5365" s="34"/>
      <c r="O5365" s="34"/>
      <c r="P5365" s="34"/>
      <c r="Q5365" s="34"/>
      <c r="R5365" s="34"/>
      <c r="S5365" s="34"/>
    </row>
    <row r="5366" spans="14:19">
      <c r="N5366" s="34"/>
      <c r="O5366" s="34"/>
      <c r="P5366" s="34"/>
      <c r="Q5366" s="34"/>
      <c r="R5366" s="34"/>
      <c r="S5366" s="34"/>
    </row>
    <row r="5367" spans="14:19">
      <c r="N5367" s="34"/>
      <c r="O5367" s="34"/>
      <c r="P5367" s="34"/>
      <c r="Q5367" s="34"/>
      <c r="R5367" s="34"/>
      <c r="S5367" s="34"/>
    </row>
    <row r="5368" spans="14:19">
      <c r="N5368" s="34"/>
      <c r="O5368" s="34"/>
      <c r="P5368" s="34"/>
      <c r="Q5368" s="34"/>
      <c r="R5368" s="34"/>
      <c r="S5368" s="34"/>
    </row>
    <row r="5369" spans="14:19">
      <c r="N5369" s="34"/>
      <c r="O5369" s="34"/>
      <c r="P5369" s="34"/>
      <c r="Q5369" s="34"/>
      <c r="R5369" s="34"/>
      <c r="S5369" s="34"/>
    </row>
    <row r="5370" spans="14:19">
      <c r="N5370" s="34"/>
      <c r="O5370" s="34"/>
      <c r="P5370" s="34"/>
      <c r="Q5370" s="34"/>
      <c r="R5370" s="34"/>
      <c r="S5370" s="34"/>
    </row>
    <row r="5371" spans="14:19">
      <c r="N5371" s="34"/>
      <c r="O5371" s="34"/>
      <c r="P5371" s="34"/>
      <c r="Q5371" s="34"/>
      <c r="R5371" s="34"/>
      <c r="S5371" s="34"/>
    </row>
    <row r="5372" spans="14:19">
      <c r="N5372" s="34"/>
      <c r="O5372" s="34"/>
      <c r="P5372" s="34"/>
      <c r="Q5372" s="34"/>
      <c r="R5372" s="34"/>
      <c r="S5372" s="34"/>
    </row>
    <row r="5373" spans="14:19">
      <c r="N5373" s="34"/>
      <c r="O5373" s="34"/>
      <c r="P5373" s="34"/>
      <c r="Q5373" s="34"/>
      <c r="R5373" s="34"/>
      <c r="S5373" s="34"/>
    </row>
    <row r="5374" spans="14:19">
      <c r="N5374" s="34"/>
      <c r="O5374" s="34"/>
      <c r="P5374" s="34"/>
      <c r="Q5374" s="34"/>
      <c r="R5374" s="34"/>
      <c r="S5374" s="34"/>
    </row>
    <row r="5375" spans="14:19">
      <c r="N5375" s="34"/>
      <c r="O5375" s="34"/>
      <c r="P5375" s="34"/>
      <c r="Q5375" s="34"/>
      <c r="R5375" s="34"/>
      <c r="S5375" s="34"/>
    </row>
    <row r="5376" spans="14:19">
      <c r="N5376" s="34"/>
      <c r="O5376" s="34"/>
      <c r="P5376" s="34"/>
      <c r="Q5376" s="34"/>
      <c r="R5376" s="34"/>
      <c r="S5376" s="34"/>
    </row>
    <row r="5377" spans="14:19">
      <c r="N5377" s="34"/>
      <c r="O5377" s="34"/>
      <c r="P5377" s="34"/>
      <c r="Q5377" s="34"/>
      <c r="R5377" s="34"/>
      <c r="S5377" s="34"/>
    </row>
    <row r="5378" spans="14:19">
      <c r="N5378" s="34"/>
      <c r="O5378" s="34"/>
      <c r="P5378" s="34"/>
      <c r="Q5378" s="34"/>
      <c r="R5378" s="34"/>
      <c r="S5378" s="34"/>
    </row>
    <row r="5379" spans="14:19">
      <c r="N5379" s="34"/>
      <c r="O5379" s="34"/>
      <c r="P5379" s="34"/>
      <c r="Q5379" s="34"/>
      <c r="R5379" s="34"/>
      <c r="S5379" s="34"/>
    </row>
    <row r="5380" spans="14:19">
      <c r="N5380" s="34"/>
      <c r="O5380" s="34"/>
      <c r="P5380" s="34"/>
      <c r="Q5380" s="34"/>
      <c r="R5380" s="34"/>
      <c r="S5380" s="34"/>
    </row>
    <row r="5381" spans="14:19">
      <c r="N5381" s="34"/>
      <c r="O5381" s="34"/>
      <c r="P5381" s="34"/>
      <c r="Q5381" s="34"/>
      <c r="R5381" s="34"/>
      <c r="S5381" s="34"/>
    </row>
    <row r="5382" spans="14:19">
      <c r="N5382" s="34"/>
      <c r="O5382" s="34"/>
      <c r="P5382" s="34"/>
      <c r="Q5382" s="34"/>
      <c r="R5382" s="34"/>
      <c r="S5382" s="34"/>
    </row>
    <row r="5383" spans="14:19">
      <c r="N5383" s="34"/>
      <c r="O5383" s="34"/>
      <c r="P5383" s="34"/>
      <c r="Q5383" s="34"/>
      <c r="R5383" s="34"/>
      <c r="S5383" s="34"/>
    </row>
    <row r="5384" spans="14:19">
      <c r="N5384" s="34"/>
      <c r="O5384" s="34"/>
      <c r="P5384" s="34"/>
      <c r="Q5384" s="34"/>
      <c r="R5384" s="34"/>
      <c r="S5384" s="34"/>
    </row>
    <row r="5385" spans="14:19">
      <c r="N5385" s="34"/>
      <c r="O5385" s="34"/>
      <c r="P5385" s="34"/>
      <c r="Q5385" s="34"/>
      <c r="R5385" s="34"/>
      <c r="S5385" s="34"/>
    </row>
    <row r="5386" spans="14:19">
      <c r="N5386" s="34"/>
      <c r="O5386" s="34"/>
      <c r="P5386" s="34"/>
      <c r="Q5386" s="34"/>
      <c r="R5386" s="34"/>
      <c r="S5386" s="34"/>
    </row>
    <row r="5387" spans="14:19">
      <c r="N5387" s="34"/>
      <c r="O5387" s="34"/>
      <c r="P5387" s="34"/>
      <c r="Q5387" s="34"/>
      <c r="R5387" s="34"/>
      <c r="S5387" s="34"/>
    </row>
    <row r="5388" spans="14:19">
      <c r="N5388" s="34"/>
      <c r="O5388" s="34"/>
      <c r="P5388" s="34"/>
      <c r="Q5388" s="34"/>
      <c r="R5388" s="34"/>
      <c r="S5388" s="34"/>
    </row>
    <row r="5389" spans="14:19">
      <c r="N5389" s="34"/>
      <c r="O5389" s="34"/>
      <c r="P5389" s="34"/>
      <c r="Q5389" s="34"/>
      <c r="R5389" s="34"/>
      <c r="S5389" s="34"/>
    </row>
    <row r="5390" spans="14:19">
      <c r="N5390" s="34"/>
      <c r="O5390" s="34"/>
      <c r="P5390" s="34"/>
      <c r="Q5390" s="34"/>
      <c r="R5390" s="34"/>
      <c r="S5390" s="34"/>
    </row>
    <row r="5391" spans="14:19">
      <c r="N5391" s="34"/>
      <c r="O5391" s="34"/>
      <c r="P5391" s="34"/>
      <c r="Q5391" s="34"/>
      <c r="R5391" s="34"/>
      <c r="S5391" s="34"/>
    </row>
    <row r="5392" spans="14:19">
      <c r="N5392" s="34"/>
      <c r="O5392" s="34"/>
      <c r="P5392" s="34"/>
      <c r="Q5392" s="34"/>
      <c r="R5392" s="34"/>
      <c r="S5392" s="34"/>
    </row>
    <row r="5393" spans="14:19">
      <c r="N5393" s="34"/>
      <c r="O5393" s="34"/>
      <c r="P5393" s="34"/>
      <c r="Q5393" s="34"/>
      <c r="R5393" s="34"/>
      <c r="S5393" s="34"/>
    </row>
    <row r="5394" spans="14:19">
      <c r="N5394" s="34"/>
      <c r="O5394" s="34"/>
      <c r="P5394" s="34"/>
      <c r="Q5394" s="34"/>
      <c r="R5394" s="34"/>
      <c r="S5394" s="34"/>
    </row>
    <row r="5395" spans="14:19">
      <c r="N5395" s="34"/>
      <c r="O5395" s="34"/>
      <c r="P5395" s="34"/>
      <c r="Q5395" s="34"/>
      <c r="R5395" s="34"/>
      <c r="S5395" s="34"/>
    </row>
    <row r="5396" spans="14:19">
      <c r="N5396" s="34"/>
      <c r="O5396" s="34"/>
      <c r="P5396" s="34"/>
      <c r="Q5396" s="34"/>
      <c r="R5396" s="34"/>
      <c r="S5396" s="34"/>
    </row>
    <row r="5397" spans="14:19">
      <c r="N5397" s="34"/>
      <c r="O5397" s="34"/>
      <c r="P5397" s="34"/>
      <c r="Q5397" s="34"/>
      <c r="R5397" s="34"/>
      <c r="S5397" s="34"/>
    </row>
    <row r="5398" spans="14:19">
      <c r="N5398" s="34"/>
      <c r="O5398" s="34"/>
      <c r="P5398" s="34"/>
      <c r="Q5398" s="34"/>
      <c r="R5398" s="34"/>
      <c r="S5398" s="34"/>
    </row>
    <row r="5399" spans="14:19">
      <c r="N5399" s="34"/>
      <c r="O5399" s="34"/>
      <c r="P5399" s="34"/>
      <c r="Q5399" s="34"/>
      <c r="R5399" s="34"/>
      <c r="S5399" s="34"/>
    </row>
    <row r="5400" spans="14:19">
      <c r="N5400" s="34"/>
      <c r="O5400" s="34"/>
      <c r="P5400" s="34"/>
      <c r="Q5400" s="34"/>
      <c r="R5400" s="34"/>
      <c r="S5400" s="34"/>
    </row>
    <row r="5401" spans="14:19">
      <c r="N5401" s="34"/>
      <c r="O5401" s="34"/>
      <c r="P5401" s="34"/>
      <c r="Q5401" s="34"/>
      <c r="R5401" s="34"/>
      <c r="S5401" s="34"/>
    </row>
    <row r="5402" spans="14:19">
      <c r="N5402" s="34"/>
      <c r="O5402" s="34"/>
      <c r="P5402" s="34"/>
      <c r="Q5402" s="34"/>
      <c r="R5402" s="34"/>
      <c r="S5402" s="34"/>
    </row>
    <row r="5403" spans="14:19">
      <c r="N5403" s="34"/>
      <c r="O5403" s="34"/>
      <c r="P5403" s="34"/>
      <c r="Q5403" s="34"/>
      <c r="R5403" s="34"/>
      <c r="S5403" s="34"/>
    </row>
    <row r="5404" spans="14:19">
      <c r="N5404" s="34"/>
      <c r="O5404" s="34"/>
      <c r="P5404" s="34"/>
      <c r="Q5404" s="34"/>
      <c r="R5404" s="34"/>
      <c r="S5404" s="34"/>
    </row>
    <row r="5405" spans="14:19">
      <c r="N5405" s="34"/>
      <c r="O5405" s="34"/>
      <c r="P5405" s="34"/>
      <c r="Q5405" s="34"/>
      <c r="R5405" s="34"/>
      <c r="S5405" s="34"/>
    </row>
    <row r="5406" spans="14:19">
      <c r="N5406" s="34"/>
      <c r="O5406" s="34"/>
      <c r="P5406" s="34"/>
      <c r="Q5406" s="34"/>
      <c r="R5406" s="34"/>
      <c r="S5406" s="34"/>
    </row>
    <row r="5407" spans="14:19">
      <c r="N5407" s="34"/>
      <c r="O5407" s="34"/>
      <c r="P5407" s="34"/>
      <c r="Q5407" s="34"/>
      <c r="R5407" s="34"/>
      <c r="S5407" s="34"/>
    </row>
    <row r="5408" spans="14:19">
      <c r="N5408" s="34"/>
      <c r="O5408" s="34"/>
      <c r="P5408" s="34"/>
      <c r="Q5408" s="34"/>
      <c r="R5408" s="34"/>
      <c r="S5408" s="34"/>
    </row>
    <row r="5409" spans="14:19">
      <c r="N5409" s="34"/>
      <c r="O5409" s="34"/>
      <c r="P5409" s="34"/>
      <c r="Q5409" s="34"/>
      <c r="R5409" s="34"/>
      <c r="S5409" s="34"/>
    </row>
    <row r="5410" spans="14:19">
      <c r="N5410" s="34"/>
      <c r="O5410" s="34"/>
      <c r="P5410" s="34"/>
      <c r="Q5410" s="34"/>
      <c r="R5410" s="34"/>
      <c r="S5410" s="34"/>
    </row>
    <row r="5411" spans="14:19">
      <c r="N5411" s="34"/>
      <c r="O5411" s="34"/>
      <c r="P5411" s="34"/>
      <c r="Q5411" s="34"/>
      <c r="R5411" s="34"/>
      <c r="S5411" s="34"/>
    </row>
    <row r="5412" spans="14:19">
      <c r="N5412" s="34"/>
      <c r="O5412" s="34"/>
      <c r="P5412" s="34"/>
      <c r="Q5412" s="34"/>
      <c r="R5412" s="34"/>
      <c r="S5412" s="34"/>
    </row>
    <row r="5413" spans="14:19">
      <c r="N5413" s="34"/>
      <c r="O5413" s="34"/>
      <c r="P5413" s="34"/>
      <c r="Q5413" s="34"/>
      <c r="R5413" s="34"/>
      <c r="S5413" s="34"/>
    </row>
    <row r="5414" spans="14:19">
      <c r="N5414" s="34"/>
      <c r="O5414" s="34"/>
      <c r="P5414" s="34"/>
      <c r="Q5414" s="34"/>
      <c r="R5414" s="34"/>
      <c r="S5414" s="34"/>
    </row>
    <row r="5415" spans="14:19">
      <c r="N5415" s="34"/>
      <c r="O5415" s="34"/>
      <c r="P5415" s="34"/>
      <c r="Q5415" s="34"/>
      <c r="R5415" s="34"/>
      <c r="S5415" s="34"/>
    </row>
    <row r="5416" spans="14:19">
      <c r="N5416" s="34"/>
      <c r="O5416" s="34"/>
      <c r="P5416" s="34"/>
      <c r="Q5416" s="34"/>
      <c r="R5416" s="34"/>
      <c r="S5416" s="34"/>
    </row>
    <row r="5417" spans="14:19">
      <c r="N5417" s="34"/>
      <c r="O5417" s="34"/>
      <c r="P5417" s="34"/>
      <c r="Q5417" s="34"/>
      <c r="R5417" s="34"/>
      <c r="S5417" s="34"/>
    </row>
    <row r="5418" spans="14:19">
      <c r="N5418" s="34"/>
      <c r="O5418" s="34"/>
      <c r="P5418" s="34"/>
      <c r="Q5418" s="34"/>
      <c r="R5418" s="34"/>
      <c r="S5418" s="34"/>
    </row>
    <row r="5419" spans="14:19">
      <c r="N5419" s="34"/>
      <c r="O5419" s="34"/>
      <c r="P5419" s="34"/>
      <c r="Q5419" s="34"/>
      <c r="R5419" s="34"/>
      <c r="S5419" s="34"/>
    </row>
    <row r="5420" spans="14:19">
      <c r="N5420" s="34"/>
      <c r="O5420" s="34"/>
      <c r="P5420" s="34"/>
      <c r="Q5420" s="34"/>
      <c r="R5420" s="34"/>
      <c r="S5420" s="34"/>
    </row>
    <row r="5421" spans="14:19">
      <c r="N5421" s="34"/>
      <c r="O5421" s="34"/>
      <c r="P5421" s="34"/>
      <c r="Q5421" s="34"/>
      <c r="R5421" s="34"/>
      <c r="S5421" s="34"/>
    </row>
    <row r="5422" spans="14:19">
      <c r="N5422" s="34"/>
      <c r="O5422" s="34"/>
      <c r="P5422" s="34"/>
      <c r="Q5422" s="34"/>
      <c r="R5422" s="34"/>
      <c r="S5422" s="34"/>
    </row>
    <row r="5423" spans="14:19">
      <c r="N5423" s="34"/>
      <c r="O5423" s="34"/>
      <c r="P5423" s="34"/>
      <c r="Q5423" s="34"/>
      <c r="R5423" s="34"/>
      <c r="S5423" s="34"/>
    </row>
    <row r="5424" spans="14:19">
      <c r="N5424" s="34"/>
      <c r="O5424" s="34"/>
      <c r="P5424" s="34"/>
      <c r="Q5424" s="34"/>
      <c r="R5424" s="34"/>
      <c r="S5424" s="34"/>
    </row>
    <row r="5425" spans="14:19">
      <c r="N5425" s="34"/>
      <c r="O5425" s="34"/>
      <c r="P5425" s="34"/>
      <c r="Q5425" s="34"/>
      <c r="R5425" s="34"/>
      <c r="S5425" s="34"/>
    </row>
    <row r="5426" spans="14:19">
      <c r="N5426" s="34"/>
      <c r="O5426" s="34"/>
      <c r="P5426" s="34"/>
      <c r="Q5426" s="34"/>
      <c r="R5426" s="34"/>
      <c r="S5426" s="34"/>
    </row>
    <row r="5427" spans="14:19">
      <c r="N5427" s="34"/>
      <c r="O5427" s="34"/>
      <c r="P5427" s="34"/>
      <c r="Q5427" s="34"/>
      <c r="R5427" s="34"/>
      <c r="S5427" s="34"/>
    </row>
    <row r="5428" spans="14:19">
      <c r="N5428" s="34"/>
      <c r="O5428" s="34"/>
      <c r="P5428" s="34"/>
      <c r="Q5428" s="34"/>
      <c r="R5428" s="34"/>
      <c r="S5428" s="34"/>
    </row>
    <row r="5429" spans="14:19">
      <c r="N5429" s="34"/>
      <c r="O5429" s="34"/>
      <c r="P5429" s="34"/>
      <c r="Q5429" s="34"/>
      <c r="R5429" s="34"/>
      <c r="S5429" s="34"/>
    </row>
    <row r="5430" spans="14:19">
      <c r="N5430" s="34"/>
      <c r="O5430" s="34"/>
      <c r="P5430" s="34"/>
      <c r="Q5430" s="34"/>
      <c r="R5430" s="34"/>
      <c r="S5430" s="34"/>
    </row>
    <row r="5431" spans="14:19">
      <c r="N5431" s="34"/>
      <c r="O5431" s="34"/>
      <c r="P5431" s="34"/>
      <c r="Q5431" s="34"/>
      <c r="R5431" s="34"/>
      <c r="S5431" s="34"/>
    </row>
    <row r="5432" spans="14:19">
      <c r="N5432" s="34"/>
      <c r="O5432" s="34"/>
      <c r="P5432" s="34"/>
      <c r="Q5432" s="34"/>
      <c r="R5432" s="34"/>
      <c r="S5432" s="34"/>
    </row>
    <row r="5433" spans="14:19">
      <c r="N5433" s="34"/>
      <c r="O5433" s="34"/>
      <c r="P5433" s="34"/>
      <c r="Q5433" s="34"/>
      <c r="R5433" s="34"/>
      <c r="S5433" s="34"/>
    </row>
    <row r="5434" spans="14:19">
      <c r="N5434" s="34"/>
      <c r="O5434" s="34"/>
      <c r="P5434" s="34"/>
      <c r="Q5434" s="34"/>
      <c r="R5434" s="34"/>
      <c r="S5434" s="34"/>
    </row>
    <row r="5435" spans="14:19">
      <c r="N5435" s="34"/>
      <c r="O5435" s="34"/>
      <c r="P5435" s="34"/>
      <c r="Q5435" s="34"/>
      <c r="R5435" s="34"/>
      <c r="S5435" s="34"/>
    </row>
    <row r="5436" spans="14:19">
      <c r="N5436" s="34"/>
      <c r="O5436" s="34"/>
      <c r="P5436" s="34"/>
      <c r="Q5436" s="34"/>
      <c r="R5436" s="34"/>
      <c r="S5436" s="34"/>
    </row>
    <row r="5437" spans="14:19">
      <c r="N5437" s="34"/>
      <c r="O5437" s="34"/>
      <c r="P5437" s="34"/>
      <c r="Q5437" s="34"/>
      <c r="R5437" s="34"/>
      <c r="S5437" s="34"/>
    </row>
    <row r="5438" spans="14:19">
      <c r="N5438" s="34"/>
      <c r="O5438" s="34"/>
      <c r="P5438" s="34"/>
      <c r="Q5438" s="34"/>
      <c r="R5438" s="34"/>
      <c r="S5438" s="34"/>
    </row>
    <row r="5439" spans="14:19">
      <c r="N5439" s="34"/>
      <c r="O5439" s="34"/>
      <c r="P5439" s="34"/>
      <c r="Q5439" s="34"/>
      <c r="R5439" s="34"/>
      <c r="S5439" s="34"/>
    </row>
    <row r="5440" spans="14:19">
      <c r="N5440" s="34"/>
      <c r="O5440" s="34"/>
      <c r="P5440" s="34"/>
      <c r="Q5440" s="34"/>
      <c r="R5440" s="34"/>
      <c r="S5440" s="34"/>
    </row>
    <row r="5441" spans="14:19">
      <c r="N5441" s="34"/>
      <c r="O5441" s="34"/>
      <c r="P5441" s="34"/>
      <c r="Q5441" s="34"/>
      <c r="R5441" s="34"/>
      <c r="S5441" s="34"/>
    </row>
    <row r="5442" spans="14:19">
      <c r="N5442" s="34"/>
      <c r="O5442" s="34"/>
      <c r="P5442" s="34"/>
      <c r="Q5442" s="34"/>
      <c r="R5442" s="34"/>
      <c r="S5442" s="34"/>
    </row>
    <row r="5443" spans="14:19">
      <c r="N5443" s="34"/>
      <c r="O5443" s="34"/>
      <c r="P5443" s="34"/>
      <c r="Q5443" s="34"/>
      <c r="R5443" s="34"/>
      <c r="S5443" s="34"/>
    </row>
    <row r="5444" spans="14:19">
      <c r="N5444" s="34"/>
      <c r="O5444" s="34"/>
      <c r="P5444" s="34"/>
      <c r="Q5444" s="34"/>
      <c r="R5444" s="34"/>
      <c r="S5444" s="34"/>
    </row>
    <row r="5445" spans="14:19">
      <c r="N5445" s="34"/>
      <c r="O5445" s="34"/>
      <c r="P5445" s="34"/>
      <c r="Q5445" s="34"/>
      <c r="R5445" s="34"/>
      <c r="S5445" s="34"/>
    </row>
    <row r="5446" spans="14:19">
      <c r="N5446" s="34"/>
      <c r="O5446" s="34"/>
      <c r="P5446" s="34"/>
      <c r="Q5446" s="34"/>
      <c r="R5446" s="34"/>
      <c r="S5446" s="34"/>
    </row>
    <row r="5447" spans="14:19">
      <c r="N5447" s="34"/>
      <c r="O5447" s="34"/>
      <c r="P5447" s="34"/>
      <c r="Q5447" s="34"/>
      <c r="R5447" s="34"/>
      <c r="S5447" s="34"/>
    </row>
    <row r="5448" spans="14:19">
      <c r="N5448" s="34"/>
      <c r="O5448" s="34"/>
      <c r="P5448" s="34"/>
      <c r="Q5448" s="34"/>
      <c r="R5448" s="34"/>
      <c r="S5448" s="34"/>
    </row>
    <row r="5449" spans="14:19">
      <c r="N5449" s="34"/>
      <c r="O5449" s="34"/>
      <c r="P5449" s="34"/>
      <c r="Q5449" s="34"/>
      <c r="R5449" s="34"/>
      <c r="S5449" s="34"/>
    </row>
    <row r="5450" spans="14:19">
      <c r="N5450" s="34"/>
      <c r="O5450" s="34"/>
      <c r="P5450" s="34"/>
      <c r="Q5450" s="34"/>
      <c r="R5450" s="34"/>
      <c r="S5450" s="34"/>
    </row>
    <row r="5451" spans="14:19">
      <c r="N5451" s="34"/>
      <c r="O5451" s="34"/>
      <c r="P5451" s="34"/>
      <c r="Q5451" s="34"/>
      <c r="R5451" s="34"/>
      <c r="S5451" s="34"/>
    </row>
    <row r="5452" spans="14:19">
      <c r="N5452" s="34"/>
      <c r="O5452" s="34"/>
      <c r="P5452" s="34"/>
      <c r="Q5452" s="34"/>
      <c r="R5452" s="34"/>
      <c r="S5452" s="34"/>
    </row>
    <row r="5453" spans="14:19">
      <c r="N5453" s="34"/>
      <c r="O5453" s="34"/>
      <c r="P5453" s="34"/>
      <c r="Q5453" s="34"/>
      <c r="R5453" s="34"/>
      <c r="S5453" s="34"/>
    </row>
    <row r="5454" spans="14:19">
      <c r="N5454" s="34"/>
      <c r="O5454" s="34"/>
      <c r="P5454" s="34"/>
      <c r="Q5454" s="34"/>
      <c r="R5454" s="34"/>
      <c r="S5454" s="34"/>
    </row>
    <row r="5455" spans="14:19">
      <c r="N5455" s="34"/>
      <c r="O5455" s="34"/>
      <c r="P5455" s="34"/>
      <c r="Q5455" s="34"/>
      <c r="R5455" s="34"/>
      <c r="S5455" s="34"/>
    </row>
    <row r="5456" spans="14:19">
      <c r="N5456" s="34"/>
      <c r="O5456" s="34"/>
      <c r="P5456" s="34"/>
      <c r="Q5456" s="34"/>
      <c r="R5456" s="34"/>
      <c r="S5456" s="34"/>
    </row>
    <row r="5457" spans="14:19">
      <c r="N5457" s="34"/>
      <c r="O5457" s="34"/>
      <c r="P5457" s="34"/>
      <c r="Q5457" s="34"/>
      <c r="R5457" s="34"/>
      <c r="S5457" s="34"/>
    </row>
    <row r="5458" spans="14:19">
      <c r="N5458" s="34"/>
      <c r="O5458" s="34"/>
      <c r="P5458" s="34"/>
      <c r="Q5458" s="34"/>
      <c r="R5458" s="34"/>
      <c r="S5458" s="34"/>
    </row>
    <row r="5459" spans="14:19">
      <c r="N5459" s="34"/>
      <c r="O5459" s="34"/>
      <c r="P5459" s="34"/>
      <c r="Q5459" s="34"/>
      <c r="R5459" s="34"/>
      <c r="S5459" s="34"/>
    </row>
    <row r="5460" spans="14:19">
      <c r="N5460" s="34"/>
      <c r="O5460" s="34"/>
      <c r="P5460" s="34"/>
      <c r="Q5460" s="34"/>
      <c r="R5460" s="34"/>
      <c r="S5460" s="34"/>
    </row>
    <row r="5461" spans="14:19">
      <c r="N5461" s="34"/>
      <c r="O5461" s="34"/>
      <c r="P5461" s="34"/>
      <c r="Q5461" s="34"/>
      <c r="R5461" s="34"/>
      <c r="S5461" s="34"/>
    </row>
    <row r="5462" spans="14:19">
      <c r="N5462" s="34"/>
      <c r="O5462" s="34"/>
      <c r="P5462" s="34"/>
      <c r="Q5462" s="34"/>
      <c r="R5462" s="34"/>
      <c r="S5462" s="34"/>
    </row>
    <row r="5463" spans="14:19">
      <c r="N5463" s="34"/>
      <c r="O5463" s="34"/>
      <c r="P5463" s="34"/>
      <c r="Q5463" s="34"/>
      <c r="R5463" s="34"/>
      <c r="S5463" s="34"/>
    </row>
    <row r="5464" spans="14:19">
      <c r="N5464" s="34"/>
      <c r="O5464" s="34"/>
      <c r="P5464" s="34"/>
      <c r="Q5464" s="34"/>
      <c r="R5464" s="34"/>
      <c r="S5464" s="34"/>
    </row>
    <row r="5465" spans="14:19">
      <c r="N5465" s="34"/>
      <c r="O5465" s="34"/>
      <c r="P5465" s="34"/>
      <c r="Q5465" s="34"/>
      <c r="R5465" s="34"/>
      <c r="S5465" s="34"/>
    </row>
    <row r="5466" spans="14:19">
      <c r="N5466" s="34"/>
      <c r="O5466" s="34"/>
      <c r="P5466" s="34"/>
      <c r="Q5466" s="34"/>
      <c r="R5466" s="34"/>
      <c r="S5466" s="34"/>
    </row>
    <row r="5467" spans="14:19">
      <c r="N5467" s="34"/>
      <c r="O5467" s="34"/>
      <c r="P5467" s="34"/>
      <c r="Q5467" s="34"/>
      <c r="R5467" s="34"/>
      <c r="S5467" s="34"/>
    </row>
    <row r="5468" spans="14:19">
      <c r="N5468" s="34"/>
      <c r="O5468" s="34"/>
      <c r="P5468" s="34"/>
      <c r="Q5468" s="34"/>
      <c r="R5468" s="34"/>
      <c r="S5468" s="34"/>
    </row>
    <row r="5469" spans="14:19">
      <c r="N5469" s="34"/>
      <c r="O5469" s="34"/>
      <c r="P5469" s="34"/>
      <c r="Q5469" s="34"/>
      <c r="R5469" s="34"/>
      <c r="S5469" s="34"/>
    </row>
    <row r="5470" spans="14:19">
      <c r="N5470" s="34"/>
      <c r="O5470" s="34"/>
      <c r="P5470" s="34"/>
      <c r="Q5470" s="34"/>
      <c r="R5470" s="34"/>
      <c r="S5470" s="34"/>
    </row>
    <row r="5471" spans="14:19">
      <c r="N5471" s="34"/>
      <c r="O5471" s="34"/>
      <c r="P5471" s="34"/>
      <c r="Q5471" s="34"/>
      <c r="R5471" s="34"/>
      <c r="S5471" s="34"/>
    </row>
    <row r="5472" spans="14:19">
      <c r="N5472" s="34"/>
      <c r="O5472" s="34"/>
      <c r="P5472" s="34"/>
      <c r="Q5472" s="34"/>
      <c r="R5472" s="34"/>
      <c r="S5472" s="34"/>
    </row>
    <row r="5473" spans="14:19">
      <c r="N5473" s="34"/>
      <c r="O5473" s="34"/>
      <c r="P5473" s="34"/>
      <c r="Q5473" s="34"/>
      <c r="R5473" s="34"/>
      <c r="S5473" s="34"/>
    </row>
    <row r="5474" spans="14:19">
      <c r="N5474" s="34"/>
      <c r="O5474" s="34"/>
      <c r="P5474" s="34"/>
      <c r="Q5474" s="34"/>
      <c r="R5474" s="34"/>
      <c r="S5474" s="34"/>
    </row>
    <row r="5475" spans="14:19">
      <c r="N5475" s="34"/>
      <c r="O5475" s="34"/>
      <c r="P5475" s="34"/>
      <c r="Q5475" s="34"/>
      <c r="R5475" s="34"/>
      <c r="S5475" s="34"/>
    </row>
    <row r="5476" spans="14:19">
      <c r="N5476" s="34"/>
      <c r="O5476" s="34"/>
      <c r="P5476" s="34"/>
      <c r="Q5476" s="34"/>
      <c r="R5476" s="34"/>
      <c r="S5476" s="34"/>
    </row>
    <row r="5477" spans="14:19">
      <c r="N5477" s="34"/>
      <c r="O5477" s="34"/>
      <c r="P5477" s="34"/>
      <c r="Q5477" s="34"/>
      <c r="R5477" s="34"/>
      <c r="S5477" s="34"/>
    </row>
    <row r="5478" spans="14:19">
      <c r="N5478" s="34"/>
      <c r="O5478" s="34"/>
      <c r="P5478" s="34"/>
      <c r="Q5478" s="34"/>
      <c r="R5478" s="34"/>
      <c r="S5478" s="34"/>
    </row>
    <row r="5479" spans="14:19">
      <c r="N5479" s="34"/>
      <c r="O5479" s="34"/>
      <c r="P5479" s="34"/>
      <c r="Q5479" s="34"/>
      <c r="R5479" s="34"/>
      <c r="S5479" s="34"/>
    </row>
    <row r="5480" spans="14:19">
      <c r="N5480" s="34"/>
      <c r="O5480" s="34"/>
      <c r="P5480" s="34"/>
      <c r="Q5480" s="34"/>
      <c r="R5480" s="34"/>
      <c r="S5480" s="34"/>
    </row>
    <row r="5481" spans="14:19">
      <c r="N5481" s="34"/>
      <c r="O5481" s="34"/>
      <c r="P5481" s="34"/>
      <c r="Q5481" s="34"/>
      <c r="R5481" s="34"/>
      <c r="S5481" s="34"/>
    </row>
    <row r="5482" spans="14:19">
      <c r="N5482" s="34"/>
      <c r="O5482" s="34"/>
      <c r="P5482" s="34"/>
      <c r="Q5482" s="34"/>
      <c r="R5482" s="34"/>
      <c r="S5482" s="34"/>
    </row>
    <row r="5483" spans="14:19">
      <c r="N5483" s="34"/>
      <c r="O5483" s="34"/>
      <c r="P5483" s="34"/>
      <c r="Q5483" s="34"/>
      <c r="R5483" s="34"/>
      <c r="S5483" s="34"/>
    </row>
    <row r="5484" spans="14:19">
      <c r="N5484" s="34"/>
      <c r="O5484" s="34"/>
      <c r="P5484" s="34"/>
      <c r="Q5484" s="34"/>
      <c r="R5484" s="34"/>
      <c r="S5484" s="34"/>
    </row>
    <row r="5485" spans="14:19">
      <c r="N5485" s="34"/>
      <c r="O5485" s="34"/>
      <c r="P5485" s="34"/>
      <c r="Q5485" s="34"/>
      <c r="R5485" s="34"/>
      <c r="S5485" s="34"/>
    </row>
    <row r="5486" spans="14:19">
      <c r="N5486" s="34"/>
      <c r="O5486" s="34"/>
      <c r="P5486" s="34"/>
      <c r="Q5486" s="34"/>
      <c r="R5486" s="34"/>
      <c r="S5486" s="34"/>
    </row>
    <row r="5487" spans="14:19">
      <c r="N5487" s="34"/>
      <c r="O5487" s="34"/>
      <c r="P5487" s="34"/>
      <c r="Q5487" s="34"/>
      <c r="R5487" s="34"/>
      <c r="S5487" s="34"/>
    </row>
    <row r="5488" spans="14:19">
      <c r="N5488" s="34"/>
      <c r="O5488" s="34"/>
      <c r="P5488" s="34"/>
      <c r="Q5488" s="34"/>
      <c r="R5488" s="34"/>
      <c r="S5488" s="34"/>
    </row>
    <row r="5489" spans="14:19">
      <c r="N5489" s="34"/>
      <c r="O5489" s="34"/>
      <c r="P5489" s="34"/>
      <c r="Q5489" s="34"/>
      <c r="R5489" s="34"/>
      <c r="S5489" s="34"/>
    </row>
    <row r="5490" spans="14:19">
      <c r="N5490" s="34"/>
      <c r="O5490" s="34"/>
      <c r="P5490" s="34"/>
      <c r="Q5490" s="34"/>
      <c r="R5490" s="34"/>
      <c r="S5490" s="34"/>
    </row>
    <row r="5491" spans="14:19">
      <c r="N5491" s="34"/>
      <c r="O5491" s="34"/>
      <c r="P5491" s="34"/>
      <c r="Q5491" s="34"/>
      <c r="R5491" s="34"/>
      <c r="S5491" s="34"/>
    </row>
    <row r="5492" spans="14:19">
      <c r="N5492" s="34"/>
      <c r="O5492" s="34"/>
      <c r="P5492" s="34"/>
      <c r="Q5492" s="34"/>
      <c r="R5492" s="34"/>
      <c r="S5492" s="34"/>
    </row>
    <row r="5493" spans="14:19">
      <c r="N5493" s="34"/>
      <c r="O5493" s="34"/>
      <c r="P5493" s="34"/>
      <c r="Q5493" s="34"/>
      <c r="R5493" s="34"/>
      <c r="S5493" s="34"/>
    </row>
    <row r="5494" spans="14:19">
      <c r="N5494" s="34"/>
      <c r="O5494" s="34"/>
      <c r="P5494" s="34"/>
      <c r="Q5494" s="34"/>
      <c r="R5494" s="34"/>
      <c r="S5494" s="34"/>
    </row>
    <row r="5495" spans="14:19">
      <c r="N5495" s="34"/>
      <c r="O5495" s="34"/>
      <c r="P5495" s="34"/>
      <c r="Q5495" s="34"/>
      <c r="R5495" s="34"/>
      <c r="S5495" s="34"/>
    </row>
    <row r="5496" spans="14:19">
      <c r="N5496" s="34"/>
      <c r="O5496" s="34"/>
      <c r="P5496" s="34"/>
      <c r="Q5496" s="34"/>
      <c r="R5496" s="34"/>
      <c r="S5496" s="34"/>
    </row>
    <row r="5497" spans="14:19">
      <c r="N5497" s="34"/>
      <c r="O5497" s="34"/>
      <c r="P5497" s="34"/>
      <c r="Q5497" s="34"/>
      <c r="R5497" s="34"/>
      <c r="S5497" s="34"/>
    </row>
    <row r="5498" spans="14:19">
      <c r="N5498" s="34"/>
      <c r="O5498" s="34"/>
      <c r="P5498" s="34"/>
      <c r="Q5498" s="34"/>
      <c r="R5498" s="34"/>
      <c r="S5498" s="34"/>
    </row>
    <row r="5499" spans="14:19">
      <c r="N5499" s="34"/>
      <c r="O5499" s="34"/>
      <c r="P5499" s="34"/>
      <c r="Q5499" s="34"/>
      <c r="R5499" s="34"/>
      <c r="S5499" s="34"/>
    </row>
    <row r="5500" spans="14:19">
      <c r="N5500" s="34"/>
      <c r="O5500" s="34"/>
      <c r="P5500" s="34"/>
      <c r="Q5500" s="34"/>
      <c r="R5500" s="34"/>
      <c r="S5500" s="34"/>
    </row>
    <row r="5501" spans="14:19">
      <c r="N5501" s="34"/>
      <c r="O5501" s="34"/>
      <c r="P5501" s="34"/>
      <c r="Q5501" s="34"/>
      <c r="R5501" s="34"/>
      <c r="S5501" s="34"/>
    </row>
    <row r="5502" spans="14:19">
      <c r="N5502" s="34"/>
      <c r="O5502" s="34"/>
      <c r="P5502" s="34"/>
      <c r="Q5502" s="34"/>
      <c r="R5502" s="34"/>
      <c r="S5502" s="34"/>
    </row>
    <row r="5503" spans="14:19">
      <c r="N5503" s="34"/>
      <c r="O5503" s="34"/>
      <c r="P5503" s="34"/>
      <c r="Q5503" s="34"/>
      <c r="R5503" s="34"/>
      <c r="S5503" s="34"/>
    </row>
    <row r="5504" spans="14:19">
      <c r="N5504" s="34"/>
      <c r="O5504" s="34"/>
      <c r="P5504" s="34"/>
      <c r="Q5504" s="34"/>
      <c r="R5504" s="34"/>
      <c r="S5504" s="34"/>
    </row>
    <row r="5505" spans="14:19">
      <c r="N5505" s="34"/>
      <c r="O5505" s="34"/>
      <c r="P5505" s="34"/>
      <c r="Q5505" s="34"/>
      <c r="R5505" s="34"/>
      <c r="S5505" s="34"/>
    </row>
    <row r="5506" spans="14:19">
      <c r="N5506" s="34"/>
      <c r="O5506" s="34"/>
      <c r="P5506" s="34"/>
      <c r="Q5506" s="34"/>
      <c r="R5506" s="34"/>
      <c r="S5506" s="34"/>
    </row>
    <row r="5507" spans="14:19">
      <c r="N5507" s="34"/>
      <c r="O5507" s="34"/>
      <c r="P5507" s="34"/>
      <c r="Q5507" s="34"/>
      <c r="R5507" s="34"/>
      <c r="S5507" s="34"/>
    </row>
    <row r="5508" spans="14:19">
      <c r="N5508" s="34"/>
      <c r="O5508" s="34"/>
      <c r="P5508" s="34"/>
      <c r="Q5508" s="34"/>
      <c r="R5508" s="34"/>
      <c r="S5508" s="34"/>
    </row>
    <row r="5509" spans="14:19">
      <c r="N5509" s="34"/>
      <c r="O5509" s="34"/>
      <c r="P5509" s="34"/>
      <c r="Q5509" s="34"/>
      <c r="R5509" s="34"/>
      <c r="S5509" s="34"/>
    </row>
    <row r="5510" spans="14:19">
      <c r="N5510" s="34"/>
      <c r="O5510" s="34"/>
      <c r="P5510" s="34"/>
      <c r="Q5510" s="34"/>
      <c r="R5510" s="34"/>
      <c r="S5510" s="34"/>
    </row>
    <row r="5511" spans="14:19">
      <c r="N5511" s="34"/>
      <c r="O5511" s="34"/>
      <c r="P5511" s="34"/>
      <c r="Q5511" s="34"/>
      <c r="R5511" s="34"/>
      <c r="S5511" s="34"/>
    </row>
    <row r="5512" spans="14:19">
      <c r="N5512" s="34"/>
      <c r="O5512" s="34"/>
      <c r="P5512" s="34"/>
      <c r="Q5512" s="34"/>
      <c r="R5512" s="34"/>
      <c r="S5512" s="34"/>
    </row>
    <row r="5513" spans="14:19">
      <c r="N5513" s="34"/>
      <c r="O5513" s="34"/>
      <c r="P5513" s="34"/>
      <c r="Q5513" s="34"/>
      <c r="R5513" s="34"/>
      <c r="S5513" s="34"/>
    </row>
    <row r="5514" spans="14:19">
      <c r="N5514" s="34"/>
      <c r="O5514" s="34"/>
      <c r="P5514" s="34"/>
      <c r="Q5514" s="34"/>
      <c r="R5514" s="34"/>
      <c r="S5514" s="34"/>
    </row>
    <row r="5515" spans="14:19">
      <c r="N5515" s="34"/>
      <c r="O5515" s="34"/>
      <c r="P5515" s="34"/>
      <c r="Q5515" s="34"/>
      <c r="R5515" s="34"/>
      <c r="S5515" s="34"/>
    </row>
    <row r="5516" spans="14:19">
      <c r="N5516" s="34"/>
      <c r="O5516" s="34"/>
      <c r="P5516" s="34"/>
      <c r="Q5516" s="34"/>
      <c r="R5516" s="34"/>
      <c r="S5516" s="34"/>
    </row>
    <row r="5517" spans="14:19">
      <c r="N5517" s="34"/>
      <c r="O5517" s="34"/>
      <c r="P5517" s="34"/>
      <c r="Q5517" s="34"/>
      <c r="R5517" s="34"/>
      <c r="S5517" s="34"/>
    </row>
    <row r="5518" spans="14:19">
      <c r="N5518" s="34"/>
      <c r="O5518" s="34"/>
      <c r="P5518" s="34"/>
      <c r="Q5518" s="34"/>
      <c r="R5518" s="34"/>
      <c r="S5518" s="34"/>
    </row>
    <row r="5519" spans="14:19">
      <c r="N5519" s="34"/>
      <c r="O5519" s="34"/>
      <c r="P5519" s="34"/>
      <c r="Q5519" s="34"/>
      <c r="R5519" s="34"/>
      <c r="S5519" s="34"/>
    </row>
    <row r="5520" spans="14:19">
      <c r="N5520" s="34"/>
      <c r="O5520" s="34"/>
      <c r="P5520" s="34"/>
      <c r="Q5520" s="34"/>
      <c r="R5520" s="34"/>
      <c r="S5520" s="34"/>
    </row>
    <row r="5521" spans="14:19">
      <c r="N5521" s="34"/>
      <c r="O5521" s="34"/>
      <c r="P5521" s="34"/>
      <c r="Q5521" s="34"/>
      <c r="R5521" s="34"/>
      <c r="S5521" s="34"/>
    </row>
    <row r="5522" spans="14:19">
      <c r="N5522" s="34"/>
      <c r="O5522" s="34"/>
      <c r="P5522" s="34"/>
      <c r="Q5522" s="34"/>
      <c r="R5522" s="34"/>
      <c r="S5522" s="34"/>
    </row>
    <row r="5523" spans="14:19">
      <c r="N5523" s="34"/>
      <c r="O5523" s="34"/>
      <c r="P5523" s="34"/>
      <c r="Q5523" s="34"/>
      <c r="R5523" s="34"/>
      <c r="S5523" s="34"/>
    </row>
    <row r="5524" spans="14:19">
      <c r="N5524" s="34"/>
      <c r="O5524" s="34"/>
      <c r="P5524" s="34"/>
      <c r="Q5524" s="34"/>
      <c r="R5524" s="34"/>
      <c r="S5524" s="34"/>
    </row>
    <row r="5525" spans="14:19">
      <c r="N5525" s="34"/>
      <c r="O5525" s="34"/>
      <c r="P5525" s="34"/>
      <c r="Q5525" s="34"/>
      <c r="R5525" s="34"/>
      <c r="S5525" s="34"/>
    </row>
    <row r="5526" spans="14:19">
      <c r="N5526" s="34"/>
      <c r="O5526" s="34"/>
      <c r="P5526" s="34"/>
      <c r="Q5526" s="34"/>
      <c r="R5526" s="34"/>
      <c r="S5526" s="34"/>
    </row>
    <row r="5527" spans="14:19">
      <c r="N5527" s="34"/>
      <c r="O5527" s="34"/>
      <c r="P5527" s="34"/>
      <c r="Q5527" s="34"/>
      <c r="R5527" s="34"/>
      <c r="S5527" s="34"/>
    </row>
    <row r="5528" spans="14:19">
      <c r="N5528" s="34"/>
      <c r="O5528" s="34"/>
      <c r="P5528" s="34"/>
      <c r="Q5528" s="34"/>
      <c r="R5528" s="34"/>
      <c r="S5528" s="34"/>
    </row>
    <row r="5529" spans="14:19">
      <c r="N5529" s="34"/>
      <c r="O5529" s="34"/>
      <c r="P5529" s="34"/>
      <c r="Q5529" s="34"/>
      <c r="R5529" s="34"/>
      <c r="S5529" s="34"/>
    </row>
    <row r="5530" spans="14:19">
      <c r="N5530" s="34"/>
      <c r="O5530" s="34"/>
      <c r="P5530" s="34"/>
      <c r="Q5530" s="34"/>
      <c r="R5530" s="34"/>
      <c r="S5530" s="34"/>
    </row>
    <row r="5531" spans="14:19">
      <c r="N5531" s="34"/>
      <c r="O5531" s="34"/>
      <c r="P5531" s="34"/>
      <c r="Q5531" s="34"/>
      <c r="R5531" s="34"/>
      <c r="S5531" s="34"/>
    </row>
    <row r="5532" spans="14:19">
      <c r="N5532" s="34"/>
      <c r="O5532" s="34"/>
      <c r="P5532" s="34"/>
      <c r="Q5532" s="34"/>
      <c r="R5532" s="34"/>
      <c r="S5532" s="34"/>
    </row>
    <row r="5533" spans="14:19">
      <c r="N5533" s="34"/>
      <c r="O5533" s="34"/>
      <c r="P5533" s="34"/>
      <c r="Q5533" s="34"/>
      <c r="R5533" s="34"/>
      <c r="S5533" s="34"/>
    </row>
    <row r="5534" spans="14:19">
      <c r="N5534" s="34"/>
      <c r="O5534" s="34"/>
      <c r="P5534" s="34"/>
      <c r="Q5534" s="34"/>
      <c r="R5534" s="34"/>
      <c r="S5534" s="34"/>
    </row>
    <row r="5535" spans="14:19">
      <c r="N5535" s="34"/>
      <c r="O5535" s="34"/>
      <c r="P5535" s="34"/>
      <c r="Q5535" s="34"/>
      <c r="R5535" s="34"/>
      <c r="S5535" s="34"/>
    </row>
    <row r="5536" spans="14:19">
      <c r="N5536" s="34"/>
      <c r="O5536" s="34"/>
      <c r="P5536" s="34"/>
      <c r="Q5536" s="34"/>
      <c r="R5536" s="34"/>
      <c r="S5536" s="34"/>
    </row>
    <row r="5537" spans="14:19">
      <c r="N5537" s="34"/>
      <c r="O5537" s="34"/>
      <c r="P5537" s="34"/>
      <c r="Q5537" s="34"/>
      <c r="R5537" s="34"/>
      <c r="S5537" s="34"/>
    </row>
    <row r="5538" spans="14:19">
      <c r="N5538" s="34"/>
      <c r="O5538" s="34"/>
      <c r="P5538" s="34"/>
      <c r="Q5538" s="34"/>
      <c r="R5538" s="34"/>
      <c r="S5538" s="34"/>
    </row>
    <row r="5539" spans="14:19">
      <c r="N5539" s="34"/>
      <c r="O5539" s="34"/>
      <c r="P5539" s="34"/>
      <c r="Q5539" s="34"/>
      <c r="R5539" s="34"/>
      <c r="S5539" s="34"/>
    </row>
    <row r="5540" spans="14:19">
      <c r="N5540" s="34"/>
      <c r="O5540" s="34"/>
      <c r="P5540" s="34"/>
      <c r="Q5540" s="34"/>
      <c r="R5540" s="34"/>
      <c r="S5540" s="34"/>
    </row>
    <row r="5541" spans="14:19">
      <c r="N5541" s="34"/>
      <c r="O5541" s="34"/>
      <c r="P5541" s="34"/>
      <c r="Q5541" s="34"/>
      <c r="R5541" s="34"/>
      <c r="S5541" s="34"/>
    </row>
    <row r="5542" spans="14:19">
      <c r="N5542" s="34"/>
      <c r="O5542" s="34"/>
      <c r="P5542" s="34"/>
      <c r="Q5542" s="34"/>
      <c r="R5542" s="34"/>
      <c r="S5542" s="34"/>
    </row>
    <row r="5543" spans="14:19">
      <c r="N5543" s="34"/>
      <c r="O5543" s="34"/>
      <c r="P5543" s="34"/>
      <c r="Q5543" s="34"/>
      <c r="R5543" s="34"/>
      <c r="S5543" s="34"/>
    </row>
    <row r="5544" spans="14:19">
      <c r="N5544" s="34"/>
      <c r="O5544" s="34"/>
      <c r="P5544" s="34"/>
      <c r="Q5544" s="34"/>
      <c r="R5544" s="34"/>
      <c r="S5544" s="34"/>
    </row>
    <row r="5545" spans="14:19">
      <c r="N5545" s="34"/>
      <c r="O5545" s="34"/>
      <c r="P5545" s="34"/>
      <c r="Q5545" s="34"/>
      <c r="R5545" s="34"/>
      <c r="S5545" s="34"/>
    </row>
    <row r="5546" spans="14:19">
      <c r="N5546" s="34"/>
      <c r="O5546" s="34"/>
      <c r="P5546" s="34"/>
      <c r="Q5546" s="34"/>
      <c r="R5546" s="34"/>
      <c r="S5546" s="34"/>
    </row>
    <row r="5547" spans="14:19">
      <c r="N5547" s="34"/>
      <c r="O5547" s="34"/>
      <c r="P5547" s="34"/>
      <c r="Q5547" s="34"/>
      <c r="R5547" s="34"/>
      <c r="S5547" s="34"/>
    </row>
    <row r="5548" spans="14:19">
      <c r="N5548" s="34"/>
      <c r="O5548" s="34"/>
      <c r="P5548" s="34"/>
      <c r="Q5548" s="34"/>
      <c r="R5548" s="34"/>
      <c r="S5548" s="34"/>
    </row>
    <row r="5549" spans="14:19">
      <c r="N5549" s="34"/>
      <c r="O5549" s="34"/>
      <c r="P5549" s="34"/>
      <c r="Q5549" s="34"/>
      <c r="R5549" s="34"/>
      <c r="S5549" s="34"/>
    </row>
    <row r="5550" spans="14:19">
      <c r="N5550" s="34"/>
      <c r="O5550" s="34"/>
      <c r="P5550" s="34"/>
      <c r="Q5550" s="34"/>
      <c r="R5550" s="34"/>
      <c r="S5550" s="34"/>
    </row>
    <row r="5551" spans="14:19">
      <c r="N5551" s="34"/>
      <c r="O5551" s="34"/>
      <c r="P5551" s="34"/>
      <c r="Q5551" s="34"/>
      <c r="R5551" s="34"/>
      <c r="S5551" s="34"/>
    </row>
    <row r="5552" spans="14:19">
      <c r="N5552" s="34"/>
      <c r="O5552" s="34"/>
      <c r="P5552" s="34"/>
      <c r="Q5552" s="34"/>
      <c r="R5552" s="34"/>
      <c r="S5552" s="34"/>
    </row>
    <row r="5553" spans="14:19">
      <c r="N5553" s="34"/>
      <c r="O5553" s="34"/>
      <c r="P5553" s="34"/>
      <c r="Q5553" s="34"/>
      <c r="R5553" s="34"/>
      <c r="S5553" s="34"/>
    </row>
    <row r="5554" spans="14:19">
      <c r="N5554" s="34"/>
      <c r="O5554" s="34"/>
      <c r="P5554" s="34"/>
      <c r="Q5554" s="34"/>
      <c r="R5554" s="34"/>
      <c r="S5554" s="34"/>
    </row>
    <row r="5555" spans="14:19">
      <c r="N5555" s="34"/>
      <c r="O5555" s="34"/>
      <c r="P5555" s="34"/>
      <c r="Q5555" s="34"/>
      <c r="R5555" s="34"/>
      <c r="S5555" s="34"/>
    </row>
    <row r="5556" spans="14:19">
      <c r="N5556" s="34"/>
      <c r="O5556" s="34"/>
      <c r="P5556" s="34"/>
      <c r="Q5556" s="34"/>
      <c r="R5556" s="34"/>
      <c r="S5556" s="34"/>
    </row>
    <row r="5557" spans="14:19">
      <c r="N5557" s="34"/>
      <c r="O5557" s="34"/>
      <c r="P5557" s="34"/>
      <c r="Q5557" s="34"/>
      <c r="R5557" s="34"/>
      <c r="S5557" s="34"/>
    </row>
    <row r="5558" spans="14:19">
      <c r="N5558" s="34"/>
      <c r="O5558" s="34"/>
      <c r="P5558" s="34"/>
      <c r="Q5558" s="34"/>
      <c r="R5558" s="34"/>
      <c r="S5558" s="34"/>
    </row>
    <row r="5559" spans="14:19">
      <c r="N5559" s="34"/>
      <c r="O5559" s="34"/>
      <c r="P5559" s="34"/>
      <c r="Q5559" s="34"/>
      <c r="R5559" s="34"/>
      <c r="S5559" s="34"/>
    </row>
    <row r="5560" spans="14:19">
      <c r="N5560" s="34"/>
      <c r="O5560" s="34"/>
      <c r="P5560" s="34"/>
      <c r="Q5560" s="34"/>
      <c r="R5560" s="34"/>
      <c r="S5560" s="34"/>
    </row>
    <row r="5561" spans="14:19">
      <c r="N5561" s="34"/>
      <c r="O5561" s="34"/>
      <c r="P5561" s="34"/>
      <c r="Q5561" s="34"/>
      <c r="R5561" s="34"/>
      <c r="S5561" s="34"/>
    </row>
    <row r="5562" spans="14:19">
      <c r="N5562" s="34"/>
      <c r="O5562" s="34"/>
      <c r="P5562" s="34"/>
      <c r="Q5562" s="34"/>
      <c r="R5562" s="34"/>
      <c r="S5562" s="34"/>
    </row>
    <row r="5563" spans="14:19">
      <c r="N5563" s="34"/>
      <c r="O5563" s="34"/>
      <c r="P5563" s="34"/>
      <c r="Q5563" s="34"/>
      <c r="R5563" s="34"/>
      <c r="S5563" s="34"/>
    </row>
    <row r="5564" spans="14:19">
      <c r="N5564" s="34"/>
      <c r="O5564" s="34"/>
      <c r="P5564" s="34"/>
      <c r="Q5564" s="34"/>
      <c r="R5564" s="34"/>
      <c r="S5564" s="34"/>
    </row>
    <row r="5565" spans="14:19">
      <c r="N5565" s="34"/>
      <c r="O5565" s="34"/>
      <c r="P5565" s="34"/>
      <c r="Q5565" s="34"/>
      <c r="R5565" s="34"/>
      <c r="S5565" s="34"/>
    </row>
    <row r="5566" spans="14:19">
      <c r="N5566" s="34"/>
      <c r="O5566" s="34"/>
      <c r="P5566" s="34"/>
      <c r="Q5566" s="34"/>
      <c r="R5566" s="34"/>
      <c r="S5566" s="34"/>
    </row>
    <row r="5567" spans="14:19">
      <c r="N5567" s="34"/>
      <c r="O5567" s="34"/>
      <c r="P5567" s="34"/>
      <c r="Q5567" s="34"/>
      <c r="R5567" s="34"/>
      <c r="S5567" s="34"/>
    </row>
    <row r="5568" spans="14:19">
      <c r="N5568" s="34"/>
      <c r="O5568" s="34"/>
      <c r="P5568" s="34"/>
      <c r="Q5568" s="34"/>
      <c r="R5568" s="34"/>
      <c r="S5568" s="34"/>
    </row>
    <row r="5569" spans="14:19">
      <c r="N5569" s="34"/>
      <c r="O5569" s="34"/>
      <c r="P5569" s="34"/>
      <c r="Q5569" s="34"/>
      <c r="R5569" s="34"/>
      <c r="S5569" s="34"/>
    </row>
    <row r="5570" spans="14:19">
      <c r="N5570" s="34"/>
      <c r="O5570" s="34"/>
      <c r="P5570" s="34"/>
      <c r="Q5570" s="34"/>
      <c r="R5570" s="34"/>
      <c r="S5570" s="34"/>
    </row>
    <row r="5571" spans="14:19">
      <c r="N5571" s="34"/>
      <c r="O5571" s="34"/>
      <c r="P5571" s="34"/>
      <c r="Q5571" s="34"/>
      <c r="R5571" s="34"/>
      <c r="S5571" s="34"/>
    </row>
    <row r="5572" spans="14:19">
      <c r="N5572" s="34"/>
      <c r="O5572" s="34"/>
      <c r="P5572" s="34"/>
      <c r="Q5572" s="34"/>
      <c r="R5572" s="34"/>
      <c r="S5572" s="34"/>
    </row>
    <row r="5573" spans="14:19">
      <c r="N5573" s="34"/>
      <c r="O5573" s="34"/>
      <c r="P5573" s="34"/>
      <c r="Q5573" s="34"/>
      <c r="R5573" s="34"/>
      <c r="S5573" s="34"/>
    </row>
    <row r="5574" spans="14:19">
      <c r="N5574" s="34"/>
      <c r="O5574" s="34"/>
      <c r="P5574" s="34"/>
      <c r="Q5574" s="34"/>
      <c r="R5574" s="34"/>
      <c r="S5574" s="34"/>
    </row>
    <row r="5575" spans="14:19">
      <c r="N5575" s="34"/>
      <c r="O5575" s="34"/>
      <c r="P5575" s="34"/>
      <c r="Q5575" s="34"/>
      <c r="R5575" s="34"/>
      <c r="S5575" s="34"/>
    </row>
    <row r="5576" spans="14:19">
      <c r="N5576" s="34"/>
      <c r="O5576" s="34"/>
      <c r="P5576" s="34"/>
      <c r="Q5576" s="34"/>
      <c r="R5576" s="34"/>
      <c r="S5576" s="34"/>
    </row>
    <row r="5577" spans="14:19">
      <c r="N5577" s="34"/>
      <c r="O5577" s="34"/>
      <c r="P5577" s="34"/>
      <c r="Q5577" s="34"/>
      <c r="R5577" s="34"/>
      <c r="S5577" s="34"/>
    </row>
    <row r="5578" spans="14:19">
      <c r="N5578" s="34"/>
      <c r="O5578" s="34"/>
      <c r="P5578" s="34"/>
      <c r="Q5578" s="34"/>
      <c r="R5578" s="34"/>
      <c r="S5578" s="34"/>
    </row>
    <row r="5579" spans="14:19">
      <c r="N5579" s="34"/>
      <c r="O5579" s="34"/>
      <c r="P5579" s="34"/>
      <c r="Q5579" s="34"/>
      <c r="R5579" s="34"/>
      <c r="S5579" s="34"/>
    </row>
    <row r="5580" spans="14:19">
      <c r="N5580" s="34"/>
      <c r="O5580" s="34"/>
      <c r="P5580" s="34"/>
      <c r="Q5580" s="34"/>
      <c r="R5580" s="34"/>
      <c r="S5580" s="34"/>
    </row>
    <row r="5581" spans="14:19">
      <c r="N5581" s="34"/>
      <c r="O5581" s="34"/>
      <c r="P5581" s="34"/>
      <c r="Q5581" s="34"/>
      <c r="R5581" s="34"/>
      <c r="S5581" s="34"/>
    </row>
    <row r="5582" spans="14:19">
      <c r="N5582" s="34"/>
      <c r="O5582" s="34"/>
      <c r="P5582" s="34"/>
      <c r="Q5582" s="34"/>
      <c r="R5582" s="34"/>
      <c r="S5582" s="34"/>
    </row>
    <row r="5583" spans="14:19">
      <c r="N5583" s="34"/>
      <c r="O5583" s="34"/>
      <c r="P5583" s="34"/>
      <c r="Q5583" s="34"/>
      <c r="R5583" s="34"/>
      <c r="S5583" s="34"/>
    </row>
    <row r="5584" spans="14:19">
      <c r="N5584" s="34"/>
      <c r="O5584" s="34"/>
      <c r="P5584" s="34"/>
      <c r="Q5584" s="34"/>
      <c r="R5584" s="34"/>
      <c r="S5584" s="34"/>
    </row>
    <row r="5585" spans="14:19">
      <c r="N5585" s="34"/>
      <c r="O5585" s="34"/>
      <c r="P5585" s="34"/>
      <c r="Q5585" s="34"/>
      <c r="R5585" s="34"/>
      <c r="S5585" s="34"/>
    </row>
    <row r="5586" spans="14:19">
      <c r="N5586" s="34"/>
      <c r="O5586" s="34"/>
      <c r="P5586" s="34"/>
      <c r="Q5586" s="34"/>
      <c r="R5586" s="34"/>
      <c r="S5586" s="34"/>
    </row>
    <row r="5587" spans="14:19">
      <c r="N5587" s="34"/>
      <c r="O5587" s="34"/>
      <c r="P5587" s="34"/>
      <c r="Q5587" s="34"/>
      <c r="R5587" s="34"/>
      <c r="S5587" s="34"/>
    </row>
    <row r="5588" spans="14:19">
      <c r="N5588" s="34"/>
      <c r="O5588" s="34"/>
      <c r="P5588" s="34"/>
      <c r="Q5588" s="34"/>
      <c r="R5588" s="34"/>
      <c r="S5588" s="34"/>
    </row>
    <row r="5589" spans="14:19">
      <c r="N5589" s="34"/>
      <c r="O5589" s="34"/>
      <c r="P5589" s="34"/>
      <c r="Q5589" s="34"/>
      <c r="R5589" s="34"/>
      <c r="S5589" s="34"/>
    </row>
    <row r="5590" spans="14:19">
      <c r="N5590" s="34"/>
      <c r="O5590" s="34"/>
      <c r="P5590" s="34"/>
      <c r="Q5590" s="34"/>
      <c r="R5590" s="34"/>
      <c r="S5590" s="34"/>
    </row>
    <row r="5591" spans="14:19">
      <c r="N5591" s="34"/>
      <c r="O5591" s="34"/>
      <c r="P5591" s="34"/>
      <c r="Q5591" s="34"/>
      <c r="R5591" s="34"/>
      <c r="S5591" s="34"/>
    </row>
    <row r="5592" spans="14:19">
      <c r="N5592" s="34"/>
      <c r="O5592" s="34"/>
      <c r="P5592" s="34"/>
      <c r="Q5592" s="34"/>
      <c r="R5592" s="34"/>
      <c r="S5592" s="34"/>
    </row>
    <row r="5593" spans="14:19">
      <c r="N5593" s="34"/>
      <c r="O5593" s="34"/>
      <c r="P5593" s="34"/>
      <c r="Q5593" s="34"/>
      <c r="R5593" s="34"/>
      <c r="S5593" s="34"/>
    </row>
    <row r="5594" spans="14:19">
      <c r="N5594" s="34"/>
      <c r="O5594" s="34"/>
      <c r="P5594" s="34"/>
      <c r="Q5594" s="34"/>
      <c r="R5594" s="34"/>
      <c r="S5594" s="34"/>
    </row>
    <row r="5595" spans="14:19">
      <c r="N5595" s="34"/>
      <c r="O5595" s="34"/>
      <c r="P5595" s="34"/>
      <c r="Q5595" s="34"/>
      <c r="R5595" s="34"/>
      <c r="S5595" s="34"/>
    </row>
    <row r="5596" spans="14:19">
      <c r="N5596" s="34"/>
      <c r="O5596" s="34"/>
      <c r="P5596" s="34"/>
      <c r="Q5596" s="34"/>
      <c r="R5596" s="34"/>
      <c r="S5596" s="34"/>
    </row>
    <row r="5597" spans="14:19">
      <c r="N5597" s="34"/>
      <c r="O5597" s="34"/>
      <c r="P5597" s="34"/>
      <c r="Q5597" s="34"/>
      <c r="R5597" s="34"/>
      <c r="S5597" s="34"/>
    </row>
    <row r="5598" spans="14:19">
      <c r="N5598" s="34"/>
      <c r="O5598" s="34"/>
      <c r="P5598" s="34"/>
      <c r="Q5598" s="34"/>
      <c r="R5598" s="34"/>
      <c r="S5598" s="34"/>
    </row>
    <row r="5599" spans="14:19">
      <c r="N5599" s="34"/>
      <c r="O5599" s="34"/>
      <c r="P5599" s="34"/>
      <c r="Q5599" s="34"/>
      <c r="R5599" s="34"/>
      <c r="S5599" s="34"/>
    </row>
    <row r="5600" spans="14:19">
      <c r="N5600" s="34"/>
      <c r="O5600" s="34"/>
      <c r="P5600" s="34"/>
      <c r="Q5600" s="34"/>
      <c r="R5600" s="34"/>
      <c r="S5600" s="34"/>
    </row>
    <row r="5601" spans="14:19">
      <c r="N5601" s="34"/>
      <c r="O5601" s="34"/>
      <c r="P5601" s="34"/>
      <c r="Q5601" s="34"/>
      <c r="R5601" s="34"/>
      <c r="S5601" s="34"/>
    </row>
    <row r="5602" spans="14:19">
      <c r="N5602" s="34"/>
      <c r="O5602" s="34"/>
      <c r="P5602" s="34"/>
      <c r="Q5602" s="34"/>
      <c r="R5602" s="34"/>
      <c r="S5602" s="34"/>
    </row>
    <row r="5603" spans="14:19">
      <c r="N5603" s="34"/>
      <c r="O5603" s="34"/>
      <c r="P5603" s="34"/>
      <c r="Q5603" s="34"/>
      <c r="R5603" s="34"/>
      <c r="S5603" s="34"/>
    </row>
    <row r="5604" spans="14:19">
      <c r="N5604" s="34"/>
      <c r="O5604" s="34"/>
      <c r="P5604" s="34"/>
      <c r="Q5604" s="34"/>
      <c r="R5604" s="34"/>
      <c r="S5604" s="34"/>
    </row>
    <row r="5605" spans="14:19">
      <c r="N5605" s="34"/>
      <c r="O5605" s="34"/>
      <c r="P5605" s="34"/>
      <c r="Q5605" s="34"/>
      <c r="R5605" s="34"/>
      <c r="S5605" s="34"/>
    </row>
    <row r="5606" spans="14:19">
      <c r="N5606" s="34"/>
      <c r="O5606" s="34"/>
      <c r="P5606" s="34"/>
      <c r="Q5606" s="34"/>
      <c r="R5606" s="34"/>
      <c r="S5606" s="34"/>
    </row>
    <row r="5607" spans="14:19">
      <c r="N5607" s="34"/>
      <c r="O5607" s="34"/>
      <c r="P5607" s="34"/>
      <c r="Q5607" s="34"/>
      <c r="R5607" s="34"/>
      <c r="S5607" s="34"/>
    </row>
    <row r="5608" spans="14:19">
      <c r="N5608" s="34"/>
      <c r="O5608" s="34"/>
      <c r="P5608" s="34"/>
      <c r="Q5608" s="34"/>
      <c r="R5608" s="34"/>
      <c r="S5608" s="34"/>
    </row>
    <row r="5609" spans="14:19">
      <c r="N5609" s="34"/>
      <c r="O5609" s="34"/>
      <c r="P5609" s="34"/>
      <c r="Q5609" s="34"/>
      <c r="R5609" s="34"/>
      <c r="S5609" s="34"/>
    </row>
    <row r="5610" spans="14:19">
      <c r="N5610" s="34"/>
      <c r="O5610" s="34"/>
      <c r="P5610" s="34"/>
      <c r="Q5610" s="34"/>
      <c r="R5610" s="34"/>
      <c r="S5610" s="34"/>
    </row>
    <row r="5611" spans="14:19">
      <c r="N5611" s="34"/>
      <c r="O5611" s="34"/>
      <c r="P5611" s="34"/>
      <c r="Q5611" s="34"/>
      <c r="R5611" s="34"/>
      <c r="S5611" s="34"/>
    </row>
    <row r="5612" spans="14:19">
      <c r="N5612" s="34"/>
      <c r="O5612" s="34"/>
      <c r="P5612" s="34"/>
      <c r="Q5612" s="34"/>
      <c r="R5612" s="34"/>
      <c r="S5612" s="34"/>
    </row>
    <row r="5613" spans="14:19">
      <c r="N5613" s="34"/>
      <c r="O5613" s="34"/>
      <c r="P5613" s="34"/>
      <c r="Q5613" s="34"/>
      <c r="R5613" s="34"/>
      <c r="S5613" s="34"/>
    </row>
    <row r="5614" spans="14:19">
      <c r="N5614" s="34"/>
      <c r="O5614" s="34"/>
      <c r="P5614" s="34"/>
      <c r="Q5614" s="34"/>
      <c r="R5614" s="34"/>
      <c r="S5614" s="34"/>
    </row>
    <row r="5615" spans="14:19">
      <c r="N5615" s="34"/>
      <c r="O5615" s="34"/>
      <c r="P5615" s="34"/>
      <c r="Q5615" s="34"/>
      <c r="R5615" s="34"/>
      <c r="S5615" s="34"/>
    </row>
    <row r="5616" spans="14:19">
      <c r="N5616" s="34"/>
      <c r="O5616" s="34"/>
      <c r="P5616" s="34"/>
      <c r="Q5616" s="34"/>
      <c r="R5616" s="34"/>
      <c r="S5616" s="34"/>
    </row>
    <row r="5617" spans="14:19">
      <c r="N5617" s="34"/>
      <c r="O5617" s="34"/>
      <c r="P5617" s="34"/>
      <c r="Q5617" s="34"/>
      <c r="R5617" s="34"/>
      <c r="S5617" s="34"/>
    </row>
    <row r="5618" spans="14:19">
      <c r="N5618" s="34"/>
      <c r="O5618" s="34"/>
      <c r="P5618" s="34"/>
      <c r="Q5618" s="34"/>
      <c r="R5618" s="34"/>
      <c r="S5618" s="34"/>
    </row>
    <row r="5619" spans="14:19">
      <c r="N5619" s="34"/>
      <c r="O5619" s="34"/>
      <c r="P5619" s="34"/>
      <c r="Q5619" s="34"/>
      <c r="R5619" s="34"/>
      <c r="S5619" s="34"/>
    </row>
    <row r="5620" spans="14:19">
      <c r="N5620" s="34"/>
      <c r="O5620" s="34"/>
      <c r="P5620" s="34"/>
      <c r="Q5620" s="34"/>
      <c r="R5620" s="34"/>
      <c r="S5620" s="34"/>
    </row>
    <row r="5621" spans="14:19">
      <c r="N5621" s="34"/>
      <c r="O5621" s="34"/>
      <c r="P5621" s="34"/>
      <c r="Q5621" s="34"/>
      <c r="R5621" s="34"/>
      <c r="S5621" s="34"/>
    </row>
    <row r="5622" spans="14:19">
      <c r="N5622" s="34"/>
      <c r="O5622" s="34"/>
      <c r="P5622" s="34"/>
      <c r="Q5622" s="34"/>
      <c r="R5622" s="34"/>
      <c r="S5622" s="34"/>
    </row>
    <row r="5623" spans="14:19">
      <c r="N5623" s="34"/>
      <c r="O5623" s="34"/>
      <c r="P5623" s="34"/>
      <c r="Q5623" s="34"/>
      <c r="R5623" s="34"/>
      <c r="S5623" s="34"/>
    </row>
    <row r="5624" spans="14:19">
      <c r="N5624" s="34"/>
      <c r="O5624" s="34"/>
      <c r="P5624" s="34"/>
      <c r="Q5624" s="34"/>
      <c r="R5624" s="34"/>
      <c r="S5624" s="34"/>
    </row>
    <row r="5625" spans="14:19">
      <c r="N5625" s="34"/>
      <c r="O5625" s="34"/>
      <c r="P5625" s="34"/>
      <c r="Q5625" s="34"/>
      <c r="R5625" s="34"/>
      <c r="S5625" s="34"/>
    </row>
    <row r="5626" spans="14:19">
      <c r="N5626" s="34"/>
      <c r="O5626" s="34"/>
      <c r="P5626" s="34"/>
      <c r="Q5626" s="34"/>
      <c r="R5626" s="34"/>
      <c r="S5626" s="34"/>
    </row>
    <row r="5627" spans="14:19">
      <c r="N5627" s="34"/>
      <c r="O5627" s="34"/>
      <c r="P5627" s="34"/>
      <c r="Q5627" s="34"/>
      <c r="R5627" s="34"/>
      <c r="S5627" s="34"/>
    </row>
    <row r="5628" spans="14:19">
      <c r="N5628" s="34"/>
      <c r="O5628" s="34"/>
      <c r="P5628" s="34"/>
      <c r="Q5628" s="34"/>
      <c r="R5628" s="34"/>
      <c r="S5628" s="34"/>
    </row>
    <row r="5629" spans="14:19">
      <c r="N5629" s="34"/>
      <c r="O5629" s="34"/>
      <c r="P5629" s="34"/>
      <c r="Q5629" s="34"/>
      <c r="R5629" s="34"/>
      <c r="S5629" s="34"/>
    </row>
    <row r="5630" spans="14:19">
      <c r="N5630" s="34"/>
      <c r="O5630" s="34"/>
      <c r="P5630" s="34"/>
      <c r="Q5630" s="34"/>
      <c r="R5630" s="34"/>
      <c r="S5630" s="34"/>
    </row>
    <row r="5631" spans="14:19">
      <c r="N5631" s="34"/>
      <c r="O5631" s="34"/>
      <c r="P5631" s="34"/>
      <c r="Q5631" s="34"/>
      <c r="R5631" s="34"/>
      <c r="S5631" s="34"/>
    </row>
    <row r="5632" spans="14:19">
      <c r="N5632" s="34"/>
      <c r="O5632" s="34"/>
      <c r="P5632" s="34"/>
      <c r="Q5632" s="34"/>
      <c r="R5632" s="34"/>
      <c r="S5632" s="34"/>
    </row>
    <row r="5633" spans="14:19">
      <c r="N5633" s="34"/>
      <c r="O5633" s="34"/>
      <c r="P5633" s="34"/>
      <c r="Q5633" s="34"/>
      <c r="R5633" s="34"/>
      <c r="S5633" s="34"/>
    </row>
    <row r="5634" spans="14:19">
      <c r="N5634" s="34"/>
      <c r="O5634" s="34"/>
      <c r="P5634" s="34"/>
      <c r="Q5634" s="34"/>
      <c r="R5634" s="34"/>
      <c r="S5634" s="34"/>
    </row>
    <row r="5635" spans="14:19">
      <c r="N5635" s="34"/>
      <c r="O5635" s="34"/>
      <c r="P5635" s="34"/>
      <c r="Q5635" s="34"/>
      <c r="R5635" s="34"/>
      <c r="S5635" s="34"/>
    </row>
    <row r="5636" spans="14:19">
      <c r="N5636" s="34"/>
      <c r="O5636" s="34"/>
      <c r="P5636" s="34"/>
      <c r="Q5636" s="34"/>
      <c r="R5636" s="34"/>
      <c r="S5636" s="34"/>
    </row>
    <row r="5637" spans="14:19">
      <c r="N5637" s="34"/>
      <c r="O5637" s="34"/>
      <c r="P5637" s="34"/>
      <c r="Q5637" s="34"/>
      <c r="R5637" s="34"/>
      <c r="S5637" s="34"/>
    </row>
    <row r="5638" spans="14:19">
      <c r="N5638" s="34"/>
      <c r="O5638" s="34"/>
      <c r="P5638" s="34"/>
      <c r="Q5638" s="34"/>
      <c r="R5638" s="34"/>
      <c r="S5638" s="34"/>
    </row>
    <row r="5639" spans="14:19">
      <c r="N5639" s="34"/>
      <c r="O5639" s="34"/>
      <c r="P5639" s="34"/>
      <c r="Q5639" s="34"/>
      <c r="R5639" s="34"/>
      <c r="S5639" s="34"/>
    </row>
    <row r="5640" spans="14:19">
      <c r="N5640" s="34"/>
      <c r="O5640" s="34"/>
      <c r="P5640" s="34"/>
      <c r="Q5640" s="34"/>
      <c r="R5640" s="34"/>
      <c r="S5640" s="34"/>
    </row>
    <row r="5641" spans="14:19">
      <c r="N5641" s="34"/>
      <c r="O5641" s="34"/>
      <c r="P5641" s="34"/>
      <c r="Q5641" s="34"/>
      <c r="R5641" s="34"/>
      <c r="S5641" s="34"/>
    </row>
    <row r="5642" spans="14:19">
      <c r="N5642" s="34"/>
      <c r="O5642" s="34"/>
      <c r="P5642" s="34"/>
      <c r="Q5642" s="34"/>
      <c r="R5642" s="34"/>
      <c r="S5642" s="34"/>
    </row>
    <row r="5643" spans="14:19">
      <c r="N5643" s="34"/>
      <c r="O5643" s="34"/>
      <c r="P5643" s="34"/>
      <c r="Q5643" s="34"/>
      <c r="R5643" s="34"/>
      <c r="S5643" s="34"/>
    </row>
    <row r="5644" spans="14:19">
      <c r="N5644" s="34"/>
      <c r="O5644" s="34"/>
      <c r="P5644" s="34"/>
      <c r="Q5644" s="34"/>
      <c r="R5644" s="34"/>
      <c r="S5644" s="34"/>
    </row>
    <row r="5645" spans="14:19">
      <c r="N5645" s="34"/>
      <c r="O5645" s="34"/>
      <c r="P5645" s="34"/>
      <c r="Q5645" s="34"/>
      <c r="R5645" s="34"/>
      <c r="S5645" s="34"/>
    </row>
    <row r="5646" spans="14:19">
      <c r="N5646" s="34"/>
      <c r="O5646" s="34"/>
      <c r="P5646" s="34"/>
      <c r="Q5646" s="34"/>
      <c r="R5646" s="34"/>
      <c r="S5646" s="34"/>
    </row>
    <row r="5647" spans="14:19">
      <c r="N5647" s="34"/>
      <c r="O5647" s="34"/>
      <c r="P5647" s="34"/>
      <c r="Q5647" s="34"/>
      <c r="R5647" s="34"/>
      <c r="S5647" s="34"/>
    </row>
    <row r="5648" spans="14:19">
      <c r="N5648" s="34"/>
      <c r="O5648" s="34"/>
      <c r="P5648" s="34"/>
      <c r="Q5648" s="34"/>
      <c r="R5648" s="34"/>
      <c r="S5648" s="34"/>
    </row>
    <row r="5649" spans="14:19">
      <c r="N5649" s="34"/>
      <c r="O5649" s="34"/>
      <c r="P5649" s="34"/>
      <c r="Q5649" s="34"/>
      <c r="R5649" s="34"/>
      <c r="S5649" s="34"/>
    </row>
    <row r="5650" spans="14:19">
      <c r="N5650" s="34"/>
      <c r="O5650" s="34"/>
      <c r="P5650" s="34"/>
      <c r="Q5650" s="34"/>
      <c r="R5650" s="34"/>
      <c r="S5650" s="34"/>
    </row>
    <row r="5651" spans="14:19">
      <c r="N5651" s="34"/>
      <c r="O5651" s="34"/>
      <c r="P5651" s="34"/>
      <c r="Q5651" s="34"/>
      <c r="R5651" s="34"/>
      <c r="S5651" s="34"/>
    </row>
    <row r="5652" spans="14:19">
      <c r="N5652" s="34"/>
      <c r="O5652" s="34"/>
      <c r="P5652" s="34"/>
      <c r="Q5652" s="34"/>
      <c r="R5652" s="34"/>
      <c r="S5652" s="34"/>
    </row>
    <row r="5653" spans="14:19">
      <c r="N5653" s="34"/>
      <c r="O5653" s="34"/>
      <c r="P5653" s="34"/>
      <c r="Q5653" s="34"/>
      <c r="R5653" s="34"/>
      <c r="S5653" s="34"/>
    </row>
    <row r="5654" spans="14:19">
      <c r="N5654" s="34"/>
      <c r="O5654" s="34"/>
      <c r="P5654" s="34"/>
      <c r="Q5654" s="34"/>
      <c r="R5654" s="34"/>
      <c r="S5654" s="34"/>
    </row>
    <row r="5655" spans="14:19">
      <c r="N5655" s="34"/>
      <c r="O5655" s="34"/>
      <c r="P5655" s="34"/>
      <c r="Q5655" s="34"/>
      <c r="R5655" s="34"/>
      <c r="S5655" s="34"/>
    </row>
    <row r="5656" spans="14:19">
      <c r="N5656" s="34"/>
      <c r="O5656" s="34"/>
      <c r="P5656" s="34"/>
      <c r="Q5656" s="34"/>
      <c r="R5656" s="34"/>
      <c r="S5656" s="34"/>
    </row>
    <row r="5657" spans="14:19">
      <c r="N5657" s="34"/>
      <c r="O5657" s="34"/>
      <c r="P5657" s="34"/>
      <c r="Q5657" s="34"/>
      <c r="R5657" s="34"/>
      <c r="S5657" s="34"/>
    </row>
    <row r="5658" spans="14:19">
      <c r="N5658" s="34"/>
      <c r="O5658" s="34"/>
      <c r="P5658" s="34"/>
      <c r="Q5658" s="34"/>
      <c r="R5658" s="34"/>
      <c r="S5658" s="34"/>
    </row>
    <row r="5659" spans="14:19">
      <c r="N5659" s="34"/>
      <c r="O5659" s="34"/>
      <c r="P5659" s="34"/>
      <c r="Q5659" s="34"/>
      <c r="R5659" s="34"/>
      <c r="S5659" s="34"/>
    </row>
    <row r="5660" spans="14:19">
      <c r="N5660" s="34"/>
      <c r="O5660" s="34"/>
      <c r="P5660" s="34"/>
      <c r="Q5660" s="34"/>
      <c r="R5660" s="34"/>
      <c r="S5660" s="34"/>
    </row>
    <row r="5661" spans="14:19">
      <c r="N5661" s="34"/>
      <c r="O5661" s="34"/>
      <c r="P5661" s="34"/>
      <c r="Q5661" s="34"/>
      <c r="R5661" s="34"/>
      <c r="S5661" s="34"/>
    </row>
    <row r="5662" spans="14:19">
      <c r="N5662" s="34"/>
      <c r="O5662" s="34"/>
      <c r="P5662" s="34"/>
      <c r="Q5662" s="34"/>
      <c r="R5662" s="34"/>
      <c r="S5662" s="34"/>
    </row>
    <row r="5663" spans="14:19">
      <c r="N5663" s="34"/>
      <c r="O5663" s="34"/>
      <c r="P5663" s="34"/>
      <c r="Q5663" s="34"/>
      <c r="R5663" s="34"/>
      <c r="S5663" s="34"/>
    </row>
    <row r="5664" spans="14:19">
      <c r="N5664" s="34"/>
      <c r="O5664" s="34"/>
      <c r="P5664" s="34"/>
      <c r="Q5664" s="34"/>
      <c r="R5664" s="34"/>
      <c r="S5664" s="34"/>
    </row>
    <row r="5665" spans="14:19">
      <c r="N5665" s="34"/>
      <c r="O5665" s="34"/>
      <c r="P5665" s="34"/>
      <c r="Q5665" s="34"/>
      <c r="R5665" s="34"/>
      <c r="S5665" s="34"/>
    </row>
    <row r="5666" spans="14:19">
      <c r="N5666" s="34"/>
      <c r="O5666" s="34"/>
      <c r="P5666" s="34"/>
      <c r="Q5666" s="34"/>
      <c r="R5666" s="34"/>
      <c r="S5666" s="34"/>
    </row>
    <row r="5667" spans="14:19">
      <c r="N5667" s="34"/>
      <c r="O5667" s="34"/>
      <c r="P5667" s="34"/>
      <c r="Q5667" s="34"/>
      <c r="R5667" s="34"/>
      <c r="S5667" s="34"/>
    </row>
    <row r="5668" spans="14:19">
      <c r="N5668" s="34"/>
      <c r="O5668" s="34"/>
      <c r="P5668" s="34"/>
      <c r="Q5668" s="34"/>
      <c r="R5668" s="34"/>
      <c r="S5668" s="34"/>
    </row>
  </sheetData>
  <sheetProtection password="8B10" sheet="1" objects="1" scenarios="1"/>
  <mergeCells count="5">
    <mergeCell ref="B23:J23"/>
    <mergeCell ref="B13:J13"/>
    <mergeCell ref="B17:J17"/>
    <mergeCell ref="B19:J19"/>
    <mergeCell ref="B21:J21"/>
  </mergeCells>
  <phoneticPr fontId="3" type="noConversion"/>
  <pageMargins left="0.70866141732283472" right="0.70866141732283472" top="1.0236220472440944" bottom="1.0236220472440944" header="0.39370078740157483" footer="0.39370078740157483"/>
  <pageSetup paperSize="9" scale="78" orientation="landscape" r:id="rId1"/>
  <headerFooter alignWithMargins="0">
    <oddFooter>&amp;L&amp;"Frutiger 57Cn,Standard"&amp;8
Santander Consumer Bank AG
Santander-Platz 1
41061 Mönchengladbach
Tel.: +49 180 / 5556 - 499
Fax.: +49 180 / 5556 - 498</oddFooter>
  </headerFooter>
  <colBreaks count="1" manualBreakCount="1">
    <brk id="1"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32</vt:i4>
      </vt:variant>
    </vt:vector>
  </HeadingPairs>
  <TitlesOfParts>
    <vt:vector size="65" baseType="lpstr">
      <vt:lpstr>Cover Sheet</vt:lpstr>
      <vt:lpstr>1. Portfolio Information</vt:lpstr>
      <vt:lpstr>2. Reserve Accounts</vt:lpstr>
      <vt:lpstr>3. Delinquency Data</vt:lpstr>
      <vt:lpstr>4. Default Data</vt:lpstr>
      <vt:lpstr>4.1 Default Data per Quarter</vt:lpstr>
      <vt:lpstr>5. Outstanding Notes</vt:lpstr>
      <vt:lpstr>6. Original Principal Balance</vt:lpstr>
      <vt:lpstr>6.1 Original PB (Graph)</vt:lpstr>
      <vt:lpstr>7. Current Principal Balance</vt:lpstr>
      <vt:lpstr>7.1 Current PB (Graph)</vt:lpstr>
      <vt:lpstr>8. Borrower Concentration</vt:lpstr>
      <vt:lpstr>9. Geographical Distribution</vt:lpstr>
      <vt:lpstr>9.1 Geographical (Graph)</vt:lpstr>
      <vt:lpstr>10. Object Type</vt:lpstr>
      <vt:lpstr>11. Insurances</vt:lpstr>
      <vt:lpstr>12. Type of Contract</vt:lpstr>
      <vt:lpstr>13. Payment Methods</vt:lpstr>
      <vt:lpstr>14. Customer Yield</vt:lpstr>
      <vt:lpstr>14.1 Customer Yield (Graph)</vt:lpstr>
      <vt:lpstr>15. Seasoning</vt:lpstr>
      <vt:lpstr>15.1 Seasoning (Graph)</vt:lpstr>
      <vt:lpstr>16. Remaining Term</vt:lpstr>
      <vt:lpstr>16.1 Remaining Term (Graph)</vt:lpstr>
      <vt:lpstr>17. Original Term</vt:lpstr>
      <vt:lpstr>17.1 Original Term (Graph)</vt:lpstr>
      <vt:lpstr>18. Manufacturer</vt:lpstr>
      <vt:lpstr>19. PoP + Transaction Costs</vt:lpstr>
      <vt:lpstr>20. Swap Counterparty Data</vt:lpstr>
      <vt:lpstr>21. Counterparties</vt:lpstr>
      <vt:lpstr>22. Issuer Information</vt:lpstr>
      <vt:lpstr>23. Santander Consumer Bank</vt:lpstr>
      <vt:lpstr>24. Disclaimer</vt:lpstr>
      <vt:lpstr>'1. Portfolio Information'!Print_Area</vt:lpstr>
      <vt:lpstr>'10. Object Type'!Print_Area</vt:lpstr>
      <vt:lpstr>'11. Insurances'!Print_Area</vt:lpstr>
      <vt:lpstr>'12. Type of Contract'!Print_Area</vt:lpstr>
      <vt:lpstr>'13. Payment Methods'!Print_Area</vt:lpstr>
      <vt:lpstr>'14. Customer Yield'!Print_Area</vt:lpstr>
      <vt:lpstr>'14.1 Customer Yield (Graph)'!Print_Area</vt:lpstr>
      <vt:lpstr>'15. Seasoning'!Print_Area</vt:lpstr>
      <vt:lpstr>'15.1 Seasoning (Graph)'!Print_Area</vt:lpstr>
      <vt:lpstr>'16. Remaining Term'!Print_Area</vt:lpstr>
      <vt:lpstr>'16.1 Remaining Term (Graph)'!Print_Area</vt:lpstr>
      <vt:lpstr>'17. Original Term'!Print_Area</vt:lpstr>
      <vt:lpstr>'17.1 Original Term (Graph)'!Print_Area</vt:lpstr>
      <vt:lpstr>'18. Manufacturer'!Print_Area</vt:lpstr>
      <vt:lpstr>'19. PoP + Transaction Costs'!Print_Area</vt:lpstr>
      <vt:lpstr>'2. Reserve Accounts'!Print_Area</vt:lpstr>
      <vt:lpstr>'20. Swap Counterparty Data'!Print_Area</vt:lpstr>
      <vt:lpstr>'21. Counterparties'!Print_Area</vt:lpstr>
      <vt:lpstr>'22. Issuer Information'!Print_Area</vt:lpstr>
      <vt:lpstr>'23. Santander Consumer Bank'!Print_Area</vt:lpstr>
      <vt:lpstr>'3. Delinquency Data'!Print_Area</vt:lpstr>
      <vt:lpstr>'4. Default Data'!Print_Area</vt:lpstr>
      <vt:lpstr>'4.1 Default Data per Quarter'!Print_Area</vt:lpstr>
      <vt:lpstr>'5. Outstanding Notes'!Print_Area</vt:lpstr>
      <vt:lpstr>'6. Original Principal Balance'!Print_Area</vt:lpstr>
      <vt:lpstr>'6.1 Original PB (Graph)'!Print_Area</vt:lpstr>
      <vt:lpstr>'7. Current Principal Balance'!Print_Area</vt:lpstr>
      <vt:lpstr>'7.1 Current PB (Graph)'!Print_Area</vt:lpstr>
      <vt:lpstr>'8. Borrower Concentration'!Print_Area</vt:lpstr>
      <vt:lpstr>'9. Geographical Distribution'!Print_Area</vt:lpstr>
      <vt:lpstr>'9.1 Geographical (Graph)'!Print_Area</vt:lpstr>
      <vt:lpstr>'Cover Sheet'!Print_Area</vt:lpstr>
    </vt:vector>
  </TitlesOfParts>
  <Company>WestLB AG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J.-P. Huelbert</dc:creator>
  <cp:lastModifiedBy>xlParse</cp:lastModifiedBy>
  <cp:lastPrinted>2012-10-08T09:25:49Z</cp:lastPrinted>
  <dcterms:created xsi:type="dcterms:W3CDTF">2004-12-20T20:00:13Z</dcterms:created>
  <dcterms:modified xsi:type="dcterms:W3CDTF">2017-10-16T08:15:11Z</dcterms:modified>
</cp:coreProperties>
</file>